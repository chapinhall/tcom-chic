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mvoit\Chapin Hall Center for Children\CHIC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Meta!$C$2:$C$118</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F722" i="5"/>
  <c r="K721" i="5"/>
  <c r="L721" i="5" s="1"/>
  <c r="F721" i="5"/>
  <c r="K720" i="5"/>
  <c r="L720" i="5" s="1"/>
  <c r="K719" i="5"/>
  <c r="L719" i="5" s="1"/>
  <c r="K718" i="5"/>
  <c r="L718" i="5" s="1"/>
  <c r="F718" i="5"/>
  <c r="K717" i="5"/>
  <c r="L717" i="5" s="1"/>
  <c r="F717" i="5"/>
  <c r="K716" i="5"/>
  <c r="L716" i="5" s="1"/>
  <c r="K715" i="5"/>
  <c r="L715" i="5" s="1"/>
  <c r="K714" i="5"/>
  <c r="L714" i="5" s="1"/>
  <c r="F714" i="5"/>
  <c r="K713" i="5"/>
  <c r="L713" i="5" s="1"/>
  <c r="F713" i="5"/>
  <c r="K712" i="5"/>
  <c r="L712" i="5" s="1"/>
  <c r="K711" i="5"/>
  <c r="L711" i="5" s="1"/>
  <c r="K710" i="5"/>
  <c r="L710" i="5" s="1"/>
  <c r="F710" i="5"/>
  <c r="K709" i="5"/>
  <c r="L709" i="5" s="1"/>
  <c r="F709" i="5"/>
  <c r="K708" i="5"/>
  <c r="L708" i="5" s="1"/>
  <c r="K707" i="5"/>
  <c r="L707" i="5" s="1"/>
  <c r="K706" i="5"/>
  <c r="L706" i="5" s="1"/>
  <c r="F706" i="5"/>
  <c r="K705" i="5"/>
  <c r="L705" i="5" s="1"/>
  <c r="F705" i="5"/>
  <c r="K704" i="5"/>
  <c r="L704" i="5" s="1"/>
  <c r="K703" i="5"/>
  <c r="L703" i="5" s="1"/>
  <c r="K702" i="5"/>
  <c r="L702" i="5" s="1"/>
  <c r="F702" i="5"/>
  <c r="K701" i="5"/>
  <c r="L701" i="5" s="1"/>
  <c r="F701" i="5"/>
  <c r="K700" i="5"/>
  <c r="L700" i="5" s="1"/>
  <c r="K699" i="5"/>
  <c r="L699" i="5" s="1"/>
  <c r="K698" i="5"/>
  <c r="L698" i="5" s="1"/>
  <c r="F698" i="5"/>
  <c r="K697" i="5"/>
  <c r="L697" i="5" s="1"/>
  <c r="F697" i="5"/>
  <c r="K696" i="5"/>
  <c r="L696" i="5" s="1"/>
  <c r="K695" i="5"/>
  <c r="L695" i="5" s="1"/>
  <c r="K694" i="5"/>
  <c r="L694" i="5" s="1"/>
  <c r="F694" i="5"/>
  <c r="K693" i="5"/>
  <c r="L693" i="5" s="1"/>
  <c r="F693" i="5"/>
  <c r="K692" i="5"/>
  <c r="L692" i="5" s="1"/>
  <c r="K691" i="5"/>
  <c r="L691" i="5" s="1"/>
  <c r="K690" i="5"/>
  <c r="L690" i="5" s="1"/>
  <c r="F690" i="5"/>
  <c r="K689" i="5"/>
  <c r="L689" i="5" s="1"/>
  <c r="F689" i="5"/>
  <c r="K688" i="5"/>
  <c r="L688" i="5" s="1"/>
  <c r="K687" i="5"/>
  <c r="L687" i="5" s="1"/>
  <c r="K686" i="5"/>
  <c r="L686" i="5" s="1"/>
  <c r="F686" i="5"/>
  <c r="K685" i="5"/>
  <c r="L685" i="5" s="1"/>
  <c r="F685" i="5"/>
  <c r="K684" i="5"/>
  <c r="L684" i="5" s="1"/>
  <c r="K683" i="5"/>
  <c r="L683" i="5" s="1"/>
  <c r="K682" i="5"/>
  <c r="L682" i="5" s="1"/>
  <c r="F682" i="5"/>
  <c r="K681" i="5"/>
  <c r="L681" i="5" s="1"/>
  <c r="F681" i="5"/>
  <c r="K680" i="5"/>
  <c r="L680" i="5" s="1"/>
  <c r="K679" i="5"/>
  <c r="L679" i="5" s="1"/>
  <c r="K678" i="5"/>
  <c r="L678" i="5" s="1"/>
  <c r="F678" i="5"/>
  <c r="K677" i="5"/>
  <c r="L677" i="5" s="1"/>
  <c r="F677" i="5"/>
  <c r="K676" i="5"/>
  <c r="L676" i="5" s="1"/>
  <c r="K675" i="5"/>
  <c r="L675" i="5" s="1"/>
  <c r="K674" i="5"/>
  <c r="L674" i="5" s="1"/>
  <c r="F674" i="5"/>
  <c r="K673" i="5"/>
  <c r="L673" i="5" s="1"/>
  <c r="F673" i="5"/>
  <c r="K672" i="5"/>
  <c r="L672" i="5" s="1"/>
  <c r="K671" i="5"/>
  <c r="L671" i="5" s="1"/>
  <c r="K670" i="5"/>
  <c r="L670" i="5" s="1"/>
  <c r="F670" i="5"/>
  <c r="K669" i="5"/>
  <c r="L669" i="5" s="1"/>
  <c r="F669" i="5"/>
  <c r="K668" i="5"/>
  <c r="L668" i="5" s="1"/>
  <c r="K667" i="5"/>
  <c r="L667" i="5" s="1"/>
  <c r="K666" i="5"/>
  <c r="L666" i="5" s="1"/>
  <c r="F666" i="5"/>
  <c r="K665" i="5"/>
  <c r="L665" i="5" s="1"/>
  <c r="F665" i="5"/>
  <c r="K664" i="5"/>
  <c r="L664" i="5" s="1"/>
  <c r="K663" i="5"/>
  <c r="L663" i="5" s="1"/>
  <c r="K662" i="5"/>
  <c r="L662" i="5" s="1"/>
  <c r="F662" i="5"/>
  <c r="K661" i="5"/>
  <c r="L661" i="5" s="1"/>
  <c r="F661" i="5"/>
  <c r="K660" i="5"/>
  <c r="L660" i="5" s="1"/>
  <c r="K659" i="5"/>
  <c r="L659" i="5" s="1"/>
  <c r="K658" i="5"/>
  <c r="L658" i="5" s="1"/>
  <c r="F658" i="5"/>
  <c r="K657" i="5"/>
  <c r="L657" i="5" s="1"/>
  <c r="F657" i="5"/>
  <c r="K656" i="5"/>
  <c r="L656" i="5" s="1"/>
  <c r="K655" i="5"/>
  <c r="L655" i="5" s="1"/>
  <c r="K654" i="5"/>
  <c r="L654" i="5" s="1"/>
  <c r="F654" i="5"/>
  <c r="K653" i="5"/>
  <c r="L653" i="5" s="1"/>
  <c r="F653" i="5"/>
  <c r="K652" i="5"/>
  <c r="L652" i="5" s="1"/>
  <c r="K651" i="5"/>
  <c r="L651" i="5" s="1"/>
  <c r="K650" i="5"/>
  <c r="L650" i="5" s="1"/>
  <c r="F650" i="5"/>
  <c r="K649" i="5"/>
  <c r="L649" i="5" s="1"/>
  <c r="F649" i="5"/>
  <c r="K648" i="5"/>
  <c r="L648" i="5" s="1"/>
  <c r="K647" i="5"/>
  <c r="L647" i="5" s="1"/>
  <c r="K646" i="5"/>
  <c r="L646" i="5" s="1"/>
  <c r="F646" i="5"/>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F448" i="5"/>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C47" i="24"/>
  <c r="E41" i="24"/>
  <c r="C41" i="24"/>
  <c r="C46" i="24"/>
  <c r="E43" i="24"/>
  <c r="E49" i="24"/>
  <c r="C42" i="24"/>
  <c r="E44" i="24"/>
  <c r="C44" i="24"/>
  <c r="E42" i="24"/>
  <c r="C48" i="24"/>
  <c r="E48" i="24"/>
  <c r="E45" i="24"/>
  <c r="E47" i="24"/>
  <c r="C45" i="24"/>
  <c r="C49" i="24"/>
  <c r="C43" i="24"/>
  <c r="K17" i="2"/>
  <c r="E46" i="24"/>
  <c r="F246" i="5" l="1"/>
  <c r="F278" i="5"/>
  <c r="F340" i="5"/>
  <c r="F310" i="5"/>
  <c r="F647" i="5"/>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J31" i="2"/>
  <c r="E30" i="2" s="1"/>
  <c r="J20" i="2"/>
  <c r="E19" i="2" s="1"/>
  <c r="G30" i="2"/>
  <c r="G31" i="2" s="1"/>
  <c r="G32" i="2" s="1"/>
  <c r="G33" i="2" s="1"/>
  <c r="G34" i="2" s="1"/>
  <c r="G35" i="2" s="1"/>
  <c r="G36" i="2" s="1"/>
  <c r="G37" i="2" s="1"/>
  <c r="B18" i="2"/>
  <c r="J72" i="2"/>
  <c r="E71" i="2" s="1"/>
  <c r="H71" i="2"/>
  <c r="B338" i="9"/>
  <c r="C338" i="9" s="1"/>
  <c r="H338" i="9" s="1"/>
  <c r="B174" i="9"/>
  <c r="C174" i="9" s="1"/>
  <c r="H174" i="9" s="1"/>
  <c r="B10" i="9"/>
  <c r="C10" i="9" s="1"/>
  <c r="H10" i="9" s="1"/>
  <c r="B87" i="2"/>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B71" i="2" l="1"/>
  <c r="D18" i="2"/>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C120" i="2" l="1"/>
  <c r="B40" i="2"/>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D105" i="2" s="1"/>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D140" i="2" s="1"/>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H140" i="2"/>
  <c r="H177" i="2"/>
  <c r="C175" i="2" s="1"/>
  <c r="B386" i="9"/>
  <c r="C386" i="9" s="1"/>
  <c r="H386" i="9" s="1"/>
  <c r="B222" i="9"/>
  <c r="C222" i="9" s="1"/>
  <c r="H222" i="9" s="1"/>
  <c r="B58" i="9"/>
  <c r="C58" i="9" s="1"/>
  <c r="H58" i="9" s="1"/>
  <c r="J75" i="2"/>
  <c r="E74" i="2" s="1"/>
  <c r="B74" i="2"/>
  <c r="I74" i="2"/>
  <c r="D73" i="2" s="1"/>
  <c r="D177" i="2" l="1"/>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C177" i="2" l="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C142" i="2" s="1"/>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D91" i="2" s="1"/>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H161" i="2"/>
  <c r="H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D58" i="2" l="1"/>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s="1"/>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C23" i="2" l="1"/>
  <c r="D43" i="2"/>
  <c r="H44" i="2"/>
  <c r="B375" i="9"/>
  <c r="C375" i="9" s="1"/>
  <c r="H375" i="9" s="1"/>
  <c r="J62" i="2"/>
  <c r="B47" i="9"/>
  <c r="C47" i="9" s="1"/>
  <c r="H47" i="9" s="1"/>
  <c r="E60" i="2"/>
  <c r="B211" i="9"/>
  <c r="C211" i="9" s="1"/>
  <c r="H211" i="9" s="1"/>
  <c r="B61" i="2"/>
  <c r="I61" i="2"/>
  <c r="H61"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s="1"/>
  <c r="H93" i="2"/>
  <c r="C92" i="2" s="1"/>
  <c r="E25" i="2"/>
  <c r="H36" i="2"/>
  <c r="C35" i="2" s="1"/>
  <c r="D92" i="2"/>
  <c r="H145" i="2"/>
  <c r="C144" i="2" s="1"/>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D109" i="2"/>
  <c r="D180" i="2"/>
  <c r="B447" i="9"/>
  <c r="C447" i="9" s="1"/>
  <c r="H447" i="9" s="1"/>
  <c r="B283" i="9"/>
  <c r="C283" i="9" s="1"/>
  <c r="H283" i="9" s="1"/>
  <c r="B119" i="9"/>
  <c r="C119" i="9" s="1"/>
  <c r="H119" i="9" s="1"/>
  <c r="I146" i="2"/>
  <c r="J147" i="2"/>
  <c r="B14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Y164" i="2"/>
  <c r="Y115" i="2"/>
  <c r="Z52" i="2"/>
  <c r="Z187" i="2"/>
  <c r="X179" i="2"/>
  <c r="Z158" i="2"/>
  <c r="X106" i="2"/>
  <c r="X61" i="2"/>
  <c r="Z53" i="2"/>
  <c r="X108" i="2"/>
  <c r="Z202" i="2"/>
  <c r="Z35" i="2"/>
  <c r="Y151" i="2"/>
  <c r="X173" i="2"/>
  <c r="X206" i="2"/>
  <c r="Z147" i="2"/>
  <c r="Z66" i="2"/>
  <c r="Y96" i="2"/>
  <c r="Z39" i="2"/>
  <c r="Z40" i="2"/>
  <c r="Y205" i="2"/>
  <c r="Y89" i="2"/>
  <c r="Y50" i="2"/>
  <c r="Z61" i="2"/>
  <c r="Z101" i="2"/>
  <c r="X83" i="2"/>
  <c r="Z89" i="2"/>
  <c r="X53" i="2"/>
  <c r="X207" i="2"/>
  <c r="Y62" i="2"/>
  <c r="Y20" i="2"/>
  <c r="Y183" i="2"/>
  <c r="Z125" i="2"/>
  <c r="Z85" i="2"/>
  <c r="Y24" i="2"/>
  <c r="Y134" i="2"/>
  <c r="Z92" i="2"/>
  <c r="Z22" i="2"/>
  <c r="Y70" i="2"/>
  <c r="X161" i="2"/>
  <c r="X154" i="2"/>
  <c r="Z174" i="2"/>
  <c r="Y165" i="2"/>
  <c r="Y72" i="2"/>
  <c r="Z77" i="2"/>
  <c r="X45" i="2"/>
  <c r="X193" i="2"/>
  <c r="X112" i="2"/>
  <c r="X113" i="2"/>
  <c r="X189" i="2"/>
  <c r="Y194" i="2"/>
  <c r="Y23" i="2"/>
  <c r="Y25" i="2"/>
  <c r="X86" i="2"/>
  <c r="Z123" i="2"/>
  <c r="X100" i="2"/>
  <c r="Y181" i="2"/>
  <c r="X48" i="2"/>
  <c r="Z185" i="2"/>
  <c r="Y94" i="2"/>
  <c r="X135" i="2"/>
  <c r="Z164" i="2"/>
  <c r="Z80" i="2"/>
  <c r="Z78" i="2"/>
  <c r="X139" i="2"/>
  <c r="Y174" i="2"/>
  <c r="Z57" i="2"/>
  <c r="Y127" i="2"/>
  <c r="Z171" i="2"/>
  <c r="Y142" i="2"/>
  <c r="X41" i="2"/>
  <c r="X157" i="2"/>
  <c r="X52" i="2"/>
  <c r="X57" i="2"/>
  <c r="Z166" i="2"/>
  <c r="Y90" i="2"/>
  <c r="X144" i="2"/>
  <c r="Y201" i="2"/>
  <c r="Z37" i="2"/>
  <c r="X200" i="2"/>
  <c r="Y38" i="2"/>
  <c r="Z192" i="2"/>
  <c r="X18" i="2"/>
  <c r="X65" i="2"/>
  <c r="Y167" i="2"/>
  <c r="Y39" i="2"/>
  <c r="Z67" i="2"/>
  <c r="Y148" i="2"/>
  <c r="Z135" i="2"/>
  <c r="Z59" i="2"/>
  <c r="Z114" i="2"/>
  <c r="Y76" i="2"/>
  <c r="Z182" i="2"/>
  <c r="X142" i="2"/>
  <c r="Y71" i="2"/>
  <c r="Y150" i="2"/>
  <c r="Z56" i="2"/>
  <c r="Z183" i="2"/>
  <c r="X203" i="2"/>
  <c r="Z48" i="2"/>
  <c r="Y146" i="2"/>
  <c r="Z68" i="2"/>
  <c r="Z170" i="2"/>
  <c r="Y37" i="2"/>
  <c r="X44" i="2"/>
  <c r="X192" i="2"/>
  <c r="Y202" i="2"/>
  <c r="X120" i="2"/>
  <c r="X197" i="2"/>
  <c r="X165" i="2"/>
  <c r="X177" i="2"/>
  <c r="Y135" i="2"/>
  <c r="Y177" i="2"/>
  <c r="Z189" i="2"/>
  <c r="Y190" i="2"/>
  <c r="X55" i="2"/>
  <c r="Y124" i="2"/>
  <c r="X130" i="2"/>
  <c r="Z199" i="2"/>
  <c r="X155" i="2"/>
  <c r="Z165" i="2"/>
  <c r="Y156" i="2"/>
  <c r="Y27" i="2"/>
  <c r="Z140" i="2"/>
  <c r="Z50" i="2"/>
  <c r="X114" i="2"/>
  <c r="X122" i="2"/>
  <c r="Y185" i="2"/>
  <c r="Z46" i="2"/>
  <c r="X191" i="2"/>
  <c r="Z204" i="2"/>
  <c r="Z27" i="2"/>
  <c r="Z157" i="2"/>
  <c r="Y64" i="2"/>
  <c r="Y65" i="2"/>
  <c r="X172" i="2"/>
  <c r="Z51" i="2"/>
  <c r="X153" i="2"/>
  <c r="Y88" i="2"/>
  <c r="Y153" i="2"/>
  <c r="Y157" i="2"/>
  <c r="X70" i="2"/>
  <c r="Z163" i="2"/>
  <c r="X145" i="2"/>
  <c r="X76" i="2"/>
  <c r="X138" i="2"/>
  <c r="X158" i="2"/>
  <c r="X187" i="2"/>
  <c r="X22" i="2"/>
  <c r="Z117" i="2"/>
  <c r="Z144" i="2"/>
  <c r="Z25" i="2"/>
  <c r="Z90" i="2"/>
  <c r="X30" i="2"/>
  <c r="X196" i="2"/>
  <c r="Y28" i="2"/>
  <c r="X56" i="2"/>
  <c r="Z71" i="2"/>
  <c r="Z146" i="2"/>
  <c r="Y105" i="2"/>
  <c r="Y21" i="2"/>
  <c r="Y19" i="2"/>
  <c r="X159" i="2"/>
  <c r="Z161" i="2"/>
  <c r="Z130" i="2"/>
  <c r="Y113" i="2"/>
  <c r="Y119" i="2"/>
  <c r="Y159" i="2"/>
  <c r="Y173" i="2"/>
  <c r="X117" i="2"/>
  <c r="X126" i="2"/>
  <c r="Y48" i="2"/>
  <c r="X118" i="2"/>
  <c r="Y52" i="2"/>
  <c r="X140" i="2"/>
  <c r="X149" i="2"/>
  <c r="Z208" i="2"/>
  <c r="Y53" i="2"/>
  <c r="Z91" i="2"/>
  <c r="X208" i="2"/>
  <c r="Y123" i="2"/>
  <c r="Z97" i="2"/>
  <c r="X131" i="2"/>
  <c r="Z188" i="2"/>
  <c r="Z49" i="2"/>
  <c r="Y182" i="2"/>
  <c r="Z148" i="2"/>
  <c r="Y197" i="2"/>
  <c r="X87" i="2"/>
  <c r="Z23" i="2"/>
  <c r="Y82" i="2"/>
  <c r="X105" i="2"/>
  <c r="X195" i="2"/>
  <c r="X97" i="2"/>
  <c r="X85" i="2"/>
  <c r="X127" i="2"/>
  <c r="X175" i="2"/>
  <c r="Y196" i="2"/>
  <c r="Y95" i="2"/>
  <c r="Y80" i="2"/>
  <c r="X39" i="2"/>
  <c r="X93" i="2"/>
  <c r="Y91" i="2"/>
  <c r="Y41" i="2"/>
  <c r="X202" i="2"/>
  <c r="Z195" i="2"/>
  <c r="X98" i="2"/>
  <c r="Z137" i="2"/>
  <c r="Z95" i="2"/>
  <c r="Z177" i="2"/>
  <c r="X129" i="2"/>
  <c r="Y171" i="2"/>
  <c r="Z141" i="2"/>
  <c r="X77" i="2"/>
  <c r="Z74" i="2"/>
  <c r="Y108" i="2"/>
  <c r="Z110" i="2"/>
  <c r="Z62" i="2"/>
  <c r="Y18" i="2"/>
  <c r="X67" i="2"/>
  <c r="Y192" i="2"/>
  <c r="Z18" i="2"/>
  <c r="Y26" i="2"/>
  <c r="X115" i="2"/>
  <c r="Z184" i="2"/>
  <c r="Z129" i="2"/>
  <c r="Z181" i="2"/>
  <c r="Y46" i="2"/>
  <c r="X94" i="2"/>
  <c r="Z127" i="2"/>
  <c r="Z19" i="2"/>
  <c r="Z60" i="2"/>
  <c r="Y57" i="2"/>
  <c r="Z107" i="2"/>
  <c r="Z93" i="2"/>
  <c r="X33" i="2"/>
  <c r="Y42" i="2"/>
  <c r="Z88" i="2"/>
  <c r="Z55" i="2"/>
  <c r="Z150" i="2"/>
  <c r="X190" i="2"/>
  <c r="X103" i="2"/>
  <c r="X186" i="2"/>
  <c r="Y155" i="2"/>
  <c r="Z100" i="2"/>
  <c r="Z103" i="2"/>
  <c r="X188" i="2"/>
  <c r="Z96" i="2"/>
  <c r="Y45" i="2"/>
  <c r="Y33" i="2"/>
  <c r="Y60" i="2"/>
  <c r="Z109" i="2"/>
  <c r="Z152" i="2"/>
  <c r="Z126" i="2"/>
  <c r="X64" i="2"/>
  <c r="Z122" i="2"/>
  <c r="Z84" i="2"/>
  <c r="Z132" i="2"/>
  <c r="Z82" i="2"/>
  <c r="Z133" i="2"/>
  <c r="Y168" i="2"/>
  <c r="X72" i="2"/>
  <c r="X68" i="2"/>
  <c r="X88" i="2"/>
  <c r="X60" i="2"/>
  <c r="X58" i="2"/>
  <c r="X111" i="2"/>
  <c r="X35" i="2"/>
  <c r="Z180" i="2"/>
  <c r="Z32" i="2"/>
  <c r="Z115" i="2"/>
  <c r="Z201" i="2"/>
  <c r="X180" i="2"/>
  <c r="Y184" i="2"/>
  <c r="Z44" i="2"/>
  <c r="X99" i="2"/>
  <c r="Y114" i="2"/>
  <c r="Z145" i="2"/>
  <c r="X151" i="2"/>
  <c r="Y120" i="2"/>
  <c r="Y200" i="2"/>
  <c r="X26" i="2"/>
  <c r="Y32" i="2"/>
  <c r="Y110" i="2"/>
  <c r="Y130" i="2"/>
  <c r="X174" i="2"/>
  <c r="X168" i="2"/>
  <c r="Y109" i="2"/>
  <c r="Y195" i="2"/>
  <c r="Z149" i="2"/>
  <c r="Y98" i="2"/>
  <c r="Y103" i="2"/>
  <c r="Y137" i="2"/>
  <c r="Y117" i="2"/>
  <c r="X84" i="2"/>
  <c r="Y101" i="2"/>
  <c r="X74" i="2"/>
  <c r="X81" i="2"/>
  <c r="Z33" i="2"/>
  <c r="X34" i="2"/>
  <c r="Y69" i="2"/>
  <c r="X27" i="2"/>
  <c r="Y66" i="2"/>
  <c r="Z24" i="2"/>
  <c r="Z28" i="2"/>
  <c r="Y59" i="2"/>
  <c r="Z206" i="2"/>
  <c r="X156" i="2"/>
  <c r="X164" i="2"/>
  <c r="X47" i="2"/>
  <c r="Y68" i="2"/>
  <c r="X119" i="2"/>
  <c r="Y84" i="2"/>
  <c r="X101" i="2"/>
  <c r="Z134" i="2"/>
  <c r="Z94" i="2"/>
  <c r="Z34" i="2"/>
  <c r="Y176" i="2"/>
  <c r="Y118" i="2"/>
  <c r="X49" i="2"/>
  <c r="Z160" i="2"/>
  <c r="Z113" i="2"/>
  <c r="Y179" i="2"/>
  <c r="X110" i="2"/>
  <c r="Y30" i="2"/>
  <c r="Z87" i="2"/>
  <c r="Z43" i="2"/>
  <c r="Z69" i="2"/>
  <c r="X124" i="2"/>
  <c r="X96" i="2"/>
  <c r="Y180" i="2"/>
  <c r="Y191" i="2"/>
  <c r="X104" i="2"/>
  <c r="X79" i="2"/>
  <c r="Y100" i="2"/>
  <c r="Z81" i="2"/>
  <c r="Z118" i="2"/>
  <c r="Z142" i="2"/>
  <c r="Y107" i="2"/>
  <c r="Y204" i="2"/>
  <c r="X25" i="2"/>
  <c r="Z72" i="2"/>
  <c r="Z119" i="2"/>
  <c r="X152" i="2"/>
  <c r="X133" i="2"/>
  <c r="Z175" i="2"/>
  <c r="Z98" i="2"/>
  <c r="Y78" i="2"/>
  <c r="X91" i="2"/>
  <c r="Y208" i="2"/>
  <c r="Y144" i="2"/>
  <c r="Y131" i="2"/>
  <c r="X121" i="2"/>
  <c r="X75" i="2"/>
  <c r="Y189" i="2"/>
  <c r="X125" i="2"/>
  <c r="X137" i="2"/>
  <c r="Z190" i="2"/>
  <c r="Y22" i="2"/>
  <c r="X38" i="2"/>
  <c r="X107" i="2"/>
  <c r="Y111" i="2"/>
  <c r="X160" i="2"/>
  <c r="Y132" i="2"/>
  <c r="Z42" i="2"/>
  <c r="Y158" i="2"/>
  <c r="Y187" i="2"/>
  <c r="Y154" i="2"/>
  <c r="Z38" i="2"/>
  <c r="Z179" i="2"/>
  <c r="X51" i="2"/>
  <c r="Z47" i="2"/>
  <c r="Y34" i="2"/>
  <c r="Y56" i="2"/>
  <c r="Z45" i="2"/>
  <c r="X147" i="2"/>
  <c r="Y35" i="2"/>
  <c r="Y126" i="2"/>
  <c r="X128" i="2"/>
  <c r="Y74" i="2"/>
  <c r="Y147" i="2"/>
  <c r="X198" i="2"/>
  <c r="Y67" i="2"/>
  <c r="Z191" i="2"/>
  <c r="Z200" i="2"/>
  <c r="Y203" i="2"/>
  <c r="Z194" i="2"/>
  <c r="Y55" i="2"/>
  <c r="Y136" i="2"/>
  <c r="Z178" i="2"/>
  <c r="Y198" i="2"/>
  <c r="X209" i="2"/>
  <c r="X184" i="2"/>
  <c r="Y73" i="2"/>
  <c r="Y75" i="2"/>
  <c r="Z198" i="2"/>
  <c r="Y175" i="2"/>
  <c r="Z86" i="2"/>
  <c r="X89" i="2"/>
  <c r="Z176" i="2"/>
  <c r="Y209" i="2"/>
  <c r="Z154" i="2"/>
  <c r="Z29" i="2"/>
  <c r="Y87" i="2"/>
  <c r="Y138" i="2"/>
  <c r="Y169" i="2"/>
  <c r="Z172" i="2"/>
  <c r="Y85" i="2"/>
  <c r="Z138" i="2"/>
  <c r="Z105" i="2"/>
  <c r="Z99" i="2"/>
  <c r="Z167" i="2"/>
  <c r="X28" i="2"/>
  <c r="Z21" i="2"/>
  <c r="X146" i="2"/>
  <c r="Z20" i="2"/>
  <c r="X182" i="2"/>
  <c r="X23" i="2"/>
  <c r="Y160" i="2"/>
  <c r="X54" i="2"/>
  <c r="X176" i="2"/>
  <c r="X109" i="2"/>
  <c r="Y77" i="2"/>
  <c r="Y145" i="2"/>
  <c r="X29" i="2"/>
  <c r="Z128" i="2"/>
  <c r="X36" i="2"/>
  <c r="Z116" i="2"/>
  <c r="Z30" i="2"/>
  <c r="X185" i="2"/>
  <c r="Z156" i="2"/>
  <c r="X170" i="2"/>
  <c r="X92" i="2"/>
  <c r="X134" i="2"/>
  <c r="X205" i="2"/>
  <c r="X178" i="2"/>
  <c r="X167" i="2"/>
  <c r="Y104" i="2"/>
  <c r="Y143" i="2"/>
  <c r="Z121" i="2"/>
  <c r="X194" i="2"/>
  <c r="X143" i="2"/>
  <c r="Z131" i="2"/>
  <c r="Y79" i="2"/>
  <c r="Z64" i="2"/>
  <c r="Z186" i="2"/>
  <c r="Z205" i="2"/>
  <c r="X42" i="2"/>
  <c r="X136" i="2"/>
  <c r="Z73" i="2"/>
  <c r="Y112" i="2"/>
  <c r="Y51" i="2"/>
  <c r="Z193" i="2"/>
  <c r="X201" i="2"/>
  <c r="Z63" i="2"/>
  <c r="X32" i="2"/>
  <c r="Z155" i="2"/>
  <c r="X90" i="2"/>
  <c r="Y99" i="2"/>
  <c r="Z203" i="2"/>
  <c r="Z65" i="2"/>
  <c r="Y47" i="2"/>
  <c r="X166" i="2"/>
  <c r="Y161" i="2"/>
  <c r="X102" i="2"/>
  <c r="Z124" i="2"/>
  <c r="X82" i="2"/>
  <c r="X148" i="2"/>
  <c r="Y125" i="2"/>
  <c r="X37" i="2"/>
  <c r="X150" i="2"/>
  <c r="Y129" i="2"/>
  <c r="Z207" i="2"/>
  <c r="Z162" i="2"/>
  <c r="Y44" i="2"/>
  <c r="X50" i="2"/>
  <c r="Y178" i="2"/>
  <c r="Z197" i="2"/>
  <c r="Z143" i="2"/>
  <c r="Z31" i="2"/>
  <c r="X80" i="2"/>
  <c r="Y128" i="2"/>
  <c r="Z41" i="2"/>
  <c r="X71" i="2"/>
  <c r="Y97" i="2"/>
  <c r="Y133" i="2"/>
  <c r="Y166" i="2"/>
  <c r="X169" i="2"/>
  <c r="Y106" i="2"/>
  <c r="Z102" i="2"/>
  <c r="Y49" i="2"/>
  <c r="Y186" i="2"/>
  <c r="Y207" i="2"/>
  <c r="Z139" i="2"/>
  <c r="Y162" i="2"/>
  <c r="X63" i="2"/>
  <c r="Z209" i="2"/>
  <c r="X199" i="2"/>
  <c r="Z196" i="2"/>
  <c r="Y40" i="2"/>
  <c r="Z76" i="2"/>
  <c r="Z83" i="2"/>
  <c r="X204" i="2"/>
  <c r="Y188" i="2"/>
  <c r="X141" i="2"/>
  <c r="Y93" i="2"/>
  <c r="Z58" i="2"/>
  <c r="Y83" i="2"/>
  <c r="Y172" i="2"/>
  <c r="X78" i="2"/>
  <c r="Y122" i="2"/>
  <c r="X95" i="2"/>
  <c r="X62" i="2"/>
  <c r="X24" i="2"/>
  <c r="Z173" i="2"/>
  <c r="Z70" i="2"/>
  <c r="Z159" i="2"/>
  <c r="Y81" i="2"/>
  <c r="Z106" i="2"/>
  <c r="Y61" i="2"/>
  <c r="Y36" i="2"/>
  <c r="Y140" i="2"/>
  <c r="Y206" i="2"/>
  <c r="Z111" i="2"/>
  <c r="Y170" i="2"/>
  <c r="Y58" i="2"/>
  <c r="Z108" i="2"/>
  <c r="Z136" i="2"/>
  <c r="X132" i="2"/>
  <c r="X116" i="2"/>
  <c r="X171" i="2"/>
  <c r="Y63" i="2"/>
  <c r="Z54" i="2"/>
  <c r="X31" i="2"/>
  <c r="Z151" i="2"/>
  <c r="X59" i="2"/>
  <c r="Z168" i="2"/>
  <c r="X163" i="2"/>
  <c r="Z36" i="2"/>
  <c r="Y43" i="2"/>
  <c r="Z112" i="2"/>
  <c r="Y102" i="2"/>
  <c r="Z120" i="2"/>
  <c r="X46" i="2"/>
  <c r="Y163" i="2"/>
  <c r="Z26" i="2"/>
  <c r="Y54" i="2"/>
  <c r="X19" i="2"/>
  <c r="Z75" i="2"/>
  <c r="X21" i="2"/>
  <c r="X69" i="2"/>
  <c r="Z104" i="2"/>
  <c r="Y193" i="2"/>
  <c r="Z79" i="2"/>
  <c r="Y31" i="2"/>
  <c r="X43" i="2"/>
  <c r="X40" i="2"/>
  <c r="X181" i="2"/>
  <c r="Y141" i="2"/>
  <c r="Y139" i="2"/>
  <c r="Y121" i="2"/>
  <c r="Y29" i="2"/>
  <c r="Z169" i="2"/>
  <c r="Y199" i="2"/>
  <c r="X183" i="2"/>
  <c r="Z153" i="2"/>
  <c r="Y149" i="2"/>
  <c r="X162" i="2"/>
  <c r="X123" i="2"/>
  <c r="Y92" i="2"/>
  <c r="Y116" i="2"/>
  <c r="Y86" i="2"/>
  <c r="X73" i="2"/>
  <c r="Y152" i="2"/>
  <c r="X66" i="2"/>
  <c r="Q66" i="2" l="1"/>
  <c r="S66" i="2"/>
  <c r="P66" i="2"/>
  <c r="U152" i="2"/>
  <c r="Q73" i="2"/>
  <c r="S73" i="2"/>
  <c r="P73" i="2"/>
  <c r="U86" i="2"/>
  <c r="U116" i="2"/>
  <c r="U92" i="2"/>
  <c r="S123" i="2"/>
  <c r="P123" i="2"/>
  <c r="Q123" i="2"/>
  <c r="P162" i="2"/>
  <c r="Q162" i="2"/>
  <c r="S162" i="2"/>
  <c r="U149" i="2"/>
  <c r="W153" i="2"/>
  <c r="Q183" i="2"/>
  <c r="S183" i="2"/>
  <c r="P183" i="2"/>
  <c r="U199" i="2"/>
  <c r="W169" i="2"/>
  <c r="U29" i="2"/>
  <c r="U121" i="2"/>
  <c r="U139" i="2"/>
  <c r="U141" i="2"/>
  <c r="S181" i="2"/>
  <c r="Q181" i="2"/>
  <c r="P181" i="2"/>
  <c r="S40" i="2"/>
  <c r="P40" i="2"/>
  <c r="Q40" i="2"/>
  <c r="Q43" i="2"/>
  <c r="S43" i="2"/>
  <c r="P43" i="2"/>
  <c r="U31" i="2"/>
  <c r="W79" i="2"/>
  <c r="U193" i="2"/>
  <c r="W104" i="2"/>
  <c r="Q69" i="2"/>
  <c r="S69" i="2"/>
  <c r="P69" i="2"/>
  <c r="P21" i="2"/>
  <c r="Q21" i="2"/>
  <c r="S21" i="2"/>
  <c r="W75" i="2"/>
  <c r="P19" i="2"/>
  <c r="Q19" i="2"/>
  <c r="S19" i="2"/>
  <c r="U54" i="2"/>
  <c r="W26" i="2"/>
  <c r="U163" i="2"/>
  <c r="S46" i="2"/>
  <c r="Q46" i="2"/>
  <c r="P46" i="2"/>
  <c r="W120" i="2"/>
  <c r="U102" i="2"/>
  <c r="W112" i="2"/>
  <c r="U43" i="2"/>
  <c r="W36" i="2"/>
  <c r="P163" i="2"/>
  <c r="S163" i="2"/>
  <c r="Q163" i="2"/>
  <c r="W168" i="2"/>
  <c r="P59" i="2"/>
  <c r="Q59" i="2"/>
  <c r="S59" i="2"/>
  <c r="W151" i="2"/>
  <c r="Q31" i="2"/>
  <c r="S31" i="2"/>
  <c r="P31" i="2"/>
  <c r="W54" i="2"/>
  <c r="U63" i="2"/>
  <c r="P171" i="2"/>
  <c r="Q171" i="2"/>
  <c r="S171" i="2"/>
  <c r="S116" i="2"/>
  <c r="P116" i="2"/>
  <c r="Q116" i="2"/>
  <c r="P132" i="2"/>
  <c r="S132" i="2"/>
  <c r="Q132" i="2"/>
  <c r="W136" i="2"/>
  <c r="W108" i="2"/>
  <c r="U58" i="2"/>
  <c r="U170" i="2"/>
  <c r="W111" i="2"/>
  <c r="U206" i="2"/>
  <c r="U140" i="2"/>
  <c r="U36" i="2"/>
  <c r="U61" i="2"/>
  <c r="W106" i="2"/>
  <c r="U81" i="2"/>
  <c r="W159" i="2"/>
  <c r="W70" i="2"/>
  <c r="W173" i="2"/>
  <c r="Q24" i="2"/>
  <c r="S24" i="2"/>
  <c r="P24" i="2"/>
  <c r="P62" i="2"/>
  <c r="S62" i="2"/>
  <c r="Q62" i="2"/>
  <c r="Q95" i="2"/>
  <c r="P95" i="2"/>
  <c r="S95" i="2"/>
  <c r="U122" i="2"/>
  <c r="S78" i="2"/>
  <c r="Q78" i="2"/>
  <c r="P78" i="2"/>
  <c r="U172" i="2"/>
  <c r="U83" i="2"/>
  <c r="W58" i="2"/>
  <c r="U93" i="2"/>
  <c r="P141" i="2"/>
  <c r="S141" i="2"/>
  <c r="Q141" i="2"/>
  <c r="U188" i="2"/>
  <c r="S204" i="2"/>
  <c r="Q204" i="2"/>
  <c r="P204" i="2"/>
  <c r="W83" i="2"/>
  <c r="W76" i="2"/>
  <c r="U40" i="2"/>
  <c r="W196" i="2"/>
  <c r="Q199" i="2"/>
  <c r="S199" i="2"/>
  <c r="P199" i="2"/>
  <c r="W209" i="2"/>
  <c r="Q63" i="2"/>
  <c r="P63" i="2"/>
  <c r="S63" i="2"/>
  <c r="U162" i="2"/>
  <c r="W139" i="2"/>
  <c r="U207" i="2"/>
  <c r="U186" i="2"/>
  <c r="U49" i="2"/>
  <c r="W102" i="2"/>
  <c r="U106" i="2"/>
  <c r="S169" i="2"/>
  <c r="Q169" i="2"/>
  <c r="P169" i="2"/>
  <c r="U166" i="2"/>
  <c r="U133" i="2"/>
  <c r="U97" i="2"/>
  <c r="P71" i="2"/>
  <c r="S71" i="2"/>
  <c r="Q71" i="2"/>
  <c r="W41" i="2"/>
  <c r="U128" i="2"/>
  <c r="S80" i="2"/>
  <c r="P80" i="2"/>
  <c r="Q80" i="2"/>
  <c r="W31" i="2"/>
  <c r="W143" i="2"/>
  <c r="W197" i="2"/>
  <c r="U178" i="2"/>
  <c r="P50" i="2"/>
  <c r="S50" i="2"/>
  <c r="Q50" i="2"/>
  <c r="U44" i="2"/>
  <c r="W162" i="2"/>
  <c r="W207" i="2"/>
  <c r="U129" i="2"/>
  <c r="S150" i="2"/>
  <c r="Q150" i="2"/>
  <c r="P150" i="2"/>
  <c r="P37" i="2"/>
  <c r="S37" i="2"/>
  <c r="Q37" i="2"/>
  <c r="U125" i="2"/>
  <c r="Q148" i="2"/>
  <c r="S148" i="2"/>
  <c r="P148" i="2"/>
  <c r="P82" i="2"/>
  <c r="Q82" i="2"/>
  <c r="S82" i="2"/>
  <c r="W124" i="2"/>
  <c r="P102" i="2"/>
  <c r="Q102" i="2"/>
  <c r="S102" i="2"/>
  <c r="U161" i="2"/>
  <c r="Q166" i="2"/>
  <c r="P166" i="2"/>
  <c r="S166" i="2"/>
  <c r="U47" i="2"/>
  <c r="W65" i="2"/>
  <c r="W203" i="2"/>
  <c r="U99" i="2"/>
  <c r="Q90" i="2"/>
  <c r="P90" i="2"/>
  <c r="S90" i="2"/>
  <c r="W155" i="2"/>
  <c r="P32" i="2"/>
  <c r="Q32" i="2"/>
  <c r="S32" i="2"/>
  <c r="W63" i="2"/>
  <c r="Q201" i="2"/>
  <c r="P201" i="2"/>
  <c r="S201" i="2"/>
  <c r="W193" i="2"/>
  <c r="U51" i="2"/>
  <c r="U112" i="2"/>
  <c r="W73" i="2"/>
  <c r="Q136" i="2"/>
  <c r="S136" i="2"/>
  <c r="P136" i="2"/>
  <c r="S42" i="2"/>
  <c r="Q42" i="2"/>
  <c r="P42" i="2"/>
  <c r="W205" i="2"/>
  <c r="W186" i="2"/>
  <c r="W64" i="2"/>
  <c r="U79" i="2"/>
  <c r="W131" i="2"/>
  <c r="Q143" i="2"/>
  <c r="S143" i="2"/>
  <c r="P143" i="2"/>
  <c r="P194" i="2"/>
  <c r="Q194" i="2"/>
  <c r="S194" i="2"/>
  <c r="W121" i="2"/>
  <c r="U143" i="2"/>
  <c r="U104" i="2"/>
  <c r="Q167" i="2"/>
  <c r="S167" i="2"/>
  <c r="P167" i="2"/>
  <c r="Q178" i="2"/>
  <c r="P178" i="2"/>
  <c r="S178" i="2"/>
  <c r="P205" i="2"/>
  <c r="S205" i="2"/>
  <c r="Q205" i="2"/>
  <c r="Q134" i="2"/>
  <c r="S134" i="2"/>
  <c r="P134" i="2"/>
  <c r="S92" i="2"/>
  <c r="Q92" i="2"/>
  <c r="P92" i="2"/>
  <c r="P170" i="2"/>
  <c r="S170" i="2"/>
  <c r="Q170" i="2"/>
  <c r="W156" i="2"/>
  <c r="S185" i="2"/>
  <c r="P185" i="2"/>
  <c r="Q185" i="2"/>
  <c r="W30" i="2"/>
  <c r="W116" i="2"/>
  <c r="Q36" i="2"/>
  <c r="S36" i="2"/>
  <c r="P36" i="2"/>
  <c r="W128" i="2"/>
  <c r="P29" i="2"/>
  <c r="S29" i="2"/>
  <c r="Q29" i="2"/>
  <c r="U145" i="2"/>
  <c r="U77" i="2"/>
  <c r="S109" i="2"/>
  <c r="Q109" i="2"/>
  <c r="P109" i="2"/>
  <c r="P176" i="2"/>
  <c r="S176" i="2"/>
  <c r="Q176" i="2"/>
  <c r="P54" i="2"/>
  <c r="Q54" i="2"/>
  <c r="S54" i="2"/>
  <c r="U160" i="2"/>
  <c r="P23" i="2"/>
  <c r="Q23" i="2"/>
  <c r="S23" i="2"/>
  <c r="S182" i="2"/>
  <c r="Q182" i="2"/>
  <c r="P182" i="2"/>
  <c r="W20" i="2"/>
  <c r="P146" i="2"/>
  <c r="Q146" i="2"/>
  <c r="S146" i="2"/>
  <c r="W21" i="2"/>
  <c r="P28" i="2"/>
  <c r="S28" i="2"/>
  <c r="Q28" i="2"/>
  <c r="W167" i="2"/>
  <c r="W99" i="2"/>
  <c r="W105" i="2"/>
  <c r="W138" i="2"/>
  <c r="U85" i="2"/>
  <c r="W172" i="2"/>
  <c r="U169" i="2"/>
  <c r="U138" i="2"/>
  <c r="U87" i="2"/>
  <c r="W29" i="2"/>
  <c r="W154" i="2"/>
  <c r="U209" i="2"/>
  <c r="W176" i="2"/>
  <c r="P89" i="2"/>
  <c r="Q89" i="2"/>
  <c r="S89" i="2"/>
  <c r="W86" i="2"/>
  <c r="U175" i="2"/>
  <c r="W198" i="2"/>
  <c r="U75" i="2"/>
  <c r="U73" i="2"/>
  <c r="P184" i="2"/>
  <c r="S184" i="2"/>
  <c r="Q184" i="2"/>
  <c r="Q209" i="2"/>
  <c r="S209" i="2"/>
  <c r="P209" i="2"/>
  <c r="U198" i="2"/>
  <c r="W178" i="2"/>
  <c r="U136" i="2"/>
  <c r="U55" i="2"/>
  <c r="W194" i="2"/>
  <c r="U203" i="2"/>
  <c r="W200" i="2"/>
  <c r="W191" i="2"/>
  <c r="U67" i="2"/>
  <c r="S198" i="2"/>
  <c r="Q198" i="2"/>
  <c r="P198" i="2"/>
  <c r="U147" i="2"/>
  <c r="U74" i="2"/>
  <c r="S128" i="2"/>
  <c r="P128" i="2"/>
  <c r="Q128" i="2"/>
  <c r="U126" i="2"/>
  <c r="U35" i="2"/>
  <c r="Q147" i="2"/>
  <c r="P147" i="2"/>
  <c r="S147" i="2"/>
  <c r="W45" i="2"/>
  <c r="U56" i="2"/>
  <c r="U34" i="2"/>
  <c r="W47" i="2"/>
  <c r="S51" i="2"/>
  <c r="P51" i="2"/>
  <c r="Q51" i="2"/>
  <c r="W179" i="2"/>
  <c r="W38" i="2"/>
  <c r="U154" i="2"/>
  <c r="U187" i="2"/>
  <c r="U158" i="2"/>
  <c r="W42" i="2"/>
  <c r="U132" i="2"/>
  <c r="Q160" i="2"/>
  <c r="P160" i="2"/>
  <c r="S160" i="2"/>
  <c r="U111" i="2"/>
  <c r="S107" i="2"/>
  <c r="Q107" i="2"/>
  <c r="P107" i="2"/>
  <c r="S38" i="2"/>
  <c r="P38" i="2"/>
  <c r="L38" i="2" s="1"/>
  <c r="Q38" i="2"/>
  <c r="M38" i="2" s="1"/>
  <c r="U22" i="2"/>
  <c r="W190" i="2"/>
  <c r="Q137" i="2"/>
  <c r="S137" i="2"/>
  <c r="P137" i="2"/>
  <c r="S125" i="2"/>
  <c r="P125" i="2"/>
  <c r="Q125" i="2"/>
  <c r="U189" i="2"/>
  <c r="Q75" i="2"/>
  <c r="P75" i="2"/>
  <c r="S75" i="2"/>
  <c r="Q121" i="2"/>
  <c r="S121" i="2"/>
  <c r="P121" i="2"/>
  <c r="U131" i="2"/>
  <c r="U144" i="2"/>
  <c r="U208" i="2"/>
  <c r="P91" i="2"/>
  <c r="Q91" i="2"/>
  <c r="S91" i="2"/>
  <c r="U78" i="2"/>
  <c r="W98" i="2"/>
  <c r="W175" i="2"/>
  <c r="Q133" i="2"/>
  <c r="P133" i="2"/>
  <c r="S133" i="2"/>
  <c r="S152" i="2"/>
  <c r="P152" i="2"/>
  <c r="Q152" i="2"/>
  <c r="W119" i="2"/>
  <c r="W72" i="2"/>
  <c r="S25" i="2"/>
  <c r="P25" i="2"/>
  <c r="Q25" i="2"/>
  <c r="U204" i="2"/>
  <c r="U107" i="2"/>
  <c r="W142" i="2"/>
  <c r="W118" i="2"/>
  <c r="W81" i="2"/>
  <c r="U100" i="2"/>
  <c r="S79" i="2"/>
  <c r="P79" i="2"/>
  <c r="Q79" i="2"/>
  <c r="S104" i="2"/>
  <c r="Q104" i="2"/>
  <c r="P104" i="2"/>
  <c r="U191" i="2"/>
  <c r="U180" i="2"/>
  <c r="P96" i="2"/>
  <c r="S96" i="2"/>
  <c r="Q96" i="2"/>
  <c r="Q124" i="2"/>
  <c r="S124" i="2"/>
  <c r="P124" i="2"/>
  <c r="W69" i="2"/>
  <c r="W43" i="2"/>
  <c r="W87" i="2"/>
  <c r="U30" i="2"/>
  <c r="P110" i="2"/>
  <c r="S110" i="2"/>
  <c r="Q110" i="2"/>
  <c r="U179" i="2"/>
  <c r="W113" i="2"/>
  <c r="W160" i="2"/>
  <c r="P49" i="2"/>
  <c r="S49" i="2"/>
  <c r="Q49" i="2"/>
  <c r="U118" i="2"/>
  <c r="U176" i="2"/>
  <c r="W34" i="2"/>
  <c r="W94" i="2"/>
  <c r="W134" i="2"/>
  <c r="P101" i="2"/>
  <c r="S101" i="2"/>
  <c r="Q101" i="2"/>
  <c r="U84" i="2"/>
  <c r="Q119" i="2"/>
  <c r="S119" i="2"/>
  <c r="P119" i="2"/>
  <c r="U68" i="2"/>
  <c r="Q47" i="2"/>
  <c r="S47" i="2"/>
  <c r="P47" i="2"/>
  <c r="P164" i="2"/>
  <c r="S164" i="2"/>
  <c r="Q164" i="2"/>
  <c r="Q156" i="2"/>
  <c r="P156" i="2"/>
  <c r="S156" i="2"/>
  <c r="W206" i="2"/>
  <c r="U59" i="2"/>
  <c r="W28" i="2"/>
  <c r="W24" i="2"/>
  <c r="U66" i="2"/>
  <c r="P27" i="2"/>
  <c r="Q27" i="2"/>
  <c r="S27" i="2"/>
  <c r="U69" i="2"/>
  <c r="S34" i="2"/>
  <c r="P34" i="2"/>
  <c r="Q34" i="2"/>
  <c r="W33" i="2"/>
  <c r="Q81" i="2"/>
  <c r="S81" i="2"/>
  <c r="P81" i="2"/>
  <c r="P74" i="2"/>
  <c r="S74" i="2"/>
  <c r="Q74" i="2"/>
  <c r="U101" i="2"/>
  <c r="S84" i="2"/>
  <c r="Q84" i="2"/>
  <c r="P84" i="2"/>
  <c r="U117" i="2"/>
  <c r="U137" i="2"/>
  <c r="U103" i="2"/>
  <c r="U98" i="2"/>
  <c r="W149" i="2"/>
  <c r="U195" i="2"/>
  <c r="U109" i="2"/>
  <c r="Q168" i="2"/>
  <c r="P168" i="2"/>
  <c r="S168" i="2"/>
  <c r="Q174" i="2"/>
  <c r="S174" i="2"/>
  <c r="P174" i="2"/>
  <c r="U130" i="2"/>
  <c r="U110" i="2"/>
  <c r="U32" i="2"/>
  <c r="Q26" i="2"/>
  <c r="S26" i="2"/>
  <c r="P26" i="2"/>
  <c r="U200" i="2"/>
  <c r="U120" i="2"/>
  <c r="P151" i="2"/>
  <c r="Q151" i="2"/>
  <c r="S151" i="2"/>
  <c r="W145" i="2"/>
  <c r="U114" i="2"/>
  <c r="S99" i="2"/>
  <c r="P99" i="2"/>
  <c r="Q99" i="2"/>
  <c r="W44" i="2"/>
  <c r="U184" i="2"/>
  <c r="S180" i="2"/>
  <c r="P180" i="2"/>
  <c r="Q180" i="2"/>
  <c r="W201" i="2"/>
  <c r="W115" i="2"/>
  <c r="W32" i="2"/>
  <c r="W180" i="2"/>
  <c r="Q35" i="2"/>
  <c r="P35" i="2"/>
  <c r="S35" i="2"/>
  <c r="S111" i="2"/>
  <c r="Q111" i="2"/>
  <c r="P111" i="2"/>
  <c r="P58" i="2"/>
  <c r="Q58" i="2"/>
  <c r="S58" i="2"/>
  <c r="Q60" i="2"/>
  <c r="P60" i="2"/>
  <c r="S60" i="2"/>
  <c r="S88" i="2"/>
  <c r="P88" i="2"/>
  <c r="Q88" i="2"/>
  <c r="P68" i="2"/>
  <c r="Q68" i="2"/>
  <c r="S68" i="2"/>
  <c r="P72" i="2"/>
  <c r="S72" i="2"/>
  <c r="Q72" i="2"/>
  <c r="U168" i="2"/>
  <c r="W133" i="2"/>
  <c r="W82" i="2"/>
  <c r="W132" i="2"/>
  <c r="W84" i="2"/>
  <c r="W122" i="2"/>
  <c r="P64" i="2"/>
  <c r="Q64" i="2"/>
  <c r="S64" i="2"/>
  <c r="W126" i="2"/>
  <c r="W152" i="2"/>
  <c r="W109" i="2"/>
  <c r="U60" i="2"/>
  <c r="U33" i="2"/>
  <c r="U45" i="2"/>
  <c r="W96" i="2"/>
  <c r="Q188" i="2"/>
  <c r="S188" i="2"/>
  <c r="P188" i="2"/>
  <c r="W103" i="2"/>
  <c r="W100" i="2"/>
  <c r="U155" i="2"/>
  <c r="S186" i="2"/>
  <c r="Q186" i="2"/>
  <c r="P186" i="2"/>
  <c r="Q103" i="2"/>
  <c r="S103" i="2"/>
  <c r="P103" i="2"/>
  <c r="Q190" i="2"/>
  <c r="P190" i="2"/>
  <c r="S190" i="2"/>
  <c r="W150" i="2"/>
  <c r="W55" i="2"/>
  <c r="W88" i="2"/>
  <c r="U42" i="2"/>
  <c r="Q33" i="2"/>
  <c r="P33" i="2"/>
  <c r="S33" i="2"/>
  <c r="W93" i="2"/>
  <c r="W107" i="2"/>
  <c r="U57" i="2"/>
  <c r="W60" i="2"/>
  <c r="W19" i="2"/>
  <c r="W127" i="2"/>
  <c r="Q94" i="2"/>
  <c r="S94" i="2"/>
  <c r="P94" i="2"/>
  <c r="U46" i="2"/>
  <c r="W181" i="2"/>
  <c r="W129" i="2"/>
  <c r="W184" i="2"/>
  <c r="P115" i="2"/>
  <c r="S115" i="2"/>
  <c r="Q115" i="2"/>
  <c r="U26" i="2"/>
  <c r="W18" i="2"/>
  <c r="O18" i="2" s="1"/>
  <c r="U192" i="2"/>
  <c r="P67" i="2"/>
  <c r="Q67" i="2"/>
  <c r="S67" i="2"/>
  <c r="U18" i="2"/>
  <c r="W62" i="2"/>
  <c r="W110" i="2"/>
  <c r="U108" i="2"/>
  <c r="W74" i="2"/>
  <c r="S77" i="2"/>
  <c r="P77" i="2"/>
  <c r="Q77" i="2"/>
  <c r="W141" i="2"/>
  <c r="U171" i="2"/>
  <c r="P129" i="2"/>
  <c r="Q129" i="2"/>
  <c r="S129" i="2"/>
  <c r="W177" i="2"/>
  <c r="W95" i="2"/>
  <c r="W137" i="2"/>
  <c r="Q98" i="2"/>
  <c r="P98" i="2"/>
  <c r="S98" i="2"/>
  <c r="W195" i="2"/>
  <c r="Q202" i="2"/>
  <c r="P202" i="2"/>
  <c r="S202" i="2"/>
  <c r="U41" i="2"/>
  <c r="U91" i="2"/>
  <c r="Q93" i="2"/>
  <c r="S93" i="2"/>
  <c r="P93" i="2"/>
  <c r="Q39" i="2"/>
  <c r="M39" i="2" s="1"/>
  <c r="S39" i="2"/>
  <c r="P39" i="2"/>
  <c r="U80" i="2"/>
  <c r="U95" i="2"/>
  <c r="U196" i="2"/>
  <c r="P175" i="2"/>
  <c r="S175" i="2"/>
  <c r="Q175" i="2"/>
  <c r="Q127" i="2"/>
  <c r="S127" i="2"/>
  <c r="P127" i="2"/>
  <c r="P85" i="2"/>
  <c r="S85" i="2"/>
  <c r="Q85" i="2"/>
  <c r="P97" i="2"/>
  <c r="S97" i="2"/>
  <c r="Q97" i="2"/>
  <c r="Q195" i="2"/>
  <c r="P195" i="2"/>
  <c r="S195" i="2"/>
  <c r="Q105" i="2"/>
  <c r="P105" i="2"/>
  <c r="S105" i="2"/>
  <c r="U82" i="2"/>
  <c r="W23" i="2"/>
  <c r="P87" i="2"/>
  <c r="S87" i="2"/>
  <c r="Q87" i="2"/>
  <c r="U197" i="2"/>
  <c r="W148" i="2"/>
  <c r="U182" i="2"/>
  <c r="W49" i="2"/>
  <c r="W188" i="2"/>
  <c r="S131" i="2"/>
  <c r="Q131" i="2"/>
  <c r="P131" i="2"/>
  <c r="W97" i="2"/>
  <c r="U123" i="2"/>
  <c r="S208" i="2"/>
  <c r="P208" i="2"/>
  <c r="Q208" i="2"/>
  <c r="W91" i="2"/>
  <c r="U53" i="2"/>
  <c r="W208" i="2"/>
  <c r="P149" i="2"/>
  <c r="Q149" i="2"/>
  <c r="S149" i="2"/>
  <c r="Q140" i="2"/>
  <c r="P140" i="2"/>
  <c r="S140" i="2"/>
  <c r="U52" i="2"/>
  <c r="S118" i="2"/>
  <c r="P118" i="2"/>
  <c r="Q118" i="2"/>
  <c r="U48" i="2"/>
  <c r="S126" i="2"/>
  <c r="P126" i="2"/>
  <c r="Q126" i="2"/>
  <c r="P117" i="2"/>
  <c r="S117" i="2"/>
  <c r="Q117" i="2"/>
  <c r="U173" i="2"/>
  <c r="U159" i="2"/>
  <c r="U119" i="2"/>
  <c r="U113" i="2"/>
  <c r="W130" i="2"/>
  <c r="W161" i="2"/>
  <c r="S159" i="2"/>
  <c r="Q159" i="2"/>
  <c r="P159" i="2"/>
  <c r="U19" i="2"/>
  <c r="U21" i="2"/>
  <c r="U105" i="2"/>
  <c r="W146" i="2"/>
  <c r="W71" i="2"/>
  <c r="P56" i="2"/>
  <c r="Q56" i="2"/>
  <c r="S56" i="2"/>
  <c r="U28" i="2"/>
  <c r="Q196" i="2"/>
  <c r="P196" i="2"/>
  <c r="S196" i="2"/>
  <c r="P30" i="2"/>
  <c r="Q30" i="2"/>
  <c r="S30" i="2"/>
  <c r="W90" i="2"/>
  <c r="W25" i="2"/>
  <c r="W144" i="2"/>
  <c r="W117" i="2"/>
  <c r="S22" i="2"/>
  <c r="P22" i="2"/>
  <c r="Q22" i="2"/>
  <c r="S187" i="2"/>
  <c r="Q187" i="2"/>
  <c r="P187" i="2"/>
  <c r="S158" i="2"/>
  <c r="Q158" i="2"/>
  <c r="P158" i="2"/>
  <c r="P138" i="2"/>
  <c r="S138" i="2"/>
  <c r="Q138" i="2"/>
  <c r="Q76" i="2"/>
  <c r="P76" i="2"/>
  <c r="S76" i="2"/>
  <c r="Q145" i="2"/>
  <c r="S145" i="2"/>
  <c r="P145" i="2"/>
  <c r="W163" i="2"/>
  <c r="P70" i="2"/>
  <c r="S70" i="2"/>
  <c r="Q70" i="2"/>
  <c r="U157" i="2"/>
  <c r="U153" i="2"/>
  <c r="U88" i="2"/>
  <c r="S153" i="2"/>
  <c r="P153" i="2"/>
  <c r="Q153" i="2"/>
  <c r="W51" i="2"/>
  <c r="S172" i="2"/>
  <c r="P172" i="2"/>
  <c r="Q172" i="2"/>
  <c r="U65" i="2"/>
  <c r="U64" i="2"/>
  <c r="W157" i="2"/>
  <c r="W27" i="2"/>
  <c r="W204" i="2"/>
  <c r="P191" i="2"/>
  <c r="Q191" i="2"/>
  <c r="S191" i="2"/>
  <c r="W46" i="2"/>
  <c r="U185" i="2"/>
  <c r="Q122" i="2"/>
  <c r="S122" i="2"/>
  <c r="P122" i="2"/>
  <c r="P114" i="2"/>
  <c r="S114" i="2"/>
  <c r="Q114" i="2"/>
  <c r="W50" i="2"/>
  <c r="W140" i="2"/>
  <c r="U27" i="2"/>
  <c r="U156" i="2"/>
  <c r="W165" i="2"/>
  <c r="S155" i="2"/>
  <c r="P155" i="2"/>
  <c r="Q155" i="2"/>
  <c r="W199" i="2"/>
  <c r="P130" i="2"/>
  <c r="Q130" i="2"/>
  <c r="S130" i="2"/>
  <c r="U124" i="2"/>
  <c r="Q55" i="2"/>
  <c r="P55" i="2"/>
  <c r="S55" i="2"/>
  <c r="U190" i="2"/>
  <c r="W189" i="2"/>
  <c r="U177" i="2"/>
  <c r="U135" i="2"/>
  <c r="S177" i="2"/>
  <c r="P177" i="2"/>
  <c r="Q177" i="2"/>
  <c r="S165" i="2"/>
  <c r="P165" i="2"/>
  <c r="Q165" i="2"/>
  <c r="Q197" i="2"/>
  <c r="S197" i="2"/>
  <c r="P197" i="2"/>
  <c r="P120" i="2"/>
  <c r="S120" i="2"/>
  <c r="Q120" i="2"/>
  <c r="U202" i="2"/>
  <c r="Q192" i="2"/>
  <c r="P192" i="2"/>
  <c r="S192" i="2"/>
  <c r="S44" i="2"/>
  <c r="Q44" i="2"/>
  <c r="P44" i="2"/>
  <c r="U37" i="2"/>
  <c r="W170" i="2"/>
  <c r="W68" i="2"/>
  <c r="U146" i="2"/>
  <c r="W48" i="2"/>
  <c r="S203" i="2"/>
  <c r="P203" i="2"/>
  <c r="Q203" i="2"/>
  <c r="W183" i="2"/>
  <c r="W56" i="2"/>
  <c r="U150" i="2"/>
  <c r="U71" i="2"/>
  <c r="S142" i="2"/>
  <c r="P142" i="2"/>
  <c r="Q142" i="2"/>
  <c r="W182" i="2"/>
  <c r="U76" i="2"/>
  <c r="W114" i="2"/>
  <c r="W59" i="2"/>
  <c r="W135" i="2"/>
  <c r="U148" i="2"/>
  <c r="W67" i="2"/>
  <c r="U39" i="2"/>
  <c r="U167" i="2"/>
  <c r="S65" i="2"/>
  <c r="Q65" i="2"/>
  <c r="P65" i="2"/>
  <c r="S18" i="2"/>
  <c r="R18" i="2" s="1"/>
  <c r="R19" i="2" s="1"/>
  <c r="R20" i="2" s="1"/>
  <c r="P18" i="2"/>
  <c r="L18" i="2" s="1"/>
  <c r="Q18" i="2"/>
  <c r="M18" i="2" s="1"/>
  <c r="W192" i="2"/>
  <c r="U38" i="2"/>
  <c r="S200" i="2"/>
  <c r="P200" i="2"/>
  <c r="Q200" i="2"/>
  <c r="W37" i="2"/>
  <c r="U201" i="2"/>
  <c r="P144" i="2"/>
  <c r="Q144" i="2"/>
  <c r="S144" i="2"/>
  <c r="U90" i="2"/>
  <c r="W166" i="2"/>
  <c r="Q57" i="2"/>
  <c r="S57" i="2"/>
  <c r="P57" i="2"/>
  <c r="Q52" i="2"/>
  <c r="S52" i="2"/>
  <c r="P52" i="2"/>
  <c r="Q157" i="2"/>
  <c r="P157" i="2"/>
  <c r="S157" i="2"/>
  <c r="Q41" i="2"/>
  <c r="P41" i="2"/>
  <c r="S41" i="2"/>
  <c r="U142" i="2"/>
  <c r="W171" i="2"/>
  <c r="U127" i="2"/>
  <c r="W57" i="2"/>
  <c r="U174" i="2"/>
  <c r="S139" i="2"/>
  <c r="P139" i="2"/>
  <c r="Q139" i="2"/>
  <c r="W78" i="2"/>
  <c r="W80" i="2"/>
  <c r="W164" i="2"/>
  <c r="P135" i="2"/>
  <c r="S135" i="2"/>
  <c r="Q135" i="2"/>
  <c r="U94" i="2"/>
  <c r="W185" i="2"/>
  <c r="P48" i="2"/>
  <c r="Q48" i="2"/>
  <c r="S48" i="2"/>
  <c r="U181" i="2"/>
  <c r="Q100" i="2"/>
  <c r="S100" i="2"/>
  <c r="P100" i="2"/>
  <c r="W123" i="2"/>
  <c r="S86" i="2"/>
  <c r="P86" i="2"/>
  <c r="Q86" i="2"/>
  <c r="U25" i="2"/>
  <c r="U23" i="2"/>
  <c r="U194" i="2"/>
  <c r="Q189" i="2"/>
  <c r="P189" i="2"/>
  <c r="S189" i="2"/>
  <c r="S113" i="2"/>
  <c r="P113" i="2"/>
  <c r="Q113" i="2"/>
  <c r="S112" i="2"/>
  <c r="P112" i="2"/>
  <c r="Q112" i="2"/>
  <c r="S193" i="2"/>
  <c r="P193" i="2"/>
  <c r="Q193" i="2"/>
  <c r="P45" i="2"/>
  <c r="S45" i="2"/>
  <c r="Q45" i="2"/>
  <c r="W77" i="2"/>
  <c r="U72" i="2"/>
  <c r="U165" i="2"/>
  <c r="W174" i="2"/>
  <c r="P154" i="2"/>
  <c r="S154" i="2"/>
  <c r="Q154" i="2"/>
  <c r="P161" i="2"/>
  <c r="S161" i="2"/>
  <c r="Q161" i="2"/>
  <c r="U70" i="2"/>
  <c r="W22" i="2"/>
  <c r="W92" i="2"/>
  <c r="U134" i="2"/>
  <c r="U24" i="2"/>
  <c r="W85" i="2"/>
  <c r="W125" i="2"/>
  <c r="U183" i="2"/>
  <c r="U20" i="2"/>
  <c r="U62" i="2"/>
  <c r="P207" i="2"/>
  <c r="S207" i="2"/>
  <c r="Q207" i="2"/>
  <c r="Q53" i="2"/>
  <c r="S53" i="2"/>
  <c r="P53" i="2"/>
  <c r="W89" i="2"/>
  <c r="Q83" i="2"/>
  <c r="P83" i="2"/>
  <c r="S83" i="2"/>
  <c r="W101" i="2"/>
  <c r="W61" i="2"/>
  <c r="U50" i="2"/>
  <c r="U89" i="2"/>
  <c r="U205" i="2"/>
  <c r="W40" i="2"/>
  <c r="W39" i="2"/>
  <c r="U96" i="2"/>
  <c r="W66" i="2"/>
  <c r="W147" i="2"/>
  <c r="S206" i="2"/>
  <c r="P206" i="2"/>
  <c r="Q206" i="2"/>
  <c r="S173" i="2"/>
  <c r="P173" i="2"/>
  <c r="Q173" i="2"/>
  <c r="U151" i="2"/>
  <c r="W35" i="2"/>
  <c r="W202" i="2"/>
  <c r="S108" i="2"/>
  <c r="Q108" i="2"/>
  <c r="P108" i="2"/>
  <c r="W53" i="2"/>
  <c r="P61" i="2"/>
  <c r="S61" i="2"/>
  <c r="Q61" i="2"/>
  <c r="Q106" i="2"/>
  <c r="P106" i="2"/>
  <c r="S106" i="2"/>
  <c r="W158" i="2"/>
  <c r="P179" i="2"/>
  <c r="Q179" i="2"/>
  <c r="S179" i="2"/>
  <c r="W187" i="2"/>
  <c r="W52" i="2"/>
  <c r="U115" i="2"/>
  <c r="U164" i="2"/>
  <c r="C60" i="2"/>
  <c r="D60" i="2"/>
  <c r="C44" i="2"/>
  <c r="H10" i="19"/>
  <c r="G10" i="19"/>
  <c r="E45" i="2"/>
  <c r="B198" i="9"/>
  <c r="C198" i="9" s="1"/>
  <c r="H198" i="9" s="1"/>
  <c r="J47" i="2"/>
  <c r="B34" i="9"/>
  <c r="C34" i="9" s="1"/>
  <c r="H34" i="9" s="1"/>
  <c r="B46" i="2"/>
  <c r="I46" i="2"/>
  <c r="B362" i="9"/>
  <c r="C362" i="9" s="1"/>
  <c r="H362" i="9" s="1"/>
  <c r="F10" i="19"/>
  <c r="E61" i="2"/>
  <c r="B212" i="9"/>
  <c r="C212" i="9" s="1"/>
  <c r="H212" i="9" s="1"/>
  <c r="J63" i="2"/>
  <c r="B48" i="9"/>
  <c r="C48" i="9" s="1"/>
  <c r="H48" i="9" s="1"/>
  <c r="B62" i="2"/>
  <c r="B376" i="9"/>
  <c r="C376" i="9" s="1"/>
  <c r="H376" i="9" s="1"/>
  <c r="I62" i="2"/>
  <c r="D44" i="2"/>
  <c r="H146" i="2"/>
  <c r="C145" i="2" s="1"/>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s="1"/>
  <c r="I147" i="2"/>
  <c r="D146" i="2" s="1"/>
  <c r="B147" i="2"/>
  <c r="B463" i="9"/>
  <c r="C463" i="9" s="1"/>
  <c r="H463" i="9" s="1"/>
  <c r="B299" i="9"/>
  <c r="C299" i="9" s="1"/>
  <c r="H299" i="9" s="1"/>
  <c r="B135" i="9"/>
  <c r="C135" i="9" s="1"/>
  <c r="H135" i="9" s="1"/>
  <c r="J166" i="2"/>
  <c r="E165" i="2" s="1"/>
  <c r="I165" i="2"/>
  <c r="D164" i="2" s="1"/>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H200" i="2"/>
  <c r="C199" i="2" s="1"/>
  <c r="B405" i="9"/>
  <c r="C405" i="9" s="1"/>
  <c r="H405" i="9" s="1"/>
  <c r="B241" i="9"/>
  <c r="C241" i="9" s="1"/>
  <c r="H241" i="9" s="1"/>
  <c r="B77" i="9"/>
  <c r="C77" i="9" s="1"/>
  <c r="H77" i="9" s="1"/>
  <c r="B95" i="2"/>
  <c r="J96" i="2"/>
  <c r="E95" i="2" s="1"/>
  <c r="I95" i="2"/>
  <c r="D94" i="2" s="1"/>
  <c r="H164" i="2"/>
  <c r="C163" i="2" s="1"/>
  <c r="H111" i="2"/>
  <c r="C110" i="2" s="1"/>
  <c r="H26" i="2"/>
  <c r="B493" i="9"/>
  <c r="C493" i="9" s="1"/>
  <c r="H493" i="9" s="1"/>
  <c r="B329" i="9"/>
  <c r="C329" i="9" s="1"/>
  <c r="H329" i="9" s="1"/>
  <c r="B165" i="9"/>
  <c r="C165" i="9" s="1"/>
  <c r="H165" i="9" s="1"/>
  <c r="J202" i="2"/>
  <c r="E201" i="2" s="1"/>
  <c r="I201" i="2"/>
  <c r="D200" i="2" s="1"/>
  <c r="B201" i="2"/>
  <c r="D25" i="2"/>
  <c r="H94" i="2"/>
  <c r="C93" i="2" s="1"/>
  <c r="L39" i="2" l="1"/>
  <c r="M19" i="2"/>
  <c r="M20" i="2" s="1"/>
  <c r="M21" i="2" s="1"/>
  <c r="M22" i="2" s="1"/>
  <c r="M23" i="2" s="1"/>
  <c r="M24" i="2" s="1"/>
  <c r="M25" i="2" s="1"/>
  <c r="M26" i="2" s="1"/>
  <c r="M27" i="2" s="1"/>
  <c r="M28" i="2" s="1"/>
  <c r="M40" i="2"/>
  <c r="M41" i="2" s="1"/>
  <c r="M42" i="2" s="1"/>
  <c r="M43" i="2" s="1"/>
  <c r="M44" i="2" s="1"/>
  <c r="M45" i="2" s="1"/>
  <c r="M46" i="2" s="1"/>
  <c r="M47" i="2" s="1"/>
  <c r="O19" i="2"/>
  <c r="O20" i="2" s="1"/>
  <c r="O21" i="2" s="1"/>
  <c r="O22" i="2" s="1"/>
  <c r="O23" i="2" s="1"/>
  <c r="O24" i="2" s="1"/>
  <c r="O25" i="2" s="1"/>
  <c r="O26" i="2" s="1"/>
  <c r="L19" i="2"/>
  <c r="L20" i="2" s="1"/>
  <c r="L21" i="2" s="1"/>
  <c r="L22" i="2" s="1"/>
  <c r="L23" i="2" s="1"/>
  <c r="L24" i="2" s="1"/>
  <c r="L25" i="2" s="1"/>
  <c r="L26" i="2" s="1"/>
  <c r="L27" i="2" s="1"/>
  <c r="L28" i="2" s="1"/>
  <c r="R21" i="2"/>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43" i="5" s="1"/>
  <c r="T18" i="2"/>
  <c r="T19" i="2" s="1"/>
  <c r="T20" i="2" s="1"/>
  <c r="T21" i="2" s="1"/>
  <c r="T22" i="2" s="1"/>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N18" i="2"/>
  <c r="N19" i="2" s="1"/>
  <c r="N20" i="2" s="1"/>
  <c r="N21" i="2" s="1"/>
  <c r="N22" i="2" s="1"/>
  <c r="N23" i="2" s="1"/>
  <c r="N24" i="2" s="1"/>
  <c r="N25" i="2" s="1"/>
  <c r="N26" i="2" s="1"/>
  <c r="L40" i="2"/>
  <c r="L41" i="2" s="1"/>
  <c r="L42" i="2" s="1"/>
  <c r="L43" i="2" s="1"/>
  <c r="L44" i="2" s="1"/>
  <c r="L45" i="2" s="1"/>
  <c r="L46" i="2" s="1"/>
  <c r="L47" i="2" s="1"/>
  <c r="H62" i="2"/>
  <c r="D61" i="2"/>
  <c r="B377" i="9"/>
  <c r="C377" i="9" s="1"/>
  <c r="H377" i="9" s="1"/>
  <c r="J64" i="2"/>
  <c r="E62" i="2"/>
  <c r="B213" i="9"/>
  <c r="C213" i="9" s="1"/>
  <c r="H213" i="9" s="1"/>
  <c r="B63" i="2"/>
  <c r="B49" i="9"/>
  <c r="C49" i="9" s="1"/>
  <c r="H49" i="9" s="1"/>
  <c r="I63" i="2"/>
  <c r="H46" i="2"/>
  <c r="D45" i="2"/>
  <c r="C25" i="2"/>
  <c r="B199" i="9"/>
  <c r="C199" i="9" s="1"/>
  <c r="H199" i="9" s="1"/>
  <c r="B47" i="2"/>
  <c r="I47" i="2"/>
  <c r="D46" i="2" s="1"/>
  <c r="B363" i="9"/>
  <c r="C363" i="9" s="1"/>
  <c r="H363" i="9" s="1"/>
  <c r="J48" i="2"/>
  <c r="E47" i="2" s="1"/>
  <c r="B35" i="9"/>
  <c r="C35" i="9" s="1"/>
  <c r="H35" i="9" s="1"/>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M29" i="2"/>
  <c r="M30" i="2" s="1"/>
  <c r="M31" i="2" s="1"/>
  <c r="M32" i="2" s="1"/>
  <c r="M33" i="2" s="1"/>
  <c r="M34" i="2" s="1"/>
  <c r="M35" i="2" s="1"/>
  <c r="M36" i="2" s="1"/>
  <c r="M37" i="2" s="1"/>
  <c r="L29" i="2"/>
  <c r="L30" i="2" s="1"/>
  <c r="L31" i="2" s="1"/>
  <c r="L32" i="2" s="1"/>
  <c r="L33" i="2" s="1"/>
  <c r="L34" i="2" s="1"/>
  <c r="L35" i="2" s="1"/>
  <c r="L36" i="2" s="1"/>
  <c r="L37" i="2" s="1"/>
  <c r="H27" i="2"/>
  <c r="B256" i="9"/>
  <c r="C256" i="9" s="1"/>
  <c r="H256" i="9" s="1"/>
  <c r="B420" i="9"/>
  <c r="C420" i="9" s="1"/>
  <c r="H420" i="9" s="1"/>
  <c r="B92" i="9"/>
  <c r="C92" i="9" s="1"/>
  <c r="H92" i="9" s="1"/>
  <c r="I113" i="2"/>
  <c r="D112" i="2" s="1"/>
  <c r="B113" i="2"/>
  <c r="J114" i="2"/>
  <c r="E113" i="2" s="1"/>
  <c r="H112" i="2"/>
  <c r="C37" i="2"/>
  <c r="N38" i="2"/>
  <c r="N39" i="2" s="1"/>
  <c r="N40" i="2" s="1"/>
  <c r="N41" i="2" s="1"/>
  <c r="N42" i="2" s="1"/>
  <c r="N43" i="2" s="1"/>
  <c r="N44" i="2" s="1"/>
  <c r="N45" i="2" s="1"/>
  <c r="O38" i="2"/>
  <c r="O39" i="2" s="1"/>
  <c r="O40" i="2" s="1"/>
  <c r="O41" i="2" s="1"/>
  <c r="O42" i="2" s="1"/>
  <c r="O43" i="2" s="1"/>
  <c r="O44" i="2" s="1"/>
  <c r="O45" i="2" s="1"/>
  <c r="H79" i="2"/>
  <c r="B392" i="9"/>
  <c r="C392" i="9" s="1"/>
  <c r="H392" i="9" s="1"/>
  <c r="B228" i="9"/>
  <c r="C228" i="9" s="1"/>
  <c r="H228" i="9" s="1"/>
  <c r="B64" i="9"/>
  <c r="C64" i="9" s="1"/>
  <c r="H64" i="9" s="1"/>
  <c r="J81" i="2"/>
  <c r="E80" i="2" s="1"/>
  <c r="B80" i="2"/>
  <c r="I80" i="2"/>
  <c r="D79" i="2" s="1"/>
  <c r="S7" i="5" l="1"/>
  <c r="S43" i="5"/>
  <c r="S39" i="5"/>
  <c r="S26" i="5"/>
  <c r="S15" i="5"/>
  <c r="S36" i="5"/>
  <c r="S5" i="5"/>
  <c r="S53" i="5"/>
  <c r="S17" i="5"/>
  <c r="S21" i="5"/>
  <c r="S25" i="5"/>
  <c r="S10" i="5"/>
  <c r="S11" i="5"/>
  <c r="S49" i="5"/>
  <c r="S40" i="5"/>
  <c r="S48" i="5"/>
  <c r="S9" i="5"/>
  <c r="S51" i="5"/>
  <c r="S20" i="5"/>
  <c r="S28" i="5"/>
  <c r="S42" i="5"/>
  <c r="S24" i="5"/>
  <c r="S47" i="5"/>
  <c r="S13" i="5"/>
  <c r="S4" i="5"/>
  <c r="H4" i="23" s="1"/>
  <c r="S19" i="5"/>
  <c r="S22" i="5"/>
  <c r="S38" i="5"/>
  <c r="S41" i="5"/>
  <c r="S33" i="5"/>
  <c r="S31" i="5"/>
  <c r="S29" i="5"/>
  <c r="S32" i="5"/>
  <c r="S23" i="5"/>
  <c r="S52" i="5"/>
  <c r="S50" i="5"/>
  <c r="S8" i="5"/>
  <c r="S37" i="5"/>
  <c r="S30" i="5"/>
  <c r="S34" i="5"/>
  <c r="S35" i="5"/>
  <c r="S44" i="5"/>
  <c r="S27" i="5"/>
  <c r="S12" i="5"/>
  <c r="S46" i="5"/>
  <c r="S45" i="5"/>
  <c r="S18" i="5"/>
  <c r="S16" i="5"/>
  <c r="S14" i="5"/>
  <c r="S6" i="5"/>
  <c r="R43" i="5"/>
  <c r="R18" i="5"/>
  <c r="R33" i="5"/>
  <c r="R41" i="5"/>
  <c r="T26" i="5"/>
  <c r="T51" i="5"/>
  <c r="R23" i="5"/>
  <c r="R20" i="5"/>
  <c r="T40" i="5"/>
  <c r="R26" i="5"/>
  <c r="R32" i="5"/>
  <c r="R40" i="5"/>
  <c r="R29" i="5"/>
  <c r="R52" i="5"/>
  <c r="R35" i="5"/>
  <c r="R51" i="5"/>
  <c r="R50" i="5"/>
  <c r="R45" i="5"/>
  <c r="R24" i="5"/>
  <c r="T16" i="5"/>
  <c r="R21" i="5"/>
  <c r="T48" i="5"/>
  <c r="R11" i="5"/>
  <c r="T41" i="5"/>
  <c r="R46" i="5"/>
  <c r="R28" i="5"/>
  <c r="R37" i="5"/>
  <c r="T31" i="5"/>
  <c r="R6" i="5"/>
  <c r="R15" i="5"/>
  <c r="R17" i="5"/>
  <c r="T11" i="5"/>
  <c r="T13" i="5"/>
  <c r="R22" i="5"/>
  <c r="R5" i="5"/>
  <c r="R13" i="5"/>
  <c r="T32" i="5"/>
  <c r="R39" i="5"/>
  <c r="R10" i="5"/>
  <c r="T30" i="5"/>
  <c r="R53" i="5"/>
  <c r="R4" i="5"/>
  <c r="T42" i="5"/>
  <c r="T9" i="5"/>
  <c r="R36" i="5"/>
  <c r="R25" i="5"/>
  <c r="R38" i="5"/>
  <c r="R48" i="5"/>
  <c r="R34" i="5"/>
  <c r="T12" i="5"/>
  <c r="T19" i="5"/>
  <c r="T17" i="5"/>
  <c r="T50" i="5"/>
  <c r="T28" i="5"/>
  <c r="T25" i="5"/>
  <c r="T22" i="5"/>
  <c r="T45" i="5"/>
  <c r="T4" i="5"/>
  <c r="T53" i="5"/>
  <c r="T39" i="5"/>
  <c r="T21" i="5"/>
  <c r="T23" i="5"/>
  <c r="T18" i="5"/>
  <c r="R16" i="5"/>
  <c r="R7" i="5"/>
  <c r="R30" i="5"/>
  <c r="R47" i="5"/>
  <c r="T34" i="5"/>
  <c r="R14" i="5"/>
  <c r="R44" i="5"/>
  <c r="R49" i="5"/>
  <c r="T10" i="5"/>
  <c r="T33" i="5"/>
  <c r="T14" i="5"/>
  <c r="T8" i="5"/>
  <c r="T7" i="5"/>
  <c r="R31" i="5"/>
  <c r="R27" i="5"/>
  <c r="T46" i="5"/>
  <c r="R42" i="5"/>
  <c r="T47" i="5"/>
  <c r="R19" i="5"/>
  <c r="R12" i="5"/>
  <c r="R8" i="5"/>
  <c r="T6" i="5"/>
  <c r="T44" i="5"/>
  <c r="T49" i="5"/>
  <c r="T5" i="5"/>
  <c r="R9" i="5"/>
  <c r="T15" i="5"/>
  <c r="T24" i="5"/>
  <c r="T37" i="5"/>
  <c r="T52" i="5"/>
  <c r="T36" i="5"/>
  <c r="T35" i="5"/>
  <c r="T20" i="5"/>
  <c r="T38" i="5"/>
  <c r="T27" i="5"/>
  <c r="T29" i="5"/>
  <c r="M48" i="2"/>
  <c r="O46" i="2"/>
  <c r="N46" i="2"/>
  <c r="J65" i="2"/>
  <c r="E64" i="2" s="1"/>
  <c r="E63" i="2"/>
  <c r="B378" i="9"/>
  <c r="C378" i="9" s="1"/>
  <c r="H378" i="9" s="1"/>
  <c r="B214" i="9"/>
  <c r="C214" i="9" s="1"/>
  <c r="H214" i="9" s="1"/>
  <c r="I64" i="2"/>
  <c r="H64" i="2" s="1"/>
  <c r="B64" i="2"/>
  <c r="B50" i="9"/>
  <c r="C50" i="9" s="1"/>
  <c r="H50" i="9" s="1"/>
  <c r="C45" i="2"/>
  <c r="B48" i="2"/>
  <c r="N11" i="19" s="1"/>
  <c r="L48" i="2"/>
  <c r="B364" i="9"/>
  <c r="C364" i="9" s="1"/>
  <c r="H364" i="9" s="1"/>
  <c r="B200" i="9"/>
  <c r="C200" i="9" s="1"/>
  <c r="H200" i="9" s="1"/>
  <c r="B36" i="9"/>
  <c r="C36" i="9" s="1"/>
  <c r="H36" i="9" s="1"/>
  <c r="J49" i="2"/>
  <c r="E48" i="2" s="1"/>
  <c r="I48" i="2"/>
  <c r="H48" i="2" s="1"/>
  <c r="E7" i="15"/>
  <c r="H47" i="2"/>
  <c r="H63" i="2"/>
  <c r="C62" i="2" s="1"/>
  <c r="D62" i="2"/>
  <c r="C61" i="2"/>
  <c r="C111" i="2"/>
  <c r="D6" i="15"/>
  <c r="E6" i="15"/>
  <c r="O27" i="2"/>
  <c r="C26" i="2"/>
  <c r="N27"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D7" i="15"/>
  <c r="G16" i="19"/>
  <c r="H23" i="19"/>
  <c r="F18" i="19"/>
  <c r="F19" i="19"/>
  <c r="P3" i="19"/>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P5" i="5" l="1"/>
  <c r="P6" i="5" s="1"/>
  <c r="P7" i="5" s="1"/>
  <c r="P8" i="5" s="1"/>
  <c r="P9" i="5" s="1"/>
  <c r="P10" i="5" s="1"/>
  <c r="P11" i="5" s="1"/>
  <c r="P12" i="5" s="1"/>
  <c r="P13" i="5" s="1"/>
  <c r="R4" i="6"/>
  <c r="O5" i="5"/>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G4" i="23"/>
  <c r="Q4" i="6"/>
  <c r="Q5" i="5"/>
  <c r="Q6" i="5" s="1"/>
  <c r="Q7" i="5" s="1"/>
  <c r="Q8" i="5" s="1"/>
  <c r="Q9" i="5" s="1"/>
  <c r="Q10" i="5" s="1"/>
  <c r="Q11" i="5" s="1"/>
  <c r="Q12" i="5" s="1"/>
  <c r="Q13" i="5" s="1"/>
  <c r="Q14" i="5" s="1"/>
  <c r="Q15" i="5" s="1"/>
  <c r="S4" i="6"/>
  <c r="I4" i="23"/>
  <c r="P11" i="19"/>
  <c r="N47" i="2"/>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O28" i="2"/>
  <c r="O29" i="2" s="1"/>
  <c r="O30" i="2" s="1"/>
  <c r="O31" i="2" s="1"/>
  <c r="O32" i="2" s="1"/>
  <c r="O33" i="2" s="1"/>
  <c r="O34" i="2" s="1"/>
  <c r="O35" i="2" s="1"/>
  <c r="O36" i="2" s="1"/>
  <c r="O37" i="2" s="1"/>
  <c r="H203" i="2"/>
  <c r="B332" i="9"/>
  <c r="C332" i="9" s="1"/>
  <c r="H332" i="9" s="1"/>
  <c r="B496" i="9"/>
  <c r="C496" i="9" s="1"/>
  <c r="H496" i="9" s="1"/>
  <c r="B168" i="9"/>
  <c r="C168" i="9" s="1"/>
  <c r="H168" i="9" s="1"/>
  <c r="I204" i="2"/>
  <c r="D203" i="2" s="1"/>
  <c r="J205" i="2"/>
  <c r="E204" i="2" s="1"/>
  <c r="B204" i="2"/>
  <c r="H97" i="2"/>
  <c r="B408" i="9"/>
  <c r="C408" i="9" s="1"/>
  <c r="H408" i="9" s="1"/>
  <c r="B244" i="9"/>
  <c r="C244" i="9" s="1"/>
  <c r="H244" i="9" s="1"/>
  <c r="B80" i="9"/>
  <c r="C80" i="9" s="1"/>
  <c r="H80" i="9" s="1"/>
  <c r="J99" i="2"/>
  <c r="E98" i="2" s="1"/>
  <c r="B98" i="2"/>
  <c r="I98" i="2"/>
  <c r="D97" i="2" s="1"/>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Q43" i="6" l="1"/>
  <c r="G40" i="23"/>
  <c r="G35" i="23"/>
  <c r="G31" i="23"/>
  <c r="Q10" i="6"/>
  <c r="G6" i="23"/>
  <c r="G23" i="23"/>
  <c r="Q13" i="6"/>
  <c r="G24" i="23"/>
  <c r="Q17" i="6"/>
  <c r="G22" i="23"/>
  <c r="Q39" i="6"/>
  <c r="G7" i="23"/>
  <c r="G42" i="23"/>
  <c r="G41" i="23"/>
  <c r="G28" i="23"/>
  <c r="Q24" i="6"/>
  <c r="G9" i="23"/>
  <c r="G5" i="23"/>
  <c r="Q14" i="6"/>
  <c r="Q9" i="6"/>
  <c r="Q41" i="6"/>
  <c r="Q11" i="6"/>
  <c r="Q8" i="6"/>
  <c r="Q28" i="6"/>
  <c r="G15" i="23"/>
  <c r="G45" i="23"/>
  <c r="Q51" i="6"/>
  <c r="Q45" i="6"/>
  <c r="G27" i="23"/>
  <c r="Q47" i="6"/>
  <c r="G19" i="23"/>
  <c r="Q15" i="6"/>
  <c r="G8" i="23"/>
  <c r="Q33" i="6"/>
  <c r="Q5" i="6"/>
  <c r="Q12" i="6"/>
  <c r="G17" i="23"/>
  <c r="G47" i="23"/>
  <c r="Q27" i="6"/>
  <c r="Q52" i="6"/>
  <c r="Q50" i="6"/>
  <c r="G51" i="23"/>
  <c r="G16" i="23"/>
  <c r="G11" i="23"/>
  <c r="G18" i="23"/>
  <c r="Q26" i="6"/>
  <c r="G39" i="23"/>
  <c r="G20" i="23"/>
  <c r="Q44" i="6"/>
  <c r="G10" i="23"/>
  <c r="G43" i="23"/>
  <c r="G30" i="23"/>
  <c r="G26" i="23"/>
  <c r="Q42" i="6"/>
  <c r="Q20" i="6"/>
  <c r="Q49" i="6"/>
  <c r="G46" i="23"/>
  <c r="G29" i="23"/>
  <c r="Q7" i="6"/>
  <c r="Q23" i="6"/>
  <c r="Q34" i="6"/>
  <c r="G37" i="23"/>
  <c r="Q37" i="6"/>
  <c r="G48" i="23"/>
  <c r="G33" i="23"/>
  <c r="G44" i="23"/>
  <c r="G21" i="23"/>
  <c r="G49" i="23"/>
  <c r="Q53" i="6"/>
  <c r="Q19" i="6"/>
  <c r="G36" i="23"/>
  <c r="Q30" i="6"/>
  <c r="G25" i="23"/>
  <c r="Q21" i="6"/>
  <c r="G13" i="23"/>
  <c r="Q38" i="6"/>
  <c r="Q22" i="6"/>
  <c r="Q29" i="6"/>
  <c r="G50" i="23"/>
  <c r="G12" i="23"/>
  <c r="Q40" i="6"/>
  <c r="Q16" i="6"/>
  <c r="Q35" i="6"/>
  <c r="Q18" i="6"/>
  <c r="G34" i="23"/>
  <c r="Q36" i="6"/>
  <c r="G32" i="23"/>
  <c r="G38" i="23"/>
  <c r="Q6" i="6"/>
  <c r="Q31" i="6"/>
  <c r="G52" i="23"/>
  <c r="Q46" i="6"/>
  <c r="G53" i="23"/>
  <c r="Q25" i="6"/>
  <c r="Q32" i="6"/>
  <c r="G14" i="23"/>
  <c r="D19" i="15"/>
  <c r="Q16" i="5"/>
  <c r="E19" i="15"/>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D48" i="2"/>
  <c r="H49" i="2"/>
  <c r="C113" i="2"/>
  <c r="C96" i="2"/>
  <c r="C166" i="2"/>
  <c r="C148" i="2"/>
  <c r="C202" i="2"/>
  <c r="P14" i="5"/>
  <c r="C131" i="2"/>
  <c r="H82" i="2"/>
  <c r="C81" i="2" s="1"/>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O13" i="19" l="1"/>
  <c r="Q17" i="5"/>
  <c r="O49" i="2"/>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P15" i="5"/>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Q18" i="5" l="1"/>
  <c r="D50" i="2"/>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D206" i="2" s="1"/>
  <c r="B207" i="2"/>
  <c r="H206" i="2"/>
  <c r="Q19" i="5" l="1"/>
  <c r="L119" i="2"/>
  <c r="C67" i="2"/>
  <c r="C66" i="2"/>
  <c r="D51" i="2"/>
  <c r="H52" i="2"/>
  <c r="N15" i="19"/>
  <c r="M15" i="19"/>
  <c r="O15" i="19"/>
  <c r="P15" i="19"/>
  <c r="E68" i="2"/>
  <c r="B383" i="9"/>
  <c r="C383" i="9" s="1"/>
  <c r="H383" i="9" s="1"/>
  <c r="I69" i="2"/>
  <c r="B219" i="9"/>
  <c r="C219" i="9" s="1"/>
  <c r="H219" i="9" s="1"/>
  <c r="E69" i="2"/>
  <c r="B69" i="2"/>
  <c r="O60" i="19" s="1"/>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M55" i="19" l="1"/>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Q21" i="5" l="1"/>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22" i="5" l="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208" i="2"/>
  <c r="S10" i="6" l="1"/>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<sst xmlns="http://schemas.openxmlformats.org/spreadsheetml/2006/main" count="5905" uniqueCount="1098">
  <si>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</si>
  <si>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</si>
  <si>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</si>
  <si>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</si>
  <si>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</si>
  <si>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</si>
  <si>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</si>
  <si>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</si>
  <si>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</si>
  <si>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</si>
  <si>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</si>
  <si>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</si>
  <si>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</si>
  <si>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</si>
  <si>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</si>
  <si>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</si>
  <si>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</si>
  <si>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</si>
  <si>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</si>
  <si>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</si>
  <si>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</si>
  <si>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</si>
  <si>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</si>
  <si>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</si>
  <si>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</si>
  <si>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</si>
  <si>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</si>
  <si>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</si>
  <si>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</si>
  <si>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</si>
  <si>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</si>
  <si>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</si>
  <si>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</si>
  <si>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</si>
  <si>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</si>
  <si>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</si>
  <si>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</si>
  <si>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</si>
  <si>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</si>
  <si>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</si>
  <si>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</si>
  <si>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</si>
  <si>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</si>
  <si>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</si>
  <si>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</si>
  <si>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</si>
  <si>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</si>
  <si>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</si>
  <si>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</si>
  <si>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</si>
  <si>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</si>
  <si>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</si>
  <si>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</si>
  <si>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</si>
  <si>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</si>
  <si>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</si>
  <si>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</si>
  <si>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</si>
  <si>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</si>
  <si>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</si>
  <si>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</si>
  <si>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</si>
  <si>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</si>
  <si>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</si>
  <si>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</si>
  <si>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</si>
  <si>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</si>
  <si>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</si>
  <si>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</si>
  <si>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</si>
  <si>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</si>
  <si>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</si>
  <si>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</si>
  <si>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</si>
  <si>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</si>
  <si>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</si>
  <si>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</si>
  <si>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</si>
  <si>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</si>
  <si>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</si>
  <si>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</si>
  <si>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</si>
  <si>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</si>
  <si>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</si>
  <si>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</si>
  <si>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</si>
  <si>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</si>
  <si>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</si>
  <si>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</si>
  <si>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</si>
  <si>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</si>
  <si>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</si>
  <si>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</si>
  <si>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</si>
  <si>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</si>
  <si>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</si>
  <si>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</si>
  <si>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</si>
  <si>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</si>
  <si>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</si>
  <si>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</si>
  <si>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</si>
  <si>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</si>
  <si>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</si>
  <si>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</si>
  <si>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</si>
  <si>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</si>
  <si>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</si>
  <si>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</si>
  <si>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</si>
  <si>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</si>
  <si>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</si>
  <si>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</si>
  <si>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</si>
  <si>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</si>
  <si>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</si>
  <si>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</si>
  <si>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</si>
  <si>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</si>
  <si>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</si>
  <si>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</si>
  <si>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</si>
  <si>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</si>
  <si>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</si>
  <si>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</si>
  <si>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</si>
  <si>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</si>
  <si>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</si>
  <si>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</si>
  <si>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</si>
  <si>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</si>
  <si>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</si>
  <si>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</si>
  <si>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</si>
  <si>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</si>
  <si>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</si>
  <si>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</si>
  <si>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</si>
  <si>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</si>
  <si>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</si>
  <si>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</si>
  <si>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</si>
  <si>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</si>
  <si>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</si>
  <si>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</si>
  <si>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</si>
  <si>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</si>
  <si>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</si>
  <si>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</si>
  <si>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</si>
  <si>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</si>
  <si>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</si>
  <si>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</si>
  <si>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</si>
  <si>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</si>
  <si>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</si>
  <si>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</si>
  <si>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</si>
  <si>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</si>
  <si>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</si>
  <si>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</si>
  <si>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</si>
  <si>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</si>
  <si>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</si>
  <si>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</si>
  <si>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</si>
  <si>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</si>
  <si>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</si>
  <si>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</si>
  <si>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</si>
  <si>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</si>
  <si>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</si>
  <si>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</si>
  <si>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</si>
  <si>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</si>
  <si>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</si>
  <si>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</si>
  <si>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</si>
  <si>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</si>
  <si>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</si>
  <si>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</si>
  <si>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</si>
  <si>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</si>
  <si>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</si>
  <si>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</si>
  <si>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</si>
  <si>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</si>
  <si>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</si>
  <si>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</si>
  <si>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</si>
  <si>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</si>
  <si>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</si>
  <si>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</si>
  <si>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</si>
  <si>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</si>
  <si>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</si>
  <si>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</si>
  <si>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</si>
  <si>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</si>
  <si>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</si>
  <si>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</si>
  <si>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</si>
  <si>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</si>
  <si>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</si>
  <si>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</si>
  <si>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</si>
  <si>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</si>
  <si>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</si>
  <si>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</si>
  <si>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</si>
  <si>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</si>
  <si>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</si>
  <si>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</si>
  <si>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</si>
  <si>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</si>
  <si>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</si>
  <si>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</si>
  <si>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</si>
  <si>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</si>
  <si>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</si>
  <si>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</si>
  <si>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</si>
  <si>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</si>
  <si>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</si>
  <si>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</si>
  <si>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</si>
  <si>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</si>
  <si>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</si>
  <si>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</si>
  <si>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</si>
  <si>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</si>
  <si>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</si>
  <si>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</si>
  <si>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</si>
  <si>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</si>
  <si>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</si>
  <si>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</si>
  <si>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</si>
  <si>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</si>
  <si>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</si>
  <si>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</si>
  <si>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</si>
  <si>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</si>
  <si>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</si>
  <si>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</si>
  <si>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</si>
  <si>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</si>
  <si>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</si>
  <si>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</si>
  <si>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</si>
  <si>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</si>
  <si>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</si>
  <si>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</si>
  <si>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</si>
  <si>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</si>
  <si>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</si>
  <si>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</si>
  <si>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</si>
  <si>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</si>
  <si>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</si>
  <si>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</si>
  <si>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</si>
  <si>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</si>
  <si>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</si>
  <si>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</si>
  <si>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</si>
  <si>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</si>
  <si>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</si>
  <si>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</si>
  <si>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</si>
  <si>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</si>
  <si>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</si>
  <si>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</si>
  <si>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</si>
  <si>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</si>
  <si>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</si>
  <si>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</si>
  <si>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</si>
  <si>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</si>
  <si>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</si>
  <si>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</si>
  <si>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</si>
  <si>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</si>
  <si>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</si>
  <si>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</si>
  <si>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</si>
  <si>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</si>
  <si>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</si>
  <si>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</si>
  <si>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</si>
  <si>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</si>
  <si>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</si>
  <si>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</si>
  <si>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</si>
  <si>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</si>
  <si>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</si>
  <si>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</si>
  <si>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</si>
  <si>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</si>
  <si>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</si>
  <si>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</si>
  <si>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</si>
  <si>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</si>
  <si>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</si>
  <si>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</si>
  <si>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</si>
  <si>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</si>
  <si>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</si>
  <si>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</si>
  <si>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</si>
  <si>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</si>
  <si>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</si>
  <si>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</si>
  <si>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</si>
  <si>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</si>
  <si>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</si>
  <si>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</si>
  <si>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</si>
  <si>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</si>
  <si>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</si>
  <si>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</si>
  <si>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</si>
  <si>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</si>
  <si>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</si>
  <si>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</si>
  <si>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</si>
  <si>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</si>
  <si>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</si>
  <si>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</si>
  <si>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</si>
  <si>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</si>
  <si>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</si>
  <si>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</si>
  <si>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</si>
  <si>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</si>
  <si>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</si>
  <si>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</si>
  <si>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</si>
  <si>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</si>
  <si>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</si>
  <si>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</si>
  <si>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</si>
  <si>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</si>
  <si>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</si>
  <si>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</si>
  <si>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</si>
  <si>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</si>
  <si>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</si>
  <si>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</si>
  <si>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</si>
  <si>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</si>
  <si>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</si>
  <si>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</si>
  <si>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</si>
  <si>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</si>
  <si>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</si>
  <si>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</si>
  <si>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</si>
  <si>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</si>
  <si>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</si>
  <si>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</si>
  <si>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</si>
  <si>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</si>
  <si>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</si>
  <si>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</si>
  <si>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</si>
  <si>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</si>
  <si>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</si>
  <si>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</si>
  <si>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</si>
  <si>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</si>
  <si>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</si>
  <si>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</si>
  <si>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</si>
  <si>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</si>
  <si>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</si>
  <si>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</si>
  <si>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</si>
  <si>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</si>
  <si>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</si>
  <si>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</si>
  <si>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</si>
  <si>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</si>
  <si>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</si>
  <si>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</si>
  <si>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</si>
  <si>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</si>
  <si>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</si>
  <si>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</si>
  <si>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</si>
  <si>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</si>
  <si>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</si>
  <si>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</si>
  <si>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</si>
  <si>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</si>
  <si>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</si>
  <si>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</si>
  <si>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</si>
  <si>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</si>
  <si>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</si>
  <si>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</si>
  <si>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</si>
  <si>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</si>
  <si>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</si>
  <si>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</si>
  <si>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</si>
  <si>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</si>
  <si>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</si>
  <si>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</si>
  <si>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</si>
  <si>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</si>
  <si>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</si>
  <si>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</si>
  <si>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</si>
  <si>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</si>
  <si>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</si>
  <si>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</si>
  <si>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</si>
  <si>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</si>
  <si>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</si>
  <si>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</si>
  <si>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</si>
  <si>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</si>
  <si>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</si>
  <si>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</si>
  <si>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</si>
  <si>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</si>
  <si>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</si>
  <si>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</si>
  <si>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</si>
  <si>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</si>
  <si>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</si>
  <si>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</si>
  <si>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</si>
  <si>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</si>
  <si>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</si>
  <si>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</si>
  <si>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</si>
  <si>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</si>
  <si>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</si>
  <si>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</si>
  <si>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</si>
  <si>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</si>
  <si>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</si>
  <si>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</si>
  <si>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</si>
  <si>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</si>
  <si>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</si>
  <si>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</si>
  <si>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</si>
  <si>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</si>
  <si>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</si>
  <si>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</si>
  <si>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</si>
  <si>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</si>
  <si>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</si>
  <si>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</si>
  <si>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</si>
  <si>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</si>
  <si>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</si>
  <si>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</si>
  <si>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</si>
  <si>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</si>
  <si>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</si>
  <si>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</si>
  <si>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</si>
  <si>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</si>
  <si>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</si>
  <si>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</si>
  <si>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</si>
  <si>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</si>
  <si>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</si>
  <si>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</si>
  <si>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</si>
  <si>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</si>
  <si>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</si>
  <si>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</si>
  <si>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</si>
  <si>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</si>
  <si>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</si>
  <si>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</si>
  <si>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</si>
  <si>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</si>
  <si>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</si>
  <si>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</si>
  <si>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</si>
  <si>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</si>
  <si>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</si>
  <si>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</si>
  <si>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</si>
  <si>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</si>
  <si>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</si>
  <si>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</si>
  <si>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</si>
  <si>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</si>
  <si>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</si>
  <si>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</si>
  <si>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</si>
  <si>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</si>
  <si>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</si>
  <si>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</si>
  <si>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</si>
  <si>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</si>
  <si>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</si>
  <si>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</si>
  <si>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</si>
  <si>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</si>
  <si>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</si>
  <si>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</si>
  <si>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</si>
  <si>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</si>
  <si>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</si>
  <si>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</si>
  <si>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</si>
  <si>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</si>
  <si>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</si>
  <si>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</si>
  <si>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</si>
  <si>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</si>
  <si>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</si>
  <si>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</si>
  <si>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</si>
  <si>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</si>
  <si>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</si>
  <si>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</si>
  <si>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</si>
  <si>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</si>
  <si>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</si>
  <si>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</si>
  <si>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</si>
  <si>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</si>
  <si>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</si>
  <si>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</si>
  <si>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</si>
  <si>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</si>
  <si>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</si>
  <si>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</si>
  <si>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</si>
  <si>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</si>
  <si>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</si>
  <si>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</si>
  <si>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</si>
  <si>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</si>
  <si>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</si>
  <si>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</si>
  <si>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</si>
  <si>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</si>
  <si>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</si>
  <si>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</si>
  <si>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</si>
  <si>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</si>
  <si>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</si>
  <si>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</si>
  <si>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</si>
  <si>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</si>
  <si>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</si>
  <si>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</si>
  <si>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</si>
  <si>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</si>
  <si>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</si>
  <si>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</si>
  <si>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</si>
  <si>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</si>
  <si>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</si>
  <si>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</si>
  <si>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</si>
  <si>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</si>
  <si>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</si>
  <si>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</si>
  <si>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</si>
  <si>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</si>
  <si>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</si>
  <si>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</si>
  <si>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</si>
  <si>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</si>
  <si>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</si>
  <si>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</si>
  <si>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</si>
  <si>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</si>
  <si>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</si>
  <si>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</si>
  <si>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</si>
  <si>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</si>
  <si>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</si>
  <si>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</si>
  <si>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</si>
  <si>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</si>
  <si>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</si>
  <si>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</si>
  <si>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</si>
  <si>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</si>
  <si>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</si>
  <si>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</si>
  <si>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</si>
  <si>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</si>
  <si>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</si>
  <si>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</si>
  <si>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</si>
  <si>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</si>
  <si>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</si>
  <si>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</si>
  <si>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</si>
  <si>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</si>
  <si>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</si>
  <si>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</si>
  <si>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</si>
  <si>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</si>
  <si>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</si>
  <si>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</si>
  <si>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</si>
  <si>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</si>
  <si>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</si>
  <si>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</si>
  <si>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</si>
  <si>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</si>
  <si>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</si>
  <si>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</si>
  <si>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</si>
  <si>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</si>
  <si>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</si>
  <si>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</si>
  <si>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</si>
  <si>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</si>
  <si>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</si>
  <si>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</si>
  <si>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</si>
  <si>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</si>
  <si>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</si>
  <si>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</si>
  <si>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</si>
  <si>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</si>
  <si>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</si>
  <si>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</si>
  <si>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</si>
  <si>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</si>
  <si>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</si>
  <si>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</si>
  <si>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</si>
  <si>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</si>
  <si>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</si>
  <si>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</si>
  <si>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</si>
  <si>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</si>
  <si>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</si>
  <si>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</si>
  <si>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</si>
  <si>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</si>
  <si>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</si>
  <si>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</si>
  <si>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</si>
  <si>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</si>
  <si>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</si>
  <si>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</si>
  <si>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</si>
  <si>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</si>
  <si>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</si>
  <si>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</si>
  <si>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</si>
  <si>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</si>
  <si>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</si>
  <si>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</si>
  <si>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</si>
  <si>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</si>
  <si>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</si>
  <si>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</si>
  <si>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</si>
  <si>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</si>
  <si>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</si>
  <si>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</si>
  <si>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</si>
  <si>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</si>
  <si>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</si>
  <si>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</si>
  <si>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</si>
  <si>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</si>
  <si>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</si>
  <si>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</si>
  <si>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</si>
  <si>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</si>
  <si>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</si>
  <si>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</si>
  <si>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</si>
  <si>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</si>
  <si>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</si>
  <si>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</si>
  <si>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</si>
  <si>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</si>
  <si>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</si>
  <si>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</si>
  <si>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</si>
  <si>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</si>
  <si>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</si>
  <si>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</si>
  <si>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</si>
  <si>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</si>
  <si>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</si>
  <si>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</si>
  <si>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</si>
  <si>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</si>
  <si>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</si>
  <si>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</si>
  <si>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</si>
  <si>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</si>
  <si>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</si>
  <si>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</si>
  <si>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</si>
  <si>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</si>
  <si>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</si>
  <si>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</si>
  <si>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</si>
  <si>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</si>
  <si>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</si>
  <si>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</si>
  <si>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</si>
  <si>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</si>
  <si>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</si>
  <si>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</si>
  <si>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</si>
  <si>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</si>
  <si>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</si>
  <si>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</si>
  <si>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</si>
  <si>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</si>
  <si>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</si>
  <si>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</si>
  <si>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</si>
  <si>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</si>
  <si>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</si>
  <si>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</si>
  <si>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</si>
  <si>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</si>
  <si>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</si>
  <si>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</si>
  <si>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</si>
  <si>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</si>
  <si>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</si>
  <si>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</si>
  <si>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</si>
  <si>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</si>
  <si>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</si>
  <si>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</si>
  <si>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</si>
  <si>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</si>
  <si>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</si>
  <si>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</si>
  <si>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</si>
  <si>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</si>
  <si>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</si>
  <si>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</si>
  <si>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</si>
  <si>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</si>
  <si>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</si>
  <si>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</si>
  <si>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</si>
  <si>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</si>
  <si>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</si>
  <si>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</si>
  <si>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</si>
  <si>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</si>
  <si>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</si>
  <si>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</si>
  <si>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</si>
  <si>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</si>
  <si>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</si>
  <si>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</si>
  <si>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</si>
  <si>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</si>
  <si>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</si>
  <si>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</si>
  <si>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</si>
  <si>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</si>
  <si>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</si>
  <si>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</si>
  <si>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</si>
  <si>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</si>
  <si>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</si>
  <si>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</si>
  <si>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</si>
  <si>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</si>
  <si>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</si>
  <si>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</si>
  <si>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</si>
  <si>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</si>
  <si>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</si>
  <si>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</si>
  <si>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</si>
  <si>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</si>
  <si>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</si>
  <si>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</si>
  <si>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</si>
  <si>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</si>
  <si>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</si>
  <si>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</si>
  <si>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</si>
  <si>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</si>
  <si>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</si>
  <si>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</si>
  <si>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</si>
  <si>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</si>
  <si>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</si>
  <si>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</si>
  <si>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</si>
  <si>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</si>
  <si>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</si>
  <si>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</si>
  <si>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</si>
  <si>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</si>
  <si>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</si>
  <si>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</si>
  <si>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</si>
  <si>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</si>
  <si>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</si>
  <si>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</si>
  <si>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</si>
  <si>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</si>
  <si>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</si>
  <si>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</si>
  <si>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</si>
  <si>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</si>
  <si>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</si>
  <si>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</si>
  <si>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</si>
  <si>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</si>
  <si>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</si>
  <si>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</si>
  <si>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</si>
  <si>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</si>
  <si>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</si>
  <si>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</si>
  <si>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</si>
  <si>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</si>
  <si>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</si>
  <si>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</si>
  <si>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</si>
  <si>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</si>
  <si>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</si>
  <si>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</si>
  <si>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</si>
  <si>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</si>
  <si>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</si>
  <si>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</si>
  <si>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</si>
  <si>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</si>
  <si>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</si>
  <si>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</si>
  <si>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</si>
  <si>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</si>
  <si>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</si>
  <si>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</si>
  <si>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</si>
  <si>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</si>
  <si>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</si>
  <si>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</si>
  <si>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</si>
  <si>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</si>
  <si>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</si>
  <si>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</si>
  <si>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</si>
  <si>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</si>
  <si>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</si>
  <si>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</si>
  <si>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</si>
  <si>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</si>
  <si>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</si>
  <si>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</si>
  <si>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</si>
  <si>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</si>
  <si>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</si>
  <si>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</si>
  <si>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</si>
  <si>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</si>
  <si>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</si>
  <si>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</si>
  <si>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</si>
  <si>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</si>
  <si>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</si>
  <si>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</si>
  <si>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</si>
  <si>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</si>
  <si>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</si>
  <si>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</si>
  <si>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</si>
  <si>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</si>
  <si>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</si>
  <si>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</si>
  <si>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</si>
  <si>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</si>
  <si>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</si>
  <si>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</si>
  <si>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</si>
  <si>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</si>
  <si>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</si>
  <si>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</si>
  <si>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</si>
  <si>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</si>
  <si>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</si>
  <si>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</si>
  <si>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</si>
  <si>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</si>
  <si>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</si>
  <si>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</si>
  <si>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</si>
  <si>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</si>
  <si>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</si>
  <si>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</si>
  <si>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</si>
  <si>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</si>
  <si>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</si>
  <si>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</si>
  <si>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</si>
  <si>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</si>
  <si>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</si>
  <si>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</si>
  <si>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</si>
  <si>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</si>
  <si>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</si>
  <si>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</si>
  <si>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</si>
  <si>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</si>
  <si>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</si>
  <si>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</si>
  <si>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</si>
  <si>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</si>
  <si>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</si>
  <si>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</si>
  <si>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</si>
  <si>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</si>
  <si>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</si>
  <si>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</si>
  <si>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</si>
  <si>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</si>
  <si>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</si>
  <si>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</si>
  <si>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</si>
  <si>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</si>
  <si>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</si>
  <si>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</si>
  <si>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</si>
  <si>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</si>
  <si>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</si>
  <si>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</si>
  <si>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</si>
  <si>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</si>
  <si>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</si>
  <si>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</si>
  <si>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</si>
  <si>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</si>
  <si>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</si>
  <si>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</si>
  <si>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</si>
  <si>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</si>
  <si>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</si>
  <si>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</si>
  <si>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</si>
  <si>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</si>
  <si>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</si>
  <si>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</si>
  <si>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</si>
  <si>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</si>
  <si>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</si>
  <si>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 xml:space="preserve">IF an Evidence Based Program was delivered, was that program completed? </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</si>
  <si>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</si>
  <si>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</si>
  <si>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</si>
  <si>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</si>
  <si>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</si>
  <si>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</si>
  <si>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</si>
  <si>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</si>
  <si>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</si>
  <si>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</si>
  <si>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Client successfully copmleted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</si>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</sst>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1">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30" fillId="10" borderId="0" xfId="0" applyFont="1" applyFill="1" applyAlignment="1">
      <alignment horizontal="right"/>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49" fontId="27" fillId="0" borderId="0" xfId="0" quotePrefix="1" applyNumberFormat="1" applyFont="1" applyBorder="1" applyAlignment="1" applyProtection="1">
      <alignment vertical="center"/>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27" fillId="0" borderId="0" xfId="0" applyFont="1" applyAlignment="1" applyProtection="1">
      <alignment wrapText="1"/>
      <protection locked="0"/>
    </xf>
    <xf numFmtId="0" fontId="30" fillId="16" borderId="0" xfId="0" applyFont="1" applyFill="1" applyAlignment="1" applyProtection="1">
      <alignment wrapText="1"/>
    </xf>
    <xf numFmtId="0" fontId="30" fillId="17" borderId="0" xfId="0" applyFont="1" applyFill="1" applyAlignment="1" applyProtection="1">
      <alignment wrapText="1"/>
    </xf>
    <xf numFmtId="0" fontId="34" fillId="15" borderId="0" xfId="0" applyFont="1" applyFill="1" applyAlignment="1" applyProtection="1">
      <alignment wrapText="1"/>
    </xf>
    <xf numFmtId="0" fontId="27" fillId="0" borderId="0" xfId="0" applyFont="1" applyFill="1" applyAlignment="1" applyProtection="1">
      <alignment wrapText="1"/>
      <protection locked="0"/>
    </xf>
    <xf numFmtId="0" fontId="27" fillId="0" borderId="0" xfId="0" applyFont="1" applyFill="1" applyAlignment="1" applyProtection="1">
      <alignment vertical="center" wrapText="1"/>
    </xf>
    <xf numFmtId="0" fontId="30" fillId="16" borderId="0" xfId="0" applyFont="1" applyFill="1" applyAlignment="1">
      <alignment wrapText="1"/>
    </xf>
    <xf numFmtId="0" fontId="27" fillId="0" borderId="0" xfId="0" applyFont="1" applyFill="1" applyAlignment="1">
      <alignment vertical="center" wrapText="1"/>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74101600"/>
        <c:axId val="374102160"/>
      </c:barChart>
      <c:catAx>
        <c:axId val="37410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102160"/>
        <c:crosses val="autoZero"/>
        <c:auto val="1"/>
        <c:lblAlgn val="ctr"/>
        <c:lblOffset val="100"/>
        <c:noMultiLvlLbl val="0"/>
      </c:catAx>
      <c:valAx>
        <c:axId val="3741021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1016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74106080"/>
        <c:axId val="374106640"/>
      </c:barChart>
      <c:catAx>
        <c:axId val="37410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106640"/>
        <c:crosses val="autoZero"/>
        <c:auto val="1"/>
        <c:lblAlgn val="ctr"/>
        <c:lblOffset val="100"/>
        <c:noMultiLvlLbl val="0"/>
      </c:catAx>
      <c:valAx>
        <c:axId val="3741066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1060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79098304"/>
        <c:axId val="379098864"/>
      </c:barChart>
      <c:catAx>
        <c:axId val="37909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098864"/>
        <c:crosses val="autoZero"/>
        <c:auto val="1"/>
        <c:lblAlgn val="ctr"/>
        <c:lblOffset val="100"/>
        <c:noMultiLvlLbl val="0"/>
      </c:catAx>
      <c:valAx>
        <c:axId val="3790988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09830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79102784"/>
        <c:axId val="379103344"/>
      </c:barChart>
      <c:catAx>
        <c:axId val="37910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03344"/>
        <c:crosses val="autoZero"/>
        <c:auto val="1"/>
        <c:lblAlgn val="ctr"/>
        <c:lblOffset val="100"/>
        <c:noMultiLvlLbl val="0"/>
      </c:catAx>
      <c:valAx>
        <c:axId val="3791033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0278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79107264"/>
        <c:axId val="379107824"/>
      </c:barChart>
      <c:catAx>
        <c:axId val="37910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07824"/>
        <c:crosses val="autoZero"/>
        <c:auto val="1"/>
        <c:lblAlgn val="ctr"/>
        <c:lblOffset val="100"/>
        <c:noMultiLvlLbl val="0"/>
      </c:catAx>
      <c:valAx>
        <c:axId val="3791078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072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79111744"/>
        <c:axId val="379112304"/>
      </c:barChart>
      <c:catAx>
        <c:axId val="379111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12304"/>
        <c:crosses val="autoZero"/>
        <c:auto val="1"/>
        <c:lblAlgn val="ctr"/>
        <c:lblOffset val="100"/>
        <c:noMultiLvlLbl val="0"/>
      </c:catAx>
      <c:valAx>
        <c:axId val="3791123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1174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1759152"/>
        <c:axId val="381759712"/>
      </c:barChart>
      <c:catAx>
        <c:axId val="3817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1759712"/>
        <c:crosses val="autoZero"/>
        <c:auto val="1"/>
        <c:lblAlgn val="ctr"/>
        <c:lblOffset val="100"/>
        <c:noMultiLvlLbl val="0"/>
      </c:catAx>
      <c:valAx>
        <c:axId val="3817597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75915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1763632"/>
        <c:axId val="381764192"/>
      </c:barChart>
      <c:catAx>
        <c:axId val="38176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1764192"/>
        <c:crosses val="autoZero"/>
        <c:auto val="1"/>
        <c:lblAlgn val="ctr"/>
        <c:lblOffset val="100"/>
        <c:noMultiLvlLbl val="0"/>
      </c:catAx>
      <c:valAx>
        <c:axId val="3817641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76363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1743872"/>
        <c:axId val="381744432"/>
      </c:barChart>
      <c:catAx>
        <c:axId val="38174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1744432"/>
        <c:crosses val="autoZero"/>
        <c:auto val="1"/>
        <c:lblAlgn val="ctr"/>
        <c:lblOffset val="100"/>
        <c:noMultiLvlLbl val="0"/>
      </c:catAx>
      <c:valAx>
        <c:axId val="3817444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74387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2351920"/>
        <c:axId val="382352480"/>
      </c:barChart>
      <c:catAx>
        <c:axId val="38235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2352480"/>
        <c:crosses val="autoZero"/>
        <c:auto val="1"/>
        <c:lblAlgn val="ctr"/>
        <c:lblOffset val="100"/>
        <c:noMultiLvlLbl val="0"/>
      </c:catAx>
      <c:valAx>
        <c:axId val="3823524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3519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2356400"/>
        <c:axId val="382356960"/>
      </c:barChart>
      <c:catAx>
        <c:axId val="38235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2356960"/>
        <c:crosses val="autoZero"/>
        <c:auto val="1"/>
        <c:lblAlgn val="ctr"/>
        <c:lblOffset val="100"/>
        <c:noMultiLvlLbl val="0"/>
      </c:catAx>
      <c:valAx>
        <c:axId val="3823569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3564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2360880"/>
        <c:axId val="382361440"/>
      </c:barChart>
      <c:catAx>
        <c:axId val="38236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2361440"/>
        <c:crosses val="autoZero"/>
        <c:auto val="1"/>
        <c:lblAlgn val="ctr"/>
        <c:lblOffset val="100"/>
        <c:noMultiLvlLbl val="0"/>
      </c:catAx>
      <c:valAx>
        <c:axId val="3823614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3608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80438</xdr:colOff>
      <xdr:row>0</xdr:row>
      <xdr:rowOff>180975</xdr:rowOff>
    </xdr:from>
    <xdr:to>
      <xdr:col>8</xdr:col>
      <xdr:colOff>337613</xdr:colOff>
      <xdr:row>16</xdr:row>
      <xdr:rowOff>4310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8</xdr:col>
      <xdr:colOff>299513</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246445</xdr:colOff>
      <xdr:row>0</xdr:row>
      <xdr:rowOff>180975</xdr:rowOff>
    </xdr:from>
    <xdr:to>
      <xdr:col>17</xdr:col>
      <xdr:colOff>503620</xdr:colOff>
      <xdr:row>16</xdr:row>
      <xdr:rowOff>4309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246445</xdr:colOff>
      <xdr:row>18</xdr:row>
      <xdr:rowOff>0</xdr:rowOff>
    </xdr:from>
    <xdr:to>
      <xdr:col>17</xdr:col>
      <xdr:colOff>503620</xdr:colOff>
      <xdr:row>33</xdr:row>
      <xdr:rowOff>4762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114397</xdr:colOff>
      <xdr:row>0</xdr:row>
      <xdr:rowOff>103443</xdr:rowOff>
    </xdr:from>
    <xdr:to>
      <xdr:col>8</xdr:col>
      <xdr:colOff>371572</xdr:colOff>
      <xdr:row>15</xdr:row>
      <xdr:rowOff>115063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8</xdr:col>
      <xdr:colOff>333472</xdr:colOff>
      <xdr:row>32</xdr:row>
      <xdr:rowOff>172440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64976</xdr:colOff>
      <xdr:row>0</xdr:row>
      <xdr:rowOff>103443</xdr:rowOff>
    </xdr:from>
    <xdr:to>
      <xdr:col>17</xdr:col>
      <xdr:colOff>317918</xdr:colOff>
      <xdr:row>15</xdr:row>
      <xdr:rowOff>115062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45926</xdr:colOff>
      <xdr:row>17</xdr:row>
      <xdr:rowOff>167677</xdr:rowOff>
    </xdr:from>
    <xdr:to>
      <xdr:col>17</xdr:col>
      <xdr:colOff>298868</xdr:colOff>
      <xdr:row>32</xdr:row>
      <xdr:rowOff>172439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26</xdr:col>
      <xdr:colOff>357839</xdr:colOff>
      <xdr:row>15</xdr:row>
      <xdr:rowOff>108206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100221</xdr:colOff>
      <xdr:row>17</xdr:row>
      <xdr:rowOff>167677</xdr:rowOff>
    </xdr:from>
    <xdr:to>
      <xdr:col>26</xdr:col>
      <xdr:colOff>353606</xdr:colOff>
      <xdr:row>32</xdr:row>
      <xdr:rowOff>172439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7" hidden="1" customWidth="1"/>
    <col min="36" max="39" width="9.140625" customWidth="1"/>
  </cols>
  <sheetData>
    <row r="1" spans="1:36" ht="21" customHeight="1" x14ac:dyDescent="0.25">
      <c r="A1" s="66"/>
      <c r="B1" s="271" t="s">
        <v>313</v>
      </c>
      <c r="C1" s="271"/>
      <c r="D1" s="271"/>
      <c r="E1" s="271"/>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9" t="s">
        <v>321</v>
      </c>
      <c r="C14" s="260"/>
      <c r="D14" s="260"/>
      <c r="E14" s="261"/>
      <c r="F14" s="69"/>
      <c r="G14" s="68"/>
      <c r="H14" s="218"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2"/>
      <c r="C15" s="263"/>
      <c r="D15" s="263"/>
      <c r="E15" s="264"/>
      <c r="F15" s="69"/>
      <c r="G15" s="68"/>
      <c r="H15" s="218">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5" t="s">
        <v>322</v>
      </c>
      <c r="C16" s="266"/>
      <c r="D16" s="266"/>
      <c r="E16" s="267"/>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8"/>
      <c r="C17" s="269"/>
      <c r="D17" s="269"/>
      <c r="E17" s="270"/>
      <c r="F17" s="69"/>
      <c r="G17" s="68"/>
      <c r="H17" s="218">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9"/>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4" t="s">
        <v>299</v>
      </c>
      <c r="AD3" s="274"/>
      <c r="AE3" s="274"/>
      <c r="AF3" s="274"/>
      <c r="AG3" s="274"/>
      <c r="AH3" s="274"/>
      <c r="AI3" s="274"/>
      <c r="AJ3" s="274"/>
      <c r="AK3" s="274"/>
      <c r="AL3" s="274"/>
      <c r="AM3" s="274"/>
      <c r="AN3" s="274"/>
      <c r="AO3" s="274"/>
      <c r="AP3" s="274"/>
      <c r="AQ3" s="274"/>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3" t="s">
        <v>300</v>
      </c>
      <c r="AD5" s="273"/>
      <c r="AE5" s="273"/>
      <c r="AF5" s="273"/>
      <c r="AG5" s="273"/>
      <c r="AH5" s="273"/>
      <c r="AI5" s="273"/>
      <c r="AJ5" s="273"/>
      <c r="AK5" s="273"/>
      <c r="AL5" s="273"/>
      <c r="AM5" s="273"/>
      <c r="AN5" s="273"/>
      <c r="AO5" s="273"/>
      <c r="AP5" s="273"/>
      <c r="AQ5" s="273"/>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2" t="s">
        <v>848</v>
      </c>
      <c r="AD6" s="272"/>
      <c r="AE6" s="272"/>
      <c r="AF6" s="272"/>
      <c r="AG6" s="272"/>
      <c r="AH6" s="272"/>
      <c r="AI6" s="272"/>
      <c r="AJ6" s="272"/>
      <c r="AK6" s="272"/>
      <c r="AL6" s="272"/>
      <c r="AM6" s="272"/>
      <c r="AN6" s="272"/>
      <c r="AO6" s="272"/>
      <c r="AP6" s="272"/>
      <c r="AQ6" s="272"/>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2" t="s">
        <v>849</v>
      </c>
      <c r="AD7" s="272"/>
      <c r="AE7" s="272"/>
      <c r="AF7" s="272"/>
      <c r="AG7" s="272"/>
      <c r="AH7" s="272"/>
      <c r="AI7" s="272"/>
      <c r="AJ7" s="272"/>
      <c r="AK7" s="272"/>
      <c r="AL7" s="272"/>
      <c r="AM7" s="272"/>
      <c r="AN7" s="272"/>
      <c r="AO7" s="272"/>
      <c r="AP7" s="272"/>
      <c r="AQ7" s="272"/>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2" t="s">
        <v>850</v>
      </c>
      <c r="AD8" s="272"/>
      <c r="AE8" s="272"/>
      <c r="AF8" s="272"/>
      <c r="AG8" s="272"/>
      <c r="AH8" s="272"/>
      <c r="AI8" s="272"/>
      <c r="AJ8" s="272"/>
      <c r="AK8" s="272"/>
      <c r="AL8" s="272"/>
      <c r="AM8" s="272"/>
      <c r="AN8" s="272"/>
      <c r="AO8" s="272"/>
      <c r="AP8" s="272"/>
      <c r="AQ8" s="272"/>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2" t="s">
        <v>851</v>
      </c>
      <c r="AD9" s="272"/>
      <c r="AE9" s="272"/>
      <c r="AF9" s="272"/>
      <c r="AG9" s="272"/>
      <c r="AH9" s="272"/>
      <c r="AI9" s="272"/>
      <c r="AJ9" s="272"/>
      <c r="AK9" s="272"/>
      <c r="AL9" s="272"/>
      <c r="AM9" s="272"/>
      <c r="AN9" s="272"/>
      <c r="AO9" s="272"/>
      <c r="AP9" s="272"/>
      <c r="AQ9" s="272"/>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2" t="s">
        <v>852</v>
      </c>
      <c r="AD10" s="272"/>
      <c r="AE10" s="272"/>
      <c r="AF10" s="272"/>
      <c r="AG10" s="272"/>
      <c r="AH10" s="272"/>
      <c r="AI10" s="272"/>
      <c r="AJ10" s="272"/>
      <c r="AK10" s="272"/>
      <c r="AL10" s="272"/>
      <c r="AM10" s="272"/>
      <c r="AN10" s="272"/>
      <c r="AO10" s="272"/>
      <c r="AP10" s="272"/>
      <c r="AQ10" s="272"/>
      <c r="AR10" s="7"/>
    </row>
    <row r="11" spans="1:44" x14ac:dyDescent="0.25">
      <c r="A11" s="39"/>
      <c r="L11" s="36" t="s">
        <v>148</v>
      </c>
      <c r="M11" s="38" t="str">
        <f>IF(dateAssess3&lt;&gt;"",dateAssess3,IF(dateAssess2&lt;&gt;"",dateAssess2,IF(dateAssess1&lt;&gt;"",dateAssess1,"")))</f>
        <v/>
      </c>
      <c r="T11" s="38"/>
      <c r="AC11" s="272" t="s">
        <v>853</v>
      </c>
      <c r="AD11" s="272"/>
      <c r="AE11" s="272"/>
      <c r="AF11" s="272"/>
      <c r="AG11" s="272"/>
      <c r="AH11" s="272"/>
      <c r="AI11" s="272"/>
      <c r="AJ11" s="272"/>
      <c r="AK11" s="272"/>
      <c r="AL11" s="272"/>
      <c r="AM11" s="272"/>
      <c r="AN11" s="272"/>
      <c r="AO11" s="272"/>
      <c r="AP11" s="272"/>
      <c r="AQ11" s="272"/>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6" t="s">
        <v>692</v>
      </c>
      <c r="C14" s="206" t="s">
        <v>856</v>
      </c>
      <c r="D14" s="206" t="s">
        <v>162</v>
      </c>
      <c r="E14" s="206" t="s">
        <v>51</v>
      </c>
      <c r="F14" s="207" t="s">
        <v>54</v>
      </c>
      <c r="G14" s="206" t="s">
        <v>164</v>
      </c>
      <c r="H14" s="206" t="s">
        <v>682</v>
      </c>
      <c r="I14" s="206" t="s">
        <v>162</v>
      </c>
      <c r="J14" s="206" t="s">
        <v>51</v>
      </c>
      <c r="K14" s="208" t="s">
        <v>53</v>
      </c>
      <c r="L14" s="209" t="s">
        <v>854</v>
      </c>
      <c r="M14" s="208" t="s">
        <v>261</v>
      </c>
      <c r="N14" s="208" t="s">
        <v>679</v>
      </c>
      <c r="O14" s="208" t="s">
        <v>680</v>
      </c>
      <c r="P14" s="210" t="s">
        <v>933</v>
      </c>
      <c r="Q14" s="211" t="s">
        <v>932</v>
      </c>
      <c r="R14" s="208" t="s">
        <v>147</v>
      </c>
      <c r="S14" s="211" t="s">
        <v>145</v>
      </c>
      <c r="T14" s="211" t="s">
        <v>676</v>
      </c>
      <c r="U14" s="211" t="s">
        <v>931</v>
      </c>
      <c r="V14" s="211" t="s">
        <v>677</v>
      </c>
      <c r="W14" s="211" t="s">
        <v>930</v>
      </c>
      <c r="X14" s="209" t="s">
        <v>260</v>
      </c>
      <c r="Y14" s="208" t="s">
        <v>671</v>
      </c>
      <c r="Z14" s="208" t="s">
        <v>672</v>
      </c>
      <c r="AA14" s="209" t="s">
        <v>52</v>
      </c>
      <c r="AB14" s="212"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4"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5" t="s">
        <v>263</v>
      </c>
      <c r="AD19" s="54"/>
      <c r="AE19" s="54"/>
      <c r="AF19" s="112"/>
      <c r="AG19" s="201"/>
      <c r="AH19" s="113"/>
      <c r="AI19" s="114"/>
      <c r="AJ19" s="112"/>
      <c r="AK19" s="201"/>
      <c r="AL19" s="113"/>
      <c r="AM19" s="114"/>
      <c r="AN19" s="112"/>
      <c r="AO19" s="201"/>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6" t="s">
        <v>264</v>
      </c>
      <c r="AD20" s="87"/>
      <c r="AE20" s="87"/>
      <c r="AF20" s="115"/>
      <c r="AG20" s="202"/>
      <c r="AH20" s="122"/>
      <c r="AI20" s="123"/>
      <c r="AJ20" s="115"/>
      <c r="AK20" s="202"/>
      <c r="AL20" s="122"/>
      <c r="AM20" s="123"/>
      <c r="AN20" s="115"/>
      <c r="AO20" s="202"/>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5" t="s">
        <v>45</v>
      </c>
      <c r="AD21" s="54"/>
      <c r="AE21" s="54"/>
      <c r="AF21" s="112"/>
      <c r="AG21" s="201"/>
      <c r="AH21" s="113"/>
      <c r="AI21" s="114"/>
      <c r="AJ21" s="112"/>
      <c r="AK21" s="201"/>
      <c r="AL21" s="113"/>
      <c r="AM21" s="114"/>
      <c r="AN21" s="112"/>
      <c r="AO21" s="201"/>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6" t="s">
        <v>265</v>
      </c>
      <c r="AD22" s="87"/>
      <c r="AE22" s="87"/>
      <c r="AF22" s="115"/>
      <c r="AG22" s="202"/>
      <c r="AH22" s="116"/>
      <c r="AI22" s="117"/>
      <c r="AJ22" s="115"/>
      <c r="AK22" s="202"/>
      <c r="AL22" s="116"/>
      <c r="AM22" s="117"/>
      <c r="AN22" s="115"/>
      <c r="AO22" s="202"/>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5" t="s">
        <v>115</v>
      </c>
      <c r="AD23" s="54"/>
      <c r="AE23" s="54"/>
      <c r="AF23" s="112"/>
      <c r="AG23" s="201"/>
      <c r="AH23" s="113"/>
      <c r="AI23" s="114"/>
      <c r="AJ23" s="112"/>
      <c r="AK23" s="201"/>
      <c r="AL23" s="113"/>
      <c r="AM23" s="114"/>
      <c r="AN23" s="112"/>
      <c r="AO23" s="201"/>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6" t="s">
        <v>118</v>
      </c>
      <c r="AD24" s="87"/>
      <c r="AE24" s="87"/>
      <c r="AF24" s="115"/>
      <c r="AG24" s="202"/>
      <c r="AH24" s="116"/>
      <c r="AI24" s="117"/>
      <c r="AJ24" s="115"/>
      <c r="AK24" s="202"/>
      <c r="AL24" s="116"/>
      <c r="AM24" s="117"/>
      <c r="AN24" s="115"/>
      <c r="AO24" s="202"/>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5" t="s">
        <v>266</v>
      </c>
      <c r="AD25" s="54"/>
      <c r="AE25" s="54"/>
      <c r="AF25" s="112"/>
      <c r="AG25" s="201"/>
      <c r="AH25" s="113"/>
      <c r="AI25" s="114"/>
      <c r="AJ25" s="112"/>
      <c r="AK25" s="201"/>
      <c r="AL25" s="113"/>
      <c r="AM25" s="114"/>
      <c r="AN25" s="112"/>
      <c r="AO25" s="201"/>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6" t="s">
        <v>267</v>
      </c>
      <c r="AD26" s="87"/>
      <c r="AE26" s="87"/>
      <c r="AF26" s="115"/>
      <c r="AG26" s="202"/>
      <c r="AH26" s="116"/>
      <c r="AI26" s="117"/>
      <c r="AJ26" s="115"/>
      <c r="AK26" s="202"/>
      <c r="AL26" s="116"/>
      <c r="AM26" s="117"/>
      <c r="AN26" s="115"/>
      <c r="AO26" s="202"/>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5" t="s">
        <v>268</v>
      </c>
      <c r="AD27" s="54"/>
      <c r="AE27" s="54"/>
      <c r="AF27" s="112"/>
      <c r="AG27" s="201"/>
      <c r="AH27" s="113"/>
      <c r="AI27" s="114"/>
      <c r="AJ27" s="112"/>
      <c r="AK27" s="201"/>
      <c r="AL27" s="113"/>
      <c r="AM27" s="114"/>
      <c r="AN27" s="112"/>
      <c r="AO27" s="201"/>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6" t="s">
        <v>116</v>
      </c>
      <c r="AD28" s="87"/>
      <c r="AE28" s="87"/>
      <c r="AF28" s="115"/>
      <c r="AG28" s="202"/>
      <c r="AH28" s="116"/>
      <c r="AI28" s="117"/>
      <c r="AJ28" s="115"/>
      <c r="AK28" s="202"/>
      <c r="AL28" s="116"/>
      <c r="AM28" s="117"/>
      <c r="AN28" s="115"/>
      <c r="AO28" s="202"/>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4"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5" t="s">
        <v>269</v>
      </c>
      <c r="AD30" s="54"/>
      <c r="AE30" s="54"/>
      <c r="AF30" s="112"/>
      <c r="AG30" s="201"/>
      <c r="AH30" s="113"/>
      <c r="AI30" s="114"/>
      <c r="AJ30" s="112"/>
      <c r="AK30" s="201"/>
      <c r="AL30" s="113"/>
      <c r="AM30" s="114"/>
      <c r="AN30" s="112"/>
      <c r="AO30" s="201"/>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6" t="s">
        <v>270</v>
      </c>
      <c r="AD31" s="87"/>
      <c r="AE31" s="87"/>
      <c r="AF31" s="115"/>
      <c r="AG31" s="202"/>
      <c r="AH31" s="116"/>
      <c r="AI31" s="117"/>
      <c r="AJ31" s="115"/>
      <c r="AK31" s="202"/>
      <c r="AL31" s="116"/>
      <c r="AM31" s="117"/>
      <c r="AN31" s="115"/>
      <c r="AO31" s="202"/>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5" t="s">
        <v>271</v>
      </c>
      <c r="AD32" s="54"/>
      <c r="AE32" s="54"/>
      <c r="AF32" s="112"/>
      <c r="AG32" s="201"/>
      <c r="AH32" s="113"/>
      <c r="AI32" s="114"/>
      <c r="AJ32" s="112"/>
      <c r="AK32" s="201"/>
      <c r="AL32" s="113"/>
      <c r="AM32" s="114"/>
      <c r="AN32" s="112"/>
      <c r="AO32" s="201"/>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6" t="s">
        <v>272</v>
      </c>
      <c r="AD33" s="87"/>
      <c r="AE33" s="87"/>
      <c r="AF33" s="115"/>
      <c r="AG33" s="202"/>
      <c r="AH33" s="116"/>
      <c r="AI33" s="117"/>
      <c r="AJ33" s="115"/>
      <c r="AK33" s="202"/>
      <c r="AL33" s="116"/>
      <c r="AM33" s="117"/>
      <c r="AN33" s="115"/>
      <c r="AO33" s="202"/>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5" t="s">
        <v>273</v>
      </c>
      <c r="AD34" s="54"/>
      <c r="AE34" s="54"/>
      <c r="AF34" s="112"/>
      <c r="AG34" s="201"/>
      <c r="AH34" s="113"/>
      <c r="AI34" s="114"/>
      <c r="AJ34" s="112"/>
      <c r="AK34" s="201"/>
      <c r="AL34" s="113"/>
      <c r="AM34" s="114"/>
      <c r="AN34" s="112"/>
      <c r="AO34" s="201"/>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6" t="s">
        <v>22</v>
      </c>
      <c r="AD35" s="87"/>
      <c r="AE35" s="87"/>
      <c r="AF35" s="115"/>
      <c r="AG35" s="202"/>
      <c r="AH35" s="116"/>
      <c r="AI35" s="117"/>
      <c r="AJ35" s="115"/>
      <c r="AK35" s="202"/>
      <c r="AL35" s="116"/>
      <c r="AM35" s="117"/>
      <c r="AN35" s="115"/>
      <c r="AO35" s="202"/>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5" t="s">
        <v>274</v>
      </c>
      <c r="AD36" s="54"/>
      <c r="AE36" s="54"/>
      <c r="AF36" s="112"/>
      <c r="AG36" s="201"/>
      <c r="AH36" s="113"/>
      <c r="AI36" s="114"/>
      <c r="AJ36" s="112"/>
      <c r="AK36" s="201"/>
      <c r="AL36" s="113"/>
      <c r="AM36" s="114"/>
      <c r="AN36" s="112"/>
      <c r="AO36" s="201"/>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6" t="s">
        <v>275</v>
      </c>
      <c r="AD37" s="87"/>
      <c r="AE37" s="87"/>
      <c r="AF37" s="115"/>
      <c r="AG37" s="202"/>
      <c r="AH37" s="116"/>
      <c r="AI37" s="117"/>
      <c r="AJ37" s="115"/>
      <c r="AK37" s="202"/>
      <c r="AL37" s="116"/>
      <c r="AM37" s="117"/>
      <c r="AN37" s="115"/>
      <c r="AO37" s="202"/>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4"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8"/>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5" t="s">
        <v>276</v>
      </c>
      <c r="AD40" s="54"/>
      <c r="AE40" s="54"/>
      <c r="AF40" s="112"/>
      <c r="AG40" s="201"/>
      <c r="AH40" s="113"/>
      <c r="AI40" s="114"/>
      <c r="AJ40" s="112"/>
      <c r="AK40" s="201"/>
      <c r="AL40" s="113"/>
      <c r="AM40" s="114"/>
      <c r="AN40" s="112"/>
      <c r="AO40" s="201"/>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6" t="s">
        <v>277</v>
      </c>
      <c r="AD41" s="87"/>
      <c r="AE41" s="87"/>
      <c r="AF41" s="115"/>
      <c r="AG41" s="202"/>
      <c r="AH41" s="116"/>
      <c r="AI41" s="117"/>
      <c r="AJ41" s="115"/>
      <c r="AK41" s="202"/>
      <c r="AL41" s="116"/>
      <c r="AM41" s="117"/>
      <c r="AN41" s="115"/>
      <c r="AO41" s="202"/>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5" t="s">
        <v>38</v>
      </c>
      <c r="AD42" s="54"/>
      <c r="AE42" s="54"/>
      <c r="AF42" s="112"/>
      <c r="AG42" s="201"/>
      <c r="AH42" s="113"/>
      <c r="AI42" s="114"/>
      <c r="AJ42" s="112"/>
      <c r="AK42" s="201"/>
      <c r="AL42" s="113"/>
      <c r="AM42" s="114"/>
      <c r="AN42" s="112"/>
      <c r="AO42" s="201"/>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6" t="s">
        <v>130</v>
      </c>
      <c r="AD43" s="87"/>
      <c r="AE43" s="87"/>
      <c r="AF43" s="115"/>
      <c r="AG43" s="202"/>
      <c r="AH43" s="116"/>
      <c r="AI43" s="117"/>
      <c r="AJ43" s="115"/>
      <c r="AK43" s="202"/>
      <c r="AL43" s="116"/>
      <c r="AM43" s="117"/>
      <c r="AN43" s="115"/>
      <c r="AO43" s="202"/>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5" t="s">
        <v>42</v>
      </c>
      <c r="AD44" s="54"/>
      <c r="AE44" s="54"/>
      <c r="AF44" s="112"/>
      <c r="AG44" s="201"/>
      <c r="AH44" s="122"/>
      <c r="AI44" s="123"/>
      <c r="AJ44" s="112"/>
      <c r="AK44" s="201"/>
      <c r="AL44" s="122"/>
      <c r="AM44" s="123"/>
      <c r="AN44" s="112"/>
      <c r="AO44" s="201"/>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6" t="s">
        <v>278</v>
      </c>
      <c r="AD45" s="87"/>
      <c r="AE45" s="87"/>
      <c r="AF45" s="115"/>
      <c r="AG45" s="202"/>
      <c r="AH45" s="116"/>
      <c r="AI45" s="117"/>
      <c r="AJ45" s="115"/>
      <c r="AK45" s="202"/>
      <c r="AL45" s="116"/>
      <c r="AM45" s="117"/>
      <c r="AN45" s="115"/>
      <c r="AO45" s="202"/>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5" t="s">
        <v>121</v>
      </c>
      <c r="AD46" s="54"/>
      <c r="AE46" s="54"/>
      <c r="AF46" s="112"/>
      <c r="AG46" s="201"/>
      <c r="AH46" s="122"/>
      <c r="AI46" s="123"/>
      <c r="AJ46" s="112"/>
      <c r="AK46" s="201"/>
      <c r="AL46" s="122"/>
      <c r="AM46" s="123"/>
      <c r="AN46" s="112"/>
      <c r="AO46" s="201"/>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6" t="s">
        <v>279</v>
      </c>
      <c r="AD47" s="87"/>
      <c r="AE47" s="87"/>
      <c r="AF47" s="115"/>
      <c r="AG47" s="202"/>
      <c r="AH47" s="116"/>
      <c r="AI47" s="117"/>
      <c r="AJ47" s="115"/>
      <c r="AK47" s="202"/>
      <c r="AL47" s="116"/>
      <c r="AM47" s="117"/>
      <c r="AN47" s="115"/>
      <c r="AO47" s="202"/>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5" t="s">
        <v>41</v>
      </c>
      <c r="AD48" s="54"/>
      <c r="AE48" s="54"/>
      <c r="AF48" s="112"/>
      <c r="AG48" s="201"/>
      <c r="AH48" s="113"/>
      <c r="AI48" s="114"/>
      <c r="AJ48" s="112"/>
      <c r="AK48" s="201"/>
      <c r="AL48" s="113"/>
      <c r="AM48" s="114"/>
      <c r="AN48" s="112"/>
      <c r="AO48" s="201"/>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6" t="s">
        <v>280</v>
      </c>
      <c r="AD49" s="87"/>
      <c r="AE49" s="87"/>
      <c r="AF49" s="115"/>
      <c r="AG49" s="202"/>
      <c r="AH49" s="116"/>
      <c r="AI49" s="117"/>
      <c r="AJ49" s="115"/>
      <c r="AK49" s="202"/>
      <c r="AL49" s="116"/>
      <c r="AM49" s="117"/>
      <c r="AN49" s="115"/>
      <c r="AO49" s="202"/>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5" t="s">
        <v>281</v>
      </c>
      <c r="AD50" s="54"/>
      <c r="AE50" s="54"/>
      <c r="AF50" s="112"/>
      <c r="AG50" s="201"/>
      <c r="AH50" s="113"/>
      <c r="AI50" s="114"/>
      <c r="AJ50" s="112"/>
      <c r="AK50" s="201"/>
      <c r="AL50" s="113"/>
      <c r="AM50" s="114"/>
      <c r="AN50" s="112"/>
      <c r="AO50" s="201"/>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6" t="s">
        <v>282</v>
      </c>
      <c r="AD51" s="87"/>
      <c r="AE51" s="87"/>
      <c r="AF51" s="115"/>
      <c r="AG51" s="202"/>
      <c r="AH51" s="122"/>
      <c r="AI51" s="123"/>
      <c r="AJ51" s="115"/>
      <c r="AK51" s="202"/>
      <c r="AL51" s="122"/>
      <c r="AM51" s="123"/>
      <c r="AN51" s="115"/>
      <c r="AO51" s="202"/>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5" t="s">
        <v>283</v>
      </c>
      <c r="AD52" s="54"/>
      <c r="AE52" s="54"/>
      <c r="AF52" s="112"/>
      <c r="AG52" s="201"/>
      <c r="AH52" s="122"/>
      <c r="AI52" s="123"/>
      <c r="AJ52" s="112"/>
      <c r="AK52" s="201"/>
      <c r="AL52" s="122"/>
      <c r="AM52" s="123"/>
      <c r="AN52" s="112"/>
      <c r="AO52" s="201"/>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6" t="s">
        <v>131</v>
      </c>
      <c r="AD53" s="87"/>
      <c r="AE53" s="87"/>
      <c r="AF53" s="115"/>
      <c r="AG53" s="202"/>
      <c r="AH53" s="116"/>
      <c r="AI53" s="117"/>
      <c r="AJ53" s="115"/>
      <c r="AK53" s="202"/>
      <c r="AL53" s="116"/>
      <c r="AM53" s="117"/>
      <c r="AN53" s="115"/>
      <c r="AO53" s="202"/>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4"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8"/>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5" t="s">
        <v>276</v>
      </c>
      <c r="AD56" s="54"/>
      <c r="AE56" s="54"/>
      <c r="AF56" s="112"/>
      <c r="AG56" s="201"/>
      <c r="AH56" s="113"/>
      <c r="AI56" s="114"/>
      <c r="AJ56" s="112"/>
      <c r="AK56" s="201"/>
      <c r="AL56" s="113"/>
      <c r="AM56" s="114"/>
      <c r="AN56" s="112"/>
      <c r="AO56" s="201"/>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6" t="s">
        <v>277</v>
      </c>
      <c r="AD57" s="87"/>
      <c r="AE57" s="87"/>
      <c r="AF57" s="115"/>
      <c r="AG57" s="202"/>
      <c r="AH57" s="116"/>
      <c r="AI57" s="117"/>
      <c r="AJ57" s="115"/>
      <c r="AK57" s="202"/>
      <c r="AL57" s="116"/>
      <c r="AM57" s="117"/>
      <c r="AN57" s="115"/>
      <c r="AO57" s="202"/>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5" t="s">
        <v>38</v>
      </c>
      <c r="AD58" s="54"/>
      <c r="AE58" s="54"/>
      <c r="AF58" s="112"/>
      <c r="AG58" s="201"/>
      <c r="AH58" s="113"/>
      <c r="AI58" s="114"/>
      <c r="AJ58" s="112"/>
      <c r="AK58" s="201"/>
      <c r="AL58" s="113"/>
      <c r="AM58" s="114"/>
      <c r="AN58" s="112"/>
      <c r="AO58" s="201"/>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6" t="s">
        <v>130</v>
      </c>
      <c r="AD59" s="87"/>
      <c r="AE59" s="87"/>
      <c r="AF59" s="115"/>
      <c r="AG59" s="202"/>
      <c r="AH59" s="116"/>
      <c r="AI59" s="117"/>
      <c r="AJ59" s="115"/>
      <c r="AK59" s="202"/>
      <c r="AL59" s="116"/>
      <c r="AM59" s="117"/>
      <c r="AN59" s="115"/>
      <c r="AO59" s="202"/>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5" t="s">
        <v>42</v>
      </c>
      <c r="AD60" s="54"/>
      <c r="AE60" s="54"/>
      <c r="AF60" s="112"/>
      <c r="AG60" s="201"/>
      <c r="AH60" s="122"/>
      <c r="AI60" s="123"/>
      <c r="AJ60" s="112"/>
      <c r="AK60" s="201"/>
      <c r="AL60" s="122"/>
      <c r="AM60" s="123"/>
      <c r="AN60" s="112"/>
      <c r="AO60" s="201"/>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6" t="s">
        <v>278</v>
      </c>
      <c r="AD61" s="87"/>
      <c r="AE61" s="87"/>
      <c r="AF61" s="115"/>
      <c r="AG61" s="202"/>
      <c r="AH61" s="116"/>
      <c r="AI61" s="117"/>
      <c r="AJ61" s="115"/>
      <c r="AK61" s="202"/>
      <c r="AL61" s="116"/>
      <c r="AM61" s="117"/>
      <c r="AN61" s="115"/>
      <c r="AO61" s="202"/>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5" t="s">
        <v>121</v>
      </c>
      <c r="AD62" s="54"/>
      <c r="AE62" s="54"/>
      <c r="AF62" s="112"/>
      <c r="AG62" s="201"/>
      <c r="AH62" s="122"/>
      <c r="AI62" s="123"/>
      <c r="AJ62" s="112"/>
      <c r="AK62" s="201"/>
      <c r="AL62" s="122"/>
      <c r="AM62" s="123"/>
      <c r="AN62" s="112"/>
      <c r="AO62" s="201"/>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6" t="s">
        <v>279</v>
      </c>
      <c r="AD63" s="87"/>
      <c r="AE63" s="87"/>
      <c r="AF63" s="115"/>
      <c r="AG63" s="202"/>
      <c r="AH63" s="116"/>
      <c r="AI63" s="117"/>
      <c r="AJ63" s="115"/>
      <c r="AK63" s="202"/>
      <c r="AL63" s="116"/>
      <c r="AM63" s="117"/>
      <c r="AN63" s="115"/>
      <c r="AO63" s="202"/>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5" t="s">
        <v>41</v>
      </c>
      <c r="AD64" s="54"/>
      <c r="AE64" s="54"/>
      <c r="AF64" s="112"/>
      <c r="AG64" s="201"/>
      <c r="AH64" s="113"/>
      <c r="AI64" s="114"/>
      <c r="AJ64" s="112"/>
      <c r="AK64" s="201"/>
      <c r="AL64" s="113"/>
      <c r="AM64" s="114"/>
      <c r="AN64" s="112"/>
      <c r="AO64" s="201"/>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6" t="s">
        <v>280</v>
      </c>
      <c r="AD65" s="87"/>
      <c r="AE65" s="87"/>
      <c r="AF65" s="115"/>
      <c r="AG65" s="202"/>
      <c r="AH65" s="116"/>
      <c r="AI65" s="117"/>
      <c r="AJ65" s="115"/>
      <c r="AK65" s="202"/>
      <c r="AL65" s="116"/>
      <c r="AM65" s="117"/>
      <c r="AN65" s="115"/>
      <c r="AO65" s="202"/>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5" t="s">
        <v>281</v>
      </c>
      <c r="AD66" s="54"/>
      <c r="AE66" s="54"/>
      <c r="AF66" s="112"/>
      <c r="AG66" s="201"/>
      <c r="AH66" s="113"/>
      <c r="AI66" s="114"/>
      <c r="AJ66" s="112"/>
      <c r="AK66" s="201"/>
      <c r="AL66" s="113"/>
      <c r="AM66" s="114"/>
      <c r="AN66" s="112"/>
      <c r="AO66" s="201"/>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6" t="s">
        <v>282</v>
      </c>
      <c r="AD67" s="87"/>
      <c r="AE67" s="87"/>
      <c r="AF67" s="115"/>
      <c r="AG67" s="202"/>
      <c r="AH67" s="122"/>
      <c r="AI67" s="123"/>
      <c r="AJ67" s="115"/>
      <c r="AK67" s="202"/>
      <c r="AL67" s="122"/>
      <c r="AM67" s="123"/>
      <c r="AN67" s="115"/>
      <c r="AO67" s="202"/>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5" t="s">
        <v>283</v>
      </c>
      <c r="AD68" s="54"/>
      <c r="AE68" s="54"/>
      <c r="AF68" s="112"/>
      <c r="AG68" s="201"/>
      <c r="AH68" s="122"/>
      <c r="AI68" s="123"/>
      <c r="AJ68" s="112"/>
      <c r="AK68" s="201"/>
      <c r="AL68" s="122"/>
      <c r="AM68" s="123"/>
      <c r="AN68" s="112"/>
      <c r="AO68" s="201"/>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6" t="s">
        <v>131</v>
      </c>
      <c r="AD69" s="87"/>
      <c r="AE69" s="87"/>
      <c r="AF69" s="115"/>
      <c r="AG69" s="202"/>
      <c r="AH69" s="116"/>
      <c r="AI69" s="117"/>
      <c r="AJ69" s="115"/>
      <c r="AK69" s="202"/>
      <c r="AL69" s="116"/>
      <c r="AM69" s="117"/>
      <c r="AN69" s="115"/>
      <c r="AO69" s="202"/>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4"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8"/>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5" t="s">
        <v>276</v>
      </c>
      <c r="AD72" s="54"/>
      <c r="AE72" s="54"/>
      <c r="AF72" s="112"/>
      <c r="AG72" s="201"/>
      <c r="AH72" s="113"/>
      <c r="AI72" s="114"/>
      <c r="AJ72" s="112"/>
      <c r="AK72" s="201"/>
      <c r="AL72" s="113"/>
      <c r="AM72" s="114"/>
      <c r="AN72" s="112"/>
      <c r="AO72" s="201"/>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6" t="s">
        <v>277</v>
      </c>
      <c r="AD73" s="87"/>
      <c r="AE73" s="87"/>
      <c r="AF73" s="115"/>
      <c r="AG73" s="202"/>
      <c r="AH73" s="116"/>
      <c r="AI73" s="117"/>
      <c r="AJ73" s="115"/>
      <c r="AK73" s="202"/>
      <c r="AL73" s="116"/>
      <c r="AM73" s="117"/>
      <c r="AN73" s="115"/>
      <c r="AO73" s="202"/>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5" t="s">
        <v>38</v>
      </c>
      <c r="AD74" s="54"/>
      <c r="AE74" s="54"/>
      <c r="AF74" s="112"/>
      <c r="AG74" s="201"/>
      <c r="AH74" s="113"/>
      <c r="AI74" s="114"/>
      <c r="AJ74" s="112"/>
      <c r="AK74" s="201"/>
      <c r="AL74" s="113"/>
      <c r="AM74" s="114"/>
      <c r="AN74" s="112"/>
      <c r="AO74" s="201"/>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6" t="s">
        <v>130</v>
      </c>
      <c r="AD75" s="87"/>
      <c r="AE75" s="87"/>
      <c r="AF75" s="115"/>
      <c r="AG75" s="202"/>
      <c r="AH75" s="116"/>
      <c r="AI75" s="117"/>
      <c r="AJ75" s="115"/>
      <c r="AK75" s="202"/>
      <c r="AL75" s="116"/>
      <c r="AM75" s="117"/>
      <c r="AN75" s="115"/>
      <c r="AO75" s="202"/>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5" t="s">
        <v>42</v>
      </c>
      <c r="AD76" s="54"/>
      <c r="AE76" s="54"/>
      <c r="AF76" s="112"/>
      <c r="AG76" s="201"/>
      <c r="AH76" s="122"/>
      <c r="AI76" s="123"/>
      <c r="AJ76" s="112"/>
      <c r="AK76" s="201"/>
      <c r="AL76" s="122"/>
      <c r="AM76" s="123"/>
      <c r="AN76" s="112"/>
      <c r="AO76" s="201"/>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6" t="s">
        <v>278</v>
      </c>
      <c r="AD77" s="87"/>
      <c r="AE77" s="87"/>
      <c r="AF77" s="115"/>
      <c r="AG77" s="202"/>
      <c r="AH77" s="116"/>
      <c r="AI77" s="117"/>
      <c r="AJ77" s="115"/>
      <c r="AK77" s="202"/>
      <c r="AL77" s="116"/>
      <c r="AM77" s="117"/>
      <c r="AN77" s="115"/>
      <c r="AO77" s="202"/>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5" t="s">
        <v>121</v>
      </c>
      <c r="AD78" s="54"/>
      <c r="AE78" s="54"/>
      <c r="AF78" s="112"/>
      <c r="AG78" s="201"/>
      <c r="AH78" s="122"/>
      <c r="AI78" s="123"/>
      <c r="AJ78" s="112"/>
      <c r="AK78" s="201"/>
      <c r="AL78" s="122"/>
      <c r="AM78" s="123"/>
      <c r="AN78" s="112"/>
      <c r="AO78" s="201"/>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6" t="s">
        <v>279</v>
      </c>
      <c r="AD79" s="87"/>
      <c r="AE79" s="87"/>
      <c r="AF79" s="115"/>
      <c r="AG79" s="202"/>
      <c r="AH79" s="116"/>
      <c r="AI79" s="117"/>
      <c r="AJ79" s="115"/>
      <c r="AK79" s="202"/>
      <c r="AL79" s="116"/>
      <c r="AM79" s="117"/>
      <c r="AN79" s="115"/>
      <c r="AO79" s="202"/>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5" t="s">
        <v>41</v>
      </c>
      <c r="AD80" s="54"/>
      <c r="AE80" s="54"/>
      <c r="AF80" s="112"/>
      <c r="AG80" s="201"/>
      <c r="AH80" s="113"/>
      <c r="AI80" s="114"/>
      <c r="AJ80" s="112"/>
      <c r="AK80" s="201"/>
      <c r="AL80" s="113"/>
      <c r="AM80" s="114"/>
      <c r="AN80" s="112"/>
      <c r="AO80" s="201"/>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6" t="s">
        <v>280</v>
      </c>
      <c r="AD81" s="87"/>
      <c r="AE81" s="87"/>
      <c r="AF81" s="115"/>
      <c r="AG81" s="202"/>
      <c r="AH81" s="116"/>
      <c r="AI81" s="117"/>
      <c r="AJ81" s="115"/>
      <c r="AK81" s="202"/>
      <c r="AL81" s="116"/>
      <c r="AM81" s="117"/>
      <c r="AN81" s="115"/>
      <c r="AO81" s="202"/>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5" t="s">
        <v>281</v>
      </c>
      <c r="AD82" s="54"/>
      <c r="AE82" s="54"/>
      <c r="AF82" s="112"/>
      <c r="AG82" s="201"/>
      <c r="AH82" s="113"/>
      <c r="AI82" s="114"/>
      <c r="AJ82" s="112"/>
      <c r="AK82" s="201"/>
      <c r="AL82" s="113"/>
      <c r="AM82" s="114"/>
      <c r="AN82" s="112"/>
      <c r="AO82" s="201"/>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6" t="s">
        <v>282</v>
      </c>
      <c r="AD83" s="87"/>
      <c r="AE83" s="87"/>
      <c r="AF83" s="115"/>
      <c r="AG83" s="202"/>
      <c r="AH83" s="122"/>
      <c r="AI83" s="123"/>
      <c r="AJ83" s="115"/>
      <c r="AK83" s="202"/>
      <c r="AL83" s="122"/>
      <c r="AM83" s="123"/>
      <c r="AN83" s="115"/>
      <c r="AO83" s="202"/>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5" t="s">
        <v>283</v>
      </c>
      <c r="AD84" s="54"/>
      <c r="AE84" s="54"/>
      <c r="AF84" s="112"/>
      <c r="AG84" s="201"/>
      <c r="AH84" s="122"/>
      <c r="AI84" s="123"/>
      <c r="AJ84" s="112"/>
      <c r="AK84" s="201"/>
      <c r="AL84" s="122"/>
      <c r="AM84" s="123"/>
      <c r="AN84" s="112"/>
      <c r="AO84" s="201"/>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6" t="s">
        <v>131</v>
      </c>
      <c r="AD85" s="87"/>
      <c r="AE85" s="87"/>
      <c r="AF85" s="115"/>
      <c r="AG85" s="202"/>
      <c r="AH85" s="116"/>
      <c r="AI85" s="117"/>
      <c r="AJ85" s="115"/>
      <c r="AK85" s="202"/>
      <c r="AL85" s="116"/>
      <c r="AM85" s="117"/>
      <c r="AN85" s="115"/>
      <c r="AO85" s="202"/>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4"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8"/>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5" t="s">
        <v>276</v>
      </c>
      <c r="AD88" s="54"/>
      <c r="AE88" s="54"/>
      <c r="AF88" s="112"/>
      <c r="AG88" s="201"/>
      <c r="AH88" s="113"/>
      <c r="AI88" s="114"/>
      <c r="AJ88" s="112"/>
      <c r="AK88" s="201"/>
      <c r="AL88" s="113"/>
      <c r="AM88" s="114"/>
      <c r="AN88" s="112"/>
      <c r="AO88" s="201"/>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6" t="s">
        <v>277</v>
      </c>
      <c r="AD89" s="87"/>
      <c r="AE89" s="87"/>
      <c r="AF89" s="115"/>
      <c r="AG89" s="202"/>
      <c r="AH89" s="116"/>
      <c r="AI89" s="117"/>
      <c r="AJ89" s="115"/>
      <c r="AK89" s="202"/>
      <c r="AL89" s="116"/>
      <c r="AM89" s="117"/>
      <c r="AN89" s="115"/>
      <c r="AO89" s="202"/>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5" t="s">
        <v>38</v>
      </c>
      <c r="AD90" s="54"/>
      <c r="AE90" s="54"/>
      <c r="AF90" s="112"/>
      <c r="AG90" s="201"/>
      <c r="AH90" s="113"/>
      <c r="AI90" s="114"/>
      <c r="AJ90" s="112"/>
      <c r="AK90" s="201"/>
      <c r="AL90" s="113"/>
      <c r="AM90" s="114"/>
      <c r="AN90" s="112"/>
      <c r="AO90" s="201"/>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6" t="s">
        <v>130</v>
      </c>
      <c r="AD91" s="87"/>
      <c r="AE91" s="87"/>
      <c r="AF91" s="115"/>
      <c r="AG91" s="202"/>
      <c r="AH91" s="116"/>
      <c r="AI91" s="117"/>
      <c r="AJ91" s="115"/>
      <c r="AK91" s="202"/>
      <c r="AL91" s="116"/>
      <c r="AM91" s="117"/>
      <c r="AN91" s="115"/>
      <c r="AO91" s="202"/>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5" t="s">
        <v>42</v>
      </c>
      <c r="AD92" s="54"/>
      <c r="AE92" s="54"/>
      <c r="AF92" s="112"/>
      <c r="AG92" s="201"/>
      <c r="AH92" s="122"/>
      <c r="AI92" s="123"/>
      <c r="AJ92" s="112"/>
      <c r="AK92" s="201"/>
      <c r="AL92" s="122"/>
      <c r="AM92" s="123"/>
      <c r="AN92" s="112"/>
      <c r="AO92" s="201"/>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6" t="s">
        <v>278</v>
      </c>
      <c r="AD93" s="87"/>
      <c r="AE93" s="87"/>
      <c r="AF93" s="115"/>
      <c r="AG93" s="202"/>
      <c r="AH93" s="116"/>
      <c r="AI93" s="117"/>
      <c r="AJ93" s="115"/>
      <c r="AK93" s="202"/>
      <c r="AL93" s="116"/>
      <c r="AM93" s="117"/>
      <c r="AN93" s="115"/>
      <c r="AO93" s="202"/>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5" t="s">
        <v>121</v>
      </c>
      <c r="AD94" s="54"/>
      <c r="AE94" s="54"/>
      <c r="AF94" s="112"/>
      <c r="AG94" s="201"/>
      <c r="AH94" s="122"/>
      <c r="AI94" s="123"/>
      <c r="AJ94" s="112"/>
      <c r="AK94" s="201"/>
      <c r="AL94" s="122"/>
      <c r="AM94" s="123"/>
      <c r="AN94" s="112"/>
      <c r="AO94" s="201"/>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6" t="s">
        <v>279</v>
      </c>
      <c r="AD95" s="87"/>
      <c r="AE95" s="87"/>
      <c r="AF95" s="115"/>
      <c r="AG95" s="202"/>
      <c r="AH95" s="116"/>
      <c r="AI95" s="117"/>
      <c r="AJ95" s="115"/>
      <c r="AK95" s="202"/>
      <c r="AL95" s="116"/>
      <c r="AM95" s="117"/>
      <c r="AN95" s="115"/>
      <c r="AO95" s="202"/>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5" t="s">
        <v>41</v>
      </c>
      <c r="AD96" s="54"/>
      <c r="AE96" s="54"/>
      <c r="AF96" s="112"/>
      <c r="AG96" s="201"/>
      <c r="AH96" s="113"/>
      <c r="AI96" s="114"/>
      <c r="AJ96" s="112"/>
      <c r="AK96" s="201"/>
      <c r="AL96" s="113"/>
      <c r="AM96" s="114"/>
      <c r="AN96" s="112"/>
      <c r="AO96" s="201"/>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6" t="s">
        <v>280</v>
      </c>
      <c r="AD97" s="87"/>
      <c r="AE97" s="87"/>
      <c r="AF97" s="115"/>
      <c r="AG97" s="202"/>
      <c r="AH97" s="116"/>
      <c r="AI97" s="117"/>
      <c r="AJ97" s="115"/>
      <c r="AK97" s="202"/>
      <c r="AL97" s="116"/>
      <c r="AM97" s="117"/>
      <c r="AN97" s="115"/>
      <c r="AO97" s="202"/>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5" t="s">
        <v>281</v>
      </c>
      <c r="AD98" s="54"/>
      <c r="AE98" s="54"/>
      <c r="AF98" s="112"/>
      <c r="AG98" s="201"/>
      <c r="AH98" s="113"/>
      <c r="AI98" s="114"/>
      <c r="AJ98" s="112"/>
      <c r="AK98" s="201"/>
      <c r="AL98" s="113"/>
      <c r="AM98" s="114"/>
      <c r="AN98" s="112"/>
      <c r="AO98" s="201"/>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6" t="s">
        <v>282</v>
      </c>
      <c r="AD99" s="87"/>
      <c r="AE99" s="87"/>
      <c r="AF99" s="115"/>
      <c r="AG99" s="202"/>
      <c r="AH99" s="122"/>
      <c r="AI99" s="123"/>
      <c r="AJ99" s="115"/>
      <c r="AK99" s="202"/>
      <c r="AL99" s="122"/>
      <c r="AM99" s="123"/>
      <c r="AN99" s="115"/>
      <c r="AO99" s="202"/>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5" t="s">
        <v>283</v>
      </c>
      <c r="AD100" s="54"/>
      <c r="AE100" s="54"/>
      <c r="AF100" s="112"/>
      <c r="AG100" s="201"/>
      <c r="AH100" s="122"/>
      <c r="AI100" s="123"/>
      <c r="AJ100" s="112"/>
      <c r="AK100" s="201"/>
      <c r="AL100" s="122"/>
      <c r="AM100" s="123"/>
      <c r="AN100" s="112"/>
      <c r="AO100" s="201"/>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6" t="s">
        <v>131</v>
      </c>
      <c r="AD101" s="87"/>
      <c r="AE101" s="87"/>
      <c r="AF101" s="115"/>
      <c r="AG101" s="202"/>
      <c r="AH101" s="116"/>
      <c r="AI101" s="117"/>
      <c r="AJ101" s="115"/>
      <c r="AK101" s="202"/>
      <c r="AL101" s="116"/>
      <c r="AM101" s="117"/>
      <c r="AN101" s="115"/>
      <c r="AO101" s="202"/>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4"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8"/>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8"/>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5" t="s">
        <v>284</v>
      </c>
      <c r="AD105" s="54"/>
      <c r="AE105" s="54"/>
      <c r="AF105" s="112"/>
      <c r="AG105" s="201"/>
      <c r="AH105" s="122"/>
      <c r="AI105" s="123"/>
      <c r="AJ105" s="112"/>
      <c r="AK105" s="201"/>
      <c r="AL105" s="122"/>
      <c r="AM105" s="123"/>
      <c r="AN105" s="112"/>
      <c r="AO105" s="201"/>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6" t="s">
        <v>285</v>
      </c>
      <c r="AD106" s="87"/>
      <c r="AE106" s="87"/>
      <c r="AF106" s="115"/>
      <c r="AG106" s="202"/>
      <c r="AH106" s="116"/>
      <c r="AI106" s="117"/>
      <c r="AJ106" s="115"/>
      <c r="AK106" s="202"/>
      <c r="AL106" s="116"/>
      <c r="AM106" s="117"/>
      <c r="AN106" s="115"/>
      <c r="AO106" s="202"/>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5" t="s">
        <v>287</v>
      </c>
      <c r="AD107" s="54"/>
      <c r="AE107" s="54"/>
      <c r="AF107" s="112"/>
      <c r="AG107" s="201"/>
      <c r="AH107" s="113"/>
      <c r="AI107" s="114"/>
      <c r="AJ107" s="112"/>
      <c r="AK107" s="201"/>
      <c r="AL107" s="113"/>
      <c r="AM107" s="114"/>
      <c r="AN107" s="112"/>
      <c r="AO107" s="201"/>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6" t="s">
        <v>286</v>
      </c>
      <c r="AD108" s="87"/>
      <c r="AE108" s="87"/>
      <c r="AF108" s="115"/>
      <c r="AG108" s="202"/>
      <c r="AH108" s="116"/>
      <c r="AI108" s="117"/>
      <c r="AJ108" s="115"/>
      <c r="AK108" s="202"/>
      <c r="AL108" s="116"/>
      <c r="AM108" s="117"/>
      <c r="AN108" s="115"/>
      <c r="AO108" s="202"/>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5" t="s">
        <v>288</v>
      </c>
      <c r="AD109" s="54"/>
      <c r="AE109" s="54"/>
      <c r="AF109" s="112"/>
      <c r="AG109" s="201"/>
      <c r="AH109" s="113"/>
      <c r="AI109" s="114"/>
      <c r="AJ109" s="112"/>
      <c r="AK109" s="201"/>
      <c r="AL109" s="113"/>
      <c r="AM109" s="114"/>
      <c r="AN109" s="112"/>
      <c r="AO109" s="201"/>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6" t="s">
        <v>289</v>
      </c>
      <c r="AD110" s="87"/>
      <c r="AE110" s="87"/>
      <c r="AF110" s="115"/>
      <c r="AG110" s="202"/>
      <c r="AH110" s="116"/>
      <c r="AI110" s="117"/>
      <c r="AJ110" s="115"/>
      <c r="AK110" s="202"/>
      <c r="AL110" s="116"/>
      <c r="AM110" s="117"/>
      <c r="AN110" s="115"/>
      <c r="AO110" s="202"/>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5" t="s">
        <v>132</v>
      </c>
      <c r="AD111" s="54"/>
      <c r="AE111" s="54"/>
      <c r="AF111" s="112"/>
      <c r="AG111" s="201"/>
      <c r="AH111" s="113"/>
      <c r="AI111" s="114"/>
      <c r="AJ111" s="112"/>
      <c r="AK111" s="201"/>
      <c r="AL111" s="113"/>
      <c r="AM111" s="114"/>
      <c r="AN111" s="112"/>
      <c r="AO111" s="201"/>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6" t="s">
        <v>290</v>
      </c>
      <c r="AD112" s="87"/>
      <c r="AE112" s="87"/>
      <c r="AF112" s="115"/>
      <c r="AG112" s="202"/>
      <c r="AH112" s="116"/>
      <c r="AI112" s="117"/>
      <c r="AJ112" s="115"/>
      <c r="AK112" s="202"/>
      <c r="AL112" s="116"/>
      <c r="AM112" s="117"/>
      <c r="AN112" s="115"/>
      <c r="AO112" s="202"/>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5" t="s">
        <v>291</v>
      </c>
      <c r="AD113" s="54"/>
      <c r="AE113" s="54"/>
      <c r="AF113" s="112"/>
      <c r="AG113" s="201"/>
      <c r="AH113" s="113"/>
      <c r="AI113" s="114"/>
      <c r="AJ113" s="112"/>
      <c r="AK113" s="201"/>
      <c r="AL113" s="113"/>
      <c r="AM113" s="114"/>
      <c r="AN113" s="112"/>
      <c r="AO113" s="201"/>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6" t="s">
        <v>292</v>
      </c>
      <c r="AD114" s="87"/>
      <c r="AE114" s="87"/>
      <c r="AF114" s="115"/>
      <c r="AG114" s="202"/>
      <c r="AH114" s="122"/>
      <c r="AI114" s="123"/>
      <c r="AJ114" s="115"/>
      <c r="AK114" s="202"/>
      <c r="AL114" s="122"/>
      <c r="AM114" s="123"/>
      <c r="AN114" s="115"/>
      <c r="AO114" s="202"/>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5" t="s">
        <v>293</v>
      </c>
      <c r="AD115" s="54"/>
      <c r="AE115" s="54"/>
      <c r="AF115" s="112"/>
      <c r="AG115" s="201"/>
      <c r="AH115" s="122"/>
      <c r="AI115" s="123"/>
      <c r="AJ115" s="112"/>
      <c r="AK115" s="201"/>
      <c r="AL115" s="122"/>
      <c r="AM115" s="123"/>
      <c r="AN115" s="112"/>
      <c r="AO115" s="201"/>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6" t="s">
        <v>294</v>
      </c>
      <c r="AD116" s="87"/>
      <c r="AE116" s="87"/>
      <c r="AF116" s="115"/>
      <c r="AG116" s="202"/>
      <c r="AH116" s="116"/>
      <c r="AI116" s="117"/>
      <c r="AJ116" s="115"/>
      <c r="AK116" s="202"/>
      <c r="AL116" s="116"/>
      <c r="AM116" s="117"/>
      <c r="AN116" s="115"/>
      <c r="AO116" s="202"/>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5" t="s">
        <v>5</v>
      </c>
      <c r="AD117" s="54"/>
      <c r="AE117" s="54"/>
      <c r="AF117" s="112"/>
      <c r="AG117" s="201"/>
      <c r="AH117" s="113"/>
      <c r="AI117" s="114"/>
      <c r="AJ117" s="112"/>
      <c r="AK117" s="201"/>
      <c r="AL117" s="113"/>
      <c r="AM117" s="114"/>
      <c r="AN117" s="112"/>
      <c r="AO117" s="201"/>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6" t="s">
        <v>295</v>
      </c>
      <c r="AD118" s="87"/>
      <c r="AE118" s="87"/>
      <c r="AF118" s="115"/>
      <c r="AG118" s="202"/>
      <c r="AH118" s="116"/>
      <c r="AI118" s="117"/>
      <c r="AJ118" s="115"/>
      <c r="AK118" s="202"/>
      <c r="AL118" s="116"/>
      <c r="AM118" s="117"/>
      <c r="AN118" s="115"/>
      <c r="AO118" s="202"/>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5" t="s">
        <v>32</v>
      </c>
      <c r="AD119" s="54"/>
      <c r="AE119" s="54"/>
      <c r="AF119" s="112"/>
      <c r="AG119" s="201"/>
      <c r="AH119" s="122"/>
      <c r="AI119" s="123"/>
      <c r="AJ119" s="112"/>
      <c r="AK119" s="201"/>
      <c r="AL119" s="122"/>
      <c r="AM119" s="123"/>
      <c r="AN119" s="112"/>
      <c r="AO119" s="201"/>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4"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8"/>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8"/>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5" t="s">
        <v>284</v>
      </c>
      <c r="AD123" s="54"/>
      <c r="AE123" s="54"/>
      <c r="AF123" s="112"/>
      <c r="AG123" s="201"/>
      <c r="AH123" s="122"/>
      <c r="AI123" s="123"/>
      <c r="AJ123" s="112"/>
      <c r="AK123" s="201"/>
      <c r="AL123" s="122"/>
      <c r="AM123" s="123"/>
      <c r="AN123" s="112"/>
      <c r="AO123" s="201"/>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6" t="s">
        <v>285</v>
      </c>
      <c r="AD124" s="87"/>
      <c r="AE124" s="87"/>
      <c r="AF124" s="115"/>
      <c r="AG124" s="202"/>
      <c r="AH124" s="116"/>
      <c r="AI124" s="117"/>
      <c r="AJ124" s="115"/>
      <c r="AK124" s="202"/>
      <c r="AL124" s="116"/>
      <c r="AM124" s="117"/>
      <c r="AN124" s="115"/>
      <c r="AO124" s="202"/>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5" t="s">
        <v>287</v>
      </c>
      <c r="AD125" s="54"/>
      <c r="AE125" s="54"/>
      <c r="AF125" s="112"/>
      <c r="AG125" s="201"/>
      <c r="AH125" s="113"/>
      <c r="AI125" s="114"/>
      <c r="AJ125" s="112"/>
      <c r="AK125" s="201"/>
      <c r="AL125" s="113"/>
      <c r="AM125" s="114"/>
      <c r="AN125" s="112"/>
      <c r="AO125" s="201"/>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6" t="s">
        <v>286</v>
      </c>
      <c r="AD126" s="87"/>
      <c r="AE126" s="87"/>
      <c r="AF126" s="115"/>
      <c r="AG126" s="202"/>
      <c r="AH126" s="116"/>
      <c r="AI126" s="117"/>
      <c r="AJ126" s="115"/>
      <c r="AK126" s="202"/>
      <c r="AL126" s="116"/>
      <c r="AM126" s="117"/>
      <c r="AN126" s="115"/>
      <c r="AO126" s="202"/>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5" t="s">
        <v>288</v>
      </c>
      <c r="AD127" s="54"/>
      <c r="AE127" s="54"/>
      <c r="AF127" s="112"/>
      <c r="AG127" s="201"/>
      <c r="AH127" s="113"/>
      <c r="AI127" s="114"/>
      <c r="AJ127" s="112"/>
      <c r="AK127" s="201"/>
      <c r="AL127" s="113"/>
      <c r="AM127" s="114"/>
      <c r="AN127" s="112"/>
      <c r="AO127" s="201"/>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6" t="s">
        <v>289</v>
      </c>
      <c r="AD128" s="87"/>
      <c r="AE128" s="87"/>
      <c r="AF128" s="115"/>
      <c r="AG128" s="202"/>
      <c r="AH128" s="116"/>
      <c r="AI128" s="117"/>
      <c r="AJ128" s="115"/>
      <c r="AK128" s="202"/>
      <c r="AL128" s="116"/>
      <c r="AM128" s="117"/>
      <c r="AN128" s="115"/>
      <c r="AO128" s="202"/>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5" t="s">
        <v>132</v>
      </c>
      <c r="AD129" s="54"/>
      <c r="AE129" s="54"/>
      <c r="AF129" s="112"/>
      <c r="AG129" s="201"/>
      <c r="AH129" s="113"/>
      <c r="AI129" s="114"/>
      <c r="AJ129" s="112"/>
      <c r="AK129" s="201"/>
      <c r="AL129" s="113"/>
      <c r="AM129" s="114"/>
      <c r="AN129" s="112"/>
      <c r="AO129" s="201"/>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6" t="s">
        <v>290</v>
      </c>
      <c r="AD130" s="87"/>
      <c r="AE130" s="87"/>
      <c r="AF130" s="115"/>
      <c r="AG130" s="202"/>
      <c r="AH130" s="116"/>
      <c r="AI130" s="117"/>
      <c r="AJ130" s="115"/>
      <c r="AK130" s="202"/>
      <c r="AL130" s="116"/>
      <c r="AM130" s="117"/>
      <c r="AN130" s="115"/>
      <c r="AO130" s="202"/>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5" t="s">
        <v>291</v>
      </c>
      <c r="AD131" s="54"/>
      <c r="AE131" s="54"/>
      <c r="AF131" s="112"/>
      <c r="AG131" s="201"/>
      <c r="AH131" s="113"/>
      <c r="AI131" s="114"/>
      <c r="AJ131" s="112"/>
      <c r="AK131" s="201"/>
      <c r="AL131" s="113"/>
      <c r="AM131" s="114"/>
      <c r="AN131" s="112"/>
      <c r="AO131" s="201"/>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6" t="s">
        <v>292</v>
      </c>
      <c r="AD132" s="87"/>
      <c r="AE132" s="87"/>
      <c r="AF132" s="115"/>
      <c r="AG132" s="202"/>
      <c r="AH132" s="122"/>
      <c r="AI132" s="123"/>
      <c r="AJ132" s="115"/>
      <c r="AK132" s="202"/>
      <c r="AL132" s="122"/>
      <c r="AM132" s="123"/>
      <c r="AN132" s="115"/>
      <c r="AO132" s="202"/>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5" t="s">
        <v>293</v>
      </c>
      <c r="AD133" s="54"/>
      <c r="AE133" s="54"/>
      <c r="AF133" s="112"/>
      <c r="AG133" s="201"/>
      <c r="AH133" s="122"/>
      <c r="AI133" s="123"/>
      <c r="AJ133" s="112"/>
      <c r="AK133" s="201"/>
      <c r="AL133" s="122"/>
      <c r="AM133" s="123"/>
      <c r="AN133" s="112"/>
      <c r="AO133" s="201"/>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6" t="s">
        <v>294</v>
      </c>
      <c r="AD134" s="87"/>
      <c r="AE134" s="87"/>
      <c r="AF134" s="115"/>
      <c r="AG134" s="202"/>
      <c r="AH134" s="116"/>
      <c r="AI134" s="117"/>
      <c r="AJ134" s="115"/>
      <c r="AK134" s="202"/>
      <c r="AL134" s="116"/>
      <c r="AM134" s="117"/>
      <c r="AN134" s="115"/>
      <c r="AO134" s="202"/>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5" t="s">
        <v>5</v>
      </c>
      <c r="AD135" s="54"/>
      <c r="AE135" s="54"/>
      <c r="AF135" s="112"/>
      <c r="AG135" s="201"/>
      <c r="AH135" s="113"/>
      <c r="AI135" s="114"/>
      <c r="AJ135" s="112"/>
      <c r="AK135" s="201"/>
      <c r="AL135" s="113"/>
      <c r="AM135" s="114"/>
      <c r="AN135" s="112"/>
      <c r="AO135" s="201"/>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6" t="s">
        <v>295</v>
      </c>
      <c r="AD136" s="87"/>
      <c r="AE136" s="87"/>
      <c r="AF136" s="115"/>
      <c r="AG136" s="202"/>
      <c r="AH136" s="116"/>
      <c r="AI136" s="117"/>
      <c r="AJ136" s="115"/>
      <c r="AK136" s="202"/>
      <c r="AL136" s="116"/>
      <c r="AM136" s="117"/>
      <c r="AN136" s="115"/>
      <c r="AO136" s="202"/>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5" t="s">
        <v>32</v>
      </c>
      <c r="AD137" s="54"/>
      <c r="AE137" s="54"/>
      <c r="AF137" s="112"/>
      <c r="AG137" s="201"/>
      <c r="AH137" s="122"/>
      <c r="AI137" s="123"/>
      <c r="AJ137" s="112"/>
      <c r="AK137" s="201"/>
      <c r="AL137" s="122"/>
      <c r="AM137" s="123"/>
      <c r="AN137" s="112"/>
      <c r="AO137" s="201"/>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4"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8"/>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8"/>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5" t="s">
        <v>284</v>
      </c>
      <c r="AD141" s="54"/>
      <c r="AE141" s="54"/>
      <c r="AF141" s="112"/>
      <c r="AG141" s="201"/>
      <c r="AH141" s="122"/>
      <c r="AI141" s="123"/>
      <c r="AJ141" s="112"/>
      <c r="AK141" s="201"/>
      <c r="AL141" s="122"/>
      <c r="AM141" s="123"/>
      <c r="AN141" s="112"/>
      <c r="AO141" s="201"/>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6" t="s">
        <v>285</v>
      </c>
      <c r="AD142" s="87"/>
      <c r="AE142" s="87"/>
      <c r="AF142" s="115"/>
      <c r="AG142" s="202"/>
      <c r="AH142" s="116"/>
      <c r="AI142" s="117"/>
      <c r="AJ142" s="115"/>
      <c r="AK142" s="202"/>
      <c r="AL142" s="116"/>
      <c r="AM142" s="117"/>
      <c r="AN142" s="115"/>
      <c r="AO142" s="202"/>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5" t="s">
        <v>287</v>
      </c>
      <c r="AD143" s="54"/>
      <c r="AE143" s="54"/>
      <c r="AF143" s="112"/>
      <c r="AG143" s="201"/>
      <c r="AH143" s="113"/>
      <c r="AI143" s="114"/>
      <c r="AJ143" s="112"/>
      <c r="AK143" s="201"/>
      <c r="AL143" s="113"/>
      <c r="AM143" s="114"/>
      <c r="AN143" s="112"/>
      <c r="AO143" s="201"/>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6" t="s">
        <v>286</v>
      </c>
      <c r="AD144" s="87"/>
      <c r="AE144" s="87"/>
      <c r="AF144" s="115"/>
      <c r="AG144" s="202"/>
      <c r="AH144" s="116"/>
      <c r="AI144" s="117"/>
      <c r="AJ144" s="115"/>
      <c r="AK144" s="202"/>
      <c r="AL144" s="116"/>
      <c r="AM144" s="117"/>
      <c r="AN144" s="115"/>
      <c r="AO144" s="202"/>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5" t="s">
        <v>288</v>
      </c>
      <c r="AD145" s="54"/>
      <c r="AE145" s="54"/>
      <c r="AF145" s="112"/>
      <c r="AG145" s="201"/>
      <c r="AH145" s="113"/>
      <c r="AI145" s="114"/>
      <c r="AJ145" s="112"/>
      <c r="AK145" s="201"/>
      <c r="AL145" s="113"/>
      <c r="AM145" s="114"/>
      <c r="AN145" s="112"/>
      <c r="AO145" s="201"/>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6" t="s">
        <v>289</v>
      </c>
      <c r="AD146" s="87"/>
      <c r="AE146" s="87"/>
      <c r="AF146" s="115"/>
      <c r="AG146" s="202"/>
      <c r="AH146" s="116"/>
      <c r="AI146" s="117"/>
      <c r="AJ146" s="115"/>
      <c r="AK146" s="202"/>
      <c r="AL146" s="116"/>
      <c r="AM146" s="117"/>
      <c r="AN146" s="115"/>
      <c r="AO146" s="202"/>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5" t="s">
        <v>132</v>
      </c>
      <c r="AD147" s="54"/>
      <c r="AE147" s="54"/>
      <c r="AF147" s="112"/>
      <c r="AG147" s="201"/>
      <c r="AH147" s="113"/>
      <c r="AI147" s="114"/>
      <c r="AJ147" s="112"/>
      <c r="AK147" s="201"/>
      <c r="AL147" s="113"/>
      <c r="AM147" s="114"/>
      <c r="AN147" s="112"/>
      <c r="AO147" s="201"/>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6" t="s">
        <v>290</v>
      </c>
      <c r="AD148" s="87"/>
      <c r="AE148" s="87"/>
      <c r="AF148" s="115"/>
      <c r="AG148" s="202"/>
      <c r="AH148" s="116"/>
      <c r="AI148" s="117"/>
      <c r="AJ148" s="115"/>
      <c r="AK148" s="202"/>
      <c r="AL148" s="116"/>
      <c r="AM148" s="117"/>
      <c r="AN148" s="115"/>
      <c r="AO148" s="202"/>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5" t="s">
        <v>291</v>
      </c>
      <c r="AD149" s="54"/>
      <c r="AE149" s="54"/>
      <c r="AF149" s="112"/>
      <c r="AG149" s="201"/>
      <c r="AH149" s="113"/>
      <c r="AI149" s="114"/>
      <c r="AJ149" s="112"/>
      <c r="AK149" s="201"/>
      <c r="AL149" s="113"/>
      <c r="AM149" s="114"/>
      <c r="AN149" s="112"/>
      <c r="AO149" s="201"/>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6" t="s">
        <v>292</v>
      </c>
      <c r="AD150" s="87"/>
      <c r="AE150" s="87"/>
      <c r="AF150" s="115"/>
      <c r="AG150" s="202"/>
      <c r="AH150" s="122"/>
      <c r="AI150" s="123"/>
      <c r="AJ150" s="115"/>
      <c r="AK150" s="202"/>
      <c r="AL150" s="122"/>
      <c r="AM150" s="123"/>
      <c r="AN150" s="115"/>
      <c r="AO150" s="202"/>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5" t="s">
        <v>293</v>
      </c>
      <c r="AD151" s="54"/>
      <c r="AE151" s="54"/>
      <c r="AF151" s="112"/>
      <c r="AG151" s="201"/>
      <c r="AH151" s="122"/>
      <c r="AI151" s="123"/>
      <c r="AJ151" s="112"/>
      <c r="AK151" s="201"/>
      <c r="AL151" s="122"/>
      <c r="AM151" s="123"/>
      <c r="AN151" s="112"/>
      <c r="AO151" s="201"/>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6" t="s">
        <v>294</v>
      </c>
      <c r="AD152" s="87"/>
      <c r="AE152" s="87"/>
      <c r="AF152" s="115"/>
      <c r="AG152" s="202"/>
      <c r="AH152" s="116"/>
      <c r="AI152" s="117"/>
      <c r="AJ152" s="115"/>
      <c r="AK152" s="202"/>
      <c r="AL152" s="116"/>
      <c r="AM152" s="117"/>
      <c r="AN152" s="115"/>
      <c r="AO152" s="202"/>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5" t="s">
        <v>5</v>
      </c>
      <c r="AD153" s="54"/>
      <c r="AE153" s="54"/>
      <c r="AF153" s="112"/>
      <c r="AG153" s="201"/>
      <c r="AH153" s="113"/>
      <c r="AI153" s="114"/>
      <c r="AJ153" s="112"/>
      <c r="AK153" s="201"/>
      <c r="AL153" s="113"/>
      <c r="AM153" s="114"/>
      <c r="AN153" s="112"/>
      <c r="AO153" s="201"/>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6" t="s">
        <v>295</v>
      </c>
      <c r="AD154" s="87"/>
      <c r="AE154" s="87"/>
      <c r="AF154" s="115"/>
      <c r="AG154" s="202"/>
      <c r="AH154" s="116"/>
      <c r="AI154" s="117"/>
      <c r="AJ154" s="115"/>
      <c r="AK154" s="202"/>
      <c r="AL154" s="116"/>
      <c r="AM154" s="117"/>
      <c r="AN154" s="115"/>
      <c r="AO154" s="202"/>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5" t="s">
        <v>32</v>
      </c>
      <c r="AD155" s="54"/>
      <c r="AE155" s="54"/>
      <c r="AF155" s="112"/>
      <c r="AG155" s="201"/>
      <c r="AH155" s="122"/>
      <c r="AI155" s="123"/>
      <c r="AJ155" s="112"/>
      <c r="AK155" s="201"/>
      <c r="AL155" s="122"/>
      <c r="AM155" s="123"/>
      <c r="AN155" s="112"/>
      <c r="AO155" s="201"/>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7"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8"/>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8"/>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5" t="s">
        <v>284</v>
      </c>
      <c r="AD159" s="54"/>
      <c r="AE159" s="54"/>
      <c r="AF159" s="112"/>
      <c r="AG159" s="201"/>
      <c r="AH159" s="122"/>
      <c r="AI159" s="123"/>
      <c r="AJ159" s="112"/>
      <c r="AK159" s="201"/>
      <c r="AL159" s="122"/>
      <c r="AM159" s="123"/>
      <c r="AN159" s="112"/>
      <c r="AO159" s="201"/>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6" t="s">
        <v>285</v>
      </c>
      <c r="AD160" s="87"/>
      <c r="AE160" s="87"/>
      <c r="AF160" s="115"/>
      <c r="AG160" s="202"/>
      <c r="AH160" s="116"/>
      <c r="AI160" s="117"/>
      <c r="AJ160" s="115"/>
      <c r="AK160" s="202"/>
      <c r="AL160" s="116"/>
      <c r="AM160" s="117"/>
      <c r="AN160" s="115"/>
      <c r="AO160" s="202"/>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5" t="s">
        <v>287</v>
      </c>
      <c r="AD161" s="54"/>
      <c r="AE161" s="54"/>
      <c r="AF161" s="112"/>
      <c r="AG161" s="201"/>
      <c r="AH161" s="113"/>
      <c r="AI161" s="114"/>
      <c r="AJ161" s="112"/>
      <c r="AK161" s="201"/>
      <c r="AL161" s="113"/>
      <c r="AM161" s="114"/>
      <c r="AN161" s="112"/>
      <c r="AO161" s="201"/>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6" t="s">
        <v>286</v>
      </c>
      <c r="AD162" s="87"/>
      <c r="AE162" s="87"/>
      <c r="AF162" s="115"/>
      <c r="AG162" s="202"/>
      <c r="AH162" s="116"/>
      <c r="AI162" s="117"/>
      <c r="AJ162" s="115"/>
      <c r="AK162" s="202"/>
      <c r="AL162" s="116"/>
      <c r="AM162" s="117"/>
      <c r="AN162" s="115"/>
      <c r="AO162" s="202"/>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5" t="s">
        <v>288</v>
      </c>
      <c r="AD163" s="54"/>
      <c r="AE163" s="54"/>
      <c r="AF163" s="112"/>
      <c r="AG163" s="201"/>
      <c r="AH163" s="113"/>
      <c r="AI163" s="114"/>
      <c r="AJ163" s="112"/>
      <c r="AK163" s="201"/>
      <c r="AL163" s="113"/>
      <c r="AM163" s="114"/>
      <c r="AN163" s="112"/>
      <c r="AO163" s="201"/>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6" t="s">
        <v>289</v>
      </c>
      <c r="AD164" s="87"/>
      <c r="AE164" s="87"/>
      <c r="AF164" s="115"/>
      <c r="AG164" s="202"/>
      <c r="AH164" s="116"/>
      <c r="AI164" s="117"/>
      <c r="AJ164" s="115"/>
      <c r="AK164" s="202"/>
      <c r="AL164" s="116"/>
      <c r="AM164" s="117"/>
      <c r="AN164" s="115"/>
      <c r="AO164" s="202"/>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5" t="s">
        <v>132</v>
      </c>
      <c r="AD165" s="54"/>
      <c r="AE165" s="54"/>
      <c r="AF165" s="112"/>
      <c r="AG165" s="201"/>
      <c r="AH165" s="113"/>
      <c r="AI165" s="114"/>
      <c r="AJ165" s="112"/>
      <c r="AK165" s="201"/>
      <c r="AL165" s="113"/>
      <c r="AM165" s="114"/>
      <c r="AN165" s="112"/>
      <c r="AO165" s="201"/>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6" t="s">
        <v>290</v>
      </c>
      <c r="AD166" s="87"/>
      <c r="AE166" s="87"/>
      <c r="AF166" s="115"/>
      <c r="AG166" s="202"/>
      <c r="AH166" s="116"/>
      <c r="AI166" s="117"/>
      <c r="AJ166" s="115"/>
      <c r="AK166" s="202"/>
      <c r="AL166" s="116"/>
      <c r="AM166" s="117"/>
      <c r="AN166" s="115"/>
      <c r="AO166" s="202"/>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5" t="s">
        <v>291</v>
      </c>
      <c r="AD167" s="54"/>
      <c r="AE167" s="54"/>
      <c r="AF167" s="112"/>
      <c r="AG167" s="201"/>
      <c r="AH167" s="113"/>
      <c r="AI167" s="114"/>
      <c r="AJ167" s="112"/>
      <c r="AK167" s="201"/>
      <c r="AL167" s="113"/>
      <c r="AM167" s="114"/>
      <c r="AN167" s="112"/>
      <c r="AO167" s="201"/>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6" t="s">
        <v>292</v>
      </c>
      <c r="AD168" s="87"/>
      <c r="AE168" s="87"/>
      <c r="AF168" s="115"/>
      <c r="AG168" s="202"/>
      <c r="AH168" s="122"/>
      <c r="AI168" s="123"/>
      <c r="AJ168" s="115"/>
      <c r="AK168" s="202"/>
      <c r="AL168" s="122"/>
      <c r="AM168" s="123"/>
      <c r="AN168" s="115"/>
      <c r="AO168" s="202"/>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5" t="s">
        <v>293</v>
      </c>
      <c r="AD169" s="54"/>
      <c r="AE169" s="54"/>
      <c r="AF169" s="112"/>
      <c r="AG169" s="201"/>
      <c r="AH169" s="122"/>
      <c r="AI169" s="123"/>
      <c r="AJ169" s="112"/>
      <c r="AK169" s="201"/>
      <c r="AL169" s="122"/>
      <c r="AM169" s="123"/>
      <c r="AN169" s="112"/>
      <c r="AO169" s="201"/>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6" t="s">
        <v>294</v>
      </c>
      <c r="AD170" s="87"/>
      <c r="AE170" s="87"/>
      <c r="AF170" s="115"/>
      <c r="AG170" s="202"/>
      <c r="AH170" s="116"/>
      <c r="AI170" s="117"/>
      <c r="AJ170" s="115"/>
      <c r="AK170" s="202"/>
      <c r="AL170" s="116"/>
      <c r="AM170" s="117"/>
      <c r="AN170" s="115"/>
      <c r="AO170" s="202"/>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5" t="s">
        <v>5</v>
      </c>
      <c r="AD171" s="54"/>
      <c r="AE171" s="54"/>
      <c r="AF171" s="112"/>
      <c r="AG171" s="201"/>
      <c r="AH171" s="113"/>
      <c r="AI171" s="114"/>
      <c r="AJ171" s="112"/>
      <c r="AK171" s="201"/>
      <c r="AL171" s="113"/>
      <c r="AM171" s="114"/>
      <c r="AN171" s="112"/>
      <c r="AO171" s="201"/>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6" t="s">
        <v>295</v>
      </c>
      <c r="AD172" s="87"/>
      <c r="AE172" s="87"/>
      <c r="AF172" s="115"/>
      <c r="AG172" s="202"/>
      <c r="AH172" s="116"/>
      <c r="AI172" s="117"/>
      <c r="AJ172" s="115"/>
      <c r="AK172" s="202"/>
      <c r="AL172" s="116"/>
      <c r="AM172" s="117"/>
      <c r="AN172" s="115"/>
      <c r="AO172" s="202"/>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5" t="s">
        <v>32</v>
      </c>
      <c r="AD173" s="54"/>
      <c r="AE173" s="54"/>
      <c r="AF173" s="112"/>
      <c r="AG173" s="201"/>
      <c r="AH173" s="122"/>
      <c r="AI173" s="123"/>
      <c r="AJ173" s="112"/>
      <c r="AK173" s="201"/>
      <c r="AL173" s="122"/>
      <c r="AM173" s="123"/>
      <c r="AN173" s="112"/>
      <c r="AO173" s="201"/>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7"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8"/>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8"/>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5" t="s">
        <v>284</v>
      </c>
      <c r="AD177" s="54"/>
      <c r="AE177" s="54"/>
      <c r="AF177" s="112"/>
      <c r="AG177" s="201"/>
      <c r="AH177" s="122"/>
      <c r="AI177" s="123"/>
      <c r="AJ177" s="112"/>
      <c r="AK177" s="201"/>
      <c r="AL177" s="122"/>
      <c r="AM177" s="123"/>
      <c r="AN177" s="112"/>
      <c r="AO177" s="201"/>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6" t="s">
        <v>285</v>
      </c>
      <c r="AD178" s="87"/>
      <c r="AE178" s="87"/>
      <c r="AF178" s="115"/>
      <c r="AG178" s="202"/>
      <c r="AH178" s="116"/>
      <c r="AI178" s="117"/>
      <c r="AJ178" s="115"/>
      <c r="AK178" s="202"/>
      <c r="AL178" s="116"/>
      <c r="AM178" s="117"/>
      <c r="AN178" s="115"/>
      <c r="AO178" s="202"/>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5" t="s">
        <v>287</v>
      </c>
      <c r="AD179" s="54"/>
      <c r="AE179" s="54"/>
      <c r="AF179" s="112"/>
      <c r="AG179" s="201"/>
      <c r="AH179" s="113"/>
      <c r="AI179" s="114"/>
      <c r="AJ179" s="112"/>
      <c r="AK179" s="201"/>
      <c r="AL179" s="113"/>
      <c r="AM179" s="114"/>
      <c r="AN179" s="112"/>
      <c r="AO179" s="201"/>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6" t="s">
        <v>286</v>
      </c>
      <c r="AD180" s="87"/>
      <c r="AE180" s="87"/>
      <c r="AF180" s="115"/>
      <c r="AG180" s="202"/>
      <c r="AH180" s="116"/>
      <c r="AI180" s="117"/>
      <c r="AJ180" s="115"/>
      <c r="AK180" s="202"/>
      <c r="AL180" s="116"/>
      <c r="AM180" s="117"/>
      <c r="AN180" s="115"/>
      <c r="AO180" s="202"/>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5" t="s">
        <v>288</v>
      </c>
      <c r="AD181" s="54"/>
      <c r="AE181" s="54"/>
      <c r="AF181" s="112"/>
      <c r="AG181" s="201"/>
      <c r="AH181" s="113"/>
      <c r="AI181" s="114"/>
      <c r="AJ181" s="112"/>
      <c r="AK181" s="201"/>
      <c r="AL181" s="113"/>
      <c r="AM181" s="114"/>
      <c r="AN181" s="112"/>
      <c r="AO181" s="201"/>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6" t="s">
        <v>289</v>
      </c>
      <c r="AD182" s="87"/>
      <c r="AE182" s="87"/>
      <c r="AF182" s="115"/>
      <c r="AG182" s="202"/>
      <c r="AH182" s="116"/>
      <c r="AI182" s="117"/>
      <c r="AJ182" s="115"/>
      <c r="AK182" s="202"/>
      <c r="AL182" s="116"/>
      <c r="AM182" s="117"/>
      <c r="AN182" s="115"/>
      <c r="AO182" s="202"/>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5" t="s">
        <v>132</v>
      </c>
      <c r="AD183" s="54"/>
      <c r="AE183" s="54"/>
      <c r="AF183" s="112"/>
      <c r="AG183" s="201"/>
      <c r="AH183" s="113"/>
      <c r="AI183" s="114"/>
      <c r="AJ183" s="112"/>
      <c r="AK183" s="201"/>
      <c r="AL183" s="113"/>
      <c r="AM183" s="114"/>
      <c r="AN183" s="112"/>
      <c r="AO183" s="201"/>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6" t="s">
        <v>290</v>
      </c>
      <c r="AD184" s="87"/>
      <c r="AE184" s="87"/>
      <c r="AF184" s="115"/>
      <c r="AG184" s="202"/>
      <c r="AH184" s="116"/>
      <c r="AI184" s="117"/>
      <c r="AJ184" s="115"/>
      <c r="AK184" s="202"/>
      <c r="AL184" s="116"/>
      <c r="AM184" s="117"/>
      <c r="AN184" s="115"/>
      <c r="AO184" s="202"/>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5" t="s">
        <v>291</v>
      </c>
      <c r="AD185" s="54"/>
      <c r="AE185" s="54"/>
      <c r="AF185" s="112"/>
      <c r="AG185" s="201"/>
      <c r="AH185" s="113"/>
      <c r="AI185" s="114"/>
      <c r="AJ185" s="112"/>
      <c r="AK185" s="201"/>
      <c r="AL185" s="113"/>
      <c r="AM185" s="114"/>
      <c r="AN185" s="112"/>
      <c r="AO185" s="201"/>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6" t="s">
        <v>292</v>
      </c>
      <c r="AD186" s="87"/>
      <c r="AE186" s="87"/>
      <c r="AF186" s="115"/>
      <c r="AG186" s="202"/>
      <c r="AH186" s="122"/>
      <c r="AI186" s="123"/>
      <c r="AJ186" s="115"/>
      <c r="AK186" s="202"/>
      <c r="AL186" s="122"/>
      <c r="AM186" s="123"/>
      <c r="AN186" s="115"/>
      <c r="AO186" s="202"/>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5" t="s">
        <v>293</v>
      </c>
      <c r="AD187" s="54"/>
      <c r="AE187" s="54"/>
      <c r="AF187" s="112"/>
      <c r="AG187" s="201"/>
      <c r="AH187" s="122"/>
      <c r="AI187" s="123"/>
      <c r="AJ187" s="112"/>
      <c r="AK187" s="201"/>
      <c r="AL187" s="122"/>
      <c r="AM187" s="123"/>
      <c r="AN187" s="112"/>
      <c r="AO187" s="201"/>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6" t="s">
        <v>294</v>
      </c>
      <c r="AD188" s="87"/>
      <c r="AE188" s="87"/>
      <c r="AF188" s="115"/>
      <c r="AG188" s="202"/>
      <c r="AH188" s="116"/>
      <c r="AI188" s="117"/>
      <c r="AJ188" s="115"/>
      <c r="AK188" s="202"/>
      <c r="AL188" s="116"/>
      <c r="AM188" s="117"/>
      <c r="AN188" s="115"/>
      <c r="AO188" s="202"/>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5" t="s">
        <v>5</v>
      </c>
      <c r="AD189" s="54"/>
      <c r="AE189" s="54"/>
      <c r="AF189" s="112"/>
      <c r="AG189" s="201"/>
      <c r="AH189" s="113"/>
      <c r="AI189" s="114"/>
      <c r="AJ189" s="112"/>
      <c r="AK189" s="201"/>
      <c r="AL189" s="113"/>
      <c r="AM189" s="114"/>
      <c r="AN189" s="112"/>
      <c r="AO189" s="201"/>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6" t="s">
        <v>295</v>
      </c>
      <c r="AD190" s="87"/>
      <c r="AE190" s="87"/>
      <c r="AF190" s="115"/>
      <c r="AG190" s="202"/>
      <c r="AH190" s="116"/>
      <c r="AI190" s="117"/>
      <c r="AJ190" s="115"/>
      <c r="AK190" s="202"/>
      <c r="AL190" s="116"/>
      <c r="AM190" s="117"/>
      <c r="AN190" s="115"/>
      <c r="AO190" s="202"/>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5" t="s">
        <v>32</v>
      </c>
      <c r="AD191" s="54"/>
      <c r="AE191" s="54"/>
      <c r="AF191" s="112"/>
      <c r="AG191" s="201"/>
      <c r="AH191" s="122"/>
      <c r="AI191" s="123"/>
      <c r="AJ191" s="112"/>
      <c r="AK191" s="201"/>
      <c r="AL191" s="122"/>
      <c r="AM191" s="123"/>
      <c r="AN191" s="112"/>
      <c r="AO191" s="201"/>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7"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8"/>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8"/>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5" t="s">
        <v>284</v>
      </c>
      <c r="AD195" s="54"/>
      <c r="AE195" s="54"/>
      <c r="AF195" s="112"/>
      <c r="AG195" s="201"/>
      <c r="AH195" s="122"/>
      <c r="AI195" s="123"/>
      <c r="AJ195" s="112"/>
      <c r="AK195" s="201"/>
      <c r="AL195" s="122"/>
      <c r="AM195" s="123"/>
      <c r="AN195" s="112"/>
      <c r="AO195" s="201"/>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6" t="s">
        <v>285</v>
      </c>
      <c r="AD196" s="87"/>
      <c r="AE196" s="87"/>
      <c r="AF196" s="115"/>
      <c r="AG196" s="202"/>
      <c r="AH196" s="116"/>
      <c r="AI196" s="117"/>
      <c r="AJ196" s="115"/>
      <c r="AK196" s="202"/>
      <c r="AL196" s="116"/>
      <c r="AM196" s="117"/>
      <c r="AN196" s="115"/>
      <c r="AO196" s="202"/>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5" t="s">
        <v>287</v>
      </c>
      <c r="AD197" s="54"/>
      <c r="AE197" s="54"/>
      <c r="AF197" s="112"/>
      <c r="AG197" s="201"/>
      <c r="AH197" s="113"/>
      <c r="AI197" s="114"/>
      <c r="AJ197" s="112"/>
      <c r="AK197" s="201"/>
      <c r="AL197" s="113"/>
      <c r="AM197" s="114"/>
      <c r="AN197" s="112"/>
      <c r="AO197" s="201"/>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6" t="s">
        <v>286</v>
      </c>
      <c r="AD198" s="87"/>
      <c r="AE198" s="87"/>
      <c r="AF198" s="115"/>
      <c r="AG198" s="202"/>
      <c r="AH198" s="116"/>
      <c r="AI198" s="117"/>
      <c r="AJ198" s="115"/>
      <c r="AK198" s="202"/>
      <c r="AL198" s="116"/>
      <c r="AM198" s="117"/>
      <c r="AN198" s="115"/>
      <c r="AO198" s="202"/>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5" t="s">
        <v>288</v>
      </c>
      <c r="AD199" s="54"/>
      <c r="AE199" s="54"/>
      <c r="AF199" s="112"/>
      <c r="AG199" s="201"/>
      <c r="AH199" s="113"/>
      <c r="AI199" s="114"/>
      <c r="AJ199" s="112"/>
      <c r="AK199" s="201"/>
      <c r="AL199" s="113"/>
      <c r="AM199" s="114"/>
      <c r="AN199" s="112"/>
      <c r="AO199" s="201"/>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6" t="s">
        <v>289</v>
      </c>
      <c r="AD200" s="87"/>
      <c r="AE200" s="87"/>
      <c r="AF200" s="115"/>
      <c r="AG200" s="202"/>
      <c r="AH200" s="116"/>
      <c r="AI200" s="117"/>
      <c r="AJ200" s="115"/>
      <c r="AK200" s="202"/>
      <c r="AL200" s="116"/>
      <c r="AM200" s="117"/>
      <c r="AN200" s="115"/>
      <c r="AO200" s="202"/>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5" t="s">
        <v>132</v>
      </c>
      <c r="AD201" s="54"/>
      <c r="AE201" s="54"/>
      <c r="AF201" s="112"/>
      <c r="AG201" s="201"/>
      <c r="AH201" s="113"/>
      <c r="AI201" s="114"/>
      <c r="AJ201" s="112"/>
      <c r="AK201" s="201"/>
      <c r="AL201" s="113"/>
      <c r="AM201" s="114"/>
      <c r="AN201" s="112"/>
      <c r="AO201" s="201"/>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6" t="s">
        <v>290</v>
      </c>
      <c r="AD202" s="87"/>
      <c r="AE202" s="87"/>
      <c r="AF202" s="115"/>
      <c r="AG202" s="202"/>
      <c r="AH202" s="116"/>
      <c r="AI202" s="117"/>
      <c r="AJ202" s="115"/>
      <c r="AK202" s="202"/>
      <c r="AL202" s="116"/>
      <c r="AM202" s="117"/>
      <c r="AN202" s="115"/>
      <c r="AO202" s="202"/>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5" t="s">
        <v>291</v>
      </c>
      <c r="AD203" s="54"/>
      <c r="AE203" s="54"/>
      <c r="AF203" s="112"/>
      <c r="AG203" s="201"/>
      <c r="AH203" s="113"/>
      <c r="AI203" s="114"/>
      <c r="AJ203" s="112"/>
      <c r="AK203" s="201"/>
      <c r="AL203" s="113"/>
      <c r="AM203" s="114"/>
      <c r="AN203" s="112"/>
      <c r="AO203" s="201"/>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6" t="s">
        <v>292</v>
      </c>
      <c r="AD204" s="87"/>
      <c r="AE204" s="87"/>
      <c r="AF204" s="115"/>
      <c r="AG204" s="202"/>
      <c r="AH204" s="122"/>
      <c r="AI204" s="123"/>
      <c r="AJ204" s="115"/>
      <c r="AK204" s="202"/>
      <c r="AL204" s="122"/>
      <c r="AM204" s="123"/>
      <c r="AN204" s="115"/>
      <c r="AO204" s="202"/>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5" t="s">
        <v>293</v>
      </c>
      <c r="AD205" s="54"/>
      <c r="AE205" s="54"/>
      <c r="AF205" s="112"/>
      <c r="AG205" s="201"/>
      <c r="AH205" s="122"/>
      <c r="AI205" s="123"/>
      <c r="AJ205" s="112"/>
      <c r="AK205" s="201"/>
      <c r="AL205" s="122"/>
      <c r="AM205" s="123"/>
      <c r="AN205" s="112"/>
      <c r="AO205" s="201"/>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6" t="s">
        <v>294</v>
      </c>
      <c r="AD206" s="87"/>
      <c r="AE206" s="87"/>
      <c r="AF206" s="115"/>
      <c r="AG206" s="202"/>
      <c r="AH206" s="116"/>
      <c r="AI206" s="117"/>
      <c r="AJ206" s="115"/>
      <c r="AK206" s="202"/>
      <c r="AL206" s="116"/>
      <c r="AM206" s="117"/>
      <c r="AN206" s="115"/>
      <c r="AO206" s="202"/>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5" t="s">
        <v>5</v>
      </c>
      <c r="AD207" s="54"/>
      <c r="AE207" s="54"/>
      <c r="AF207" s="112"/>
      <c r="AG207" s="201"/>
      <c r="AH207" s="113"/>
      <c r="AI207" s="114"/>
      <c r="AJ207" s="112"/>
      <c r="AK207" s="201"/>
      <c r="AL207" s="113"/>
      <c r="AM207" s="114"/>
      <c r="AN207" s="112"/>
      <c r="AO207" s="201"/>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6" t="s">
        <v>295</v>
      </c>
      <c r="AD208" s="87"/>
      <c r="AE208" s="87"/>
      <c r="AF208" s="115"/>
      <c r="AG208" s="202"/>
      <c r="AH208" s="116"/>
      <c r="AI208" s="117"/>
      <c r="AJ208" s="115"/>
      <c r="AK208" s="202"/>
      <c r="AL208" s="116"/>
      <c r="AM208" s="117"/>
      <c r="AN208" s="115"/>
      <c r="AO208" s="202"/>
      <c r="AP208" s="116"/>
      <c r="AQ208" s="117"/>
      <c r="AR208" s="130"/>
    </row>
    <row r="209" spans="1:44" hidden="1" x14ac:dyDescent="0.25">
      <c r="A209" s="41"/>
      <c r="B209" s="214" t="str">
        <f t="shared" si="62"/>
        <v>Child Functioning -- Child #6_15</v>
      </c>
      <c r="C209" s="214" t="str">
        <f t="shared" si="66"/>
        <v>CF</v>
      </c>
      <c r="D209" s="214" t="str">
        <f t="shared" si="63"/>
        <v>CF</v>
      </c>
      <c r="E209" s="214" t="str">
        <f t="shared" si="63"/>
        <v>Child Functioning -- Child #6</v>
      </c>
      <c r="F209" s="95">
        <f t="shared" si="72"/>
        <v>13</v>
      </c>
      <c r="G209" s="214">
        <f t="shared" si="73"/>
        <v>15</v>
      </c>
      <c r="H209" s="214" t="str">
        <f t="shared" si="67"/>
        <v>CF</v>
      </c>
      <c r="I209" s="214" t="str">
        <f t="shared" si="68"/>
        <v>CF</v>
      </c>
      <c r="J209" s="214" t="str">
        <f t="shared" si="81"/>
        <v>Child Functioning -- Child #6</v>
      </c>
      <c r="K209" s="215">
        <v>1</v>
      </c>
      <c r="L209" s="95" t="str">
        <f t="shared" ca="1" si="55"/>
        <v/>
      </c>
      <c r="M209" s="25" t="str">
        <f t="shared" ca="1" si="56"/>
        <v/>
      </c>
      <c r="N209" s="214" t="str">
        <f t="shared" ca="1" si="57"/>
        <v/>
      </c>
      <c r="O209" s="214" t="str">
        <f t="shared" ca="1" si="58"/>
        <v/>
      </c>
      <c r="P209" s="91" t="str">
        <f ca="1">IFERROR(IF(AND($X209=3, ISNUMBER($X209)), COUNTIFS(X$18:X209, "=3", $AC$18:$AC209, $AC209), "-"), "err")</f>
        <v>-</v>
      </c>
      <c r="Q209" s="26" t="str">
        <f ca="1">IFERROR(IF(AND($X209=2, ISNUMBER($X209)), COUNTIFS(X$18:X209, "=2", $AC$18:$AC209, $AC209), "-"), "err")</f>
        <v>-</v>
      </c>
      <c r="R209" s="25">
        <f t="shared" ca="1" si="59"/>
        <v>0</v>
      </c>
      <c r="S209" s="213" t="str">
        <f ca="1">IFERROR(IF(AND($X209&gt;=2, ISNUMBER($X209)), COUNTIFS(X$18:X209, "&gt;=2", $AC$18:$AC209, $AC209), "-"), "err")</f>
        <v>-</v>
      </c>
      <c r="T209" s="214">
        <f t="shared" ca="1" si="60"/>
        <v>0</v>
      </c>
      <c r="U209" s="213" t="str">
        <f ca="1">IFERROR(IF(Y209="Yes", COUNTIFS(Y$18:Y209, "Yes", $AC$18:$AC209, $AC209), "-"), "err")</f>
        <v>-</v>
      </c>
      <c r="V209" s="25">
        <f t="shared" ca="1" si="61"/>
        <v>0</v>
      </c>
      <c r="W209" s="213" t="str">
        <f ca="1">IFERROR(IF($Z209="Yes", COUNTIFS(Z$18:Z209, "Yes", $AC$18:AC209, $AC209), "-"), "err")</f>
        <v>-</v>
      </c>
      <c r="X209" s="91">
        <f t="shared" ca="1" si="77"/>
        <v>0</v>
      </c>
      <c r="Y209" s="213" t="str">
        <f t="shared" ca="1" si="78"/>
        <v/>
      </c>
      <c r="Z209" s="213" t="str">
        <f t="shared" ca="1" si="79"/>
        <v/>
      </c>
      <c r="AA209" s="91">
        <f t="shared" si="82"/>
        <v>164</v>
      </c>
      <c r="AB209" s="17" t="s">
        <v>32</v>
      </c>
      <c r="AC209" s="188" t="s">
        <v>32</v>
      </c>
      <c r="AD209" s="181"/>
      <c r="AE209" s="181"/>
      <c r="AF209" s="182"/>
      <c r="AG209" s="203"/>
      <c r="AH209" s="200"/>
      <c r="AI209" s="183"/>
      <c r="AJ209" s="182"/>
      <c r="AK209" s="203"/>
      <c r="AL209" s="200"/>
      <c r="AM209" s="183"/>
      <c r="AN209" s="182"/>
      <c r="AO209" s="203"/>
      <c r="AP209" s="200"/>
      <c r="AQ209" s="183"/>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4" t="s">
        <v>161</v>
      </c>
      <c r="B3" s="204" t="s">
        <v>54</v>
      </c>
      <c r="C3" s="204" t="s">
        <v>56</v>
      </c>
      <c r="D3" s="204" t="s">
        <v>57</v>
      </c>
      <c r="E3" s="204" t="s">
        <v>58</v>
      </c>
      <c r="F3" s="204" t="s">
        <v>0</v>
      </c>
      <c r="G3" s="204" t="s">
        <v>162</v>
      </c>
      <c r="H3" s="204" t="s">
        <v>61</v>
      </c>
      <c r="I3" s="204" t="s">
        <v>51</v>
      </c>
      <c r="J3" s="204" t="s">
        <v>59</v>
      </c>
      <c r="K3" s="204" t="s">
        <v>50</v>
      </c>
      <c r="L3" s="204"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5" t="str">
        <f t="shared" ref="R4:R53" ca="1" si="2">IFERROR(INDEX(Items, MATCH(ROW()-ROW(R$3), Needs, 0)), "")</f>
        <v/>
      </c>
      <c r="S4" s="205" t="str">
        <f t="shared" ref="S4:S53" ca="1" si="3">IFERROR(INDEX(Items, MATCH(ROW()-ROW(S$3), UsefulStrengths, 0)), "")</f>
        <v/>
      </c>
      <c r="T4" s="205"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5" t="str">
        <f t="shared" ca="1" si="2"/>
        <v/>
      </c>
      <c r="S5" s="205" t="str">
        <f t="shared" ca="1" si="3"/>
        <v/>
      </c>
      <c r="T5" s="205"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5" t="str">
        <f t="shared" ca="1" si="2"/>
        <v/>
      </c>
      <c r="S6" s="205" t="str">
        <f t="shared" ca="1" si="3"/>
        <v/>
      </c>
      <c r="T6" s="205"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5" t="str">
        <f t="shared" ca="1" si="2"/>
        <v/>
      </c>
      <c r="S7" s="205" t="str">
        <f t="shared" ca="1" si="3"/>
        <v/>
      </c>
      <c r="T7" s="205"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5" t="str">
        <f t="shared" ca="1" si="2"/>
        <v/>
      </c>
      <c r="S8" s="205" t="str">
        <f t="shared" ca="1" si="3"/>
        <v/>
      </c>
      <c r="T8" s="205"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5" t="str">
        <f t="shared" ca="1" si="2"/>
        <v/>
      </c>
      <c r="S9" s="205" t="str">
        <f t="shared" ca="1" si="3"/>
        <v/>
      </c>
      <c r="T9" s="205"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5" t="str">
        <f t="shared" ca="1" si="2"/>
        <v/>
      </c>
      <c r="S10" s="205" t="str">
        <f t="shared" ca="1" si="3"/>
        <v/>
      </c>
      <c r="T10" s="205"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5" t="str">
        <f t="shared" ca="1" si="2"/>
        <v/>
      </c>
      <c r="S11" s="205" t="str">
        <f t="shared" ca="1" si="3"/>
        <v/>
      </c>
      <c r="T11" s="205"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5" t="str">
        <f t="shared" ca="1" si="2"/>
        <v/>
      </c>
      <c r="S12" s="205" t="str">
        <f t="shared" ca="1" si="3"/>
        <v/>
      </c>
      <c r="T12" s="205"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5" t="str">
        <f t="shared" ca="1" si="2"/>
        <v/>
      </c>
      <c r="S13" s="205" t="str">
        <f t="shared" ca="1" si="3"/>
        <v/>
      </c>
      <c r="T13" s="205"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5" t="str">
        <f t="shared" ca="1" si="2"/>
        <v/>
      </c>
      <c r="S14" s="205" t="str">
        <f t="shared" ca="1" si="3"/>
        <v/>
      </c>
      <c r="T14" s="205"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5" t="str">
        <f t="shared" ca="1" si="2"/>
        <v/>
      </c>
      <c r="S15" s="205" t="str">
        <f t="shared" ca="1" si="3"/>
        <v/>
      </c>
      <c r="T15" s="205"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5" t="str">
        <f t="shared" ca="1" si="2"/>
        <v/>
      </c>
      <c r="S16" s="205" t="str">
        <f t="shared" ca="1" si="3"/>
        <v/>
      </c>
      <c r="T16" s="205"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5" t="str">
        <f t="shared" ca="1" si="2"/>
        <v/>
      </c>
      <c r="S17" s="205" t="str">
        <f t="shared" ca="1" si="3"/>
        <v/>
      </c>
      <c r="T17" s="205"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5" t="str">
        <f t="shared" ca="1" si="2"/>
        <v/>
      </c>
      <c r="S18" s="205" t="str">
        <f t="shared" ca="1" si="3"/>
        <v/>
      </c>
      <c r="T18" s="205"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5" t="str">
        <f t="shared" ca="1" si="2"/>
        <v/>
      </c>
      <c r="S19" s="205" t="str">
        <f t="shared" ca="1" si="3"/>
        <v/>
      </c>
      <c r="T19" s="205"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5" t="str">
        <f t="shared" ca="1" si="2"/>
        <v/>
      </c>
      <c r="S20" s="205" t="str">
        <f t="shared" ca="1" si="3"/>
        <v/>
      </c>
      <c r="T20" s="205"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5" t="str">
        <f t="shared" ca="1" si="2"/>
        <v/>
      </c>
      <c r="S21" s="205" t="str">
        <f t="shared" ca="1" si="3"/>
        <v/>
      </c>
      <c r="T21" s="205"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5" t="str">
        <f t="shared" ca="1" si="2"/>
        <v/>
      </c>
      <c r="S22" s="205" t="str">
        <f t="shared" ca="1" si="3"/>
        <v/>
      </c>
      <c r="T22" s="205"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5" t="str">
        <f t="shared" ca="1" si="2"/>
        <v/>
      </c>
      <c r="S23" s="205" t="str">
        <f t="shared" ca="1" si="3"/>
        <v/>
      </c>
      <c r="T23" s="205"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5" t="str">
        <f t="shared" ca="1" si="2"/>
        <v/>
      </c>
      <c r="S24" s="205" t="str">
        <f t="shared" ca="1" si="3"/>
        <v/>
      </c>
      <c r="T24" s="205"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5" t="str">
        <f t="shared" ca="1" si="2"/>
        <v/>
      </c>
      <c r="S25" s="205" t="str">
        <f t="shared" ca="1" si="3"/>
        <v/>
      </c>
      <c r="T25" s="205"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5" t="str">
        <f t="shared" ca="1" si="2"/>
        <v/>
      </c>
      <c r="S26" s="205" t="str">
        <f t="shared" ca="1" si="3"/>
        <v/>
      </c>
      <c r="T26" s="205"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5" t="str">
        <f t="shared" ca="1" si="2"/>
        <v/>
      </c>
      <c r="S27" s="205" t="str">
        <f t="shared" ca="1" si="3"/>
        <v/>
      </c>
      <c r="T27" s="205"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5" t="str">
        <f t="shared" ca="1" si="2"/>
        <v/>
      </c>
      <c r="S28" s="205" t="str">
        <f t="shared" ca="1" si="3"/>
        <v/>
      </c>
      <c r="T28" s="205"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5" t="str">
        <f t="shared" ca="1" si="2"/>
        <v/>
      </c>
      <c r="S29" s="205" t="str">
        <f t="shared" ca="1" si="3"/>
        <v/>
      </c>
      <c r="T29" s="205"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5" t="str">
        <f t="shared" ca="1" si="2"/>
        <v/>
      </c>
      <c r="S30" s="205" t="str">
        <f t="shared" ca="1" si="3"/>
        <v/>
      </c>
      <c r="T30" s="205"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5" t="str">
        <f t="shared" ca="1" si="2"/>
        <v/>
      </c>
      <c r="S31" s="205" t="str">
        <f t="shared" ca="1" si="3"/>
        <v/>
      </c>
      <c r="T31" s="205"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5" t="str">
        <f t="shared" ca="1" si="2"/>
        <v/>
      </c>
      <c r="S32" s="205" t="str">
        <f t="shared" ca="1" si="3"/>
        <v/>
      </c>
      <c r="T32" s="205"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5" t="str">
        <f t="shared" ca="1" si="2"/>
        <v/>
      </c>
      <c r="S33" s="205" t="str">
        <f t="shared" ca="1" si="3"/>
        <v/>
      </c>
      <c r="T33" s="205"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5" t="str">
        <f t="shared" ca="1" si="2"/>
        <v/>
      </c>
      <c r="S34" s="205" t="str">
        <f t="shared" ca="1" si="3"/>
        <v/>
      </c>
      <c r="T34" s="205"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5" t="str">
        <f t="shared" ca="1" si="2"/>
        <v/>
      </c>
      <c r="S35" s="205" t="str">
        <f t="shared" ca="1" si="3"/>
        <v/>
      </c>
      <c r="T35" s="205"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5" t="str">
        <f t="shared" ca="1" si="2"/>
        <v/>
      </c>
      <c r="S36" s="205" t="str">
        <f t="shared" ca="1" si="3"/>
        <v/>
      </c>
      <c r="T36" s="205"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5" t="str">
        <f t="shared" ca="1" si="2"/>
        <v/>
      </c>
      <c r="S37" s="205" t="str">
        <f t="shared" ca="1" si="3"/>
        <v/>
      </c>
      <c r="T37" s="205"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5" t="str">
        <f t="shared" ca="1" si="2"/>
        <v/>
      </c>
      <c r="S38" s="205" t="str">
        <f t="shared" ca="1" si="3"/>
        <v/>
      </c>
      <c r="T38" s="205"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5" t="str">
        <f t="shared" ca="1" si="2"/>
        <v/>
      </c>
      <c r="S39" s="205" t="str">
        <f t="shared" ca="1" si="3"/>
        <v/>
      </c>
      <c r="T39" s="205"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5" t="str">
        <f t="shared" ca="1" si="2"/>
        <v/>
      </c>
      <c r="S40" s="205" t="str">
        <f t="shared" ca="1" si="3"/>
        <v/>
      </c>
      <c r="T40" s="205"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5" t="str">
        <f t="shared" ca="1" si="2"/>
        <v/>
      </c>
      <c r="S41" s="205" t="str">
        <f t="shared" ca="1" si="3"/>
        <v/>
      </c>
      <c r="T41" s="205"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5" t="str">
        <f t="shared" ca="1" si="2"/>
        <v/>
      </c>
      <c r="S42" s="205" t="str">
        <f t="shared" ca="1" si="3"/>
        <v/>
      </c>
      <c r="T42" s="205"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5" t="str">
        <f t="shared" ca="1" si="2"/>
        <v/>
      </c>
      <c r="S43" s="205" t="str">
        <f t="shared" ca="1" si="3"/>
        <v/>
      </c>
      <c r="T43" s="205"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5" t="str">
        <f t="shared" ca="1" si="2"/>
        <v/>
      </c>
      <c r="S44" s="205" t="str">
        <f t="shared" ca="1" si="3"/>
        <v/>
      </c>
      <c r="T44" s="205"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5" t="str">
        <f t="shared" ca="1" si="2"/>
        <v/>
      </c>
      <c r="S45" s="205" t="str">
        <f t="shared" ca="1" si="3"/>
        <v/>
      </c>
      <c r="T45" s="205"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5" t="str">
        <f t="shared" ca="1" si="2"/>
        <v/>
      </c>
      <c r="S46" s="205" t="str">
        <f t="shared" ca="1" si="3"/>
        <v/>
      </c>
      <c r="T46" s="205"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5" t="str">
        <f t="shared" ca="1" si="2"/>
        <v/>
      </c>
      <c r="S47" s="205" t="str">
        <f t="shared" ca="1" si="3"/>
        <v/>
      </c>
      <c r="T47" s="205"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5" t="str">
        <f t="shared" ca="1" si="2"/>
        <v/>
      </c>
      <c r="S48" s="205" t="str">
        <f t="shared" ca="1" si="3"/>
        <v/>
      </c>
      <c r="T48" s="205"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5" t="str">
        <f t="shared" ca="1" si="2"/>
        <v/>
      </c>
      <c r="S49" s="205" t="str">
        <f t="shared" ca="1" si="3"/>
        <v/>
      </c>
      <c r="T49" s="205"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5" t="str">
        <f t="shared" ca="1" si="2"/>
        <v/>
      </c>
      <c r="S50" s="205" t="str">
        <f t="shared" ca="1" si="3"/>
        <v/>
      </c>
      <c r="T50" s="205"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5" t="str">
        <f t="shared" ca="1" si="2"/>
        <v/>
      </c>
      <c r="S51" s="205" t="str">
        <f t="shared" ca="1" si="3"/>
        <v/>
      </c>
      <c r="T51" s="205"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5" t="str">
        <f t="shared" ca="1" si="2"/>
        <v/>
      </c>
      <c r="S52" s="205" t="str">
        <f t="shared" ca="1" si="3"/>
        <v/>
      </c>
      <c r="T52" s="205"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5" t="str">
        <f t="shared" ca="1" si="2"/>
        <v/>
      </c>
      <c r="S53" s="205" t="str">
        <f t="shared" ca="1" si="3"/>
        <v/>
      </c>
      <c r="T53" s="205"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E8" sqref="E8"/>
    </sheetView>
  </sheetViews>
  <sheetFormatPr defaultRowHeight="15" x14ac:dyDescent="0.25"/>
  <cols>
    <col min="1" max="1" width="3.7109375" style="140" customWidth="1"/>
    <col min="2" max="2" width="76.7109375" style="180"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6" t="s">
        <v>304</v>
      </c>
      <c r="B1" s="162"/>
      <c r="C1" s="235"/>
      <c r="D1" s="163"/>
      <c r="E1" s="163"/>
      <c r="F1" s="163"/>
    </row>
    <row r="2" spans="1:6" x14ac:dyDescent="0.25">
      <c r="A2" s="164"/>
      <c r="B2" s="165"/>
      <c r="C2" s="166" t="s">
        <v>305</v>
      </c>
      <c r="D2" s="169" t="str">
        <f>FamilyName&amp;""</f>
        <v/>
      </c>
      <c r="E2" s="167"/>
      <c r="F2" s="164"/>
    </row>
    <row r="3" spans="1:6" x14ac:dyDescent="0.25">
      <c r="A3" s="153"/>
      <c r="B3" s="168"/>
      <c r="C3" s="169" t="str">
        <f>"Information from latest assessment: "&amp;TEXT(dateLastAssess, "M/D/YYYY")</f>
        <v xml:space="preserve">Information from latest assessment: </v>
      </c>
      <c r="D3" s="170"/>
      <c r="E3" s="167"/>
      <c r="F3" s="153"/>
    </row>
    <row r="4" spans="1:6" x14ac:dyDescent="0.25">
      <c r="A4" s="153"/>
      <c r="B4" s="168"/>
      <c r="C4" s="169"/>
      <c r="D4" s="170"/>
      <c r="E4" s="167"/>
      <c r="F4" s="153"/>
    </row>
    <row r="5" spans="1:6" x14ac:dyDescent="0.25">
      <c r="A5" s="153"/>
      <c r="B5" s="171" t="s">
        <v>681</v>
      </c>
      <c r="C5" s="172"/>
      <c r="D5" s="173" t="s">
        <v>258</v>
      </c>
      <c r="E5" s="173" t="s">
        <v>259</v>
      </c>
      <c r="F5" s="153"/>
    </row>
    <row r="6" spans="1:6" x14ac:dyDescent="0.25">
      <c r="A6" s="153"/>
      <c r="B6" s="168" t="s">
        <v>3</v>
      </c>
      <c r="C6" s="242" t="s">
        <v>3</v>
      </c>
      <c r="D6" s="174" t="str">
        <f t="shared" ref="D6:D17" ca="1" si="0">INDEX(ActionNeeds, MATCH($B6, LastDomainItem, 0))&amp;""</f>
        <v/>
      </c>
      <c r="E6" s="174" t="str">
        <f t="shared" ref="E6:E17" ca="1" si="1">INDEX(IActionNeeds, MATCH($B6, LastDomainItem, 0))&amp;""</f>
        <v/>
      </c>
      <c r="F6" s="153"/>
    </row>
    <row r="7" spans="1:6" x14ac:dyDescent="0.25">
      <c r="A7" s="153"/>
      <c r="B7" s="168" t="s">
        <v>306</v>
      </c>
      <c r="C7" s="242" t="s">
        <v>306</v>
      </c>
      <c r="D7" s="174" t="str">
        <f t="shared" ca="1" si="0"/>
        <v/>
      </c>
      <c r="E7" s="174" t="str">
        <f t="shared" ca="1" si="1"/>
        <v/>
      </c>
      <c r="F7" s="153"/>
    </row>
    <row r="8" spans="1:6" x14ac:dyDescent="0.25">
      <c r="A8" s="153"/>
      <c r="B8" s="168" t="s">
        <v>324</v>
      </c>
      <c r="C8" s="242" t="str">
        <f>"Caregiver Functioning - "&amp;CGName1</f>
        <v xml:space="preserve">Caregiver Functioning - </v>
      </c>
      <c r="D8" s="174" t="str">
        <f t="shared" ca="1" si="0"/>
        <v/>
      </c>
      <c r="E8" s="174" t="str">
        <f t="shared" ca="1" si="1"/>
        <v/>
      </c>
      <c r="F8" s="153"/>
    </row>
    <row r="9" spans="1:6" x14ac:dyDescent="0.25">
      <c r="A9" s="153"/>
      <c r="B9" s="168" t="s">
        <v>325</v>
      </c>
      <c r="C9" s="242" t="str">
        <f>"Caregiver Functioning - "&amp;CGName2</f>
        <v xml:space="preserve">Caregiver Functioning - </v>
      </c>
      <c r="D9" s="174" t="str">
        <f t="shared" ca="1" si="0"/>
        <v/>
      </c>
      <c r="E9" s="174" t="str">
        <f t="shared" ca="1" si="1"/>
        <v/>
      </c>
      <c r="F9" s="153"/>
    </row>
    <row r="10" spans="1:6" x14ac:dyDescent="0.25">
      <c r="A10" s="153"/>
      <c r="B10" s="168" t="s">
        <v>668</v>
      </c>
      <c r="C10" s="242" t="str">
        <f>"Caregiver Functioning - "&amp;CGName3</f>
        <v xml:space="preserve">Caregiver Functioning - </v>
      </c>
      <c r="D10" s="174" t="str">
        <f t="shared" ca="1" si="0"/>
        <v/>
      </c>
      <c r="E10" s="174" t="str">
        <f t="shared" ca="1" si="1"/>
        <v/>
      </c>
      <c r="F10" s="153"/>
    </row>
    <row r="11" spans="1:6" x14ac:dyDescent="0.25">
      <c r="A11" s="153"/>
      <c r="B11" s="168" t="s">
        <v>669</v>
      </c>
      <c r="C11" s="242" t="str">
        <f>"Caregiver Functioning - "&amp;CGName4</f>
        <v xml:space="preserve">Caregiver Functioning - </v>
      </c>
      <c r="D11" s="174" t="str">
        <f t="shared" ca="1" si="0"/>
        <v/>
      </c>
      <c r="E11" s="174" t="str">
        <f t="shared" ca="1" si="1"/>
        <v/>
      </c>
      <c r="F11" s="153"/>
    </row>
    <row r="12" spans="1:6" x14ac:dyDescent="0.25">
      <c r="A12" s="153"/>
      <c r="B12" s="168" t="s">
        <v>326</v>
      </c>
      <c r="C12" s="242" t="str">
        <f>"Child Functioning - "&amp;ChildName1</f>
        <v xml:space="preserve">Child Functioning - </v>
      </c>
      <c r="D12" s="174" t="str">
        <f t="shared" ca="1" si="0"/>
        <v/>
      </c>
      <c r="E12" s="174" t="str">
        <f t="shared" ca="1" si="1"/>
        <v/>
      </c>
      <c r="F12" s="153"/>
    </row>
    <row r="13" spans="1:6" x14ac:dyDescent="0.25">
      <c r="A13" s="153"/>
      <c r="B13" s="168" t="s">
        <v>327</v>
      </c>
      <c r="C13" s="242" t="str">
        <f>"Child Functioning - "&amp;ChildName2</f>
        <v xml:space="preserve">Child Functioning - </v>
      </c>
      <c r="D13" s="174" t="str">
        <f t="shared" ca="1" si="0"/>
        <v/>
      </c>
      <c r="E13" s="174" t="str">
        <f t="shared" ca="1" si="1"/>
        <v/>
      </c>
      <c r="F13" s="153"/>
    </row>
    <row r="14" spans="1:6" x14ac:dyDescent="0.25">
      <c r="A14" s="153"/>
      <c r="B14" s="168" t="s">
        <v>328</v>
      </c>
      <c r="C14" s="242" t="str">
        <f>"Child Functioning - "&amp;ChildName3</f>
        <v xml:space="preserve">Child Functioning - </v>
      </c>
      <c r="D14" s="174" t="str">
        <f t="shared" ca="1" si="0"/>
        <v/>
      </c>
      <c r="E14" s="174" t="str">
        <f t="shared" ca="1" si="1"/>
        <v/>
      </c>
      <c r="F14" s="153"/>
    </row>
    <row r="15" spans="1:6" x14ac:dyDescent="0.25">
      <c r="A15" s="153"/>
      <c r="B15" s="168" t="s">
        <v>329</v>
      </c>
      <c r="C15" s="242" t="str">
        <f>"Child Functioning - "&amp;ChildName4</f>
        <v xml:space="preserve">Child Functioning - </v>
      </c>
      <c r="D15" s="174" t="str">
        <f t="shared" ca="1" si="0"/>
        <v/>
      </c>
      <c r="E15" s="174" t="str">
        <f t="shared" ca="1" si="1"/>
        <v/>
      </c>
      <c r="F15" s="153"/>
    </row>
    <row r="16" spans="1:6" x14ac:dyDescent="0.25">
      <c r="A16" s="153"/>
      <c r="B16" s="168" t="s">
        <v>330</v>
      </c>
      <c r="C16" s="242" t="str">
        <f>"Child Functioning - "&amp;ChildName5</f>
        <v xml:space="preserve">Child Functioning - </v>
      </c>
      <c r="D16" s="174" t="str">
        <f t="shared" ca="1" si="0"/>
        <v/>
      </c>
      <c r="E16" s="174" t="str">
        <f t="shared" ca="1" si="1"/>
        <v/>
      </c>
      <c r="F16" s="153"/>
    </row>
    <row r="17" spans="1:6" x14ac:dyDescent="0.25">
      <c r="A17" s="153"/>
      <c r="B17" s="168" t="s">
        <v>331</v>
      </c>
      <c r="C17" s="242" t="str">
        <f>"Child Functioning - "&amp;ChildName6</f>
        <v xml:space="preserve">Child Functioning - </v>
      </c>
      <c r="D17" s="174" t="str">
        <f t="shared" ca="1" si="0"/>
        <v/>
      </c>
      <c r="E17" s="174" t="str">
        <f t="shared" ca="1" si="1"/>
        <v/>
      </c>
      <c r="F17" s="153"/>
    </row>
    <row r="18" spans="1:6" x14ac:dyDescent="0.25">
      <c r="A18" s="153"/>
      <c r="B18" s="168"/>
      <c r="C18" s="175"/>
      <c r="D18" s="176" t="s">
        <v>307</v>
      </c>
      <c r="E18" s="176" t="s">
        <v>308</v>
      </c>
      <c r="F18" s="153"/>
    </row>
    <row r="19" spans="1:6" x14ac:dyDescent="0.25">
      <c r="A19" s="153"/>
      <c r="B19" s="168" t="s">
        <v>683</v>
      </c>
      <c r="C19" s="242" t="s">
        <v>10</v>
      </c>
      <c r="D19" s="174" t="str">
        <f ca="1">INDEX(USList, MATCH($B19, LastDomShortItem, 0))&amp;""</f>
        <v/>
      </c>
      <c r="E19" s="174" t="str">
        <f ca="1">INDEX(SBList, MATCH($B19, LastDomShortItem, 0))&amp;""</f>
        <v/>
      </c>
      <c r="F19" s="153"/>
    </row>
    <row r="20" spans="1:6" x14ac:dyDescent="0.25">
      <c r="A20" s="153"/>
      <c r="B20" s="168" t="s">
        <v>666</v>
      </c>
      <c r="C20" s="242" t="s">
        <v>309</v>
      </c>
      <c r="D20" s="174" t="str">
        <f ca="1">INDEX(USList, MATCH($B20, LastDomShortItem, 0))&amp;""</f>
        <v/>
      </c>
      <c r="E20" s="174" t="str">
        <f ca="1">INDEX(SBList, MATCH($B20, LastDomShortItem, 0))&amp;""</f>
        <v/>
      </c>
      <c r="F20" s="153"/>
    </row>
    <row r="21" spans="1:6" x14ac:dyDescent="0.25">
      <c r="A21" s="153"/>
      <c r="B21" s="168" t="s">
        <v>667</v>
      </c>
      <c r="C21" s="242" t="s">
        <v>310</v>
      </c>
      <c r="D21" s="174" t="str">
        <f ca="1">INDEX(USList, MATCH($B21, LastDomShortItem, 0))&amp;""</f>
        <v/>
      </c>
      <c r="E21" s="174" t="str">
        <f ca="1">INDEX(SBList, MATCH($B21, LastDomShortItem, 0))&amp;""</f>
        <v/>
      </c>
      <c r="F21" s="153"/>
    </row>
    <row r="22" spans="1:6" x14ac:dyDescent="0.25">
      <c r="A22" s="153"/>
      <c r="B22" s="153"/>
      <c r="C22" s="153"/>
      <c r="D22" s="153"/>
      <c r="E22" s="153"/>
      <c r="F22" s="153"/>
    </row>
    <row r="23" spans="1:6" x14ac:dyDescent="0.25">
      <c r="A23" s="153"/>
      <c r="B23" s="171" t="s">
        <v>684</v>
      </c>
      <c r="C23" s="177" t="s">
        <v>311</v>
      </c>
      <c r="D23" s="178"/>
      <c r="E23" s="178"/>
      <c r="F23" s="153"/>
    </row>
    <row r="24" spans="1:6" x14ac:dyDescent="0.25">
      <c r="A24" s="153"/>
      <c r="B24" s="179">
        <f>FamilyGoals</f>
        <v>0</v>
      </c>
      <c r="C24" s="242" t="s">
        <v>312</v>
      </c>
      <c r="D24" s="275" t="str">
        <f>FamilyGoals &amp; ""</f>
        <v/>
      </c>
      <c r="E24" s="275"/>
      <c r="F24" s="153"/>
    </row>
    <row r="25" spans="1:6" x14ac:dyDescent="0.25">
      <c r="A25" s="153"/>
      <c r="B25" s="179">
        <f>FamilyStrengths</f>
        <v>0</v>
      </c>
      <c r="C25" s="242" t="s">
        <v>10</v>
      </c>
      <c r="D25" s="275" t="str">
        <f>FamilyStrengths &amp; ""</f>
        <v/>
      </c>
      <c r="E25" s="275"/>
      <c r="F25" s="153"/>
    </row>
    <row r="26" spans="1:6" x14ac:dyDescent="0.25">
      <c r="A26" s="153"/>
      <c r="B26" s="168"/>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1" t="str">
        <f>IF(dateAssess1="", "&lt;No 1st Assm't&gt;", dateAssess1)</f>
        <v>&lt;No 1st Assm't&gt;</v>
      </c>
      <c r="G2" s="19" t="str">
        <f>IF(dateAssess2="", "&lt;No 2nd Assm't&gt;", dateAssess2)</f>
        <v>&lt;No 2nd Assm't&gt;</v>
      </c>
      <c r="H2" s="19" t="str">
        <f>IF(dateAssess3="", "&lt;No 3rd Assm't&gt;", dateAssess3)</f>
        <v>&lt;No 3rd Assm't&gt;</v>
      </c>
      <c r="N2" s="251" t="str">
        <f>IF(dateAssess1="", "&lt;No 1st Assm't&gt;", dateAssess1)</f>
        <v>&lt;No 1st Assm't&gt;</v>
      </c>
      <c r="O2" s="19" t="str">
        <f>IF(dateAssess2="", "&lt;No 2nd Assm't&gt;", dateAssess2)</f>
        <v>&lt;No 2nd Assm't&gt;</v>
      </c>
      <c r="P2" s="19" t="str">
        <f>IF(dateAssess3="", "&lt;No 3rd Assm't&gt;", dateAssess3)</f>
        <v>&lt;No 3rd Assm't&gt;</v>
      </c>
      <c r="V2" s="251"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1"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1"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1"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1"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1"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1"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1"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1"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1"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1"/>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E8" sqref="E8"/>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J6" sqref="J6"/>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hidden="1" customWidth="1"/>
    <col min="8" max="8" width="26.7109375" style="151" hidden="1" customWidth="1"/>
    <col min="9" max="9" width="3" style="234" customWidth="1"/>
    <col min="10" max="10" width="29.5703125" style="151" customWidth="1"/>
    <col min="11" max="11" width="26.7109375" style="151" bestFit="1" customWidth="1"/>
    <col min="12" max="12" width="3" style="234" customWidth="1"/>
    <col min="13" max="13" width="30.140625" style="151" customWidth="1"/>
    <col min="14" max="14" width="3" style="234"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7"/>
      <c r="J1" s="137"/>
      <c r="K1" s="137"/>
      <c r="L1" s="227"/>
      <c r="M1" s="137"/>
      <c r="N1" s="227"/>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9" t="s">
        <v>92</v>
      </c>
      <c r="E3" s="190"/>
      <c r="F3" s="190"/>
      <c r="G3" s="190"/>
      <c r="H3" s="190"/>
      <c r="I3" s="228"/>
      <c r="J3" s="190"/>
      <c r="K3" s="190"/>
      <c r="L3" s="228"/>
      <c r="M3" s="190"/>
      <c r="N3" s="228"/>
      <c r="O3" s="191"/>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6" t="str">
        <f t="shared" ref="Q4:Q35" ca="1" si="0">IFERROR(INDEX(Needs_Q, MATCH(ROW()-ROW(Q$3), Needs_Q_Ix, 0)), "")</f>
        <v/>
      </c>
      <c r="R4" s="216" t="str">
        <f t="shared" ref="R4:R35" ca="1" si="1">IFERROR(INDEX(US_Q, MATCH(ROW()-ROW(R$3), US_Q_Ix, 0)), "")</f>
        <v/>
      </c>
      <c r="S4" s="216"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9"/>
      <c r="E5" s="219"/>
      <c r="F5" s="219"/>
      <c r="G5" s="219"/>
      <c r="H5" s="219"/>
      <c r="I5" s="258" t="s">
        <v>65</v>
      </c>
      <c r="J5" s="192"/>
      <c r="K5" s="219"/>
      <c r="L5" s="229" t="s">
        <v>65</v>
      </c>
      <c r="M5" s="192"/>
      <c r="N5" s="229" t="s">
        <v>65</v>
      </c>
      <c r="O5" s="193"/>
      <c r="P5" s="153"/>
      <c r="Q5" s="216" t="str">
        <f t="shared" ca="1" si="0"/>
        <v/>
      </c>
      <c r="R5" s="216" t="str">
        <f t="shared" ca="1" si="1"/>
        <v/>
      </c>
      <c r="S5" s="216" t="str">
        <f t="shared" ca="1" si="2"/>
        <v/>
      </c>
    </row>
    <row r="6" spans="1:29" x14ac:dyDescent="0.25">
      <c r="B6" s="141" t="str">
        <f t="shared" si="3"/>
        <v/>
      </c>
      <c r="C6" s="153"/>
      <c r="D6" s="280"/>
      <c r="E6" s="219"/>
      <c r="F6" s="219"/>
      <c r="G6" s="219"/>
      <c r="H6" s="219"/>
      <c r="I6" s="229" t="s">
        <v>66</v>
      </c>
      <c r="J6" s="192"/>
      <c r="K6" s="219"/>
      <c r="L6" s="229" t="s">
        <v>66</v>
      </c>
      <c r="M6" s="192"/>
      <c r="N6" s="229" t="s">
        <v>66</v>
      </c>
      <c r="O6" s="193"/>
      <c r="P6" s="153"/>
      <c r="Q6" s="216" t="str">
        <f t="shared" ca="1" si="0"/>
        <v/>
      </c>
      <c r="R6" s="216" t="str">
        <f t="shared" ca="1" si="1"/>
        <v/>
      </c>
      <c r="S6" s="216" t="str">
        <f t="shared" ca="1" si="2"/>
        <v/>
      </c>
    </row>
    <row r="7" spans="1:29" x14ac:dyDescent="0.25">
      <c r="B7" s="141" t="str">
        <f t="shared" si="3"/>
        <v/>
      </c>
      <c r="C7" s="153"/>
      <c r="D7" s="280"/>
      <c r="E7" s="219"/>
      <c r="F7" s="219"/>
      <c r="G7" s="219"/>
      <c r="H7" s="219"/>
      <c r="I7" s="229" t="s">
        <v>67</v>
      </c>
      <c r="J7" s="192"/>
      <c r="K7" s="219"/>
      <c r="L7" s="229" t="s">
        <v>67</v>
      </c>
      <c r="M7" s="192"/>
      <c r="N7" s="229" t="s">
        <v>67</v>
      </c>
      <c r="O7" s="193"/>
      <c r="P7" s="153"/>
      <c r="Q7" s="216" t="str">
        <f t="shared" ca="1" si="0"/>
        <v/>
      </c>
      <c r="R7" s="216" t="str">
        <f t="shared" ca="1" si="1"/>
        <v/>
      </c>
      <c r="S7" s="216" t="str">
        <f t="shared" ca="1" si="2"/>
        <v/>
      </c>
    </row>
    <row r="8" spans="1:29" x14ac:dyDescent="0.25">
      <c r="B8" s="141" t="str">
        <f t="shared" si="3"/>
        <v/>
      </c>
      <c r="C8" s="153"/>
      <c r="D8" s="280"/>
      <c r="E8" s="219"/>
      <c r="F8" s="219"/>
      <c r="G8" s="219"/>
      <c r="H8" s="219"/>
      <c r="I8" s="229" t="s">
        <v>68</v>
      </c>
      <c r="J8" s="192"/>
      <c r="K8" s="219"/>
      <c r="L8" s="229" t="s">
        <v>68</v>
      </c>
      <c r="M8" s="192"/>
      <c r="N8" s="229" t="s">
        <v>68</v>
      </c>
      <c r="O8" s="193"/>
      <c r="P8" s="153"/>
      <c r="Q8" s="216" t="str">
        <f t="shared" ca="1" si="0"/>
        <v/>
      </c>
      <c r="R8" s="216" t="str">
        <f t="shared" ca="1" si="1"/>
        <v/>
      </c>
      <c r="S8" s="216" t="str">
        <f t="shared" ca="1" si="2"/>
        <v/>
      </c>
    </row>
    <row r="9" spans="1:29" x14ac:dyDescent="0.25">
      <c r="B9" s="141" t="str">
        <f t="shared" si="3"/>
        <v/>
      </c>
      <c r="C9" s="153"/>
      <c r="D9" s="280"/>
      <c r="E9" s="219"/>
      <c r="F9" s="219"/>
      <c r="G9" s="219"/>
      <c r="H9" s="219"/>
      <c r="I9" s="229" t="s">
        <v>69</v>
      </c>
      <c r="J9" s="192"/>
      <c r="K9" s="219"/>
      <c r="L9" s="229" t="s">
        <v>69</v>
      </c>
      <c r="M9" s="192"/>
      <c r="N9" s="229" t="s">
        <v>69</v>
      </c>
      <c r="O9" s="193"/>
      <c r="P9" s="153"/>
      <c r="Q9" s="216" t="str">
        <f t="shared" ca="1" si="0"/>
        <v/>
      </c>
      <c r="R9" s="216" t="str">
        <f t="shared" ca="1" si="1"/>
        <v/>
      </c>
      <c r="S9" s="216" t="str">
        <f t="shared" ca="1" si="2"/>
        <v/>
      </c>
    </row>
    <row r="10" spans="1:29" x14ac:dyDescent="0.25">
      <c r="B10" s="141" t="str">
        <f t="shared" si="3"/>
        <v/>
      </c>
      <c r="C10" s="153"/>
      <c r="D10" s="281"/>
      <c r="E10" s="220"/>
      <c r="F10" s="220"/>
      <c r="G10" s="220"/>
      <c r="H10" s="220"/>
      <c r="I10" s="230" t="s">
        <v>70</v>
      </c>
      <c r="J10" s="194"/>
      <c r="K10" s="220"/>
      <c r="L10" s="230" t="s">
        <v>70</v>
      </c>
      <c r="M10" s="194"/>
      <c r="N10" s="230" t="s">
        <v>70</v>
      </c>
      <c r="O10" s="195"/>
      <c r="P10" s="153"/>
      <c r="Q10" s="216" t="str">
        <f t="shared" ca="1" si="0"/>
        <v/>
      </c>
      <c r="R10" s="216" t="str">
        <f t="shared" ca="1" si="1"/>
        <v/>
      </c>
      <c r="S10" s="216" t="str">
        <f t="shared" ca="1" si="2"/>
        <v/>
      </c>
    </row>
    <row r="11" spans="1:29" x14ac:dyDescent="0.25">
      <c r="B11" s="141" t="str">
        <f t="shared" si="3"/>
        <v/>
      </c>
      <c r="C11" s="153"/>
      <c r="D11" s="221"/>
      <c r="E11" s="221"/>
      <c r="F11" s="221"/>
      <c r="G11" s="221"/>
      <c r="H11" s="221"/>
      <c r="I11" s="222"/>
      <c r="J11" s="221"/>
      <c r="K11" s="221"/>
      <c r="L11" s="222"/>
      <c r="M11" s="221"/>
      <c r="N11" s="222"/>
      <c r="O11" s="221"/>
      <c r="P11" s="153"/>
      <c r="Q11" s="216" t="str">
        <f t="shared" ca="1" si="0"/>
        <v/>
      </c>
      <c r="R11" s="216" t="str">
        <f t="shared" ca="1" si="1"/>
        <v/>
      </c>
      <c r="S11" s="216"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6" t="str">
        <f t="shared" ca="1" si="0"/>
        <v/>
      </c>
      <c r="R12" s="216" t="str">
        <f t="shared" ca="1" si="1"/>
        <v/>
      </c>
      <c r="S12" s="216" t="str">
        <f t="shared" ca="1" si="2"/>
        <v/>
      </c>
    </row>
    <row r="13" spans="1:29" x14ac:dyDescent="0.25">
      <c r="B13" s="141" t="str">
        <f t="shared" si="3"/>
        <v/>
      </c>
      <c r="C13" s="153"/>
      <c r="D13" s="279"/>
      <c r="E13" s="219"/>
      <c r="F13" s="219"/>
      <c r="G13" s="219"/>
      <c r="H13" s="219"/>
      <c r="I13" s="229" t="s">
        <v>65</v>
      </c>
      <c r="J13" s="192"/>
      <c r="K13" s="219"/>
      <c r="L13" s="229" t="s">
        <v>65</v>
      </c>
      <c r="M13" s="192"/>
      <c r="N13" s="229" t="s">
        <v>65</v>
      </c>
      <c r="O13" s="193"/>
      <c r="P13" s="153"/>
      <c r="Q13" s="216" t="str">
        <f t="shared" ca="1" si="0"/>
        <v/>
      </c>
      <c r="R13" s="216" t="str">
        <f t="shared" ca="1" si="1"/>
        <v/>
      </c>
      <c r="S13" s="216" t="str">
        <f t="shared" ca="1" si="2"/>
        <v/>
      </c>
    </row>
    <row r="14" spans="1:29" x14ac:dyDescent="0.25">
      <c r="B14" s="141" t="str">
        <f t="shared" si="3"/>
        <v/>
      </c>
      <c r="C14" s="153"/>
      <c r="D14" s="280"/>
      <c r="E14" s="219"/>
      <c r="F14" s="219"/>
      <c r="G14" s="219"/>
      <c r="H14" s="219"/>
      <c r="I14" s="229" t="s">
        <v>66</v>
      </c>
      <c r="J14" s="192"/>
      <c r="K14" s="219"/>
      <c r="L14" s="229" t="s">
        <v>66</v>
      </c>
      <c r="M14" s="192"/>
      <c r="N14" s="229" t="s">
        <v>66</v>
      </c>
      <c r="O14" s="193"/>
      <c r="P14" s="153"/>
      <c r="Q14" s="216" t="str">
        <f t="shared" ca="1" si="0"/>
        <v/>
      </c>
      <c r="R14" s="216" t="str">
        <f t="shared" ca="1" si="1"/>
        <v/>
      </c>
      <c r="S14" s="216" t="str">
        <f t="shared" ca="1" si="2"/>
        <v/>
      </c>
    </row>
    <row r="15" spans="1:29" x14ac:dyDescent="0.25">
      <c r="B15" s="141" t="str">
        <f t="shared" si="3"/>
        <v/>
      </c>
      <c r="C15" s="153"/>
      <c r="D15" s="280"/>
      <c r="E15" s="219"/>
      <c r="F15" s="219"/>
      <c r="G15" s="219"/>
      <c r="H15" s="219"/>
      <c r="I15" s="229" t="s">
        <v>67</v>
      </c>
      <c r="J15" s="192"/>
      <c r="K15" s="219"/>
      <c r="L15" s="229" t="s">
        <v>67</v>
      </c>
      <c r="M15" s="192"/>
      <c r="N15" s="229" t="s">
        <v>67</v>
      </c>
      <c r="O15" s="193"/>
      <c r="P15" s="153"/>
      <c r="Q15" s="216" t="str">
        <f t="shared" ca="1" si="0"/>
        <v/>
      </c>
      <c r="R15" s="216" t="str">
        <f t="shared" ca="1" si="1"/>
        <v/>
      </c>
      <c r="S15" s="216" t="str">
        <f t="shared" ca="1" si="2"/>
        <v/>
      </c>
    </row>
    <row r="16" spans="1:29" x14ac:dyDescent="0.25">
      <c r="B16" s="141" t="str">
        <f t="shared" si="3"/>
        <v/>
      </c>
      <c r="C16" s="153"/>
      <c r="D16" s="280"/>
      <c r="E16" s="219"/>
      <c r="F16" s="219"/>
      <c r="G16" s="219"/>
      <c r="H16" s="219"/>
      <c r="I16" s="229" t="s">
        <v>68</v>
      </c>
      <c r="J16" s="192"/>
      <c r="K16" s="219"/>
      <c r="L16" s="229" t="s">
        <v>68</v>
      </c>
      <c r="M16" s="192"/>
      <c r="N16" s="229" t="s">
        <v>68</v>
      </c>
      <c r="O16" s="193"/>
      <c r="P16" s="153"/>
      <c r="Q16" s="216" t="str">
        <f t="shared" ca="1" si="0"/>
        <v/>
      </c>
      <c r="R16" s="216" t="str">
        <f t="shared" ca="1" si="1"/>
        <v/>
      </c>
      <c r="S16" s="216" t="str">
        <f t="shared" ca="1" si="2"/>
        <v/>
      </c>
    </row>
    <row r="17" spans="1:19" x14ac:dyDescent="0.25">
      <c r="B17" s="141" t="str">
        <f t="shared" si="3"/>
        <v/>
      </c>
      <c r="C17" s="153"/>
      <c r="D17" s="280"/>
      <c r="E17" s="219"/>
      <c r="F17" s="219"/>
      <c r="G17" s="219"/>
      <c r="H17" s="219"/>
      <c r="I17" s="229" t="s">
        <v>69</v>
      </c>
      <c r="J17" s="192"/>
      <c r="K17" s="219"/>
      <c r="L17" s="229" t="s">
        <v>69</v>
      </c>
      <c r="M17" s="192"/>
      <c r="N17" s="229" t="s">
        <v>69</v>
      </c>
      <c r="O17" s="193"/>
      <c r="P17" s="153"/>
      <c r="Q17" s="216" t="str">
        <f t="shared" ca="1" si="0"/>
        <v/>
      </c>
      <c r="R17" s="216" t="str">
        <f t="shared" ca="1" si="1"/>
        <v/>
      </c>
      <c r="S17" s="216" t="str">
        <f t="shared" ca="1" si="2"/>
        <v/>
      </c>
    </row>
    <row r="18" spans="1:19" x14ac:dyDescent="0.25">
      <c r="B18" s="141" t="str">
        <f t="shared" si="3"/>
        <v/>
      </c>
      <c r="C18" s="153"/>
      <c r="D18" s="281"/>
      <c r="E18" s="220"/>
      <c r="F18" s="220"/>
      <c r="G18" s="220"/>
      <c r="H18" s="220"/>
      <c r="I18" s="230" t="s">
        <v>70</v>
      </c>
      <c r="J18" s="194"/>
      <c r="K18" s="220"/>
      <c r="L18" s="230" t="s">
        <v>70</v>
      </c>
      <c r="M18" s="194"/>
      <c r="N18" s="230" t="s">
        <v>70</v>
      </c>
      <c r="O18" s="195"/>
      <c r="P18" s="153"/>
      <c r="Q18" s="216" t="str">
        <f t="shared" ca="1" si="0"/>
        <v/>
      </c>
      <c r="R18" s="216" t="str">
        <f t="shared" ca="1" si="1"/>
        <v/>
      </c>
      <c r="S18" s="216" t="str">
        <f t="shared" ca="1" si="2"/>
        <v/>
      </c>
    </row>
    <row r="19" spans="1:19" x14ac:dyDescent="0.25">
      <c r="B19" s="141" t="str">
        <f t="shared" si="3"/>
        <v/>
      </c>
      <c r="C19" s="153"/>
      <c r="D19" s="221"/>
      <c r="E19" s="223"/>
      <c r="F19" s="223"/>
      <c r="G19" s="223"/>
      <c r="H19" s="223"/>
      <c r="I19" s="224"/>
      <c r="J19" s="223"/>
      <c r="K19" s="223"/>
      <c r="L19" s="224"/>
      <c r="M19" s="223"/>
      <c r="N19" s="224"/>
      <c r="O19" s="223"/>
      <c r="P19" s="153"/>
      <c r="Q19" s="216" t="str">
        <f t="shared" ca="1" si="0"/>
        <v/>
      </c>
      <c r="R19" s="216" t="str">
        <f t="shared" ca="1" si="1"/>
        <v/>
      </c>
      <c r="S19" s="216"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6" t="str">
        <f t="shared" ca="1" si="0"/>
        <v/>
      </c>
      <c r="R20" s="216" t="str">
        <f t="shared" ca="1" si="1"/>
        <v/>
      </c>
      <c r="S20" s="216" t="str">
        <f t="shared" ca="1" si="2"/>
        <v/>
      </c>
    </row>
    <row r="21" spans="1:19" x14ac:dyDescent="0.25">
      <c r="B21" s="141" t="str">
        <f t="shared" si="3"/>
        <v/>
      </c>
      <c r="C21" s="159"/>
      <c r="D21" s="279"/>
      <c r="E21" s="219"/>
      <c r="F21" s="219"/>
      <c r="G21" s="219"/>
      <c r="H21" s="219"/>
      <c r="I21" s="229" t="s">
        <v>65</v>
      </c>
      <c r="J21" s="192"/>
      <c r="K21" s="219"/>
      <c r="L21" s="229" t="s">
        <v>65</v>
      </c>
      <c r="M21" s="192"/>
      <c r="N21" s="229" t="s">
        <v>65</v>
      </c>
      <c r="O21" s="193"/>
      <c r="P21" s="159"/>
      <c r="Q21" s="216" t="str">
        <f t="shared" ca="1" si="0"/>
        <v/>
      </c>
      <c r="R21" s="216" t="str">
        <f t="shared" ca="1" si="1"/>
        <v/>
      </c>
      <c r="S21" s="216" t="str">
        <f t="shared" ca="1" si="2"/>
        <v/>
      </c>
    </row>
    <row r="22" spans="1:19" x14ac:dyDescent="0.25">
      <c r="B22" s="141" t="str">
        <f t="shared" si="3"/>
        <v/>
      </c>
      <c r="C22" s="159"/>
      <c r="D22" s="280"/>
      <c r="E22" s="219"/>
      <c r="F22" s="219"/>
      <c r="G22" s="219"/>
      <c r="H22" s="219"/>
      <c r="I22" s="229" t="s">
        <v>66</v>
      </c>
      <c r="J22" s="192"/>
      <c r="K22" s="219"/>
      <c r="L22" s="229" t="s">
        <v>66</v>
      </c>
      <c r="M22" s="192"/>
      <c r="N22" s="229" t="s">
        <v>66</v>
      </c>
      <c r="O22" s="193"/>
      <c r="P22" s="159"/>
      <c r="Q22" s="216" t="str">
        <f t="shared" ca="1" si="0"/>
        <v/>
      </c>
      <c r="R22" s="216" t="str">
        <f t="shared" ca="1" si="1"/>
        <v/>
      </c>
      <c r="S22" s="216" t="str">
        <f t="shared" ca="1" si="2"/>
        <v/>
      </c>
    </row>
    <row r="23" spans="1:19" x14ac:dyDescent="0.25">
      <c r="B23" s="141" t="str">
        <f t="shared" si="3"/>
        <v/>
      </c>
      <c r="C23" s="159"/>
      <c r="D23" s="280"/>
      <c r="E23" s="219"/>
      <c r="F23" s="219"/>
      <c r="G23" s="219"/>
      <c r="H23" s="219"/>
      <c r="I23" s="229" t="s">
        <v>67</v>
      </c>
      <c r="J23" s="192"/>
      <c r="K23" s="219"/>
      <c r="L23" s="229" t="s">
        <v>67</v>
      </c>
      <c r="M23" s="192"/>
      <c r="N23" s="229" t="s">
        <v>67</v>
      </c>
      <c r="O23" s="193"/>
      <c r="P23" s="159"/>
      <c r="Q23" s="216" t="str">
        <f t="shared" ca="1" si="0"/>
        <v/>
      </c>
      <c r="R23" s="216" t="str">
        <f t="shared" ca="1" si="1"/>
        <v/>
      </c>
      <c r="S23" s="216" t="str">
        <f t="shared" ca="1" si="2"/>
        <v/>
      </c>
    </row>
    <row r="24" spans="1:19" x14ac:dyDescent="0.25">
      <c r="B24" s="141" t="str">
        <f t="shared" si="3"/>
        <v/>
      </c>
      <c r="C24" s="159"/>
      <c r="D24" s="280"/>
      <c r="E24" s="219"/>
      <c r="F24" s="219"/>
      <c r="G24" s="219"/>
      <c r="H24" s="219"/>
      <c r="I24" s="229" t="s">
        <v>68</v>
      </c>
      <c r="J24" s="192"/>
      <c r="K24" s="219"/>
      <c r="L24" s="229" t="s">
        <v>68</v>
      </c>
      <c r="M24" s="192"/>
      <c r="N24" s="229" t="s">
        <v>68</v>
      </c>
      <c r="O24" s="193"/>
      <c r="P24" s="159"/>
      <c r="Q24" s="216" t="str">
        <f t="shared" ca="1" si="0"/>
        <v/>
      </c>
      <c r="R24" s="216" t="str">
        <f t="shared" ca="1" si="1"/>
        <v/>
      </c>
      <c r="S24" s="216" t="str">
        <f t="shared" ca="1" si="2"/>
        <v/>
      </c>
    </row>
    <row r="25" spans="1:19" x14ac:dyDescent="0.25">
      <c r="B25" s="141" t="str">
        <f t="shared" si="3"/>
        <v/>
      </c>
      <c r="C25" s="159"/>
      <c r="D25" s="280"/>
      <c r="E25" s="219"/>
      <c r="F25" s="219"/>
      <c r="G25" s="219"/>
      <c r="H25" s="219"/>
      <c r="I25" s="229" t="s">
        <v>69</v>
      </c>
      <c r="J25" s="192"/>
      <c r="K25" s="219"/>
      <c r="L25" s="229" t="s">
        <v>69</v>
      </c>
      <c r="M25" s="192"/>
      <c r="N25" s="229" t="s">
        <v>69</v>
      </c>
      <c r="O25" s="193"/>
      <c r="P25" s="159"/>
      <c r="Q25" s="216" t="str">
        <f t="shared" ca="1" si="0"/>
        <v/>
      </c>
      <c r="R25" s="216" t="str">
        <f t="shared" ca="1" si="1"/>
        <v/>
      </c>
      <c r="S25" s="216" t="str">
        <f t="shared" ca="1" si="2"/>
        <v/>
      </c>
    </row>
    <row r="26" spans="1:19" x14ac:dyDescent="0.25">
      <c r="B26" s="141" t="str">
        <f t="shared" si="3"/>
        <v/>
      </c>
      <c r="C26" s="159"/>
      <c r="D26" s="281"/>
      <c r="E26" s="220"/>
      <c r="F26" s="220"/>
      <c r="G26" s="220"/>
      <c r="H26" s="220"/>
      <c r="I26" s="230" t="s">
        <v>70</v>
      </c>
      <c r="J26" s="194"/>
      <c r="K26" s="220"/>
      <c r="L26" s="230" t="s">
        <v>70</v>
      </c>
      <c r="M26" s="194"/>
      <c r="N26" s="230" t="s">
        <v>70</v>
      </c>
      <c r="O26" s="195"/>
      <c r="P26" s="159"/>
      <c r="Q26" s="216" t="str">
        <f t="shared" ca="1" si="0"/>
        <v/>
      </c>
      <c r="R26" s="216" t="str">
        <f t="shared" ca="1" si="1"/>
        <v/>
      </c>
      <c r="S26" s="216" t="str">
        <f t="shared" ca="1" si="2"/>
        <v/>
      </c>
    </row>
    <row r="27" spans="1:19" x14ac:dyDescent="0.25">
      <c r="B27" s="141" t="str">
        <f t="shared" si="3"/>
        <v/>
      </c>
      <c r="C27" s="153"/>
      <c r="D27" s="221"/>
      <c r="E27" s="223"/>
      <c r="F27" s="223"/>
      <c r="G27" s="223"/>
      <c r="H27" s="223"/>
      <c r="I27" s="224"/>
      <c r="J27" s="223"/>
      <c r="K27" s="223"/>
      <c r="L27" s="224"/>
      <c r="M27" s="223"/>
      <c r="N27" s="224"/>
      <c r="O27" s="223"/>
      <c r="P27" s="153"/>
      <c r="Q27" s="216" t="str">
        <f t="shared" ca="1" si="0"/>
        <v/>
      </c>
      <c r="R27" s="216" t="str">
        <f t="shared" ca="1" si="1"/>
        <v/>
      </c>
      <c r="S27" s="216"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6" t="str">
        <f t="shared" ca="1" si="0"/>
        <v/>
      </c>
      <c r="R28" s="216" t="str">
        <f t="shared" ca="1" si="1"/>
        <v/>
      </c>
      <c r="S28" s="216" t="str">
        <f t="shared" ca="1" si="2"/>
        <v/>
      </c>
    </row>
    <row r="29" spans="1:19" x14ac:dyDescent="0.25">
      <c r="B29" s="141" t="str">
        <f t="shared" si="3"/>
        <v/>
      </c>
      <c r="C29" s="159"/>
      <c r="D29" s="279"/>
      <c r="E29" s="219"/>
      <c r="F29" s="219"/>
      <c r="G29" s="219"/>
      <c r="H29" s="219"/>
      <c r="I29" s="229" t="s">
        <v>65</v>
      </c>
      <c r="J29" s="192"/>
      <c r="K29" s="219"/>
      <c r="L29" s="229" t="s">
        <v>65</v>
      </c>
      <c r="M29" s="192"/>
      <c r="N29" s="229" t="s">
        <v>65</v>
      </c>
      <c r="O29" s="193"/>
      <c r="P29" s="159"/>
      <c r="Q29" s="216" t="str">
        <f t="shared" ca="1" si="0"/>
        <v/>
      </c>
      <c r="R29" s="216" t="str">
        <f t="shared" ca="1" si="1"/>
        <v/>
      </c>
      <c r="S29" s="216" t="str">
        <f t="shared" ca="1" si="2"/>
        <v/>
      </c>
    </row>
    <row r="30" spans="1:19" x14ac:dyDescent="0.25">
      <c r="B30" s="141" t="str">
        <f t="shared" si="3"/>
        <v/>
      </c>
      <c r="C30" s="159"/>
      <c r="D30" s="280"/>
      <c r="E30" s="219"/>
      <c r="F30" s="219"/>
      <c r="G30" s="219"/>
      <c r="H30" s="219"/>
      <c r="I30" s="229" t="s">
        <v>66</v>
      </c>
      <c r="J30" s="192"/>
      <c r="K30" s="219"/>
      <c r="L30" s="229" t="s">
        <v>66</v>
      </c>
      <c r="M30" s="192"/>
      <c r="N30" s="229" t="s">
        <v>66</v>
      </c>
      <c r="O30" s="193"/>
      <c r="P30" s="159"/>
      <c r="Q30" s="216" t="str">
        <f t="shared" ca="1" si="0"/>
        <v/>
      </c>
      <c r="R30" s="216" t="str">
        <f t="shared" ca="1" si="1"/>
        <v/>
      </c>
      <c r="S30" s="216" t="str">
        <f t="shared" ca="1" si="2"/>
        <v/>
      </c>
    </row>
    <row r="31" spans="1:19" x14ac:dyDescent="0.25">
      <c r="B31" s="141" t="str">
        <f t="shared" si="3"/>
        <v/>
      </c>
      <c r="C31" s="159"/>
      <c r="D31" s="280"/>
      <c r="E31" s="219"/>
      <c r="F31" s="219"/>
      <c r="G31" s="219"/>
      <c r="H31" s="219"/>
      <c r="I31" s="229" t="s">
        <v>67</v>
      </c>
      <c r="J31" s="192"/>
      <c r="K31" s="219"/>
      <c r="L31" s="229" t="s">
        <v>67</v>
      </c>
      <c r="M31" s="192"/>
      <c r="N31" s="229" t="s">
        <v>67</v>
      </c>
      <c r="O31" s="193"/>
      <c r="P31" s="159"/>
      <c r="Q31" s="216" t="str">
        <f t="shared" ca="1" si="0"/>
        <v/>
      </c>
      <c r="R31" s="216" t="str">
        <f t="shared" ca="1" si="1"/>
        <v/>
      </c>
      <c r="S31" s="216" t="str">
        <f t="shared" ca="1" si="2"/>
        <v/>
      </c>
    </row>
    <row r="32" spans="1:19" x14ac:dyDescent="0.25">
      <c r="B32" s="141" t="str">
        <f t="shared" si="3"/>
        <v/>
      </c>
      <c r="C32" s="159"/>
      <c r="D32" s="280"/>
      <c r="E32" s="219"/>
      <c r="F32" s="219"/>
      <c r="G32" s="219"/>
      <c r="H32" s="219"/>
      <c r="I32" s="229" t="s">
        <v>68</v>
      </c>
      <c r="J32" s="192"/>
      <c r="K32" s="219"/>
      <c r="L32" s="229" t="s">
        <v>68</v>
      </c>
      <c r="M32" s="192"/>
      <c r="N32" s="229" t="s">
        <v>68</v>
      </c>
      <c r="O32" s="193"/>
      <c r="P32" s="159"/>
      <c r="Q32" s="216" t="str">
        <f t="shared" ca="1" si="0"/>
        <v/>
      </c>
      <c r="R32" s="216" t="str">
        <f t="shared" ca="1" si="1"/>
        <v/>
      </c>
      <c r="S32" s="216" t="str">
        <f t="shared" ca="1" si="2"/>
        <v/>
      </c>
    </row>
    <row r="33" spans="1:19" x14ac:dyDescent="0.25">
      <c r="B33" s="141" t="str">
        <f t="shared" si="3"/>
        <v/>
      </c>
      <c r="C33" s="159"/>
      <c r="D33" s="280"/>
      <c r="E33" s="219"/>
      <c r="F33" s="219"/>
      <c r="G33" s="219"/>
      <c r="H33" s="219"/>
      <c r="I33" s="229" t="s">
        <v>69</v>
      </c>
      <c r="J33" s="192"/>
      <c r="K33" s="219"/>
      <c r="L33" s="229" t="s">
        <v>69</v>
      </c>
      <c r="M33" s="192"/>
      <c r="N33" s="229" t="s">
        <v>69</v>
      </c>
      <c r="O33" s="193"/>
      <c r="P33" s="159"/>
      <c r="Q33" s="216" t="str">
        <f t="shared" ca="1" si="0"/>
        <v/>
      </c>
      <c r="R33" s="216" t="str">
        <f t="shared" ca="1" si="1"/>
        <v/>
      </c>
      <c r="S33" s="216" t="str">
        <f t="shared" ca="1" si="2"/>
        <v/>
      </c>
    </row>
    <row r="34" spans="1:19" x14ac:dyDescent="0.25">
      <c r="B34" s="141" t="str">
        <f t="shared" si="3"/>
        <v/>
      </c>
      <c r="C34" s="159"/>
      <c r="D34" s="281"/>
      <c r="E34" s="220"/>
      <c r="F34" s="220"/>
      <c r="G34" s="220"/>
      <c r="H34" s="220"/>
      <c r="I34" s="230" t="s">
        <v>70</v>
      </c>
      <c r="J34" s="194"/>
      <c r="K34" s="220"/>
      <c r="L34" s="230" t="s">
        <v>70</v>
      </c>
      <c r="M34" s="194"/>
      <c r="N34" s="230" t="s">
        <v>70</v>
      </c>
      <c r="O34" s="195"/>
      <c r="P34" s="159"/>
      <c r="Q34" s="216" t="str">
        <f t="shared" ca="1" si="0"/>
        <v/>
      </c>
      <c r="R34" s="216" t="str">
        <f t="shared" ca="1" si="1"/>
        <v/>
      </c>
      <c r="S34" s="216" t="str">
        <f t="shared" ca="1" si="2"/>
        <v/>
      </c>
    </row>
    <row r="35" spans="1:19" x14ac:dyDescent="0.25">
      <c r="B35" s="141" t="str">
        <f t="shared" si="3"/>
        <v/>
      </c>
      <c r="C35" s="159"/>
      <c r="D35" s="221"/>
      <c r="E35" s="223"/>
      <c r="F35" s="223"/>
      <c r="G35" s="223"/>
      <c r="H35" s="223"/>
      <c r="I35" s="224"/>
      <c r="J35" s="223"/>
      <c r="K35" s="223"/>
      <c r="L35" s="224"/>
      <c r="M35" s="223"/>
      <c r="N35" s="224"/>
      <c r="O35" s="223"/>
      <c r="P35" s="159"/>
      <c r="Q35" s="216" t="str">
        <f t="shared" ca="1" si="0"/>
        <v/>
      </c>
      <c r="R35" s="216" t="str">
        <f t="shared" ca="1" si="1"/>
        <v/>
      </c>
      <c r="S35" s="216"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6" t="str">
        <f t="shared" ref="Q36:Q53" ca="1" si="4">IFERROR(INDEX(Needs_Q, MATCH(ROW()-ROW(Q$3), Needs_Q_Ix, 0)), "")</f>
        <v/>
      </c>
      <c r="R36" s="216" t="str">
        <f t="shared" ref="R36:R53" ca="1" si="5">IFERROR(INDEX(US_Q, MATCH(ROW()-ROW(R$3), US_Q_Ix, 0)), "")</f>
        <v/>
      </c>
      <c r="S36" s="216"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9"/>
      <c r="E37" s="219"/>
      <c r="F37" s="219"/>
      <c r="G37" s="219"/>
      <c r="H37" s="219"/>
      <c r="I37" s="229" t="s">
        <v>65</v>
      </c>
      <c r="J37" s="192"/>
      <c r="K37" s="219"/>
      <c r="L37" s="229" t="s">
        <v>65</v>
      </c>
      <c r="M37" s="192"/>
      <c r="N37" s="229" t="s">
        <v>65</v>
      </c>
      <c r="O37" s="193"/>
      <c r="P37" s="142"/>
      <c r="Q37" s="216" t="str">
        <f t="shared" ca="1" si="4"/>
        <v/>
      </c>
      <c r="R37" s="216" t="str">
        <f t="shared" ca="1" si="5"/>
        <v/>
      </c>
      <c r="S37" s="216" t="str">
        <f t="shared" ca="1" si="6"/>
        <v/>
      </c>
    </row>
    <row r="38" spans="1:19" x14ac:dyDescent="0.25">
      <c r="B38" s="141" t="str">
        <f t="shared" si="7"/>
        <v/>
      </c>
      <c r="C38" s="142"/>
      <c r="D38" s="280"/>
      <c r="E38" s="219"/>
      <c r="F38" s="219"/>
      <c r="G38" s="219"/>
      <c r="H38" s="219"/>
      <c r="I38" s="229" t="s">
        <v>66</v>
      </c>
      <c r="J38" s="192"/>
      <c r="K38" s="219"/>
      <c r="L38" s="229" t="s">
        <v>66</v>
      </c>
      <c r="M38" s="192"/>
      <c r="N38" s="229" t="s">
        <v>66</v>
      </c>
      <c r="O38" s="193"/>
      <c r="P38" s="142"/>
      <c r="Q38" s="216" t="str">
        <f t="shared" ca="1" si="4"/>
        <v/>
      </c>
      <c r="R38" s="216" t="str">
        <f t="shared" ca="1" si="5"/>
        <v/>
      </c>
      <c r="S38" s="216" t="str">
        <f t="shared" ca="1" si="6"/>
        <v/>
      </c>
    </row>
    <row r="39" spans="1:19" x14ac:dyDescent="0.25">
      <c r="B39" s="141" t="str">
        <f t="shared" si="7"/>
        <v/>
      </c>
      <c r="C39" s="142"/>
      <c r="D39" s="280"/>
      <c r="E39" s="219"/>
      <c r="F39" s="219"/>
      <c r="G39" s="219"/>
      <c r="H39" s="219"/>
      <c r="I39" s="229" t="s">
        <v>67</v>
      </c>
      <c r="J39" s="192"/>
      <c r="K39" s="219"/>
      <c r="L39" s="229" t="s">
        <v>67</v>
      </c>
      <c r="M39" s="192"/>
      <c r="N39" s="229" t="s">
        <v>67</v>
      </c>
      <c r="O39" s="193"/>
      <c r="P39" s="142"/>
      <c r="Q39" s="216" t="str">
        <f t="shared" ca="1" si="4"/>
        <v/>
      </c>
      <c r="R39" s="216" t="str">
        <f t="shared" ca="1" si="5"/>
        <v/>
      </c>
      <c r="S39" s="216" t="str">
        <f t="shared" ca="1" si="6"/>
        <v/>
      </c>
    </row>
    <row r="40" spans="1:19" x14ac:dyDescent="0.25">
      <c r="B40" s="141" t="str">
        <f t="shared" si="7"/>
        <v/>
      </c>
      <c r="C40" s="142"/>
      <c r="D40" s="280"/>
      <c r="E40" s="219"/>
      <c r="F40" s="219"/>
      <c r="G40" s="219"/>
      <c r="H40" s="219"/>
      <c r="I40" s="229" t="s">
        <v>68</v>
      </c>
      <c r="J40" s="192"/>
      <c r="K40" s="219"/>
      <c r="L40" s="229" t="s">
        <v>68</v>
      </c>
      <c r="M40" s="192"/>
      <c r="N40" s="229" t="s">
        <v>68</v>
      </c>
      <c r="O40" s="193"/>
      <c r="P40" s="142"/>
      <c r="Q40" s="216" t="str">
        <f t="shared" ca="1" si="4"/>
        <v/>
      </c>
      <c r="R40" s="216" t="str">
        <f t="shared" ca="1" si="5"/>
        <v/>
      </c>
      <c r="S40" s="216" t="str">
        <f t="shared" ca="1" si="6"/>
        <v/>
      </c>
    </row>
    <row r="41" spans="1:19" x14ac:dyDescent="0.25">
      <c r="B41" s="141" t="str">
        <f t="shared" si="7"/>
        <v/>
      </c>
      <c r="C41" s="142"/>
      <c r="D41" s="280"/>
      <c r="E41" s="219"/>
      <c r="F41" s="219"/>
      <c r="G41" s="219"/>
      <c r="H41" s="219"/>
      <c r="I41" s="229" t="s">
        <v>69</v>
      </c>
      <c r="J41" s="192"/>
      <c r="K41" s="219"/>
      <c r="L41" s="229" t="s">
        <v>69</v>
      </c>
      <c r="M41" s="192"/>
      <c r="N41" s="229" t="s">
        <v>69</v>
      </c>
      <c r="O41" s="193"/>
      <c r="P41" s="142"/>
      <c r="Q41" s="216" t="str">
        <f t="shared" ca="1" si="4"/>
        <v/>
      </c>
      <c r="R41" s="216" t="str">
        <f t="shared" ca="1" si="5"/>
        <v/>
      </c>
      <c r="S41" s="216" t="str">
        <f t="shared" ca="1" si="6"/>
        <v/>
      </c>
    </row>
    <row r="42" spans="1:19" x14ac:dyDescent="0.25">
      <c r="B42" s="141" t="str">
        <f t="shared" si="7"/>
        <v/>
      </c>
      <c r="C42" s="142"/>
      <c r="D42" s="281"/>
      <c r="E42" s="220"/>
      <c r="F42" s="220"/>
      <c r="G42" s="220"/>
      <c r="H42" s="220"/>
      <c r="I42" s="230" t="s">
        <v>70</v>
      </c>
      <c r="J42" s="194"/>
      <c r="K42" s="220"/>
      <c r="L42" s="230" t="s">
        <v>70</v>
      </c>
      <c r="M42" s="194"/>
      <c r="N42" s="230" t="s">
        <v>70</v>
      </c>
      <c r="O42" s="195"/>
      <c r="P42" s="142"/>
      <c r="Q42" s="216" t="str">
        <f t="shared" ca="1" si="4"/>
        <v/>
      </c>
      <c r="R42" s="216" t="str">
        <f t="shared" ca="1" si="5"/>
        <v/>
      </c>
      <c r="S42" s="216" t="str">
        <f t="shared" ca="1" si="6"/>
        <v/>
      </c>
    </row>
    <row r="43" spans="1:19" x14ac:dyDescent="0.25">
      <c r="B43" s="141" t="str">
        <f t="shared" si="7"/>
        <v/>
      </c>
      <c r="C43" s="142"/>
      <c r="D43" s="225"/>
      <c r="E43" s="225"/>
      <c r="F43" s="225"/>
      <c r="G43" s="225"/>
      <c r="H43" s="225"/>
      <c r="I43" s="226"/>
      <c r="J43" s="225"/>
      <c r="K43" s="225"/>
      <c r="L43" s="226"/>
      <c r="M43" s="225"/>
      <c r="N43" s="226"/>
      <c r="O43" s="225"/>
      <c r="P43" s="142"/>
      <c r="Q43" s="216" t="str">
        <f t="shared" ca="1" si="4"/>
        <v/>
      </c>
      <c r="R43" s="216" t="str">
        <f t="shared" ca="1" si="5"/>
        <v/>
      </c>
      <c r="S43" s="216"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6" t="str">
        <f t="shared" ca="1" si="4"/>
        <v/>
      </c>
      <c r="R44" s="216" t="str">
        <f t="shared" ca="1" si="5"/>
        <v/>
      </c>
      <c r="S44" s="216" t="str">
        <f t="shared" ca="1" si="6"/>
        <v/>
      </c>
    </row>
    <row r="45" spans="1:19" x14ac:dyDescent="0.25">
      <c r="B45" s="141" t="str">
        <f t="shared" si="7"/>
        <v/>
      </c>
      <c r="C45" s="142"/>
      <c r="D45" s="279"/>
      <c r="E45" s="219"/>
      <c r="F45" s="219"/>
      <c r="G45" s="219"/>
      <c r="H45" s="219"/>
      <c r="I45" s="229" t="s">
        <v>65</v>
      </c>
      <c r="J45" s="192"/>
      <c r="K45" s="219"/>
      <c r="L45" s="229" t="s">
        <v>65</v>
      </c>
      <c r="M45" s="192"/>
      <c r="N45" s="229" t="s">
        <v>65</v>
      </c>
      <c r="O45" s="193"/>
      <c r="P45" s="142"/>
      <c r="Q45" s="216" t="str">
        <f t="shared" ca="1" si="4"/>
        <v/>
      </c>
      <c r="R45" s="216" t="str">
        <f t="shared" ca="1" si="5"/>
        <v/>
      </c>
      <c r="S45" s="216" t="str">
        <f t="shared" ca="1" si="6"/>
        <v/>
      </c>
    </row>
    <row r="46" spans="1:19" x14ac:dyDescent="0.25">
      <c r="B46" s="141" t="str">
        <f t="shared" si="7"/>
        <v/>
      </c>
      <c r="C46" s="142"/>
      <c r="D46" s="280"/>
      <c r="E46" s="219"/>
      <c r="F46" s="219"/>
      <c r="G46" s="219"/>
      <c r="H46" s="219"/>
      <c r="I46" s="229" t="s">
        <v>66</v>
      </c>
      <c r="J46" s="192"/>
      <c r="K46" s="219"/>
      <c r="L46" s="229" t="s">
        <v>66</v>
      </c>
      <c r="M46" s="192"/>
      <c r="N46" s="229" t="s">
        <v>66</v>
      </c>
      <c r="O46" s="193"/>
      <c r="P46" s="142"/>
      <c r="Q46" s="216" t="str">
        <f t="shared" ca="1" si="4"/>
        <v/>
      </c>
      <c r="R46" s="216" t="str">
        <f t="shared" ca="1" si="5"/>
        <v/>
      </c>
      <c r="S46" s="216" t="str">
        <f t="shared" ca="1" si="6"/>
        <v/>
      </c>
    </row>
    <row r="47" spans="1:19" x14ac:dyDescent="0.25">
      <c r="B47" s="141" t="str">
        <f t="shared" si="7"/>
        <v/>
      </c>
      <c r="C47" s="142"/>
      <c r="D47" s="280"/>
      <c r="E47" s="219"/>
      <c r="F47" s="219"/>
      <c r="G47" s="219"/>
      <c r="H47" s="219"/>
      <c r="I47" s="229" t="s">
        <v>67</v>
      </c>
      <c r="J47" s="192"/>
      <c r="K47" s="219"/>
      <c r="L47" s="229" t="s">
        <v>67</v>
      </c>
      <c r="M47" s="192"/>
      <c r="N47" s="229" t="s">
        <v>67</v>
      </c>
      <c r="O47" s="193"/>
      <c r="P47" s="142"/>
      <c r="Q47" s="216" t="str">
        <f t="shared" ca="1" si="4"/>
        <v/>
      </c>
      <c r="R47" s="216" t="str">
        <f t="shared" ca="1" si="5"/>
        <v/>
      </c>
      <c r="S47" s="216" t="str">
        <f t="shared" ca="1" si="6"/>
        <v/>
      </c>
    </row>
    <row r="48" spans="1:19" x14ac:dyDescent="0.25">
      <c r="B48" s="141" t="str">
        <f t="shared" si="7"/>
        <v/>
      </c>
      <c r="C48" s="142"/>
      <c r="D48" s="280"/>
      <c r="E48" s="219"/>
      <c r="F48" s="219"/>
      <c r="G48" s="219"/>
      <c r="H48" s="219"/>
      <c r="I48" s="229" t="s">
        <v>68</v>
      </c>
      <c r="J48" s="192"/>
      <c r="K48" s="219"/>
      <c r="L48" s="229" t="s">
        <v>68</v>
      </c>
      <c r="M48" s="192"/>
      <c r="N48" s="229" t="s">
        <v>68</v>
      </c>
      <c r="O48" s="193"/>
      <c r="P48" s="142"/>
      <c r="Q48" s="216" t="str">
        <f t="shared" ca="1" si="4"/>
        <v/>
      </c>
      <c r="R48" s="216" t="str">
        <f t="shared" ca="1" si="5"/>
        <v/>
      </c>
      <c r="S48" s="216" t="str">
        <f t="shared" ca="1" si="6"/>
        <v/>
      </c>
    </row>
    <row r="49" spans="1:19" x14ac:dyDescent="0.25">
      <c r="B49" s="141" t="str">
        <f t="shared" si="7"/>
        <v/>
      </c>
      <c r="C49" s="142"/>
      <c r="D49" s="280"/>
      <c r="E49" s="219"/>
      <c r="F49" s="219"/>
      <c r="G49" s="219"/>
      <c r="H49" s="219"/>
      <c r="I49" s="229" t="s">
        <v>69</v>
      </c>
      <c r="J49" s="192"/>
      <c r="K49" s="219"/>
      <c r="L49" s="229" t="s">
        <v>69</v>
      </c>
      <c r="M49" s="192"/>
      <c r="N49" s="229" t="s">
        <v>69</v>
      </c>
      <c r="O49" s="193"/>
      <c r="P49" s="142"/>
      <c r="Q49" s="216" t="str">
        <f t="shared" ca="1" si="4"/>
        <v/>
      </c>
      <c r="R49" s="216" t="str">
        <f t="shared" ca="1" si="5"/>
        <v/>
      </c>
      <c r="S49" s="216" t="str">
        <f t="shared" ca="1" si="6"/>
        <v/>
      </c>
    </row>
    <row r="50" spans="1:19" x14ac:dyDescent="0.25">
      <c r="B50" s="141" t="str">
        <f t="shared" si="7"/>
        <v/>
      </c>
      <c r="C50" s="142"/>
      <c r="D50" s="281"/>
      <c r="E50" s="220"/>
      <c r="F50" s="220"/>
      <c r="G50" s="220"/>
      <c r="H50" s="220"/>
      <c r="I50" s="230" t="s">
        <v>70</v>
      </c>
      <c r="J50" s="194"/>
      <c r="K50" s="220"/>
      <c r="L50" s="230" t="s">
        <v>70</v>
      </c>
      <c r="M50" s="194"/>
      <c r="N50" s="230" t="s">
        <v>70</v>
      </c>
      <c r="O50" s="195"/>
      <c r="P50" s="142"/>
      <c r="Q50" s="216" t="str">
        <f t="shared" ca="1" si="4"/>
        <v/>
      </c>
      <c r="R50" s="216" t="str">
        <f t="shared" ca="1" si="5"/>
        <v/>
      </c>
      <c r="S50" s="216" t="str">
        <f t="shared" ca="1" si="6"/>
        <v/>
      </c>
    </row>
    <row r="51" spans="1:19" x14ac:dyDescent="0.25">
      <c r="B51" s="141" t="str">
        <f t="shared" si="7"/>
        <v/>
      </c>
      <c r="C51" s="142"/>
      <c r="D51" s="225"/>
      <c r="E51" s="225"/>
      <c r="F51" s="225"/>
      <c r="G51" s="225"/>
      <c r="H51" s="225"/>
      <c r="I51" s="226"/>
      <c r="J51" s="225"/>
      <c r="K51" s="225"/>
      <c r="L51" s="226"/>
      <c r="M51" s="225"/>
      <c r="N51" s="226"/>
      <c r="O51" s="225"/>
      <c r="P51" s="142"/>
      <c r="Q51" s="216" t="str">
        <f t="shared" ca="1" si="4"/>
        <v/>
      </c>
      <c r="R51" s="216" t="str">
        <f t="shared" ca="1" si="5"/>
        <v/>
      </c>
      <c r="S51" s="216"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6" t="str">
        <f t="shared" ca="1" si="4"/>
        <v/>
      </c>
      <c r="R52" s="216" t="str">
        <f t="shared" ca="1" si="5"/>
        <v/>
      </c>
      <c r="S52" s="216" t="str">
        <f t="shared" ca="1" si="6"/>
        <v/>
      </c>
    </row>
    <row r="53" spans="1:19" x14ac:dyDescent="0.25">
      <c r="B53" s="141" t="str">
        <f t="shared" si="7"/>
        <v/>
      </c>
      <c r="C53" s="142"/>
      <c r="D53" s="276"/>
      <c r="E53" s="219"/>
      <c r="F53" s="219"/>
      <c r="G53" s="219"/>
      <c r="H53" s="219"/>
      <c r="I53" s="231" t="s">
        <v>65</v>
      </c>
      <c r="J53" s="196"/>
      <c r="K53" s="219"/>
      <c r="L53" s="231" t="s">
        <v>65</v>
      </c>
      <c r="M53" s="196"/>
      <c r="N53" s="231" t="s">
        <v>65</v>
      </c>
      <c r="O53" s="193"/>
      <c r="P53" s="142"/>
      <c r="Q53" s="216" t="str">
        <f t="shared" ca="1" si="4"/>
        <v/>
      </c>
      <c r="R53" s="216" t="str">
        <f t="shared" ca="1" si="5"/>
        <v/>
      </c>
      <c r="S53" s="216" t="str">
        <f t="shared" ca="1" si="6"/>
        <v/>
      </c>
    </row>
    <row r="54" spans="1:19" x14ac:dyDescent="0.25">
      <c r="B54" s="141" t="str">
        <f t="shared" si="7"/>
        <v/>
      </c>
      <c r="C54" s="142"/>
      <c r="D54" s="277"/>
      <c r="E54" s="219"/>
      <c r="F54" s="219"/>
      <c r="G54" s="219"/>
      <c r="H54" s="219"/>
      <c r="I54" s="231" t="s">
        <v>66</v>
      </c>
      <c r="J54" s="196"/>
      <c r="K54" s="219"/>
      <c r="L54" s="231" t="s">
        <v>66</v>
      </c>
      <c r="M54" s="196"/>
      <c r="N54" s="231" t="s">
        <v>66</v>
      </c>
      <c r="O54" s="193"/>
      <c r="P54" s="142"/>
      <c r="Q54" s="143"/>
      <c r="R54" s="143"/>
      <c r="S54" s="143"/>
    </row>
    <row r="55" spans="1:19" x14ac:dyDescent="0.25">
      <c r="B55" s="141" t="str">
        <f t="shared" si="7"/>
        <v/>
      </c>
      <c r="C55" s="142"/>
      <c r="D55" s="277"/>
      <c r="E55" s="219"/>
      <c r="F55" s="219"/>
      <c r="G55" s="219"/>
      <c r="H55" s="219"/>
      <c r="I55" s="231" t="s">
        <v>67</v>
      </c>
      <c r="J55" s="196"/>
      <c r="K55" s="219"/>
      <c r="L55" s="231" t="s">
        <v>67</v>
      </c>
      <c r="M55" s="196"/>
      <c r="N55" s="231" t="s">
        <v>67</v>
      </c>
      <c r="O55" s="193"/>
      <c r="P55" s="142"/>
      <c r="Q55" s="143"/>
      <c r="R55" s="143"/>
      <c r="S55" s="143"/>
    </row>
    <row r="56" spans="1:19" x14ac:dyDescent="0.25">
      <c r="B56" s="141" t="str">
        <f t="shared" si="7"/>
        <v/>
      </c>
      <c r="C56" s="142"/>
      <c r="D56" s="277"/>
      <c r="E56" s="219"/>
      <c r="F56" s="219"/>
      <c r="G56" s="219"/>
      <c r="H56" s="219"/>
      <c r="I56" s="231" t="s">
        <v>68</v>
      </c>
      <c r="J56" s="196"/>
      <c r="K56" s="219"/>
      <c r="L56" s="231" t="s">
        <v>68</v>
      </c>
      <c r="M56" s="196"/>
      <c r="N56" s="231" t="s">
        <v>68</v>
      </c>
      <c r="O56" s="193"/>
      <c r="P56" s="142"/>
      <c r="Q56" s="143"/>
      <c r="R56" s="143"/>
      <c r="S56" s="143"/>
    </row>
    <row r="57" spans="1:19" x14ac:dyDescent="0.25">
      <c r="B57" s="141" t="str">
        <f t="shared" si="7"/>
        <v/>
      </c>
      <c r="C57" s="142"/>
      <c r="D57" s="277"/>
      <c r="E57" s="219"/>
      <c r="F57" s="219"/>
      <c r="G57" s="219"/>
      <c r="H57" s="219"/>
      <c r="I57" s="231" t="s">
        <v>69</v>
      </c>
      <c r="J57" s="196"/>
      <c r="K57" s="219"/>
      <c r="L57" s="231" t="s">
        <v>69</v>
      </c>
      <c r="M57" s="196"/>
      <c r="N57" s="231" t="s">
        <v>69</v>
      </c>
      <c r="O57" s="193"/>
      <c r="P57" s="142"/>
      <c r="Q57" s="143"/>
      <c r="R57" s="143"/>
      <c r="S57" s="143"/>
    </row>
    <row r="58" spans="1:19" x14ac:dyDescent="0.25">
      <c r="B58" s="141" t="str">
        <f t="shared" si="7"/>
        <v/>
      </c>
      <c r="C58" s="142"/>
      <c r="D58" s="278"/>
      <c r="E58" s="220"/>
      <c r="F58" s="220"/>
      <c r="G58" s="220"/>
      <c r="H58" s="220"/>
      <c r="I58" s="232" t="s">
        <v>70</v>
      </c>
      <c r="J58" s="197"/>
      <c r="K58" s="220"/>
      <c r="L58" s="232" t="s">
        <v>70</v>
      </c>
      <c r="M58" s="197"/>
      <c r="N58" s="232" t="s">
        <v>70</v>
      </c>
      <c r="O58" s="195"/>
      <c r="P58" s="142"/>
      <c r="Q58" s="143"/>
      <c r="R58" s="143"/>
      <c r="S58" s="143"/>
    </row>
    <row r="59" spans="1:19" x14ac:dyDescent="0.25">
      <c r="B59" s="141" t="str">
        <f t="shared" si="7"/>
        <v/>
      </c>
      <c r="C59" s="142"/>
      <c r="D59" s="225"/>
      <c r="E59" s="225"/>
      <c r="F59" s="225"/>
      <c r="G59" s="225"/>
      <c r="H59" s="225"/>
      <c r="I59" s="226"/>
      <c r="J59" s="225"/>
      <c r="K59" s="225"/>
      <c r="L59" s="226"/>
      <c r="M59" s="225"/>
      <c r="N59" s="226"/>
      <c r="O59" s="225"/>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6"/>
      <c r="E61" s="219"/>
      <c r="F61" s="219"/>
      <c r="G61" s="219"/>
      <c r="H61" s="219"/>
      <c r="I61" s="231" t="s">
        <v>65</v>
      </c>
      <c r="J61" s="196"/>
      <c r="K61" s="219"/>
      <c r="L61" s="231" t="s">
        <v>65</v>
      </c>
      <c r="M61" s="196"/>
      <c r="N61" s="231" t="s">
        <v>65</v>
      </c>
      <c r="O61" s="193"/>
      <c r="P61" s="142"/>
      <c r="Q61" s="143"/>
      <c r="R61" s="143"/>
      <c r="S61" s="143"/>
    </row>
    <row r="62" spans="1:19" x14ac:dyDescent="0.25">
      <c r="B62" s="141" t="str">
        <f t="shared" si="7"/>
        <v/>
      </c>
      <c r="C62" s="142"/>
      <c r="D62" s="277"/>
      <c r="E62" s="219"/>
      <c r="F62" s="219"/>
      <c r="G62" s="219"/>
      <c r="H62" s="219"/>
      <c r="I62" s="231" t="s">
        <v>66</v>
      </c>
      <c r="J62" s="196"/>
      <c r="K62" s="219"/>
      <c r="L62" s="231" t="s">
        <v>66</v>
      </c>
      <c r="M62" s="196"/>
      <c r="N62" s="231" t="s">
        <v>66</v>
      </c>
      <c r="O62" s="193"/>
      <c r="P62" s="142"/>
      <c r="Q62" s="143"/>
      <c r="R62" s="143"/>
      <c r="S62" s="143"/>
    </row>
    <row r="63" spans="1:19" x14ac:dyDescent="0.25">
      <c r="B63" s="141" t="str">
        <f t="shared" si="7"/>
        <v/>
      </c>
      <c r="C63" s="142"/>
      <c r="D63" s="277"/>
      <c r="E63" s="219"/>
      <c r="F63" s="219"/>
      <c r="G63" s="219"/>
      <c r="H63" s="219"/>
      <c r="I63" s="231" t="s">
        <v>67</v>
      </c>
      <c r="J63" s="196"/>
      <c r="K63" s="219"/>
      <c r="L63" s="231" t="s">
        <v>67</v>
      </c>
      <c r="M63" s="196"/>
      <c r="N63" s="231" t="s">
        <v>67</v>
      </c>
      <c r="O63" s="193"/>
      <c r="P63" s="142"/>
      <c r="Q63" s="143"/>
      <c r="R63" s="143"/>
      <c r="S63" s="143"/>
    </row>
    <row r="64" spans="1:19" x14ac:dyDescent="0.25">
      <c r="B64" s="141" t="str">
        <f t="shared" si="7"/>
        <v/>
      </c>
      <c r="C64" s="142"/>
      <c r="D64" s="277"/>
      <c r="E64" s="219"/>
      <c r="F64" s="219"/>
      <c r="G64" s="219"/>
      <c r="H64" s="219"/>
      <c r="I64" s="231" t="s">
        <v>68</v>
      </c>
      <c r="J64" s="196"/>
      <c r="K64" s="219"/>
      <c r="L64" s="231" t="s">
        <v>68</v>
      </c>
      <c r="M64" s="196"/>
      <c r="N64" s="231" t="s">
        <v>68</v>
      </c>
      <c r="O64" s="193"/>
      <c r="P64" s="142"/>
      <c r="Q64" s="143"/>
      <c r="R64" s="143"/>
      <c r="S64" s="143"/>
    </row>
    <row r="65" spans="1:19" x14ac:dyDescent="0.25">
      <c r="B65" s="141" t="str">
        <f t="shared" si="7"/>
        <v/>
      </c>
      <c r="C65" s="142"/>
      <c r="D65" s="277"/>
      <c r="E65" s="219"/>
      <c r="F65" s="219"/>
      <c r="G65" s="219"/>
      <c r="H65" s="219"/>
      <c r="I65" s="231" t="s">
        <v>69</v>
      </c>
      <c r="J65" s="196"/>
      <c r="K65" s="219"/>
      <c r="L65" s="231" t="s">
        <v>69</v>
      </c>
      <c r="M65" s="196"/>
      <c r="N65" s="231" t="s">
        <v>69</v>
      </c>
      <c r="O65" s="193"/>
      <c r="P65" s="142"/>
      <c r="Q65" s="143"/>
      <c r="R65" s="143"/>
      <c r="S65" s="143"/>
    </row>
    <row r="66" spans="1:19" x14ac:dyDescent="0.25">
      <c r="B66" s="141" t="str">
        <f t="shared" si="7"/>
        <v/>
      </c>
      <c r="C66" s="142"/>
      <c r="D66" s="278"/>
      <c r="E66" s="220"/>
      <c r="F66" s="220"/>
      <c r="G66" s="220"/>
      <c r="H66" s="220"/>
      <c r="I66" s="232" t="s">
        <v>70</v>
      </c>
      <c r="J66" s="197"/>
      <c r="K66" s="220"/>
      <c r="L66" s="232" t="s">
        <v>70</v>
      </c>
      <c r="M66" s="197"/>
      <c r="N66" s="232" t="s">
        <v>70</v>
      </c>
      <c r="O66" s="195"/>
      <c r="P66" s="142"/>
      <c r="Q66" s="143"/>
      <c r="R66" s="143"/>
      <c r="S66" s="143"/>
    </row>
    <row r="67" spans="1:19" x14ac:dyDescent="0.25">
      <c r="B67" s="141" t="str">
        <f t="shared" si="7"/>
        <v/>
      </c>
      <c r="C67" s="142"/>
      <c r="D67" s="225"/>
      <c r="E67" s="225"/>
      <c r="F67" s="225"/>
      <c r="G67" s="225"/>
      <c r="H67" s="225"/>
      <c r="I67" s="226"/>
      <c r="J67" s="225"/>
      <c r="K67" s="225"/>
      <c r="L67" s="226"/>
      <c r="M67" s="225"/>
      <c r="N67" s="226"/>
      <c r="O67" s="225"/>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6"/>
      <c r="E69" s="219"/>
      <c r="F69" s="219"/>
      <c r="G69" s="219"/>
      <c r="H69" s="219"/>
      <c r="I69" s="231" t="s">
        <v>65</v>
      </c>
      <c r="J69" s="196"/>
      <c r="K69" s="219"/>
      <c r="L69" s="231" t="s">
        <v>65</v>
      </c>
      <c r="M69" s="196"/>
      <c r="N69" s="231" t="s">
        <v>65</v>
      </c>
      <c r="O69" s="193"/>
      <c r="P69" s="142"/>
      <c r="Q69" s="143"/>
      <c r="R69" s="143"/>
      <c r="S69" s="143"/>
    </row>
    <row r="70" spans="1:19" x14ac:dyDescent="0.25">
      <c r="B70" s="141" t="str">
        <f t="shared" si="8"/>
        <v/>
      </c>
      <c r="C70" s="142"/>
      <c r="D70" s="277"/>
      <c r="E70" s="219"/>
      <c r="F70" s="219"/>
      <c r="G70" s="219"/>
      <c r="H70" s="219"/>
      <c r="I70" s="231" t="s">
        <v>66</v>
      </c>
      <c r="J70" s="196"/>
      <c r="K70" s="219"/>
      <c r="L70" s="231" t="s">
        <v>66</v>
      </c>
      <c r="M70" s="196"/>
      <c r="N70" s="231" t="s">
        <v>66</v>
      </c>
      <c r="O70" s="193"/>
      <c r="P70" s="142"/>
      <c r="Q70" s="143"/>
      <c r="R70" s="143"/>
      <c r="S70" s="143"/>
    </row>
    <row r="71" spans="1:19" x14ac:dyDescent="0.25">
      <c r="B71" s="141" t="str">
        <f t="shared" si="8"/>
        <v/>
      </c>
      <c r="C71" s="142"/>
      <c r="D71" s="277"/>
      <c r="E71" s="219"/>
      <c r="F71" s="219"/>
      <c r="G71" s="219"/>
      <c r="H71" s="219"/>
      <c r="I71" s="231" t="s">
        <v>67</v>
      </c>
      <c r="J71" s="196"/>
      <c r="K71" s="219"/>
      <c r="L71" s="231" t="s">
        <v>67</v>
      </c>
      <c r="M71" s="196"/>
      <c r="N71" s="231" t="s">
        <v>67</v>
      </c>
      <c r="O71" s="193"/>
      <c r="P71" s="142"/>
      <c r="Q71" s="143"/>
      <c r="R71" s="143"/>
      <c r="S71" s="143"/>
    </row>
    <row r="72" spans="1:19" x14ac:dyDescent="0.25">
      <c r="B72" s="141" t="str">
        <f t="shared" si="8"/>
        <v/>
      </c>
      <c r="C72" s="142"/>
      <c r="D72" s="277"/>
      <c r="E72" s="219"/>
      <c r="F72" s="219"/>
      <c r="G72" s="219"/>
      <c r="H72" s="219"/>
      <c r="I72" s="231" t="s">
        <v>68</v>
      </c>
      <c r="J72" s="196"/>
      <c r="K72" s="219"/>
      <c r="L72" s="231" t="s">
        <v>68</v>
      </c>
      <c r="M72" s="196"/>
      <c r="N72" s="231" t="s">
        <v>68</v>
      </c>
      <c r="O72" s="193"/>
      <c r="P72" s="142"/>
      <c r="Q72" s="143"/>
      <c r="R72" s="143"/>
      <c r="S72" s="143"/>
    </row>
    <row r="73" spans="1:19" x14ac:dyDescent="0.25">
      <c r="B73" s="141" t="str">
        <f t="shared" si="8"/>
        <v/>
      </c>
      <c r="C73" s="142"/>
      <c r="D73" s="277"/>
      <c r="E73" s="219"/>
      <c r="F73" s="219"/>
      <c r="G73" s="219"/>
      <c r="H73" s="219"/>
      <c r="I73" s="231" t="s">
        <v>257</v>
      </c>
      <c r="J73" s="196"/>
      <c r="K73" s="219"/>
      <c r="L73" s="231" t="s">
        <v>69</v>
      </c>
      <c r="M73" s="196"/>
      <c r="N73" s="231" t="s">
        <v>69</v>
      </c>
      <c r="O73" s="193"/>
      <c r="P73" s="142"/>
      <c r="Q73" s="143"/>
      <c r="R73" s="143"/>
      <c r="S73" s="143"/>
    </row>
    <row r="74" spans="1:19" x14ac:dyDescent="0.25">
      <c r="B74" s="141" t="str">
        <f t="shared" si="8"/>
        <v/>
      </c>
      <c r="C74" s="142"/>
      <c r="D74" s="278"/>
      <c r="E74" s="220"/>
      <c r="F74" s="220"/>
      <c r="G74" s="220"/>
      <c r="H74" s="220"/>
      <c r="I74" s="232" t="s">
        <v>70</v>
      </c>
      <c r="J74" s="197"/>
      <c r="K74" s="220"/>
      <c r="L74" s="232" t="s">
        <v>70</v>
      </c>
      <c r="M74" s="197"/>
      <c r="N74" s="232" t="s">
        <v>70</v>
      </c>
      <c r="O74" s="195"/>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3"/>
      <c r="J76" s="140"/>
      <c r="K76" s="140"/>
      <c r="L76" s="233"/>
      <c r="M76" s="140"/>
      <c r="N76" s="233"/>
      <c r="O76" s="140"/>
      <c r="P76" s="140"/>
      <c r="Q76" s="143"/>
      <c r="R76" s="143"/>
      <c r="S76" s="143"/>
    </row>
    <row r="77" spans="1:19" x14ac:dyDescent="0.25">
      <c r="A77" s="149"/>
      <c r="B77" s="149"/>
      <c r="C77" s="140"/>
      <c r="D77" s="140"/>
      <c r="E77" s="140"/>
      <c r="F77" s="140"/>
      <c r="G77" s="140"/>
      <c r="H77" s="140"/>
      <c r="I77" s="233"/>
      <c r="J77" s="140"/>
      <c r="K77" s="140"/>
      <c r="L77" s="233"/>
      <c r="M77" s="140"/>
      <c r="N77" s="233"/>
      <c r="O77" s="140"/>
      <c r="P77" s="140"/>
      <c r="Q77" s="143"/>
      <c r="R77" s="143"/>
      <c r="S77" s="143"/>
    </row>
    <row r="78" spans="1:19" x14ac:dyDescent="0.25">
      <c r="A78" s="149"/>
      <c r="B78" s="149"/>
      <c r="C78" s="140"/>
      <c r="D78" s="140"/>
      <c r="E78" s="140"/>
      <c r="F78" s="140"/>
      <c r="G78" s="140"/>
      <c r="H78" s="140"/>
      <c r="I78" s="233"/>
      <c r="J78" s="140"/>
      <c r="K78" s="140"/>
      <c r="L78" s="233"/>
      <c r="M78" s="140"/>
      <c r="N78" s="233"/>
      <c r="O78" s="140"/>
      <c r="P78" s="140"/>
      <c r="Q78" s="143"/>
      <c r="R78" s="143"/>
      <c r="S78" s="143"/>
    </row>
    <row r="79" spans="1:19" x14ac:dyDescent="0.25">
      <c r="A79" s="149"/>
      <c r="B79" s="149"/>
      <c r="C79" s="140"/>
      <c r="D79" s="140"/>
      <c r="E79" s="140"/>
      <c r="F79" s="140"/>
      <c r="G79" s="140"/>
      <c r="H79" s="140"/>
      <c r="I79" s="233"/>
      <c r="J79" s="140"/>
      <c r="K79" s="140"/>
      <c r="L79" s="233"/>
      <c r="M79" s="140"/>
      <c r="N79" s="233"/>
      <c r="O79" s="140"/>
      <c r="P79" s="140"/>
      <c r="Q79" s="143"/>
      <c r="R79" s="143"/>
      <c r="S79" s="143"/>
    </row>
    <row r="80" spans="1:19" hidden="1" x14ac:dyDescent="0.25">
      <c r="A80" s="149"/>
      <c r="B80" s="149"/>
      <c r="C80" s="140"/>
      <c r="D80" s="140"/>
      <c r="E80" s="140"/>
      <c r="F80" s="140"/>
      <c r="G80" s="140"/>
      <c r="H80" s="140"/>
      <c r="I80" s="233"/>
      <c r="J80" s="140"/>
      <c r="K80" s="140"/>
      <c r="L80" s="233"/>
      <c r="M80" s="140"/>
      <c r="N80" s="233"/>
      <c r="O80" s="140"/>
      <c r="P80" s="140"/>
      <c r="Q80" s="143"/>
      <c r="R80" s="143"/>
      <c r="S80" s="143"/>
    </row>
    <row r="81" spans="1:19" hidden="1" x14ac:dyDescent="0.25">
      <c r="A81" s="149"/>
      <c r="B81" s="149"/>
      <c r="C81" s="140"/>
      <c r="D81" s="140"/>
      <c r="E81" s="140"/>
      <c r="F81" s="140"/>
      <c r="G81" s="140"/>
      <c r="H81" s="140"/>
      <c r="I81" s="233"/>
      <c r="J81" s="140"/>
      <c r="K81" s="140"/>
      <c r="L81" s="233"/>
      <c r="M81" s="140"/>
      <c r="N81" s="233"/>
      <c r="O81" s="140"/>
      <c r="P81" s="140"/>
      <c r="Q81" s="143"/>
      <c r="R81" s="143"/>
      <c r="S81" s="143"/>
    </row>
    <row r="82" spans="1:19" hidden="1" x14ac:dyDescent="0.25">
      <c r="A82" s="149"/>
      <c r="B82" s="149"/>
      <c r="C82" s="140"/>
      <c r="D82" s="140"/>
      <c r="E82" s="140"/>
      <c r="F82" s="140"/>
      <c r="G82" s="140"/>
      <c r="H82" s="140"/>
      <c r="I82" s="233"/>
      <c r="J82" s="140"/>
      <c r="K82" s="140"/>
      <c r="L82" s="233"/>
      <c r="M82" s="140"/>
      <c r="N82" s="233"/>
      <c r="O82" s="140"/>
      <c r="P82" s="140"/>
      <c r="Q82" s="143"/>
      <c r="R82" s="143"/>
      <c r="S82" s="143"/>
    </row>
    <row r="83" spans="1:19" hidden="1" x14ac:dyDescent="0.25">
      <c r="A83" s="149"/>
      <c r="B83" s="149"/>
      <c r="C83" s="140"/>
      <c r="D83" s="140"/>
      <c r="E83" s="140"/>
      <c r="F83" s="140"/>
      <c r="G83" s="140"/>
      <c r="H83" s="140"/>
      <c r="I83" s="233"/>
      <c r="J83" s="140"/>
      <c r="K83" s="140"/>
      <c r="L83" s="233"/>
      <c r="M83" s="140"/>
      <c r="N83" s="233"/>
      <c r="O83" s="140"/>
      <c r="P83" s="140"/>
      <c r="Q83" s="143"/>
      <c r="R83" s="143"/>
      <c r="S83" s="143"/>
    </row>
    <row r="84" spans="1:19" hidden="1" x14ac:dyDescent="0.25">
      <c r="A84" s="149"/>
      <c r="B84" s="149"/>
      <c r="C84" s="140"/>
      <c r="D84" s="140"/>
      <c r="E84" s="140"/>
      <c r="F84" s="140"/>
      <c r="G84" s="140"/>
      <c r="H84" s="140"/>
      <c r="I84" s="233"/>
      <c r="J84" s="140"/>
      <c r="K84" s="140"/>
      <c r="L84" s="233"/>
      <c r="M84" s="140"/>
      <c r="N84" s="233"/>
      <c r="O84" s="140"/>
      <c r="P84" s="140"/>
      <c r="Q84" s="143"/>
      <c r="R84" s="143"/>
      <c r="S84" s="143"/>
    </row>
    <row r="85" spans="1:19" hidden="1" x14ac:dyDescent="0.25">
      <c r="A85" s="149"/>
      <c r="B85" s="149"/>
      <c r="C85" s="140"/>
      <c r="D85" s="140"/>
      <c r="E85" s="140"/>
      <c r="F85" s="140"/>
      <c r="G85" s="140"/>
      <c r="H85" s="140"/>
      <c r="I85" s="233"/>
      <c r="J85" s="140"/>
      <c r="K85" s="140"/>
      <c r="L85" s="233"/>
      <c r="M85" s="140"/>
      <c r="N85" s="233"/>
      <c r="O85" s="140"/>
      <c r="P85" s="140"/>
      <c r="Q85" s="143"/>
      <c r="R85" s="143"/>
      <c r="S85" s="143"/>
    </row>
    <row r="86" spans="1:19" x14ac:dyDescent="0.25">
      <c r="A86" s="149"/>
      <c r="B86" s="149"/>
      <c r="C86" s="140"/>
      <c r="D86" s="140"/>
      <c r="E86" s="140"/>
      <c r="F86" s="140"/>
      <c r="G86" s="140"/>
      <c r="H86" s="140"/>
      <c r="I86" s="233"/>
      <c r="J86" s="140"/>
      <c r="K86" s="140"/>
      <c r="L86" s="233"/>
      <c r="M86" s="140"/>
      <c r="N86" s="233"/>
      <c r="O86" s="140"/>
      <c r="P86" s="140"/>
    </row>
    <row r="87" spans="1:19" x14ac:dyDescent="0.25">
      <c r="A87" s="149"/>
      <c r="B87" s="149"/>
      <c r="C87" s="140"/>
      <c r="D87" s="140"/>
      <c r="E87" s="140"/>
      <c r="F87" s="140"/>
      <c r="G87" s="140"/>
      <c r="H87" s="140"/>
      <c r="I87" s="233"/>
      <c r="J87" s="237"/>
      <c r="K87" s="140"/>
      <c r="L87" s="233"/>
      <c r="M87" s="140"/>
      <c r="N87" s="233"/>
      <c r="O87" s="140"/>
      <c r="P87" s="140"/>
    </row>
    <row r="88" spans="1:19" x14ac:dyDescent="0.25">
      <c r="A88" s="149"/>
      <c r="B88" s="149"/>
      <c r="C88" s="140"/>
      <c r="D88" s="140"/>
      <c r="E88" s="140"/>
      <c r="F88" s="140"/>
      <c r="G88" s="140"/>
      <c r="H88" s="140"/>
      <c r="I88" s="233"/>
      <c r="J88" s="140"/>
      <c r="K88" s="140"/>
      <c r="L88" s="233"/>
      <c r="M88" s="140"/>
      <c r="N88" s="233"/>
      <c r="O88" s="140"/>
      <c r="P88" s="140"/>
    </row>
    <row r="89" spans="1:19" x14ac:dyDescent="0.25">
      <c r="A89" s="149"/>
      <c r="B89" s="149"/>
      <c r="C89" s="140"/>
      <c r="D89" s="140"/>
      <c r="E89" s="140"/>
      <c r="F89" s="140"/>
      <c r="G89" s="140"/>
      <c r="H89" s="140"/>
      <c r="I89" s="233"/>
      <c r="J89" s="140"/>
      <c r="K89" s="140"/>
      <c r="L89" s="233"/>
      <c r="M89" s="140"/>
      <c r="N89" s="233"/>
      <c r="O89" s="140"/>
      <c r="P89" s="140"/>
    </row>
    <row r="90" spans="1:19" x14ac:dyDescent="0.25">
      <c r="A90" s="149"/>
      <c r="B90" s="149"/>
      <c r="C90" s="140"/>
      <c r="D90" s="140"/>
      <c r="E90" s="140"/>
      <c r="F90" s="140"/>
      <c r="G90" s="140"/>
      <c r="H90" s="140"/>
      <c r="I90" s="233"/>
      <c r="J90" s="140"/>
      <c r="K90" s="140"/>
      <c r="L90" s="233"/>
      <c r="M90" s="140"/>
      <c r="N90" s="233"/>
      <c r="O90" s="140"/>
      <c r="P90" s="140"/>
    </row>
    <row r="91" spans="1:19" x14ac:dyDescent="0.25">
      <c r="A91" s="149"/>
      <c r="B91" s="149"/>
      <c r="C91" s="140"/>
      <c r="D91" s="140"/>
      <c r="E91" s="140"/>
      <c r="F91" s="140"/>
      <c r="G91" s="140"/>
      <c r="H91" s="140"/>
      <c r="I91" s="233"/>
      <c r="J91" s="140"/>
      <c r="K91" s="140"/>
      <c r="L91" s="233"/>
      <c r="M91" s="140"/>
      <c r="N91" s="233"/>
      <c r="O91" s="140"/>
      <c r="P91" s="140"/>
    </row>
    <row r="92" spans="1:19" x14ac:dyDescent="0.25">
      <c r="A92" s="149"/>
      <c r="B92" s="149"/>
      <c r="C92" s="140"/>
      <c r="D92" s="140"/>
      <c r="E92" s="140"/>
      <c r="F92" s="140"/>
      <c r="G92" s="140"/>
      <c r="H92" s="140"/>
      <c r="I92" s="233"/>
      <c r="J92" s="140"/>
      <c r="K92" s="140"/>
      <c r="L92" s="233"/>
      <c r="M92" s="140"/>
      <c r="N92" s="233"/>
      <c r="O92" s="140"/>
      <c r="P92" s="140"/>
    </row>
    <row r="93" spans="1:19" x14ac:dyDescent="0.25">
      <c r="A93" s="149"/>
      <c r="B93" s="149"/>
      <c r="C93" s="140"/>
      <c r="D93" s="140"/>
      <c r="E93" s="140"/>
      <c r="F93" s="140"/>
      <c r="G93" s="140"/>
      <c r="H93" s="140"/>
      <c r="I93" s="233"/>
      <c r="J93" s="140"/>
      <c r="K93" s="140"/>
      <c r="L93" s="233"/>
      <c r="M93" s="140"/>
      <c r="N93" s="233"/>
      <c r="O93" s="140"/>
      <c r="P93" s="140"/>
    </row>
    <row r="94" spans="1:19" x14ac:dyDescent="0.25">
      <c r="A94" s="149"/>
      <c r="B94" s="149"/>
      <c r="C94" s="140"/>
      <c r="D94" s="140"/>
      <c r="E94" s="140"/>
      <c r="F94" s="140"/>
      <c r="G94" s="140"/>
      <c r="H94" s="140"/>
      <c r="I94" s="233"/>
      <c r="J94" s="140"/>
      <c r="K94" s="140"/>
      <c r="L94" s="233"/>
      <c r="M94" s="140"/>
      <c r="N94" s="233"/>
      <c r="O94" s="140"/>
      <c r="P94" s="140"/>
    </row>
    <row r="95" spans="1:19" x14ac:dyDescent="0.25">
      <c r="A95" s="149"/>
      <c r="B95" s="149"/>
      <c r="C95" s="140"/>
      <c r="D95" s="140"/>
      <c r="E95" s="140"/>
      <c r="F95" s="140"/>
      <c r="G95" s="140"/>
      <c r="H95" s="140"/>
      <c r="I95" s="233"/>
      <c r="J95" s="140"/>
      <c r="K95" s="140"/>
      <c r="L95" s="233"/>
      <c r="M95" s="140"/>
      <c r="N95" s="233"/>
      <c r="O95" s="140"/>
      <c r="P95" s="140"/>
    </row>
    <row r="96" spans="1:19" x14ac:dyDescent="0.25">
      <c r="A96" s="149"/>
      <c r="B96" s="149"/>
      <c r="C96" s="140"/>
      <c r="D96" s="140"/>
      <c r="E96" s="140"/>
      <c r="F96" s="140"/>
      <c r="G96" s="140"/>
      <c r="H96" s="140"/>
      <c r="I96" s="233"/>
      <c r="J96" s="140"/>
      <c r="K96" s="140"/>
      <c r="L96" s="233"/>
      <c r="M96" s="140"/>
      <c r="N96" s="233"/>
      <c r="O96" s="140"/>
      <c r="P96" s="140"/>
    </row>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8" sqref="E8"/>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2" t="s">
        <v>861</v>
      </c>
      <c r="E3" s="282"/>
      <c r="F3" s="146"/>
      <c r="G3" s="147" t="s">
        <v>302</v>
      </c>
      <c r="H3" s="147" t="s">
        <v>301</v>
      </c>
      <c r="I3" s="147" t="s">
        <v>303</v>
      </c>
    </row>
    <row r="4" spans="1:19" ht="15" x14ac:dyDescent="0.25">
      <c r="A4" s="141" t="b">
        <v>1</v>
      </c>
      <c r="C4" s="145"/>
      <c r="D4" s="148" t="s">
        <v>65</v>
      </c>
      <c r="E4" s="199"/>
      <c r="F4" s="146"/>
      <c r="G4" s="216" t="str">
        <f t="shared" ref="G4:G53" ca="1" si="0">IFERROR(INDEX(Needs_Q, MATCH(ROW()-ROW(G$3), Needs_Q_Ix, 0)), "")</f>
        <v/>
      </c>
      <c r="H4" s="216" t="str">
        <f t="shared" ref="H4:H35" ca="1" si="1">IFERROR(INDEX(US_Q, MATCH(ROW()-ROW(H$3), US_Q_Ix, 0)), "")</f>
        <v/>
      </c>
      <c r="I4" s="216"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9"/>
      <c r="F5" s="146"/>
      <c r="G5" s="216" t="str">
        <f t="shared" ca="1" si="0"/>
        <v/>
      </c>
      <c r="H5" s="216" t="str">
        <f t="shared" ca="1" si="1"/>
        <v/>
      </c>
      <c r="I5" s="216" t="str">
        <f t="shared" ca="1" si="2"/>
        <v/>
      </c>
    </row>
    <row r="6" spans="1:19" ht="15" x14ac:dyDescent="0.25">
      <c r="B6" s="141" t="str">
        <f>IFERROR(CHOOSE(MATCH(#REF!, Val_ResponseCat, 0), "IdentifiedNeeds", "IdentifiedUsefulStrengths", "IdentifiedStrengthsToBuild"), "")</f>
        <v/>
      </c>
      <c r="C6" s="145"/>
      <c r="D6" s="148" t="s">
        <v>67</v>
      </c>
      <c r="E6" s="199"/>
      <c r="F6" s="146"/>
      <c r="G6" s="216" t="str">
        <f t="shared" ca="1" si="0"/>
        <v/>
      </c>
      <c r="H6" s="216" t="str">
        <f t="shared" ca="1" si="1"/>
        <v/>
      </c>
      <c r="I6" s="216" t="str">
        <f t="shared" ca="1" si="2"/>
        <v/>
      </c>
    </row>
    <row r="7" spans="1:19" ht="15" x14ac:dyDescent="0.25">
      <c r="B7" s="141" t="str">
        <f>IFERROR(CHOOSE(MATCH(#REF!, Val_ResponseCat, 0), "IdentifiedNeeds", "IdentifiedUsefulStrengths", "IdentifiedStrengthsToBuild"), "")</f>
        <v/>
      </c>
      <c r="C7" s="145"/>
      <c r="D7" s="148" t="s">
        <v>68</v>
      </c>
      <c r="E7" s="199"/>
      <c r="F7" s="146"/>
      <c r="G7" s="216" t="str">
        <f t="shared" ca="1" si="0"/>
        <v/>
      </c>
      <c r="H7" s="216" t="str">
        <f t="shared" ca="1" si="1"/>
        <v/>
      </c>
      <c r="I7" s="216" t="str">
        <f t="shared" ca="1" si="2"/>
        <v/>
      </c>
    </row>
    <row r="8" spans="1:19" ht="15" x14ac:dyDescent="0.25">
      <c r="B8" s="141" t="str">
        <f>IFERROR(CHOOSE(MATCH(#REF!, Val_ResponseCat, 0), "IdentifiedNeeds", "IdentifiedUsefulStrengths", "IdentifiedStrengthsToBuild"), "")</f>
        <v/>
      </c>
      <c r="C8" s="145"/>
      <c r="D8" s="148" t="s">
        <v>69</v>
      </c>
      <c r="E8" s="199"/>
      <c r="F8" s="146"/>
      <c r="G8" s="216" t="str">
        <f t="shared" ca="1" si="0"/>
        <v/>
      </c>
      <c r="H8" s="216" t="str">
        <f t="shared" ca="1" si="1"/>
        <v/>
      </c>
      <c r="I8" s="216" t="str">
        <f t="shared" ca="1" si="2"/>
        <v/>
      </c>
    </row>
    <row r="9" spans="1:19" ht="15" x14ac:dyDescent="0.25">
      <c r="B9" s="141" t="str">
        <f>IFERROR(CHOOSE(MATCH(#REF!, Val_ResponseCat, 0), "IdentifiedNeeds", "IdentifiedUsefulStrengths", "IdentifiedStrengthsToBuild"), "")</f>
        <v/>
      </c>
      <c r="C9" s="145"/>
      <c r="D9" s="148" t="s">
        <v>70</v>
      </c>
      <c r="E9" s="199"/>
      <c r="F9" s="146"/>
      <c r="G9" s="216" t="str">
        <f t="shared" ca="1" si="0"/>
        <v/>
      </c>
      <c r="H9" s="216" t="str">
        <f t="shared" ca="1" si="1"/>
        <v/>
      </c>
      <c r="I9" s="216" t="str">
        <f t="shared" ca="1" si="2"/>
        <v/>
      </c>
    </row>
    <row r="10" spans="1:19" ht="15" x14ac:dyDescent="0.25">
      <c r="B10" s="141" t="str">
        <f>IFERROR(CHOOSE(MATCH(#REF!, Val_ResponseCat, 0), "IdentifiedNeeds", "IdentifiedUsefulStrengths", "IdentifiedStrengthsToBuild"), "")</f>
        <v/>
      </c>
      <c r="C10" s="145"/>
      <c r="D10" s="145"/>
      <c r="E10" s="145"/>
      <c r="F10" s="146"/>
      <c r="G10" s="216" t="str">
        <f t="shared" ca="1" si="0"/>
        <v/>
      </c>
      <c r="H10" s="216" t="str">
        <f t="shared" ca="1" si="1"/>
        <v/>
      </c>
      <c r="I10" s="216" t="str">
        <f t="shared" ca="1" si="2"/>
        <v/>
      </c>
    </row>
    <row r="11" spans="1:19" ht="15" x14ac:dyDescent="0.25">
      <c r="A11" s="149"/>
      <c r="B11" s="149" t="str">
        <f>IFERROR(CHOOSE(MATCH(#REF!, Val_ResponseCat, 0), "IdentifiedNeeds", "IdentifiedUsefulStrengths", "IdentifiedStrengthsToBuild"), "")</f>
        <v/>
      </c>
      <c r="C11" s="140"/>
      <c r="D11" s="140"/>
      <c r="E11" s="140"/>
      <c r="F11" s="140"/>
      <c r="G11" s="216" t="str">
        <f t="shared" ca="1" si="0"/>
        <v/>
      </c>
      <c r="H11" s="216" t="str">
        <f t="shared" ca="1" si="1"/>
        <v/>
      </c>
      <c r="I11" s="216"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6" t="str">
        <f t="shared" ca="1" si="0"/>
        <v/>
      </c>
      <c r="H12" s="216" t="str">
        <f t="shared" ca="1" si="1"/>
        <v/>
      </c>
      <c r="I12" s="216" t="str">
        <f t="shared" ca="1" si="2"/>
        <v/>
      </c>
    </row>
    <row r="13" spans="1:19" ht="15" x14ac:dyDescent="0.25">
      <c r="A13" s="149"/>
      <c r="B13" s="149" t="str">
        <f>IFERROR(CHOOSE(MATCH(#REF!, Val_ResponseCat, 0), "IdentifiedNeeds", "IdentifiedUsefulStrengths", "IdentifiedStrengthsToBuild"), "")</f>
        <v/>
      </c>
      <c r="C13" s="140"/>
      <c r="D13" s="140"/>
      <c r="E13" s="140"/>
      <c r="F13" s="140"/>
      <c r="G13" s="216" t="str">
        <f t="shared" ca="1" si="0"/>
        <v/>
      </c>
      <c r="H13" s="216" t="str">
        <f t="shared" ca="1" si="1"/>
        <v/>
      </c>
      <c r="I13" s="216" t="str">
        <f t="shared" ca="1" si="2"/>
        <v/>
      </c>
    </row>
    <row r="14" spans="1:19" ht="15" x14ac:dyDescent="0.25">
      <c r="A14" s="149"/>
      <c r="B14" s="149" t="str">
        <f>IFERROR(CHOOSE(MATCH(#REF!, Val_ResponseCat, 0), "IdentifiedNeeds", "IdentifiedUsefulStrengths", "IdentifiedStrengthsToBuild"), "")</f>
        <v/>
      </c>
      <c r="C14" s="140"/>
      <c r="D14" s="140"/>
      <c r="E14" s="140"/>
      <c r="F14" s="140"/>
      <c r="G14" s="216" t="str">
        <f t="shared" ca="1" si="0"/>
        <v/>
      </c>
      <c r="H14" s="216" t="str">
        <f t="shared" ca="1" si="1"/>
        <v/>
      </c>
      <c r="I14" s="216" t="str">
        <f t="shared" ca="1" si="2"/>
        <v/>
      </c>
    </row>
    <row r="15" spans="1:19" ht="15" x14ac:dyDescent="0.25">
      <c r="A15" s="149"/>
      <c r="B15" s="149" t="str">
        <f>IFERROR(CHOOSE(MATCH(#REF!, Val_ResponseCat, 0), "IdentifiedNeeds", "IdentifiedUsefulStrengths", "IdentifiedStrengthsToBuild"), "")</f>
        <v/>
      </c>
      <c r="C15" s="140"/>
      <c r="D15" s="140"/>
      <c r="E15" s="140"/>
      <c r="F15" s="140"/>
      <c r="G15" s="216" t="str">
        <f t="shared" ca="1" si="0"/>
        <v/>
      </c>
      <c r="H15" s="216" t="str">
        <f t="shared" ca="1" si="1"/>
        <v/>
      </c>
      <c r="I15" s="216" t="str">
        <f t="shared" ca="1" si="2"/>
        <v/>
      </c>
    </row>
    <row r="16" spans="1:19" ht="15" x14ac:dyDescent="0.25">
      <c r="A16" s="149"/>
      <c r="B16" s="149" t="str">
        <f>IFERROR(CHOOSE(MATCH(#REF!, Val_ResponseCat, 0), "IdentifiedNeeds", "IdentifiedUsefulStrengths", "IdentifiedStrengthsToBuild"), "")</f>
        <v/>
      </c>
      <c r="C16" s="140"/>
      <c r="D16" s="140"/>
      <c r="E16" s="140"/>
      <c r="F16" s="140"/>
      <c r="G16" s="216" t="str">
        <f t="shared" ca="1" si="0"/>
        <v/>
      </c>
      <c r="H16" s="216" t="str">
        <f t="shared" ca="1" si="1"/>
        <v/>
      </c>
      <c r="I16" s="216" t="str">
        <f t="shared" ca="1" si="2"/>
        <v/>
      </c>
    </row>
    <row r="17" spans="1:9" ht="15" x14ac:dyDescent="0.25">
      <c r="A17" s="149"/>
      <c r="B17" s="149" t="str">
        <f>IFERROR(CHOOSE(MATCH(#REF!, Val_ResponseCat, 0), "IdentifiedNeeds", "IdentifiedUsefulStrengths", "IdentifiedStrengthsToBuild"), "")</f>
        <v/>
      </c>
      <c r="C17" s="140"/>
      <c r="D17" s="140"/>
      <c r="E17" s="140"/>
      <c r="F17" s="140"/>
      <c r="G17" s="216" t="str">
        <f t="shared" ca="1" si="0"/>
        <v/>
      </c>
      <c r="H17" s="216" t="str">
        <f t="shared" ca="1" si="1"/>
        <v/>
      </c>
      <c r="I17" s="216" t="str">
        <f t="shared" ca="1" si="2"/>
        <v/>
      </c>
    </row>
    <row r="18" spans="1:9" ht="15" x14ac:dyDescent="0.25">
      <c r="A18" s="149"/>
      <c r="B18" s="149" t="str">
        <f>IFERROR(CHOOSE(MATCH(#REF!, Val_ResponseCat, 0), "IdentifiedNeeds", "IdentifiedUsefulStrengths", "IdentifiedStrengthsToBuild"), "")</f>
        <v/>
      </c>
      <c r="C18" s="140"/>
      <c r="D18" s="140"/>
      <c r="E18" s="140"/>
      <c r="F18" s="140"/>
      <c r="G18" s="216" t="str">
        <f t="shared" ca="1" si="0"/>
        <v/>
      </c>
      <c r="H18" s="216" t="str">
        <f t="shared" ca="1" si="1"/>
        <v/>
      </c>
      <c r="I18" s="216" t="str">
        <f t="shared" ca="1" si="2"/>
        <v/>
      </c>
    </row>
    <row r="19" spans="1:9" ht="15" x14ac:dyDescent="0.25">
      <c r="A19" s="149"/>
      <c r="B19" s="149" t="str">
        <f>IFERROR(CHOOSE(MATCH(#REF!, Val_ResponseCat, 0), "IdentifiedNeeds", "IdentifiedUsefulStrengths", "IdentifiedStrengthsToBuild"), "")</f>
        <v/>
      </c>
      <c r="C19" s="140"/>
      <c r="D19" s="140"/>
      <c r="E19" s="140"/>
      <c r="F19" s="140"/>
      <c r="G19" s="216" t="str">
        <f t="shared" ca="1" si="0"/>
        <v/>
      </c>
      <c r="H19" s="216" t="str">
        <f t="shared" ca="1" si="1"/>
        <v/>
      </c>
      <c r="I19" s="216" t="str">
        <f t="shared" ca="1" si="2"/>
        <v/>
      </c>
    </row>
    <row r="20" spans="1:9" ht="15" x14ac:dyDescent="0.25">
      <c r="A20" s="149"/>
      <c r="B20" s="149" t="str">
        <f>IFERROR(CHOOSE(MATCH(#REF!, Val_ResponseCat, 0), "IdentifiedNeeds", "IdentifiedUsefulStrengths", "IdentifiedStrengthsToBuild"), "")</f>
        <v/>
      </c>
      <c r="C20" s="140"/>
      <c r="D20" s="140"/>
      <c r="E20" s="140"/>
      <c r="F20" s="140"/>
      <c r="G20" s="216" t="str">
        <f t="shared" ca="1" si="0"/>
        <v/>
      </c>
      <c r="H20" s="216" t="str">
        <f t="shared" ca="1" si="1"/>
        <v/>
      </c>
      <c r="I20" s="216" t="str">
        <f t="shared" ca="1" si="2"/>
        <v/>
      </c>
    </row>
    <row r="21" spans="1:9" ht="15" x14ac:dyDescent="0.25">
      <c r="A21" s="149"/>
      <c r="B21" s="149" t="str">
        <f>IFERROR(CHOOSE(MATCH(#REF!, Val_ResponseCat, 0), "IdentifiedNeeds", "IdentifiedUsefulStrengths", "IdentifiedStrengthsToBuild"), "")</f>
        <v/>
      </c>
      <c r="C21" s="140"/>
      <c r="D21" s="140"/>
      <c r="E21" s="140"/>
      <c r="F21" s="140"/>
      <c r="G21" s="216" t="str">
        <f t="shared" ca="1" si="0"/>
        <v/>
      </c>
      <c r="H21" s="216" t="str">
        <f t="shared" ca="1" si="1"/>
        <v/>
      </c>
      <c r="I21" s="216" t="str">
        <f t="shared" ca="1" si="2"/>
        <v/>
      </c>
    </row>
    <row r="22" spans="1:9" ht="15" x14ac:dyDescent="0.25">
      <c r="A22" s="149"/>
      <c r="B22" s="149" t="str">
        <f>IFERROR(CHOOSE(MATCH(#REF!, Val_ResponseCat, 0), "IdentifiedNeeds", "IdentifiedUsefulStrengths", "IdentifiedStrengthsToBuild"), "")</f>
        <v/>
      </c>
      <c r="C22" s="140"/>
      <c r="D22" s="140"/>
      <c r="E22" s="140"/>
      <c r="F22" s="140"/>
      <c r="G22" s="216" t="str">
        <f t="shared" ca="1" si="0"/>
        <v/>
      </c>
      <c r="H22" s="216" t="str">
        <f t="shared" ca="1" si="1"/>
        <v/>
      </c>
      <c r="I22" s="216" t="str">
        <f t="shared" ca="1" si="2"/>
        <v/>
      </c>
    </row>
    <row r="23" spans="1:9" ht="15" x14ac:dyDescent="0.25">
      <c r="A23" s="149"/>
      <c r="B23" s="149" t="str">
        <f>IFERROR(CHOOSE(MATCH(#REF!, Val_ResponseCat, 0), "IdentifiedNeeds", "IdentifiedUsefulStrengths", "IdentifiedStrengthsToBuild"), "")</f>
        <v/>
      </c>
      <c r="C23" s="140"/>
      <c r="D23" s="140"/>
      <c r="E23" s="140"/>
      <c r="F23" s="140"/>
      <c r="G23" s="216" t="str">
        <f t="shared" ca="1" si="0"/>
        <v/>
      </c>
      <c r="H23" s="216" t="str">
        <f t="shared" ca="1" si="1"/>
        <v/>
      </c>
      <c r="I23" s="216" t="str">
        <f t="shared" ca="1" si="2"/>
        <v/>
      </c>
    </row>
    <row r="24" spans="1:9" ht="15" x14ac:dyDescent="0.25">
      <c r="A24" s="149"/>
      <c r="B24" s="149" t="str">
        <f>IFERROR(CHOOSE(MATCH(#REF!, Val_ResponseCat, 0), "IdentifiedNeeds", "IdentifiedUsefulStrengths", "IdentifiedStrengthsToBuild"), "")</f>
        <v/>
      </c>
      <c r="C24" s="140"/>
      <c r="D24" s="140"/>
      <c r="E24" s="140"/>
      <c r="F24" s="140"/>
      <c r="G24" s="216" t="str">
        <f t="shared" ca="1" si="0"/>
        <v/>
      </c>
      <c r="H24" s="216" t="str">
        <f t="shared" ca="1" si="1"/>
        <v/>
      </c>
      <c r="I24" s="216" t="str">
        <f t="shared" ca="1" si="2"/>
        <v/>
      </c>
    </row>
    <row r="25" spans="1:9" ht="15" x14ac:dyDescent="0.25">
      <c r="A25" s="149"/>
      <c r="B25" s="149" t="str">
        <f>IFERROR(CHOOSE(MATCH(#REF!, Val_ResponseCat, 0), "IdentifiedNeeds", "IdentifiedUsefulStrengths", "IdentifiedStrengthsToBuild"), "")</f>
        <v/>
      </c>
      <c r="C25" s="140"/>
      <c r="D25" s="140"/>
      <c r="E25" s="140"/>
      <c r="F25" s="140"/>
      <c r="G25" s="216" t="str">
        <f t="shared" ca="1" si="0"/>
        <v/>
      </c>
      <c r="H25" s="216" t="str">
        <f t="shared" ca="1" si="1"/>
        <v/>
      </c>
      <c r="I25" s="216" t="str">
        <f t="shared" ca="1" si="2"/>
        <v/>
      </c>
    </row>
    <row r="26" spans="1:9" ht="15" x14ac:dyDescent="0.25">
      <c r="A26" s="149"/>
      <c r="B26" s="149" t="str">
        <f>IFERROR(CHOOSE(MATCH(#REF!, Val_ResponseCat, 0), "IdentifiedNeeds", "IdentifiedUsefulStrengths", "IdentifiedStrengthsToBuild"), "")</f>
        <v/>
      </c>
      <c r="C26" s="140"/>
      <c r="D26" s="140"/>
      <c r="E26" s="140"/>
      <c r="F26" s="140"/>
      <c r="G26" s="216" t="str">
        <f t="shared" ca="1" si="0"/>
        <v/>
      </c>
      <c r="H26" s="216" t="str">
        <f t="shared" ca="1" si="1"/>
        <v/>
      </c>
      <c r="I26" s="216" t="str">
        <f t="shared" ca="1" si="2"/>
        <v/>
      </c>
    </row>
    <row r="27" spans="1:9" ht="15" x14ac:dyDescent="0.25">
      <c r="A27" s="149"/>
      <c r="B27" s="149" t="str">
        <f>IFERROR(CHOOSE(MATCH(#REF!, Val_ResponseCat, 0), "IdentifiedNeeds", "IdentifiedUsefulStrengths", "IdentifiedStrengthsToBuild"), "")</f>
        <v/>
      </c>
      <c r="C27" s="140"/>
      <c r="D27" s="140"/>
      <c r="E27" s="140"/>
      <c r="F27" s="140"/>
      <c r="G27" s="216" t="str">
        <f t="shared" ca="1" si="0"/>
        <v/>
      </c>
      <c r="H27" s="216" t="str">
        <f t="shared" ca="1" si="1"/>
        <v/>
      </c>
      <c r="I27" s="216" t="str">
        <f t="shared" ca="1" si="2"/>
        <v/>
      </c>
    </row>
    <row r="28" spans="1:9" ht="15" x14ac:dyDescent="0.25">
      <c r="A28" s="149"/>
      <c r="B28" s="149" t="str">
        <f>IFERROR(CHOOSE(MATCH(#REF!, Val_ResponseCat, 0), "IdentifiedNeeds", "IdentifiedUsefulStrengths", "IdentifiedStrengthsToBuild"), "")</f>
        <v/>
      </c>
      <c r="C28" s="140"/>
      <c r="D28" s="140"/>
      <c r="E28" s="140"/>
      <c r="F28" s="140"/>
      <c r="G28" s="216" t="str">
        <f t="shared" ca="1" si="0"/>
        <v/>
      </c>
      <c r="H28" s="216" t="str">
        <f t="shared" ca="1" si="1"/>
        <v/>
      </c>
      <c r="I28" s="216" t="str">
        <f t="shared" ca="1" si="2"/>
        <v/>
      </c>
    </row>
    <row r="29" spans="1:9" ht="15" x14ac:dyDescent="0.25">
      <c r="A29" s="149"/>
      <c r="B29" s="149" t="str">
        <f>IFERROR(CHOOSE(MATCH(#REF!, Val_ResponseCat, 0), "IdentifiedNeeds", "IdentifiedUsefulStrengths", "IdentifiedStrengthsToBuild"), "")</f>
        <v/>
      </c>
      <c r="C29" s="140"/>
      <c r="D29" s="140"/>
      <c r="E29" s="140"/>
      <c r="F29" s="140"/>
      <c r="G29" s="216" t="str">
        <f t="shared" ca="1" si="0"/>
        <v/>
      </c>
      <c r="H29" s="216" t="str">
        <f t="shared" ca="1" si="1"/>
        <v/>
      </c>
      <c r="I29" s="216" t="str">
        <f t="shared" ca="1" si="2"/>
        <v/>
      </c>
    </row>
    <row r="30" spans="1:9" ht="15" x14ac:dyDescent="0.25">
      <c r="A30" s="149"/>
      <c r="B30" s="149" t="str">
        <f>IFERROR(CHOOSE(MATCH(#REF!, Val_ResponseCat, 0), "IdentifiedNeeds", "IdentifiedUsefulStrengths", "IdentifiedStrengthsToBuild"), "")</f>
        <v/>
      </c>
      <c r="C30" s="140"/>
      <c r="D30" s="140"/>
      <c r="E30" s="140"/>
      <c r="F30" s="140"/>
      <c r="G30" s="216" t="str">
        <f t="shared" ca="1" si="0"/>
        <v/>
      </c>
      <c r="H30" s="216" t="str">
        <f t="shared" ca="1" si="1"/>
        <v/>
      </c>
      <c r="I30" s="216" t="str">
        <f t="shared" ca="1" si="2"/>
        <v/>
      </c>
    </row>
    <row r="31" spans="1:9" ht="15" x14ac:dyDescent="0.25">
      <c r="A31" s="149"/>
      <c r="B31" s="149" t="str">
        <f>IFERROR(CHOOSE(MATCH(#REF!, Val_ResponseCat, 0), "IdentifiedNeeds", "IdentifiedUsefulStrengths", "IdentifiedStrengthsToBuild"), "")</f>
        <v/>
      </c>
      <c r="C31" s="140"/>
      <c r="D31" s="140"/>
      <c r="E31" s="140"/>
      <c r="F31" s="140"/>
      <c r="G31" s="216" t="str">
        <f t="shared" ca="1" si="0"/>
        <v/>
      </c>
      <c r="H31" s="216" t="str">
        <f t="shared" ca="1" si="1"/>
        <v/>
      </c>
      <c r="I31" s="216" t="str">
        <f t="shared" ca="1" si="2"/>
        <v/>
      </c>
    </row>
    <row r="32" spans="1:9" ht="15" x14ac:dyDescent="0.25">
      <c r="A32" s="149"/>
      <c r="B32" s="149" t="str">
        <f>IFERROR(CHOOSE(MATCH(#REF!, Val_ResponseCat, 0), "IdentifiedNeeds", "IdentifiedUsefulStrengths", "IdentifiedStrengthsToBuild"), "")</f>
        <v/>
      </c>
      <c r="C32" s="140"/>
      <c r="D32" s="140"/>
      <c r="E32" s="140"/>
      <c r="F32" s="140"/>
      <c r="G32" s="216" t="str">
        <f t="shared" ca="1" si="0"/>
        <v/>
      </c>
      <c r="H32" s="216" t="str">
        <f t="shared" ca="1" si="1"/>
        <v/>
      </c>
      <c r="I32" s="216" t="str">
        <f t="shared" ca="1" si="2"/>
        <v/>
      </c>
    </row>
    <row r="33" spans="1:9" ht="15" x14ac:dyDescent="0.25">
      <c r="A33" s="149"/>
      <c r="B33" s="149" t="str">
        <f>IFERROR(CHOOSE(MATCH(#REF!, Val_ResponseCat, 0), "IdentifiedNeeds", "IdentifiedUsefulStrengths", "IdentifiedStrengthsToBuild"), "")</f>
        <v/>
      </c>
      <c r="C33" s="140"/>
      <c r="D33" s="140"/>
      <c r="E33" s="140"/>
      <c r="F33" s="140"/>
      <c r="G33" s="216" t="str">
        <f t="shared" ca="1" si="0"/>
        <v/>
      </c>
      <c r="H33" s="216" t="str">
        <f t="shared" ca="1" si="1"/>
        <v/>
      </c>
      <c r="I33" s="216" t="str">
        <f t="shared" ca="1" si="2"/>
        <v/>
      </c>
    </row>
    <row r="34" spans="1:9" ht="15" x14ac:dyDescent="0.25">
      <c r="A34" s="149"/>
      <c r="B34" s="149" t="str">
        <f>IFERROR(CHOOSE(MATCH(#REF!, Val_ResponseCat, 0), "IdentifiedNeeds", "IdentifiedUsefulStrengths", "IdentifiedStrengthsToBuild"), "")</f>
        <v/>
      </c>
      <c r="C34" s="140"/>
      <c r="D34" s="140"/>
      <c r="E34" s="140"/>
      <c r="F34" s="140"/>
      <c r="G34" s="216" t="str">
        <f t="shared" ca="1" si="0"/>
        <v/>
      </c>
      <c r="H34" s="216" t="str">
        <f t="shared" ca="1" si="1"/>
        <v/>
      </c>
      <c r="I34" s="216" t="str">
        <f t="shared" ca="1" si="2"/>
        <v/>
      </c>
    </row>
    <row r="35" spans="1:9" ht="15" x14ac:dyDescent="0.25">
      <c r="A35" s="149"/>
      <c r="B35" s="149" t="str">
        <f>IFERROR(CHOOSE(MATCH(#REF!, Val_ResponseCat, 0), "IdentifiedNeeds", "IdentifiedUsefulStrengths", "IdentifiedStrengthsToBuild"), "")</f>
        <v/>
      </c>
      <c r="C35" s="140"/>
      <c r="D35" s="140"/>
      <c r="E35" s="140"/>
      <c r="F35" s="140"/>
      <c r="G35" s="216" t="str">
        <f t="shared" ca="1" si="0"/>
        <v/>
      </c>
      <c r="H35" s="216" t="str">
        <f t="shared" ca="1" si="1"/>
        <v/>
      </c>
      <c r="I35" s="216" t="str">
        <f t="shared" ca="1" si="2"/>
        <v/>
      </c>
    </row>
    <row r="36" spans="1:9" ht="15" x14ac:dyDescent="0.25">
      <c r="A36" s="149"/>
      <c r="B36" s="149" t="str">
        <f>IFERROR(CHOOSE(MATCH(#REF!, Val_ResponseCat, 0), "IdentifiedNeeds", "IdentifiedUsefulStrengths", "IdentifiedStrengthsToBuild"), "")</f>
        <v/>
      </c>
      <c r="C36" s="140"/>
      <c r="D36" s="140"/>
      <c r="E36" s="140"/>
      <c r="F36" s="140"/>
      <c r="G36" s="216" t="str">
        <f t="shared" ca="1" si="0"/>
        <v/>
      </c>
      <c r="H36" s="216" t="str">
        <f t="shared" ref="H36:H53" ca="1" si="3">IFERROR(INDEX(US_Q, MATCH(ROW()-ROW(H$3), US_Q_Ix, 0)), "")</f>
        <v/>
      </c>
      <c r="I36" s="216"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6" t="str">
        <f t="shared" ca="1" si="0"/>
        <v/>
      </c>
      <c r="H37" s="216" t="str">
        <f t="shared" ca="1" si="3"/>
        <v/>
      </c>
      <c r="I37" s="216" t="str">
        <f t="shared" ca="1" si="4"/>
        <v/>
      </c>
    </row>
    <row r="38" spans="1:9" ht="15" x14ac:dyDescent="0.25">
      <c r="A38" s="149"/>
      <c r="B38" s="149" t="str">
        <f>IFERROR(CHOOSE(MATCH(#REF!, Val_ResponseCat, 0), "IdentifiedNeeds", "IdentifiedUsefulStrengths", "IdentifiedStrengthsToBuild"), "")</f>
        <v/>
      </c>
      <c r="C38" s="140"/>
      <c r="D38" s="140"/>
      <c r="E38" s="140"/>
      <c r="F38" s="140"/>
      <c r="G38" s="216" t="str">
        <f t="shared" ca="1" si="0"/>
        <v/>
      </c>
      <c r="H38" s="216" t="str">
        <f t="shared" ca="1" si="3"/>
        <v/>
      </c>
      <c r="I38" s="216" t="str">
        <f t="shared" ca="1" si="4"/>
        <v/>
      </c>
    </row>
    <row r="39" spans="1:9" ht="15" x14ac:dyDescent="0.25">
      <c r="A39" s="149"/>
      <c r="B39" s="149" t="str">
        <f>IFERROR(CHOOSE(MATCH(#REF!, Val_ResponseCat, 0), "IdentifiedNeeds", "IdentifiedUsefulStrengths", "IdentifiedStrengthsToBuild"), "")</f>
        <v/>
      </c>
      <c r="C39" s="140"/>
      <c r="D39" s="140"/>
      <c r="E39" s="140"/>
      <c r="F39" s="140"/>
      <c r="G39" s="216" t="str">
        <f t="shared" ca="1" si="0"/>
        <v/>
      </c>
      <c r="H39" s="216" t="str">
        <f t="shared" ca="1" si="3"/>
        <v/>
      </c>
      <c r="I39" s="216" t="str">
        <f t="shared" ca="1" si="4"/>
        <v/>
      </c>
    </row>
    <row r="40" spans="1:9" ht="15" x14ac:dyDescent="0.25">
      <c r="A40" s="149"/>
      <c r="B40" s="149" t="str">
        <f>IFERROR(CHOOSE(MATCH(#REF!, Val_ResponseCat, 0), "IdentifiedNeeds", "IdentifiedUsefulStrengths", "IdentifiedStrengthsToBuild"), "")</f>
        <v/>
      </c>
      <c r="C40" s="140"/>
      <c r="D40" s="140"/>
      <c r="E40" s="140"/>
      <c r="F40" s="140"/>
      <c r="G40" s="216" t="str">
        <f t="shared" ca="1" si="0"/>
        <v/>
      </c>
      <c r="H40" s="216" t="str">
        <f t="shared" ca="1" si="3"/>
        <v/>
      </c>
      <c r="I40" s="216" t="str">
        <f t="shared" ca="1" si="4"/>
        <v/>
      </c>
    </row>
    <row r="41" spans="1:9" ht="15" x14ac:dyDescent="0.25">
      <c r="A41" s="149"/>
      <c r="B41" s="149" t="str">
        <f>IFERROR(CHOOSE(MATCH(#REF!, Val_ResponseCat, 0), "IdentifiedNeeds", "IdentifiedUsefulStrengths", "IdentifiedStrengthsToBuild"), "")</f>
        <v/>
      </c>
      <c r="C41" s="140"/>
      <c r="D41" s="140"/>
      <c r="E41" s="140"/>
      <c r="F41" s="140"/>
      <c r="G41" s="216" t="str">
        <f t="shared" ca="1" si="0"/>
        <v/>
      </c>
      <c r="H41" s="216" t="str">
        <f t="shared" ca="1" si="3"/>
        <v/>
      </c>
      <c r="I41" s="216" t="str">
        <f t="shared" ca="1" si="4"/>
        <v/>
      </c>
    </row>
    <row r="42" spans="1:9" ht="15" x14ac:dyDescent="0.25">
      <c r="A42" s="149"/>
      <c r="B42" s="149" t="str">
        <f>IFERROR(CHOOSE(MATCH(#REF!, Val_ResponseCat, 0), "IdentifiedNeeds", "IdentifiedUsefulStrengths", "IdentifiedStrengthsToBuild"), "")</f>
        <v/>
      </c>
      <c r="C42" s="140"/>
      <c r="D42" s="140"/>
      <c r="E42" s="140"/>
      <c r="F42" s="140"/>
      <c r="G42" s="216" t="str">
        <f t="shared" ca="1" si="0"/>
        <v/>
      </c>
      <c r="H42" s="216" t="str">
        <f t="shared" ca="1" si="3"/>
        <v/>
      </c>
      <c r="I42" s="216" t="str">
        <f t="shared" ca="1" si="4"/>
        <v/>
      </c>
    </row>
    <row r="43" spans="1:9" ht="15" x14ac:dyDescent="0.25">
      <c r="A43" s="149"/>
      <c r="B43" s="149" t="str">
        <f>IFERROR(CHOOSE(MATCH(#REF!, Val_ResponseCat, 0), "IdentifiedNeeds", "IdentifiedUsefulStrengths", "IdentifiedStrengthsToBuild"), "")</f>
        <v/>
      </c>
      <c r="C43" s="140"/>
      <c r="D43" s="140"/>
      <c r="E43" s="140"/>
      <c r="F43" s="140"/>
      <c r="G43" s="216" t="str">
        <f t="shared" ca="1" si="0"/>
        <v/>
      </c>
      <c r="H43" s="216" t="str">
        <f t="shared" ca="1" si="3"/>
        <v/>
      </c>
      <c r="I43" s="216" t="str">
        <f t="shared" ca="1" si="4"/>
        <v/>
      </c>
    </row>
    <row r="44" spans="1:9" ht="15" x14ac:dyDescent="0.25">
      <c r="A44" s="149"/>
      <c r="B44" s="149" t="str">
        <f>IFERROR(CHOOSE(MATCH(#REF!, Val_ResponseCat, 0), "IdentifiedNeeds", "IdentifiedUsefulStrengths", "IdentifiedStrengthsToBuild"), "")</f>
        <v/>
      </c>
      <c r="C44" s="140"/>
      <c r="D44" s="140"/>
      <c r="E44" s="140"/>
      <c r="F44" s="140"/>
      <c r="G44" s="216" t="str">
        <f t="shared" ca="1" si="0"/>
        <v/>
      </c>
      <c r="H44" s="216" t="str">
        <f t="shared" ca="1" si="3"/>
        <v/>
      </c>
      <c r="I44" s="216" t="str">
        <f t="shared" ca="1" si="4"/>
        <v/>
      </c>
    </row>
    <row r="45" spans="1:9" ht="15" x14ac:dyDescent="0.25">
      <c r="A45" s="149"/>
      <c r="B45" s="149" t="str">
        <f>IFERROR(CHOOSE(MATCH(#REF!, Val_ResponseCat, 0), "IdentifiedNeeds", "IdentifiedUsefulStrengths", "IdentifiedStrengthsToBuild"), "")</f>
        <v/>
      </c>
      <c r="C45" s="140"/>
      <c r="D45" s="140"/>
      <c r="E45" s="140"/>
      <c r="F45" s="140"/>
      <c r="G45" s="216" t="str">
        <f t="shared" ca="1" si="0"/>
        <v/>
      </c>
      <c r="H45" s="216" t="str">
        <f t="shared" ca="1" si="3"/>
        <v/>
      </c>
      <c r="I45" s="216" t="str">
        <f t="shared" ca="1" si="4"/>
        <v/>
      </c>
    </row>
    <row r="46" spans="1:9" ht="15" x14ac:dyDescent="0.25">
      <c r="A46" s="149"/>
      <c r="B46" s="149" t="str">
        <f>IFERROR(CHOOSE(MATCH(#REF!, Val_ResponseCat, 0), "IdentifiedNeeds", "IdentifiedUsefulStrengths", "IdentifiedStrengthsToBuild"), "")</f>
        <v/>
      </c>
      <c r="C46" s="140"/>
      <c r="D46" s="140"/>
      <c r="E46" s="140"/>
      <c r="F46" s="140"/>
      <c r="G46" s="216" t="str">
        <f t="shared" ca="1" si="0"/>
        <v/>
      </c>
      <c r="H46" s="216" t="str">
        <f t="shared" ca="1" si="3"/>
        <v/>
      </c>
      <c r="I46" s="216" t="str">
        <f t="shared" ca="1" si="4"/>
        <v/>
      </c>
    </row>
    <row r="47" spans="1:9" ht="15" x14ac:dyDescent="0.25">
      <c r="A47" s="149"/>
      <c r="B47" s="149" t="str">
        <f>IFERROR(CHOOSE(MATCH(#REF!, Val_ResponseCat, 0), "IdentifiedNeeds", "IdentifiedUsefulStrengths", "IdentifiedStrengthsToBuild"), "")</f>
        <v/>
      </c>
      <c r="C47" s="140"/>
      <c r="D47" s="140"/>
      <c r="E47" s="140"/>
      <c r="F47" s="140"/>
      <c r="G47" s="216" t="str">
        <f t="shared" ca="1" si="0"/>
        <v/>
      </c>
      <c r="H47" s="216" t="str">
        <f t="shared" ca="1" si="3"/>
        <v/>
      </c>
      <c r="I47" s="216" t="str">
        <f t="shared" ca="1" si="4"/>
        <v/>
      </c>
    </row>
    <row r="48" spans="1:9" ht="15" x14ac:dyDescent="0.25">
      <c r="A48" s="149"/>
      <c r="B48" s="149" t="str">
        <f>IFERROR(CHOOSE(MATCH(#REF!, Val_ResponseCat, 0), "IdentifiedNeeds", "IdentifiedUsefulStrengths", "IdentifiedStrengthsToBuild"), "")</f>
        <v/>
      </c>
      <c r="C48" s="140"/>
      <c r="D48" s="140"/>
      <c r="E48" s="140"/>
      <c r="F48" s="140"/>
      <c r="G48" s="216" t="str">
        <f t="shared" ca="1" si="0"/>
        <v/>
      </c>
      <c r="H48" s="216" t="str">
        <f t="shared" ca="1" si="3"/>
        <v/>
      </c>
      <c r="I48" s="216" t="str">
        <f t="shared" ca="1" si="4"/>
        <v/>
      </c>
    </row>
    <row r="49" spans="1:9" ht="15" x14ac:dyDescent="0.25">
      <c r="A49" s="149"/>
      <c r="B49" s="149" t="str">
        <f>IFERROR(CHOOSE(MATCH(#REF!, Val_ResponseCat, 0), "IdentifiedNeeds", "IdentifiedUsefulStrengths", "IdentifiedStrengthsToBuild"), "")</f>
        <v/>
      </c>
      <c r="C49" s="140"/>
      <c r="D49" s="140"/>
      <c r="E49" s="140"/>
      <c r="F49" s="140"/>
      <c r="G49" s="216" t="str">
        <f t="shared" ca="1" si="0"/>
        <v/>
      </c>
      <c r="H49" s="216" t="str">
        <f t="shared" ca="1" si="3"/>
        <v/>
      </c>
      <c r="I49" s="216" t="str">
        <f t="shared" ca="1" si="4"/>
        <v/>
      </c>
    </row>
    <row r="50" spans="1:9" ht="15" x14ac:dyDescent="0.25">
      <c r="A50" s="149"/>
      <c r="B50" s="149" t="str">
        <f>IFERROR(CHOOSE(MATCH(#REF!, Val_ResponseCat, 0), "IdentifiedNeeds", "IdentifiedUsefulStrengths", "IdentifiedStrengthsToBuild"), "")</f>
        <v/>
      </c>
      <c r="C50" s="140"/>
      <c r="D50" s="140"/>
      <c r="E50" s="140"/>
      <c r="F50" s="140"/>
      <c r="G50" s="216" t="str">
        <f t="shared" ca="1" si="0"/>
        <v/>
      </c>
      <c r="H50" s="216" t="str">
        <f t="shared" ca="1" si="3"/>
        <v/>
      </c>
      <c r="I50" s="216" t="str">
        <f t="shared" ca="1" si="4"/>
        <v/>
      </c>
    </row>
    <row r="51" spans="1:9" ht="15" x14ac:dyDescent="0.25">
      <c r="A51" s="149"/>
      <c r="B51" s="149" t="str">
        <f>IFERROR(CHOOSE(MATCH(#REF!, Val_ResponseCat, 0), "IdentifiedNeeds", "IdentifiedUsefulStrengths", "IdentifiedStrengthsToBuild"), "")</f>
        <v/>
      </c>
      <c r="C51" s="140"/>
      <c r="D51" s="140"/>
      <c r="E51" s="140"/>
      <c r="F51" s="140"/>
      <c r="G51" s="216" t="str">
        <f t="shared" ca="1" si="0"/>
        <v/>
      </c>
      <c r="H51" s="216" t="str">
        <f t="shared" ca="1" si="3"/>
        <v/>
      </c>
      <c r="I51" s="216" t="str">
        <f t="shared" ca="1" si="4"/>
        <v/>
      </c>
    </row>
    <row r="52" spans="1:9" ht="15" x14ac:dyDescent="0.25">
      <c r="A52" s="149"/>
      <c r="B52" s="149" t="str">
        <f>IFERROR(CHOOSE(MATCH(#REF!, Val_ResponseCat, 0), "IdentifiedNeeds", "IdentifiedUsefulStrengths", "IdentifiedStrengthsToBuild"), "")</f>
        <v/>
      </c>
      <c r="C52" s="140"/>
      <c r="D52" s="140"/>
      <c r="E52" s="140"/>
      <c r="F52" s="140"/>
      <c r="G52" s="216" t="str">
        <f t="shared" ca="1" si="0"/>
        <v/>
      </c>
      <c r="H52" s="216" t="str">
        <f t="shared" ca="1" si="3"/>
        <v/>
      </c>
      <c r="I52" s="216" t="str">
        <f t="shared" ca="1" si="4"/>
        <v/>
      </c>
    </row>
    <row r="53" spans="1:9" ht="15" x14ac:dyDescent="0.25">
      <c r="A53" s="149"/>
      <c r="B53" s="149" t="str">
        <f>IFERROR(CHOOSE(MATCH(#REF!, Val_ResponseCat, 0), "IdentifiedNeeds", "IdentifiedUsefulStrengths", "IdentifiedStrengthsToBuild"), "")</f>
        <v/>
      </c>
      <c r="C53" s="140"/>
      <c r="D53" s="140"/>
      <c r="E53" s="140"/>
      <c r="F53" s="140"/>
      <c r="G53" s="216" t="str">
        <f t="shared" ca="1" si="0"/>
        <v/>
      </c>
      <c r="H53" s="216" t="str">
        <f t="shared" ca="1" si="3"/>
        <v/>
      </c>
      <c r="I53" s="216"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4" sqref="D4:H4"/>
    </sheetView>
  </sheetViews>
  <sheetFormatPr defaultRowHeight="15" x14ac:dyDescent="0.25"/>
  <cols>
    <col min="1" max="1" width="3" style="151" customWidth="1"/>
    <col min="2" max="2" width="138" style="248" hidden="1" customWidth="1"/>
    <col min="3" max="3" width="51.7109375" style="248" hidden="1" customWidth="1"/>
    <col min="4" max="4" width="50.7109375" style="238" customWidth="1"/>
    <col min="5" max="5" width="17.7109375" style="238" customWidth="1"/>
    <col min="6" max="6" width="17.85546875" style="238" customWidth="1"/>
    <col min="7" max="7" width="17.42578125" style="238" customWidth="1"/>
    <col min="8" max="8" width="29.85546875" style="238" customWidth="1"/>
    <col min="9" max="9" width="3.140625" style="151" customWidth="1"/>
    <col min="10" max="16384" width="9.140625" style="68"/>
  </cols>
  <sheetData>
    <row r="1" spans="1:9" ht="28.5" x14ac:dyDescent="0.25">
      <c r="A1" s="239" t="s">
        <v>941</v>
      </c>
      <c r="B1" s="239"/>
      <c r="C1" s="239"/>
      <c r="D1" s="240"/>
      <c r="E1" s="240"/>
      <c r="F1" s="240"/>
      <c r="G1" s="240"/>
      <c r="H1" s="240"/>
      <c r="I1" s="227"/>
    </row>
    <row r="2" spans="1:9" x14ac:dyDescent="0.25">
      <c r="A2" s="161"/>
      <c r="B2" s="244"/>
      <c r="C2" s="244"/>
      <c r="D2" s="241"/>
      <c r="E2" s="241"/>
      <c r="F2" s="241"/>
      <c r="G2" s="241"/>
      <c r="H2" s="241"/>
      <c r="I2" s="161"/>
    </row>
    <row r="3" spans="1:9" x14ac:dyDescent="0.25">
      <c r="A3" s="145"/>
      <c r="B3" s="245"/>
      <c r="C3" s="245"/>
      <c r="D3" s="286" t="s">
        <v>952</v>
      </c>
      <c r="E3" s="286"/>
      <c r="F3" s="286"/>
      <c r="G3" s="286"/>
      <c r="H3" s="286"/>
      <c r="I3" s="146"/>
    </row>
    <row r="4" spans="1:9" x14ac:dyDescent="0.25">
      <c r="A4" s="145"/>
      <c r="B4" s="246">
        <f>D4</f>
        <v>0</v>
      </c>
      <c r="C4" s="246"/>
      <c r="D4" s="283"/>
      <c r="E4" s="283"/>
      <c r="F4" s="283"/>
      <c r="G4" s="283"/>
      <c r="H4" s="283"/>
      <c r="I4" s="146"/>
    </row>
    <row r="5" spans="1:9" x14ac:dyDescent="0.25">
      <c r="A5" s="145"/>
      <c r="B5" s="246"/>
      <c r="C5" s="246"/>
      <c r="D5" s="241"/>
      <c r="E5" s="241"/>
      <c r="F5" s="241"/>
      <c r="G5" s="241"/>
      <c r="H5" s="241"/>
      <c r="I5" s="146"/>
    </row>
    <row r="6" spans="1:9" x14ac:dyDescent="0.25">
      <c r="A6" s="145"/>
      <c r="B6" s="246"/>
      <c r="C6" s="246"/>
      <c r="D6" s="286" t="s">
        <v>942</v>
      </c>
      <c r="E6" s="286"/>
      <c r="F6" s="286"/>
      <c r="G6" s="286"/>
      <c r="H6" s="286"/>
      <c r="I6" s="146"/>
    </row>
    <row r="7" spans="1:9" x14ac:dyDescent="0.25">
      <c r="A7" s="145"/>
      <c r="B7" s="246">
        <f>D7</f>
        <v>0</v>
      </c>
      <c r="C7" s="246"/>
      <c r="D7" s="283"/>
      <c r="E7" s="283"/>
      <c r="F7" s="283"/>
      <c r="G7" s="283"/>
      <c r="H7" s="283"/>
      <c r="I7" s="146"/>
    </row>
    <row r="8" spans="1:9" x14ac:dyDescent="0.25">
      <c r="A8" s="145"/>
      <c r="B8" s="246"/>
      <c r="C8" s="246"/>
      <c r="D8" s="241"/>
      <c r="E8" s="241"/>
      <c r="F8" s="250"/>
      <c r="G8" s="241"/>
      <c r="H8" s="241"/>
      <c r="I8" s="146"/>
    </row>
    <row r="9" spans="1:9" x14ac:dyDescent="0.25">
      <c r="A9" s="145"/>
      <c r="B9" s="246"/>
      <c r="C9" s="246"/>
      <c r="D9" s="286" t="s">
        <v>943</v>
      </c>
      <c r="E9" s="286"/>
      <c r="F9" s="286"/>
      <c r="G9" s="286"/>
      <c r="H9" s="286"/>
      <c r="I9" s="146"/>
    </row>
    <row r="10" spans="1:9" ht="45" x14ac:dyDescent="0.25">
      <c r="A10" s="145"/>
      <c r="B10" s="246" t="str">
        <f>D10</f>
        <v>1.
2.
3.</v>
      </c>
      <c r="C10" s="246"/>
      <c r="D10" s="283" t="s">
        <v>944</v>
      </c>
      <c r="E10" s="283"/>
      <c r="F10" s="283"/>
      <c r="G10" s="283"/>
      <c r="H10" s="283"/>
      <c r="I10" s="146"/>
    </row>
    <row r="11" spans="1:9" x14ac:dyDescent="0.25">
      <c r="A11" s="145"/>
      <c r="B11" s="246"/>
      <c r="C11" s="246"/>
      <c r="D11" s="241"/>
      <c r="E11" s="241"/>
      <c r="F11" s="241"/>
      <c r="G11" s="241"/>
      <c r="H11" s="241"/>
      <c r="I11" s="146"/>
    </row>
    <row r="12" spans="1:9" x14ac:dyDescent="0.25">
      <c r="A12" s="145"/>
      <c r="B12" s="246"/>
      <c r="C12" s="246"/>
      <c r="D12" s="286" t="s">
        <v>945</v>
      </c>
      <c r="E12" s="286"/>
      <c r="F12" s="286"/>
      <c r="G12" s="286"/>
      <c r="H12" s="286"/>
      <c r="I12" s="146"/>
    </row>
    <row r="13" spans="1:9" ht="45" x14ac:dyDescent="0.25">
      <c r="A13" s="145"/>
      <c r="B13" s="246" t="str">
        <f>D13</f>
        <v>1.
2.
3.</v>
      </c>
      <c r="C13" s="246"/>
      <c r="D13" s="283" t="s">
        <v>944</v>
      </c>
      <c r="E13" s="283"/>
      <c r="F13" s="283"/>
      <c r="G13" s="283"/>
      <c r="H13" s="283"/>
      <c r="I13" s="146"/>
    </row>
    <row r="14" spans="1:9" x14ac:dyDescent="0.25">
      <c r="A14" s="145"/>
      <c r="B14" s="246"/>
      <c r="C14" s="246"/>
      <c r="D14" s="241"/>
      <c r="E14" s="241"/>
      <c r="F14" s="241"/>
      <c r="G14" s="241"/>
      <c r="H14" s="241"/>
      <c r="I14" s="146"/>
    </row>
    <row r="15" spans="1:9" x14ac:dyDescent="0.25">
      <c r="A15" s="145"/>
      <c r="B15" s="246"/>
      <c r="C15" s="246"/>
      <c r="D15" s="286" t="s">
        <v>946</v>
      </c>
      <c r="E15" s="286"/>
      <c r="F15" s="286"/>
      <c r="G15" s="286"/>
      <c r="H15" s="286"/>
      <c r="I15" s="146"/>
    </row>
    <row r="16" spans="1:9" ht="45" x14ac:dyDescent="0.25">
      <c r="A16" s="145"/>
      <c r="B16" s="246" t="str">
        <f>D16</f>
        <v>1.
2.
3.</v>
      </c>
      <c r="C16" s="246"/>
      <c r="D16" s="283" t="s">
        <v>944</v>
      </c>
      <c r="E16" s="283"/>
      <c r="F16" s="283"/>
      <c r="G16" s="283"/>
      <c r="H16" s="283"/>
      <c r="I16" s="146"/>
    </row>
    <row r="17" spans="1:12" x14ac:dyDescent="0.25">
      <c r="A17" s="145"/>
      <c r="B17" s="246"/>
      <c r="C17" s="246"/>
      <c r="D17" s="241"/>
      <c r="E17" s="241"/>
      <c r="F17" s="241"/>
      <c r="G17" s="241"/>
      <c r="H17" s="241"/>
      <c r="I17" s="146"/>
    </row>
    <row r="18" spans="1:12" x14ac:dyDescent="0.25">
      <c r="A18" s="145"/>
      <c r="B18" s="246"/>
      <c r="C18" s="246"/>
      <c r="D18" s="286" t="s">
        <v>951</v>
      </c>
      <c r="E18" s="286"/>
      <c r="F18" s="286"/>
      <c r="G18" s="286"/>
      <c r="H18" s="286"/>
      <c r="I18" s="146"/>
    </row>
    <row r="19" spans="1:12" ht="45" x14ac:dyDescent="0.25">
      <c r="A19" s="145"/>
      <c r="B19" s="246" t="str">
        <f>D19</f>
        <v>1.
2.
3.</v>
      </c>
      <c r="C19" s="246"/>
      <c r="D19" s="283" t="s">
        <v>944</v>
      </c>
      <c r="E19" s="283"/>
      <c r="F19" s="283"/>
      <c r="G19" s="283"/>
      <c r="H19" s="283"/>
      <c r="I19" s="146"/>
    </row>
    <row r="20" spans="1:12" x14ac:dyDescent="0.25">
      <c r="A20" s="145"/>
      <c r="B20" s="246"/>
      <c r="C20" s="246"/>
      <c r="D20" s="241"/>
      <c r="E20" s="241"/>
      <c r="F20" s="241"/>
      <c r="G20" s="241"/>
      <c r="H20" s="241"/>
      <c r="I20" s="146"/>
    </row>
    <row r="21" spans="1:12" x14ac:dyDescent="0.25">
      <c r="A21" s="145"/>
      <c r="B21" s="246"/>
      <c r="C21" s="246"/>
      <c r="D21" s="286" t="s">
        <v>947</v>
      </c>
      <c r="E21" s="286"/>
      <c r="F21" s="286"/>
      <c r="G21" s="286"/>
      <c r="H21" s="286"/>
      <c r="I21" s="146"/>
    </row>
    <row r="22" spans="1:12" x14ac:dyDescent="0.25">
      <c r="A22" s="145"/>
      <c r="B22" s="246">
        <f>D22</f>
        <v>0</v>
      </c>
      <c r="C22" s="246"/>
      <c r="D22" s="283"/>
      <c r="E22" s="283"/>
      <c r="F22" s="283"/>
      <c r="G22" s="283"/>
      <c r="H22" s="283"/>
      <c r="I22" s="146"/>
    </row>
    <row r="23" spans="1:12" x14ac:dyDescent="0.25">
      <c r="A23" s="145"/>
      <c r="B23" s="246"/>
      <c r="C23" s="246"/>
      <c r="D23" s="241"/>
      <c r="E23" s="241"/>
      <c r="F23" s="241"/>
      <c r="G23" s="241"/>
      <c r="H23" s="241"/>
      <c r="I23" s="146"/>
    </row>
    <row r="24" spans="1:12" x14ac:dyDescent="0.25">
      <c r="A24" s="145"/>
      <c r="B24" s="246"/>
      <c r="C24" s="246"/>
      <c r="D24" s="286" t="s">
        <v>953</v>
      </c>
      <c r="E24" s="286"/>
      <c r="F24" s="286"/>
      <c r="G24" s="286"/>
      <c r="H24" s="286"/>
      <c r="I24" s="146"/>
    </row>
    <row r="25" spans="1:12" x14ac:dyDescent="0.25">
      <c r="A25" s="145"/>
      <c r="B25" s="246">
        <f>D25</f>
        <v>0</v>
      </c>
      <c r="C25" s="246"/>
      <c r="D25" s="283"/>
      <c r="E25" s="283"/>
      <c r="F25" s="283"/>
      <c r="G25" s="283"/>
      <c r="H25" s="283"/>
      <c r="I25" s="146"/>
      <c r="K25" s="243"/>
      <c r="L25" s="243"/>
    </row>
    <row r="26" spans="1:12" x14ac:dyDescent="0.25">
      <c r="A26" s="145"/>
      <c r="B26" s="246"/>
      <c r="C26" s="246"/>
      <c r="D26" s="241"/>
      <c r="E26" s="241"/>
      <c r="F26" s="241"/>
      <c r="G26" s="241"/>
      <c r="H26" s="241"/>
      <c r="I26" s="146"/>
    </row>
    <row r="27" spans="1:12" x14ac:dyDescent="0.25">
      <c r="A27" s="145"/>
      <c r="B27" s="246"/>
      <c r="C27" s="246"/>
      <c r="D27" s="286" t="s">
        <v>948</v>
      </c>
      <c r="E27" s="286"/>
      <c r="F27" s="286"/>
      <c r="G27" s="286"/>
      <c r="H27" s="286"/>
      <c r="I27" s="146"/>
    </row>
    <row r="28" spans="1:12" ht="45" x14ac:dyDescent="0.25">
      <c r="A28" s="145"/>
      <c r="B28" s="246" t="str">
        <f>D28</f>
        <v>1.
2.
3.</v>
      </c>
      <c r="C28" s="246"/>
      <c r="D28" s="283" t="s">
        <v>944</v>
      </c>
      <c r="E28" s="283"/>
      <c r="F28" s="283"/>
      <c r="G28" s="283"/>
      <c r="H28" s="283"/>
      <c r="I28" s="146"/>
    </row>
    <row r="29" spans="1:12" x14ac:dyDescent="0.25">
      <c r="A29" s="145"/>
      <c r="B29" s="246"/>
      <c r="C29" s="246"/>
      <c r="D29" s="241"/>
      <c r="E29" s="241"/>
      <c r="F29" s="241"/>
      <c r="G29" s="241"/>
      <c r="H29" s="241"/>
      <c r="I29" s="146"/>
    </row>
    <row r="30" spans="1:12" x14ac:dyDescent="0.25">
      <c r="A30" s="145"/>
      <c r="B30" s="246"/>
      <c r="C30" s="246"/>
      <c r="D30" s="286" t="s">
        <v>949</v>
      </c>
      <c r="E30" s="286"/>
      <c r="F30" s="286"/>
      <c r="G30" s="286"/>
      <c r="H30" s="286"/>
      <c r="I30" s="146"/>
    </row>
    <row r="31" spans="1:12" ht="45" x14ac:dyDescent="0.25">
      <c r="A31" s="145"/>
      <c r="B31" s="246" t="str">
        <f>D31</f>
        <v>1.
2.
3.</v>
      </c>
      <c r="C31" s="246"/>
      <c r="D31" s="283" t="s">
        <v>944</v>
      </c>
      <c r="E31" s="283"/>
      <c r="F31" s="283"/>
      <c r="G31" s="283"/>
      <c r="H31" s="283"/>
      <c r="I31" s="146"/>
    </row>
    <row r="32" spans="1:12" x14ac:dyDescent="0.25">
      <c r="A32" s="145"/>
      <c r="B32" s="245"/>
      <c r="C32" s="245"/>
      <c r="D32" s="146"/>
      <c r="E32" s="146"/>
      <c r="F32" s="146"/>
      <c r="G32" s="146"/>
      <c r="H32" s="146"/>
      <c r="I32" s="146"/>
    </row>
    <row r="33" spans="1:9" ht="30" x14ac:dyDescent="0.25">
      <c r="A33" s="145"/>
      <c r="B33" s="245"/>
      <c r="C33" s="245"/>
      <c r="D33" s="253" t="s">
        <v>961</v>
      </c>
      <c r="E33" s="253"/>
      <c r="F33" s="253" t="s">
        <v>962</v>
      </c>
      <c r="G33" s="284" t="s">
        <v>963</v>
      </c>
      <c r="H33" s="284"/>
      <c r="I33" s="146"/>
    </row>
    <row r="34" spans="1:9" x14ac:dyDescent="0.25">
      <c r="A34" s="145"/>
      <c r="B34" s="245"/>
      <c r="C34" s="245"/>
      <c r="D34" s="288" t="str">
        <f>IF(CGName1="", "", CGName1)</f>
        <v/>
      </c>
      <c r="E34" s="288"/>
      <c r="F34" s="254"/>
      <c r="G34" s="287" t="s">
        <v>965</v>
      </c>
      <c r="H34" s="287"/>
      <c r="I34" s="146"/>
    </row>
    <row r="35" spans="1:9" x14ac:dyDescent="0.25">
      <c r="A35" s="145"/>
      <c r="B35" s="245"/>
      <c r="C35" s="245"/>
      <c r="D35" s="288" t="str">
        <f>IF(CGName2="", "", CGName2)</f>
        <v/>
      </c>
      <c r="E35" s="288"/>
      <c r="F35" s="254"/>
      <c r="G35" s="287" t="s">
        <v>965</v>
      </c>
      <c r="H35" s="287"/>
      <c r="I35" s="146"/>
    </row>
    <row r="36" spans="1:9" x14ac:dyDescent="0.25">
      <c r="A36" s="145"/>
      <c r="B36" s="245"/>
      <c r="C36" s="245"/>
      <c r="D36" s="288" t="str">
        <f>IF(CGName3="", "", CGName3)</f>
        <v/>
      </c>
      <c r="E36" s="288"/>
      <c r="F36" s="254"/>
      <c r="G36" s="287" t="s">
        <v>965</v>
      </c>
      <c r="H36" s="287"/>
      <c r="I36" s="146"/>
    </row>
    <row r="37" spans="1:9" x14ac:dyDescent="0.25">
      <c r="A37" s="145"/>
      <c r="B37" s="245"/>
      <c r="C37" s="245"/>
      <c r="D37" s="288" t="str">
        <f>IF(CGName4="", "", CGName4)</f>
        <v/>
      </c>
      <c r="E37" s="288"/>
      <c r="F37" s="254"/>
      <c r="G37" s="287" t="s">
        <v>965</v>
      </c>
      <c r="H37" s="287"/>
      <c r="I37" s="146"/>
    </row>
    <row r="38" spans="1:9" x14ac:dyDescent="0.25">
      <c r="A38" s="145"/>
      <c r="B38" s="245"/>
      <c r="C38" s="245"/>
      <c r="D38" s="146"/>
      <c r="E38" s="146"/>
      <c r="F38" s="146"/>
      <c r="G38" s="146"/>
      <c r="H38" s="146"/>
      <c r="I38" s="146"/>
    </row>
    <row r="39" spans="1:9" x14ac:dyDescent="0.25">
      <c r="A39" s="145"/>
      <c r="B39" s="245"/>
      <c r="C39" s="245"/>
      <c r="D39" s="284" t="s">
        <v>960</v>
      </c>
      <c r="E39" s="284"/>
      <c r="F39" s="284"/>
      <c r="G39" s="285" t="s">
        <v>965</v>
      </c>
      <c r="H39" s="285"/>
      <c r="I39" s="146"/>
    </row>
    <row r="40" spans="1:9" x14ac:dyDescent="0.25">
      <c r="A40" s="145"/>
      <c r="B40" s="247"/>
      <c r="C40" s="247"/>
      <c r="D40" s="252" t="s">
        <v>979</v>
      </c>
      <c r="E40" s="289" t="s">
        <v>63</v>
      </c>
      <c r="F40" s="289"/>
      <c r="G40" s="289"/>
      <c r="H40" s="252" t="s">
        <v>978</v>
      </c>
      <c r="I40" s="146"/>
    </row>
    <row r="41" spans="1:9" x14ac:dyDescent="0.25">
      <c r="A41" s="145"/>
      <c r="B41" s="247"/>
      <c r="C41" s="256" t="str">
        <f>catrange(ActionSteps1)</f>
        <v/>
      </c>
      <c r="D41" s="257" t="str">
        <f>IF(IntGoal1="", "", IntGoal1)</f>
        <v/>
      </c>
      <c r="E41" s="290" t="str">
        <f>catrange(ActionSteps1)</f>
        <v/>
      </c>
      <c r="F41" s="290"/>
      <c r="G41" s="290"/>
      <c r="H41" s="255" t="s">
        <v>973</v>
      </c>
      <c r="I41" s="146"/>
    </row>
    <row r="42" spans="1:9" x14ac:dyDescent="0.25">
      <c r="A42" s="145"/>
      <c r="B42" s="247"/>
      <c r="C42" s="256" t="str">
        <f>catrange(ActionSteps2)</f>
        <v/>
      </c>
      <c r="D42" s="257" t="str">
        <f>IF(IntGoal2="", "", IntGoal2)</f>
        <v/>
      </c>
      <c r="E42" s="290" t="str">
        <f>catrange(ActionSteps2)</f>
        <v/>
      </c>
      <c r="F42" s="290"/>
      <c r="G42" s="290"/>
      <c r="H42" s="255" t="s">
        <v>973</v>
      </c>
      <c r="I42" s="146"/>
    </row>
    <row r="43" spans="1:9" x14ac:dyDescent="0.25">
      <c r="A43" s="145"/>
      <c r="B43" s="247"/>
      <c r="C43" s="256" t="str">
        <f>catrange(ActionSteps3)</f>
        <v/>
      </c>
      <c r="D43" s="257" t="str">
        <f>IF(IntGoal3="", "", IntGoal3)</f>
        <v/>
      </c>
      <c r="E43" s="290" t="str">
        <f>catrange(ActionSteps3)</f>
        <v/>
      </c>
      <c r="F43" s="290"/>
      <c r="G43" s="290"/>
      <c r="H43" s="255" t="s">
        <v>973</v>
      </c>
      <c r="I43" s="146"/>
    </row>
    <row r="44" spans="1:9" x14ac:dyDescent="0.25">
      <c r="A44" s="145"/>
      <c r="B44" s="247"/>
      <c r="C44" s="256" t="str">
        <f>catrange(ActionSteps4)</f>
        <v/>
      </c>
      <c r="D44" s="257" t="str">
        <f>IF(IntGoal4="", "", IntGoal4)</f>
        <v/>
      </c>
      <c r="E44" s="290" t="str">
        <f>catrange(ActionSteps4)</f>
        <v/>
      </c>
      <c r="F44" s="290"/>
      <c r="G44" s="290"/>
      <c r="H44" s="255" t="s">
        <v>973</v>
      </c>
      <c r="I44" s="146"/>
    </row>
    <row r="45" spans="1:9" x14ac:dyDescent="0.25">
      <c r="A45" s="145"/>
      <c r="B45" s="247"/>
      <c r="C45" s="256" t="str">
        <f>catrange(ActionSteps5)</f>
        <v/>
      </c>
      <c r="D45" s="257" t="str">
        <f>IF(IntGoal5="", "", IntGoal5)</f>
        <v/>
      </c>
      <c r="E45" s="290" t="str">
        <f>catrange(ActionSteps5)</f>
        <v/>
      </c>
      <c r="F45" s="290"/>
      <c r="G45" s="290"/>
      <c r="H45" s="255" t="s">
        <v>973</v>
      </c>
      <c r="I45" s="146"/>
    </row>
    <row r="46" spans="1:9" x14ac:dyDescent="0.25">
      <c r="A46" s="145"/>
      <c r="B46" s="247"/>
      <c r="C46" s="256" t="str">
        <f>catrange(ActionSteps6)</f>
        <v/>
      </c>
      <c r="D46" s="257" t="str">
        <f>IF(IntGoal6="", "", IntGoal6)</f>
        <v/>
      </c>
      <c r="E46" s="290" t="str">
        <f>catrange(ActionSteps6)</f>
        <v/>
      </c>
      <c r="F46" s="290"/>
      <c r="G46" s="290"/>
      <c r="H46" s="255" t="s">
        <v>973</v>
      </c>
      <c r="I46" s="146"/>
    </row>
    <row r="47" spans="1:9" x14ac:dyDescent="0.25">
      <c r="A47" s="145"/>
      <c r="B47" s="247"/>
      <c r="C47" s="256" t="str">
        <f>catrange(ActionSteps7)</f>
        <v/>
      </c>
      <c r="D47" s="257" t="str">
        <f>IF(IntGoal7="", "", IntGoal7)</f>
        <v/>
      </c>
      <c r="E47" s="290" t="str">
        <f>catrange(ActionSteps7)</f>
        <v/>
      </c>
      <c r="F47" s="290"/>
      <c r="G47" s="290"/>
      <c r="H47" s="255" t="s">
        <v>973</v>
      </c>
      <c r="I47" s="146"/>
    </row>
    <row r="48" spans="1:9" x14ac:dyDescent="0.25">
      <c r="A48" s="145"/>
      <c r="B48" s="247"/>
      <c r="C48" s="256" t="str">
        <f>catrange(ActionSteps8)</f>
        <v/>
      </c>
      <c r="D48" s="257" t="str">
        <f>IF(IntGoal8="", "", IntGoal8)</f>
        <v/>
      </c>
      <c r="E48" s="290" t="str">
        <f>catrange(ActionSteps8)</f>
        <v/>
      </c>
      <c r="F48" s="290"/>
      <c r="G48" s="290"/>
      <c r="H48" s="255" t="s">
        <v>973</v>
      </c>
      <c r="I48" s="146"/>
    </row>
    <row r="49" spans="1:9" x14ac:dyDescent="0.25">
      <c r="A49" s="145"/>
      <c r="B49" s="247"/>
      <c r="C49" s="256" t="str">
        <f>catrange(ActionSteps9)</f>
        <v/>
      </c>
      <c r="D49" s="257" t="str">
        <f>IF(IntGoal9="", "", IntGoal9)</f>
        <v/>
      </c>
      <c r="E49" s="290" t="str">
        <f>catrange(ActionSteps9)</f>
        <v/>
      </c>
      <c r="F49" s="290"/>
      <c r="G49" s="290"/>
      <c r="H49" s="255" t="s">
        <v>973</v>
      </c>
      <c r="I49" s="146"/>
    </row>
    <row r="50" spans="1:9" x14ac:dyDescent="0.25">
      <c r="A50" s="145"/>
      <c r="B50" s="245"/>
      <c r="C50" s="245"/>
      <c r="D50" s="146"/>
      <c r="E50" s="146"/>
      <c r="F50" s="146"/>
      <c r="G50" s="146"/>
      <c r="H50" s="146"/>
      <c r="I50" s="146"/>
    </row>
    <row r="51" spans="1:9" x14ac:dyDescent="0.25">
      <c r="A51" s="140"/>
      <c r="B51" s="247"/>
      <c r="C51" s="247"/>
      <c r="D51" s="237"/>
      <c r="E51" s="237"/>
      <c r="F51" s="237"/>
      <c r="G51" s="237"/>
      <c r="H51" s="237"/>
      <c r="I51" s="140"/>
    </row>
    <row r="52" spans="1:9" x14ac:dyDescent="0.25">
      <c r="A52" s="140"/>
      <c r="B52" s="247"/>
      <c r="C52" s="247"/>
      <c r="D52" s="237"/>
      <c r="E52" s="237"/>
      <c r="F52" s="237"/>
      <c r="G52" s="237"/>
      <c r="H52" s="237"/>
      <c r="I52" s="140"/>
    </row>
    <row r="53" spans="1:9" x14ac:dyDescent="0.25">
      <c r="A53" s="140"/>
      <c r="B53" s="247"/>
      <c r="C53" s="247"/>
      <c r="D53" s="237"/>
      <c r="E53" s="237"/>
      <c r="F53" s="237"/>
      <c r="G53" s="237"/>
      <c r="H53" s="237"/>
      <c r="I53" s="140"/>
    </row>
    <row r="54" spans="1:9" x14ac:dyDescent="0.25">
      <c r="A54" s="140"/>
      <c r="B54" s="247"/>
      <c r="C54" s="247"/>
      <c r="D54" s="237"/>
      <c r="E54" s="237"/>
      <c r="F54" s="237"/>
      <c r="G54" s="237"/>
      <c r="H54" s="237"/>
      <c r="I54" s="140"/>
    </row>
    <row r="55" spans="1:9" x14ac:dyDescent="0.25">
      <c r="A55" s="140"/>
      <c r="B55" s="247"/>
      <c r="C55" s="247"/>
      <c r="D55" s="237"/>
      <c r="E55" s="237"/>
      <c r="F55" s="237"/>
      <c r="G55" s="237"/>
      <c r="H55" s="237"/>
      <c r="I55" s="140"/>
    </row>
    <row r="56" spans="1:9" x14ac:dyDescent="0.25">
      <c r="A56" s="140"/>
      <c r="B56" s="247"/>
      <c r="C56" s="247"/>
      <c r="D56" s="237"/>
      <c r="E56" s="237"/>
      <c r="F56" s="237"/>
      <c r="G56" s="237"/>
      <c r="H56" s="237"/>
      <c r="I56" s="140"/>
    </row>
    <row r="57" spans="1:9" x14ac:dyDescent="0.25">
      <c r="A57" s="140"/>
      <c r="B57" s="247"/>
      <c r="C57" s="247"/>
      <c r="D57" s="237"/>
      <c r="E57" s="237"/>
      <c r="F57" s="237"/>
      <c r="G57" s="237"/>
      <c r="H57" s="237"/>
      <c r="I57" s="140"/>
    </row>
    <row r="58" spans="1:9" x14ac:dyDescent="0.25">
      <c r="A58" s="140"/>
      <c r="B58" s="247"/>
      <c r="C58" s="247"/>
      <c r="D58" s="237"/>
      <c r="E58" s="237"/>
      <c r="F58" s="237"/>
      <c r="G58" s="237"/>
      <c r="H58" s="237"/>
      <c r="I58" s="140"/>
    </row>
    <row r="59" spans="1:9" x14ac:dyDescent="0.25">
      <c r="A59" s="140"/>
      <c r="B59" s="247"/>
      <c r="C59" s="247"/>
      <c r="D59" s="237"/>
      <c r="E59" s="237"/>
      <c r="F59" s="237"/>
      <c r="G59" s="237"/>
      <c r="H59" s="237"/>
      <c r="I59" s="140"/>
    </row>
    <row r="60" spans="1:9" x14ac:dyDescent="0.25">
      <c r="A60" s="140"/>
      <c r="B60" s="247"/>
      <c r="C60" s="247"/>
      <c r="D60" s="237"/>
      <c r="E60" s="237"/>
      <c r="F60" s="237"/>
      <c r="G60" s="237"/>
      <c r="H60" s="237"/>
      <c r="I60" s="140"/>
    </row>
    <row r="61" spans="1:9" x14ac:dyDescent="0.25">
      <c r="A61" s="140"/>
      <c r="B61" s="247"/>
      <c r="C61" s="247"/>
      <c r="D61" s="237"/>
      <c r="E61" s="237"/>
      <c r="F61" s="237"/>
      <c r="G61" s="237"/>
      <c r="H61" s="237"/>
      <c r="I61" s="140"/>
    </row>
    <row r="62" spans="1:9" x14ac:dyDescent="0.25">
      <c r="A62" s="140"/>
      <c r="B62" s="247"/>
      <c r="C62" s="247"/>
      <c r="D62" s="237"/>
      <c r="E62" s="237"/>
      <c r="F62" s="237"/>
      <c r="G62" s="237"/>
      <c r="H62" s="237"/>
      <c r="I62" s="140"/>
    </row>
    <row r="63" spans="1:9" x14ac:dyDescent="0.25">
      <c r="A63" s="140"/>
      <c r="B63" s="247"/>
      <c r="C63" s="247"/>
      <c r="D63" s="237"/>
      <c r="E63" s="237"/>
      <c r="F63" s="237"/>
      <c r="G63" s="237"/>
      <c r="H63" s="237"/>
      <c r="I63" s="140"/>
    </row>
    <row r="64" spans="1:9" x14ac:dyDescent="0.25">
      <c r="A64" s="140"/>
      <c r="B64" s="247"/>
      <c r="C64" s="247"/>
      <c r="D64" s="237"/>
      <c r="E64" s="237"/>
      <c r="F64" s="237"/>
      <c r="G64" s="237"/>
      <c r="H64" s="237"/>
      <c r="I64" s="140"/>
    </row>
    <row r="65" spans="1:9" x14ac:dyDescent="0.25">
      <c r="A65" s="140"/>
      <c r="B65" s="247"/>
      <c r="C65" s="247"/>
      <c r="D65" s="237"/>
      <c r="E65" s="237"/>
      <c r="F65" s="237"/>
      <c r="G65" s="237"/>
      <c r="H65" s="237"/>
      <c r="I65" s="140"/>
    </row>
    <row r="66" spans="1:9" x14ac:dyDescent="0.25">
      <c r="A66" s="140"/>
      <c r="B66" s="247"/>
      <c r="C66" s="247"/>
      <c r="D66" s="237"/>
      <c r="E66" s="237"/>
      <c r="F66" s="237"/>
      <c r="G66" s="237"/>
      <c r="H66" s="237"/>
      <c r="I66" s="140"/>
    </row>
    <row r="67" spans="1:9" x14ac:dyDescent="0.25">
      <c r="A67" s="140"/>
      <c r="B67" s="247"/>
      <c r="C67" s="247"/>
      <c r="D67" s="237"/>
      <c r="E67" s="237"/>
      <c r="F67" s="237"/>
      <c r="G67" s="237"/>
      <c r="H67" s="237"/>
      <c r="I67" s="140"/>
    </row>
    <row r="68" spans="1:9" x14ac:dyDescent="0.25">
      <c r="A68" s="140"/>
      <c r="B68" s="247"/>
      <c r="C68" s="247"/>
      <c r="D68" s="237"/>
      <c r="E68" s="237"/>
      <c r="F68" s="237"/>
      <c r="G68" s="237"/>
      <c r="H68" s="237"/>
      <c r="I68" s="140"/>
    </row>
    <row r="69" spans="1:9" x14ac:dyDescent="0.25">
      <c r="A69" s="140"/>
      <c r="B69" s="247"/>
      <c r="C69" s="247"/>
      <c r="D69" s="237"/>
      <c r="E69" s="237"/>
      <c r="F69" s="237"/>
      <c r="G69" s="237"/>
      <c r="H69" s="237"/>
      <c r="I69" s="140"/>
    </row>
    <row r="70" spans="1:9" x14ac:dyDescent="0.25">
      <c r="A70" s="140"/>
      <c r="B70" s="247"/>
      <c r="C70" s="247"/>
      <c r="D70" s="237"/>
      <c r="E70" s="237"/>
      <c r="F70" s="237"/>
      <c r="G70" s="237"/>
      <c r="H70" s="237"/>
      <c r="I70" s="140"/>
    </row>
    <row r="71" spans="1:9" x14ac:dyDescent="0.25">
      <c r="A71" s="140"/>
      <c r="B71" s="247"/>
      <c r="C71" s="247"/>
      <c r="D71" s="237"/>
      <c r="E71" s="237"/>
      <c r="F71" s="237"/>
      <c r="G71" s="237"/>
      <c r="H71" s="237"/>
      <c r="I71" s="140"/>
    </row>
    <row r="72" spans="1:9" x14ac:dyDescent="0.25">
      <c r="A72" s="140"/>
      <c r="B72" s="247"/>
      <c r="C72" s="247"/>
      <c r="D72" s="237"/>
      <c r="E72" s="237"/>
      <c r="F72" s="237"/>
      <c r="G72" s="237"/>
      <c r="H72" s="237"/>
      <c r="I72" s="140"/>
    </row>
    <row r="73" spans="1:9" x14ac:dyDescent="0.25">
      <c r="A73" s="140"/>
      <c r="B73" s="247"/>
      <c r="C73" s="247"/>
      <c r="D73" s="237"/>
      <c r="E73" s="237"/>
      <c r="F73" s="237"/>
      <c r="G73" s="237"/>
      <c r="H73" s="237"/>
      <c r="I73" s="140"/>
    </row>
    <row r="74" spans="1:9" x14ac:dyDescent="0.25">
      <c r="A74" s="140"/>
      <c r="B74" s="247"/>
      <c r="C74" s="247"/>
      <c r="D74" s="237"/>
      <c r="E74" s="237"/>
      <c r="F74" s="237"/>
      <c r="G74" s="237"/>
      <c r="H74" s="237"/>
      <c r="I74" s="140"/>
    </row>
    <row r="75" spans="1:9" x14ac:dyDescent="0.25">
      <c r="A75" s="140"/>
      <c r="B75" s="247"/>
      <c r="C75" s="247"/>
      <c r="D75" s="237"/>
      <c r="E75" s="237"/>
      <c r="F75" s="237"/>
      <c r="G75" s="237"/>
      <c r="H75" s="237"/>
      <c r="I75" s="140"/>
    </row>
    <row r="76" spans="1:9" x14ac:dyDescent="0.25">
      <c r="A76" s="140"/>
      <c r="B76" s="247"/>
      <c r="C76" s="247"/>
      <c r="D76" s="237"/>
      <c r="E76" s="237"/>
      <c r="F76" s="237"/>
      <c r="G76" s="237"/>
      <c r="H76" s="237"/>
      <c r="I76" s="140"/>
    </row>
    <row r="77" spans="1:9" x14ac:dyDescent="0.25">
      <c r="A77" s="140"/>
      <c r="B77" s="247"/>
      <c r="C77" s="247"/>
      <c r="D77" s="237"/>
      <c r="E77" s="237"/>
      <c r="F77" s="237"/>
      <c r="G77" s="237"/>
      <c r="H77" s="237"/>
      <c r="I77" s="140"/>
    </row>
    <row r="78" spans="1:9" x14ac:dyDescent="0.25">
      <c r="A78" s="140"/>
      <c r="B78" s="247"/>
      <c r="C78" s="247"/>
      <c r="D78" s="237"/>
      <c r="E78" s="237"/>
      <c r="F78" s="237"/>
      <c r="G78" s="237"/>
      <c r="H78" s="237"/>
      <c r="I78" s="140"/>
    </row>
    <row r="79" spans="1:9" x14ac:dyDescent="0.25">
      <c r="A79" s="140"/>
      <c r="B79" s="247"/>
      <c r="C79" s="247"/>
      <c r="D79" s="237"/>
      <c r="E79" s="237"/>
      <c r="F79" s="237"/>
      <c r="G79" s="237"/>
      <c r="H79" s="237"/>
      <c r="I79" s="140"/>
    </row>
    <row r="80" spans="1:9" x14ac:dyDescent="0.25">
      <c r="A80" s="140"/>
      <c r="B80" s="247"/>
      <c r="C80" s="247"/>
      <c r="D80" s="237"/>
      <c r="E80" s="237"/>
      <c r="F80" s="237"/>
      <c r="G80" s="237"/>
      <c r="H80" s="237"/>
      <c r="I80" s="140"/>
    </row>
    <row r="81" spans="1:9" x14ac:dyDescent="0.25">
      <c r="A81" s="140"/>
      <c r="B81" s="247"/>
      <c r="C81" s="247"/>
      <c r="D81" s="237"/>
      <c r="E81" s="237"/>
      <c r="F81" s="237"/>
      <c r="G81" s="237"/>
      <c r="H81" s="237"/>
      <c r="I81" s="140"/>
    </row>
    <row r="82" spans="1:9" x14ac:dyDescent="0.25">
      <c r="A82" s="140"/>
      <c r="B82" s="247"/>
      <c r="C82" s="247"/>
      <c r="D82" s="237"/>
      <c r="E82" s="237"/>
      <c r="F82" s="237"/>
      <c r="G82" s="237"/>
      <c r="H82" s="237"/>
      <c r="I82" s="140"/>
    </row>
    <row r="83" spans="1:9" x14ac:dyDescent="0.25">
      <c r="A83" s="140"/>
      <c r="B83" s="247"/>
      <c r="C83" s="247"/>
      <c r="D83" s="237"/>
      <c r="E83" s="237"/>
      <c r="F83" s="237"/>
      <c r="G83" s="237"/>
      <c r="H83" s="237"/>
      <c r="I83" s="140"/>
    </row>
    <row r="84" spans="1:9" x14ac:dyDescent="0.25">
      <c r="A84" s="140"/>
      <c r="B84" s="247"/>
      <c r="C84" s="247"/>
      <c r="D84" s="237"/>
      <c r="E84" s="237"/>
      <c r="F84" s="237"/>
      <c r="G84" s="237"/>
      <c r="H84" s="237"/>
      <c r="I84" s="140"/>
    </row>
    <row r="85" spans="1:9" x14ac:dyDescent="0.25">
      <c r="A85" s="140"/>
      <c r="B85" s="247"/>
      <c r="C85" s="247"/>
      <c r="D85" s="237"/>
      <c r="E85" s="237"/>
      <c r="F85" s="237"/>
      <c r="G85" s="237"/>
      <c r="H85" s="237"/>
      <c r="I85" s="140"/>
    </row>
    <row r="86" spans="1:9" x14ac:dyDescent="0.25">
      <c r="A86" s="140"/>
      <c r="B86" s="247"/>
      <c r="C86" s="247"/>
      <c r="D86" s="237"/>
      <c r="E86" s="237"/>
      <c r="F86" s="237"/>
      <c r="G86" s="237"/>
      <c r="H86" s="237"/>
      <c r="I86" s="140"/>
    </row>
    <row r="87" spans="1:9" x14ac:dyDescent="0.25">
      <c r="A87" s="140"/>
      <c r="B87" s="247"/>
      <c r="C87" s="247"/>
      <c r="D87" s="237"/>
      <c r="E87" s="237"/>
      <c r="F87" s="237"/>
      <c r="G87" s="237"/>
      <c r="H87" s="237"/>
      <c r="I87" s="140"/>
    </row>
    <row r="88" spans="1:9" x14ac:dyDescent="0.25">
      <c r="A88" s="140"/>
      <c r="B88" s="247"/>
      <c r="C88" s="247"/>
      <c r="D88" s="237"/>
      <c r="E88" s="237"/>
      <c r="F88" s="237"/>
      <c r="G88" s="237"/>
      <c r="H88" s="237"/>
      <c r="I88" s="140"/>
    </row>
    <row r="89" spans="1:9" x14ac:dyDescent="0.25">
      <c r="A89" s="140"/>
      <c r="B89" s="247"/>
      <c r="C89" s="247"/>
      <c r="D89" s="237"/>
      <c r="E89" s="237"/>
      <c r="F89" s="237"/>
      <c r="G89" s="237"/>
      <c r="H89" s="237"/>
      <c r="I89" s="140"/>
    </row>
    <row r="90" spans="1:9" x14ac:dyDescent="0.25">
      <c r="A90" s="140"/>
      <c r="B90" s="247"/>
      <c r="C90" s="247"/>
      <c r="D90" s="237"/>
      <c r="E90" s="237"/>
      <c r="F90" s="237"/>
      <c r="G90" s="237"/>
      <c r="H90" s="237"/>
      <c r="I90" s="140"/>
    </row>
    <row r="91" spans="1:9" x14ac:dyDescent="0.25">
      <c r="A91" s="140"/>
      <c r="B91" s="247"/>
      <c r="C91" s="247"/>
      <c r="D91" s="237"/>
      <c r="E91" s="237"/>
      <c r="F91" s="237"/>
      <c r="G91" s="237"/>
      <c r="H91" s="237"/>
      <c r="I91" s="140"/>
    </row>
    <row r="92" spans="1:9" x14ac:dyDescent="0.25">
      <c r="A92" s="140"/>
      <c r="B92" s="247"/>
      <c r="C92" s="247"/>
      <c r="D92" s="237"/>
      <c r="E92" s="237"/>
      <c r="F92" s="237"/>
      <c r="G92" s="237"/>
      <c r="H92" s="237"/>
      <c r="I92" s="140"/>
    </row>
    <row r="93" spans="1:9" x14ac:dyDescent="0.25">
      <c r="A93" s="140"/>
      <c r="B93" s="247"/>
      <c r="C93" s="247"/>
      <c r="D93" s="237"/>
      <c r="E93" s="237"/>
      <c r="F93" s="237"/>
      <c r="G93" s="237"/>
      <c r="H93" s="237"/>
      <c r="I93" s="140"/>
    </row>
    <row r="94" spans="1:9" x14ac:dyDescent="0.25">
      <c r="A94" s="140"/>
      <c r="B94" s="247"/>
      <c r="C94" s="247"/>
      <c r="D94" s="237"/>
      <c r="E94" s="237"/>
      <c r="F94" s="237"/>
      <c r="G94" s="237"/>
      <c r="H94" s="237"/>
      <c r="I94" s="140"/>
    </row>
    <row r="95" spans="1:9" x14ac:dyDescent="0.25">
      <c r="A95" s="140"/>
      <c r="B95" s="247"/>
      <c r="C95" s="247"/>
      <c r="D95" s="237"/>
      <c r="E95" s="237"/>
      <c r="F95" s="237"/>
      <c r="G95" s="237"/>
      <c r="H95" s="237"/>
      <c r="I95" s="140"/>
    </row>
    <row r="96" spans="1:9" x14ac:dyDescent="0.25">
      <c r="A96" s="140"/>
      <c r="B96" s="247"/>
      <c r="C96" s="247"/>
      <c r="D96" s="237"/>
      <c r="E96" s="237"/>
      <c r="F96" s="237"/>
      <c r="G96" s="237"/>
      <c r="H96" s="237"/>
      <c r="I96" s="140"/>
    </row>
    <row r="97" spans="1:9" x14ac:dyDescent="0.25">
      <c r="A97" s="140"/>
      <c r="B97" s="247"/>
      <c r="C97" s="247"/>
      <c r="D97" s="237"/>
      <c r="E97" s="237"/>
      <c r="F97" s="237"/>
      <c r="G97" s="237"/>
      <c r="H97" s="237"/>
      <c r="I97" s="140"/>
    </row>
    <row r="98" spans="1:9" x14ac:dyDescent="0.25">
      <c r="A98" s="140"/>
      <c r="B98" s="247"/>
      <c r="C98" s="247"/>
      <c r="D98" s="237"/>
      <c r="E98" s="237"/>
      <c r="F98" s="237"/>
      <c r="G98" s="237"/>
      <c r="H98" s="237"/>
      <c r="I98" s="140"/>
    </row>
    <row r="99" spans="1:9" x14ac:dyDescent="0.25">
      <c r="A99" s="140"/>
      <c r="B99" s="247"/>
      <c r="C99" s="247"/>
      <c r="D99" s="237"/>
      <c r="E99" s="237"/>
      <c r="F99" s="237"/>
      <c r="G99" s="237"/>
      <c r="H99" s="237"/>
      <c r="I99" s="140"/>
    </row>
    <row r="100" spans="1:9" x14ac:dyDescent="0.25">
      <c r="A100" s="140"/>
      <c r="B100" s="247"/>
      <c r="C100" s="247"/>
      <c r="D100" s="237"/>
      <c r="E100" s="237"/>
      <c r="F100" s="237"/>
      <c r="G100" s="237"/>
      <c r="H100" s="237"/>
      <c r="I100" s="140"/>
    </row>
    <row r="101" spans="1:9" x14ac:dyDescent="0.25">
      <c r="A101" s="140"/>
      <c r="B101" s="247"/>
      <c r="C101" s="247"/>
      <c r="D101" s="237"/>
      <c r="E101" s="237"/>
      <c r="F101" s="237"/>
      <c r="G101" s="237"/>
      <c r="H101" s="237"/>
      <c r="I101" s="140"/>
    </row>
    <row r="102" spans="1:9" x14ac:dyDescent="0.25">
      <c r="A102" s="140"/>
      <c r="B102" s="247"/>
      <c r="C102" s="247"/>
      <c r="D102" s="237"/>
      <c r="E102" s="237"/>
      <c r="F102" s="237"/>
      <c r="G102" s="237"/>
      <c r="H102" s="237"/>
      <c r="I102" s="140"/>
    </row>
    <row r="103" spans="1:9" x14ac:dyDescent="0.25">
      <c r="A103" s="140"/>
      <c r="B103" s="247"/>
      <c r="C103" s="247"/>
      <c r="D103" s="237"/>
      <c r="E103" s="237"/>
      <c r="F103" s="237"/>
      <c r="G103" s="237"/>
      <c r="H103" s="237"/>
      <c r="I103" s="140"/>
    </row>
    <row r="104" spans="1:9" x14ac:dyDescent="0.25">
      <c r="A104" s="140"/>
      <c r="B104" s="247"/>
      <c r="C104" s="247"/>
      <c r="D104" s="237"/>
      <c r="E104" s="237"/>
      <c r="F104" s="237"/>
      <c r="G104" s="237"/>
      <c r="H104" s="237"/>
      <c r="I104" s="140"/>
    </row>
    <row r="105" spans="1:9" x14ac:dyDescent="0.25">
      <c r="A105" s="140"/>
      <c r="B105" s="247"/>
      <c r="C105" s="247"/>
      <c r="D105" s="237"/>
      <c r="E105" s="237"/>
      <c r="F105" s="237"/>
      <c r="G105" s="237"/>
      <c r="H105" s="237"/>
      <c r="I105" s="140"/>
    </row>
    <row r="106" spans="1:9" x14ac:dyDescent="0.25">
      <c r="A106" s="140"/>
      <c r="B106" s="247"/>
      <c r="C106" s="247"/>
      <c r="D106" s="237"/>
      <c r="E106" s="237"/>
      <c r="F106" s="237"/>
      <c r="G106" s="237"/>
      <c r="H106" s="237"/>
      <c r="I106" s="140"/>
    </row>
    <row r="107" spans="1:9" x14ac:dyDescent="0.25">
      <c r="A107" s="140"/>
      <c r="B107" s="247"/>
      <c r="C107" s="247"/>
      <c r="D107" s="237"/>
      <c r="E107" s="237"/>
      <c r="F107" s="237"/>
      <c r="G107" s="237"/>
      <c r="H107" s="237"/>
      <c r="I107" s="140"/>
    </row>
    <row r="108" spans="1:9" x14ac:dyDescent="0.25">
      <c r="A108" s="140"/>
      <c r="B108" s="247"/>
      <c r="C108" s="247"/>
      <c r="D108" s="237"/>
      <c r="E108" s="237"/>
      <c r="F108" s="237"/>
      <c r="G108" s="237"/>
      <c r="H108" s="237"/>
      <c r="I108" s="140"/>
    </row>
    <row r="109" spans="1:9" x14ac:dyDescent="0.25">
      <c r="A109" s="140"/>
      <c r="B109" s="247"/>
      <c r="C109" s="247"/>
      <c r="D109" s="237"/>
      <c r="E109" s="237"/>
      <c r="F109" s="237"/>
      <c r="G109" s="237"/>
      <c r="H109" s="237"/>
      <c r="I109" s="140"/>
    </row>
    <row r="110" spans="1:9" x14ac:dyDescent="0.25">
      <c r="A110" s="140"/>
      <c r="B110" s="247"/>
      <c r="C110" s="247"/>
      <c r="D110" s="237"/>
      <c r="E110" s="237"/>
      <c r="F110" s="237"/>
      <c r="G110" s="237"/>
      <c r="H110" s="237"/>
      <c r="I110" s="140"/>
    </row>
    <row r="111" spans="1:9" x14ac:dyDescent="0.25">
      <c r="A111" s="140"/>
      <c r="B111" s="247"/>
      <c r="C111" s="247"/>
      <c r="D111" s="237"/>
      <c r="E111" s="237"/>
      <c r="F111" s="237"/>
      <c r="G111" s="237"/>
      <c r="H111" s="237"/>
      <c r="I111" s="140"/>
    </row>
    <row r="112" spans="1:9" x14ac:dyDescent="0.25">
      <c r="A112" s="140"/>
      <c r="B112" s="247"/>
      <c r="C112" s="247"/>
      <c r="D112" s="237"/>
      <c r="E112" s="237"/>
      <c r="F112" s="237"/>
      <c r="G112" s="237"/>
      <c r="H112" s="237"/>
      <c r="I112" s="140"/>
    </row>
    <row r="113" spans="1:9" x14ac:dyDescent="0.25">
      <c r="A113" s="140"/>
      <c r="B113" s="247"/>
      <c r="C113" s="247"/>
      <c r="D113" s="237"/>
      <c r="E113" s="237"/>
      <c r="F113" s="237"/>
      <c r="G113" s="237"/>
      <c r="H113" s="237"/>
      <c r="I113" s="140"/>
    </row>
    <row r="114" spans="1:9" x14ac:dyDescent="0.25">
      <c r="A114" s="140"/>
      <c r="B114" s="247"/>
      <c r="C114" s="247"/>
      <c r="D114" s="237"/>
      <c r="E114" s="237"/>
      <c r="F114" s="237"/>
      <c r="G114" s="237"/>
      <c r="H114" s="237"/>
      <c r="I114" s="140"/>
    </row>
    <row r="115" spans="1:9" x14ac:dyDescent="0.25">
      <c r="A115" s="140"/>
      <c r="B115" s="247"/>
      <c r="C115" s="247"/>
      <c r="D115" s="237"/>
      <c r="E115" s="237"/>
      <c r="F115" s="237"/>
      <c r="G115" s="237"/>
      <c r="H115" s="237"/>
      <c r="I115" s="140"/>
    </row>
    <row r="116" spans="1:9" x14ac:dyDescent="0.25">
      <c r="A116" s="140"/>
      <c r="B116" s="247"/>
      <c r="C116" s="247"/>
      <c r="D116" s="237"/>
      <c r="E116" s="237"/>
      <c r="F116" s="237"/>
      <c r="G116" s="237"/>
      <c r="H116" s="237"/>
      <c r="I116" s="140"/>
    </row>
    <row r="117" spans="1:9" x14ac:dyDescent="0.25">
      <c r="A117" s="140"/>
      <c r="B117" s="247"/>
      <c r="C117" s="247"/>
      <c r="D117" s="237"/>
      <c r="E117" s="237"/>
      <c r="F117" s="237"/>
      <c r="G117" s="237"/>
      <c r="H117" s="237"/>
      <c r="I117" s="140"/>
    </row>
    <row r="118" spans="1:9" x14ac:dyDescent="0.25">
      <c r="A118" s="140"/>
      <c r="B118" s="247"/>
      <c r="C118" s="247"/>
      <c r="D118" s="237"/>
      <c r="E118" s="237"/>
      <c r="F118" s="237"/>
      <c r="G118" s="237"/>
      <c r="H118" s="237"/>
      <c r="I118" s="140"/>
    </row>
    <row r="119" spans="1:9" x14ac:dyDescent="0.25">
      <c r="A119" s="140"/>
      <c r="B119" s="247"/>
      <c r="C119" s="247"/>
      <c r="D119" s="237"/>
      <c r="E119" s="237"/>
      <c r="F119" s="237"/>
      <c r="G119" s="237"/>
      <c r="H119" s="237"/>
      <c r="I119" s="140"/>
    </row>
    <row r="120" spans="1:9" x14ac:dyDescent="0.25">
      <c r="A120" s="140"/>
      <c r="B120" s="247"/>
      <c r="C120" s="247"/>
      <c r="D120" s="237"/>
      <c r="E120" s="237"/>
      <c r="F120" s="237"/>
      <c r="G120" s="237"/>
      <c r="H120" s="237"/>
      <c r="I120" s="140"/>
    </row>
    <row r="121" spans="1:9" x14ac:dyDescent="0.25">
      <c r="A121" s="140"/>
      <c r="B121" s="247"/>
      <c r="C121" s="247"/>
      <c r="D121" s="237"/>
      <c r="E121" s="237"/>
      <c r="F121" s="237"/>
      <c r="G121" s="237"/>
      <c r="H121" s="237"/>
      <c r="I121" s="140"/>
    </row>
    <row r="122" spans="1:9" x14ac:dyDescent="0.25">
      <c r="A122" s="140"/>
      <c r="B122" s="247"/>
      <c r="C122" s="247"/>
      <c r="D122" s="237"/>
      <c r="E122" s="237"/>
      <c r="F122" s="237"/>
      <c r="G122" s="237"/>
      <c r="H122" s="237"/>
      <c r="I122" s="140"/>
    </row>
    <row r="123" spans="1:9" x14ac:dyDescent="0.25">
      <c r="A123" s="140"/>
      <c r="B123" s="247"/>
      <c r="C123" s="247"/>
      <c r="D123" s="237"/>
      <c r="E123" s="237"/>
      <c r="F123" s="237"/>
      <c r="G123" s="237"/>
      <c r="H123" s="237"/>
      <c r="I123" s="140"/>
    </row>
    <row r="124" spans="1:9" x14ac:dyDescent="0.25">
      <c r="A124" s="140"/>
      <c r="B124" s="247"/>
      <c r="C124" s="247"/>
      <c r="D124" s="237"/>
      <c r="E124" s="237"/>
      <c r="F124" s="237"/>
      <c r="G124" s="237"/>
      <c r="H124" s="237"/>
      <c r="I124" s="140"/>
    </row>
    <row r="125" spans="1:9" x14ac:dyDescent="0.25">
      <c r="A125" s="140"/>
      <c r="B125" s="247"/>
      <c r="C125" s="247"/>
      <c r="D125" s="237"/>
      <c r="E125" s="237"/>
      <c r="F125" s="237"/>
      <c r="G125" s="237"/>
      <c r="H125" s="237"/>
      <c r="I125" s="140"/>
    </row>
    <row r="126" spans="1:9" x14ac:dyDescent="0.25">
      <c r="A126" s="140"/>
      <c r="B126" s="247"/>
      <c r="C126" s="247"/>
      <c r="D126" s="237"/>
      <c r="E126" s="237"/>
      <c r="F126" s="237"/>
      <c r="G126" s="237"/>
      <c r="H126" s="237"/>
      <c r="I126" s="140"/>
    </row>
    <row r="127" spans="1:9" x14ac:dyDescent="0.25">
      <c r="A127" s="140"/>
      <c r="B127" s="247"/>
      <c r="C127" s="247"/>
      <c r="D127" s="237"/>
      <c r="E127" s="237"/>
      <c r="F127" s="237"/>
      <c r="G127" s="237"/>
      <c r="H127" s="237"/>
      <c r="I127" s="140"/>
    </row>
    <row r="128" spans="1:9" x14ac:dyDescent="0.25">
      <c r="A128" s="140"/>
      <c r="B128" s="247"/>
      <c r="C128" s="247"/>
      <c r="D128" s="237"/>
      <c r="E128" s="237"/>
      <c r="F128" s="237"/>
      <c r="G128" s="237"/>
      <c r="H128" s="237"/>
      <c r="I128" s="140"/>
    </row>
    <row r="129" spans="1:9" x14ac:dyDescent="0.25">
      <c r="A129" s="140"/>
      <c r="B129" s="247"/>
      <c r="C129" s="247"/>
      <c r="D129" s="237"/>
      <c r="E129" s="237"/>
      <c r="F129" s="237"/>
      <c r="G129" s="237"/>
      <c r="H129" s="237"/>
      <c r="I129" s="140"/>
    </row>
    <row r="130" spans="1:9" x14ac:dyDescent="0.25">
      <c r="A130" s="140"/>
      <c r="B130" s="247"/>
      <c r="C130" s="247"/>
      <c r="D130" s="237"/>
      <c r="E130" s="237"/>
      <c r="F130" s="237"/>
      <c r="G130" s="237"/>
      <c r="H130" s="237"/>
      <c r="I130" s="140"/>
    </row>
    <row r="131" spans="1:9" x14ac:dyDescent="0.25">
      <c r="A131" s="140"/>
      <c r="B131" s="247"/>
      <c r="C131" s="247"/>
      <c r="D131" s="237"/>
      <c r="E131" s="237"/>
      <c r="F131" s="237"/>
      <c r="G131" s="237"/>
      <c r="H131" s="237"/>
      <c r="I131" s="140"/>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8"/>
  <sheetViews>
    <sheetView topLeftCell="A2" workbookViewId="0">
      <selection activeCell="C35" sqref="C35"/>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981</v>
      </c>
      <c r="D1" s="16" t="s">
        <v>94</v>
      </c>
      <c r="E1" s="16" t="s">
        <v>95</v>
      </c>
      <c r="F1" s="16" t="s">
        <v>96</v>
      </c>
      <c r="G1" s="16" t="s">
        <v>687</v>
      </c>
      <c r="H1" s="16" t="s">
        <v>938</v>
      </c>
      <c r="I1" s="16" t="s">
        <v>939</v>
      </c>
      <c r="J1" s="16" t="s">
        <v>964</v>
      </c>
      <c r="K1" s="16" t="s">
        <v>972</v>
      </c>
      <c r="M1" s="16" t="s">
        <v>162</v>
      </c>
      <c r="N1" s="16" t="s">
        <v>51</v>
      </c>
      <c r="O1" s="16" t="s">
        <v>56</v>
      </c>
      <c r="Q1" s="5" t="s">
        <v>55</v>
      </c>
      <c r="S1" t="s">
        <v>171</v>
      </c>
    </row>
    <row r="2" spans="1:21" x14ac:dyDescent="0.25">
      <c r="A2" t="s">
        <v>864</v>
      </c>
      <c r="B2" t="s">
        <v>874</v>
      </c>
      <c r="C2" t="s">
        <v>982</v>
      </c>
      <c r="D2">
        <v>0</v>
      </c>
      <c r="E2" t="s">
        <v>48</v>
      </c>
      <c r="F2" t="s">
        <v>97</v>
      </c>
      <c r="G2" t="s">
        <v>686</v>
      </c>
      <c r="H2" t="s">
        <v>686</v>
      </c>
      <c r="I2" t="s">
        <v>686</v>
      </c>
      <c r="J2" t="s">
        <v>965</v>
      </c>
      <c r="K2" t="s">
        <v>973</v>
      </c>
      <c r="M2" t="s">
        <v>167</v>
      </c>
      <c r="N2" t="s">
        <v>2</v>
      </c>
      <c r="O2">
        <f t="array" ref="O2">MAX(IF(ItemDom=M2, DomItemNum, 0))</f>
        <v>0</v>
      </c>
      <c r="Q2" s="1">
        <f>COUNTA(M:M)-1</f>
        <v>6</v>
      </c>
      <c r="S2" s="16" t="s">
        <v>172</v>
      </c>
      <c r="T2" s="16" t="s">
        <v>0</v>
      </c>
      <c r="U2" s="16" t="s">
        <v>173</v>
      </c>
    </row>
    <row r="3" spans="1:21" x14ac:dyDescent="0.25">
      <c r="A3" t="s">
        <v>865</v>
      </c>
      <c r="B3" t="s">
        <v>875</v>
      </c>
      <c r="C3" t="s">
        <v>983</v>
      </c>
      <c r="D3">
        <v>1</v>
      </c>
      <c r="E3" t="s">
        <v>49</v>
      </c>
      <c r="F3" t="s">
        <v>98</v>
      </c>
      <c r="G3" t="s">
        <v>307</v>
      </c>
      <c r="H3" t="s">
        <v>307</v>
      </c>
      <c r="I3" t="s">
        <v>308</v>
      </c>
      <c r="J3" t="s">
        <v>966</v>
      </c>
      <c r="K3" t="s">
        <v>974</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984</v>
      </c>
      <c r="D4">
        <v>2</v>
      </c>
      <c r="F4" t="s">
        <v>99</v>
      </c>
      <c r="G4" t="s">
        <v>308</v>
      </c>
      <c r="J4" t="s">
        <v>967</v>
      </c>
      <c r="K4" t="s">
        <v>975</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985</v>
      </c>
      <c r="D5">
        <v>3</v>
      </c>
      <c r="F5" t="s">
        <v>100</v>
      </c>
      <c r="J5" t="s">
        <v>968</v>
      </c>
      <c r="K5" t="s">
        <v>976</v>
      </c>
      <c r="M5" t="s">
        <v>169</v>
      </c>
      <c r="N5" t="s">
        <v>25</v>
      </c>
      <c r="O5">
        <f t="array" ref="O5">MAX(IF(ItemDom=M5, DomItemNum, 0))</f>
        <v>0</v>
      </c>
      <c r="S5" t="s">
        <v>134</v>
      </c>
      <c r="T5" t="str">
        <f t="shared" si="0"/>
        <v/>
      </c>
      <c r="U5" t="str">
        <f t="shared" si="1"/>
        <v/>
      </c>
    </row>
    <row r="6" spans="1:21" x14ac:dyDescent="0.25">
      <c r="A6" t="s">
        <v>868</v>
      </c>
      <c r="B6" t="s">
        <v>878</v>
      </c>
      <c r="C6" t="s">
        <v>986</v>
      </c>
      <c r="F6" t="s">
        <v>101</v>
      </c>
      <c r="J6" t="s">
        <v>969</v>
      </c>
      <c r="K6" t="s">
        <v>977</v>
      </c>
      <c r="M6" t="s">
        <v>166</v>
      </c>
      <c r="N6" t="s">
        <v>32</v>
      </c>
      <c r="O6">
        <f t="array" ref="O6">MAX(IF(ItemDom=M6, DomItemNum, 0))</f>
        <v>0</v>
      </c>
      <c r="S6" t="s">
        <v>135</v>
      </c>
      <c r="T6" t="e">
        <f t="shared" si="0"/>
        <v>#N/A</v>
      </c>
      <c r="U6" t="str">
        <f t="shared" si="1"/>
        <v/>
      </c>
    </row>
    <row r="7" spans="1:21" x14ac:dyDescent="0.25">
      <c r="A7" t="s">
        <v>869</v>
      </c>
      <c r="B7" t="s">
        <v>879</v>
      </c>
      <c r="C7" t="s">
        <v>987</v>
      </c>
      <c r="J7" t="s">
        <v>970</v>
      </c>
      <c r="M7" t="s">
        <v>170</v>
      </c>
      <c r="N7" t="s">
        <v>149</v>
      </c>
      <c r="O7">
        <f t="array" ref="O7">MAX(IF(ItemDom=M7, DomItemNum, 0))</f>
        <v>0</v>
      </c>
      <c r="S7" t="s">
        <v>136</v>
      </c>
      <c r="T7" t="e">
        <f t="shared" si="0"/>
        <v>#N/A</v>
      </c>
      <c r="U7" t="str">
        <f t="shared" si="1"/>
        <v/>
      </c>
    </row>
    <row r="8" spans="1:21" x14ac:dyDescent="0.25">
      <c r="A8" t="s">
        <v>870</v>
      </c>
      <c r="B8" t="s">
        <v>880</v>
      </c>
      <c r="C8" t="s">
        <v>988</v>
      </c>
      <c r="J8" t="s">
        <v>971</v>
      </c>
      <c r="S8" t="s">
        <v>137</v>
      </c>
      <c r="T8" t="e">
        <f t="shared" si="0"/>
        <v>#N/A</v>
      </c>
      <c r="U8" t="str">
        <f t="shared" si="1"/>
        <v/>
      </c>
    </row>
    <row r="9" spans="1:21" x14ac:dyDescent="0.25">
      <c r="A9" t="s">
        <v>871</v>
      </c>
      <c r="B9" t="s">
        <v>881</v>
      </c>
      <c r="C9" t="s">
        <v>989</v>
      </c>
      <c r="S9" t="s">
        <v>138</v>
      </c>
      <c r="T9" t="e">
        <f t="shared" si="0"/>
        <v>#N/A</v>
      </c>
      <c r="U9" t="str">
        <f t="shared" si="1"/>
        <v/>
      </c>
    </row>
    <row r="10" spans="1:21" x14ac:dyDescent="0.25">
      <c r="A10" t="s">
        <v>872</v>
      </c>
      <c r="B10" t="s">
        <v>882</v>
      </c>
      <c r="C10" t="s">
        <v>990</v>
      </c>
      <c r="F10" s="16">
        <f t="array" ref="F10">MAX(IF(ItemNum=MAX(ItemNum), ROW(ItemNum), 0))</f>
        <v>209</v>
      </c>
      <c r="G10" t="s">
        <v>262</v>
      </c>
      <c r="S10" t="s">
        <v>139</v>
      </c>
      <c r="T10" t="e">
        <f t="shared" si="0"/>
        <v>#N/A</v>
      </c>
      <c r="U10" t="str">
        <f t="shared" si="1"/>
        <v/>
      </c>
    </row>
    <row r="11" spans="1:21" x14ac:dyDescent="0.25">
      <c r="B11" t="s">
        <v>883</v>
      </c>
      <c r="C11" t="s">
        <v>991</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992</v>
      </c>
      <c r="S12" t="s">
        <v>141</v>
      </c>
      <c r="T12" t="e">
        <f t="shared" si="0"/>
        <v>#N/A</v>
      </c>
      <c r="U12" t="str">
        <f t="shared" si="1"/>
        <v/>
      </c>
    </row>
    <row r="13" spans="1:21" x14ac:dyDescent="0.25">
      <c r="B13" t="s">
        <v>885</v>
      </c>
      <c r="C13" t="s">
        <v>993</v>
      </c>
      <c r="S13" t="s">
        <v>142</v>
      </c>
      <c r="T13" t="e">
        <f t="shared" si="0"/>
        <v>#N/A</v>
      </c>
      <c r="U13" t="str">
        <f t="shared" si="1"/>
        <v/>
      </c>
    </row>
    <row r="14" spans="1:21" x14ac:dyDescent="0.25">
      <c r="B14" t="s">
        <v>886</v>
      </c>
      <c r="C14" t="s">
        <v>994</v>
      </c>
      <c r="S14" t="s">
        <v>143</v>
      </c>
      <c r="T14" t="e">
        <f t="shared" si="0"/>
        <v>#N/A</v>
      </c>
      <c r="U14" t="str">
        <f t="shared" si="1"/>
        <v/>
      </c>
    </row>
    <row r="15" spans="1:21" x14ac:dyDescent="0.25">
      <c r="B15" t="s">
        <v>887</v>
      </c>
      <c r="C15" t="s">
        <v>995</v>
      </c>
      <c r="S15" t="s">
        <v>144</v>
      </c>
      <c r="T15" t="e">
        <f t="shared" si="0"/>
        <v>#N/A</v>
      </c>
      <c r="U15" t="str">
        <f t="shared" si="1"/>
        <v/>
      </c>
    </row>
    <row r="16" spans="1:21" x14ac:dyDescent="0.25">
      <c r="B16" t="s">
        <v>888</v>
      </c>
      <c r="C16" t="s">
        <v>996</v>
      </c>
    </row>
    <row r="17" spans="2:3" x14ac:dyDescent="0.25">
      <c r="B17" t="s">
        <v>889</v>
      </c>
      <c r="C17" t="s">
        <v>997</v>
      </c>
    </row>
    <row r="18" spans="2:3" x14ac:dyDescent="0.25">
      <c r="B18" t="s">
        <v>890</v>
      </c>
      <c r="C18" t="s">
        <v>998</v>
      </c>
    </row>
    <row r="19" spans="2:3" x14ac:dyDescent="0.25">
      <c r="B19" t="s">
        <v>891</v>
      </c>
      <c r="C19" t="s">
        <v>999</v>
      </c>
    </row>
    <row r="20" spans="2:3" x14ac:dyDescent="0.25">
      <c r="B20" t="s">
        <v>892</v>
      </c>
      <c r="C20" t="s">
        <v>1000</v>
      </c>
    </row>
    <row r="21" spans="2:3" x14ac:dyDescent="0.25">
      <c r="B21" t="s">
        <v>893</v>
      </c>
      <c r="C21" t="s">
        <v>1001</v>
      </c>
    </row>
    <row r="22" spans="2:3" x14ac:dyDescent="0.25">
      <c r="B22" t="s">
        <v>894</v>
      </c>
      <c r="C22" t="s">
        <v>1002</v>
      </c>
    </row>
    <row r="23" spans="2:3" x14ac:dyDescent="0.25">
      <c r="B23" t="s">
        <v>895</v>
      </c>
      <c r="C23" t="s">
        <v>1003</v>
      </c>
    </row>
    <row r="24" spans="2:3" x14ac:dyDescent="0.25">
      <c r="B24" t="s">
        <v>896</v>
      </c>
      <c r="C24" t="s">
        <v>1004</v>
      </c>
    </row>
    <row r="25" spans="2:3" x14ac:dyDescent="0.25">
      <c r="B25" t="s">
        <v>897</v>
      </c>
      <c r="C25" t="s">
        <v>1005</v>
      </c>
    </row>
    <row r="26" spans="2:3" x14ac:dyDescent="0.25">
      <c r="B26" t="s">
        <v>898</v>
      </c>
      <c r="C26" t="s">
        <v>1006</v>
      </c>
    </row>
    <row r="27" spans="2:3" x14ac:dyDescent="0.25">
      <c r="B27" t="s">
        <v>899</v>
      </c>
      <c r="C27" t="s">
        <v>1007</v>
      </c>
    </row>
    <row r="28" spans="2:3" x14ac:dyDescent="0.25">
      <c r="B28" t="s">
        <v>900</v>
      </c>
      <c r="C28" t="s">
        <v>1008</v>
      </c>
    </row>
    <row r="29" spans="2:3" ht="15.75" customHeight="1" x14ac:dyDescent="0.25">
      <c r="B29" t="s">
        <v>901</v>
      </c>
      <c r="C29" t="s">
        <v>1009</v>
      </c>
    </row>
    <row r="30" spans="2:3" x14ac:dyDescent="0.25">
      <c r="B30" t="s">
        <v>902</v>
      </c>
      <c r="C30" t="s">
        <v>1010</v>
      </c>
    </row>
    <row r="31" spans="2:3" x14ac:dyDescent="0.25">
      <c r="B31" t="s">
        <v>903</v>
      </c>
      <c r="C31" t="s">
        <v>1011</v>
      </c>
    </row>
    <row r="32" spans="2:3" x14ac:dyDescent="0.25">
      <c r="B32" t="s">
        <v>904</v>
      </c>
      <c r="C32" t="s">
        <v>1012</v>
      </c>
    </row>
    <row r="33" spans="2:3" x14ac:dyDescent="0.25">
      <c r="B33" t="s">
        <v>905</v>
      </c>
      <c r="C33" t="s">
        <v>1013</v>
      </c>
    </row>
    <row r="34" spans="2:3" x14ac:dyDescent="0.25">
      <c r="B34" t="s">
        <v>906</v>
      </c>
      <c r="C34" t="s">
        <v>1097</v>
      </c>
    </row>
    <row r="35" spans="2:3" x14ac:dyDescent="0.25">
      <c r="B35" t="s">
        <v>907</v>
      </c>
      <c r="C35" t="s">
        <v>1014</v>
      </c>
    </row>
    <row r="36" spans="2:3" x14ac:dyDescent="0.25">
      <c r="B36" t="s">
        <v>908</v>
      </c>
      <c r="C36" t="s">
        <v>1015</v>
      </c>
    </row>
    <row r="37" spans="2:3" x14ac:dyDescent="0.25">
      <c r="B37" t="s">
        <v>909</v>
      </c>
      <c r="C37" t="s">
        <v>1016</v>
      </c>
    </row>
    <row r="38" spans="2:3" x14ac:dyDescent="0.25">
      <c r="B38" t="s">
        <v>910</v>
      </c>
      <c r="C38" t="s">
        <v>1017</v>
      </c>
    </row>
    <row r="39" spans="2:3" x14ac:dyDescent="0.25">
      <c r="B39" t="s">
        <v>911</v>
      </c>
      <c r="C39" t="s">
        <v>1018</v>
      </c>
    </row>
    <row r="40" spans="2:3" x14ac:dyDescent="0.25">
      <c r="B40" t="s">
        <v>912</v>
      </c>
      <c r="C40" t="s">
        <v>1019</v>
      </c>
    </row>
    <row r="41" spans="2:3" x14ac:dyDescent="0.25">
      <c r="B41" t="s">
        <v>913</v>
      </c>
      <c r="C41" t="s">
        <v>1020</v>
      </c>
    </row>
    <row r="42" spans="2:3" x14ac:dyDescent="0.25">
      <c r="B42" t="s">
        <v>914</v>
      </c>
      <c r="C42" t="s">
        <v>1021</v>
      </c>
    </row>
    <row r="43" spans="2:3" x14ac:dyDescent="0.25">
      <c r="B43" t="s">
        <v>915</v>
      </c>
      <c r="C43" t="s">
        <v>1022</v>
      </c>
    </row>
    <row r="44" spans="2:3" x14ac:dyDescent="0.25">
      <c r="B44" t="s">
        <v>916</v>
      </c>
      <c r="C44" t="s">
        <v>1023</v>
      </c>
    </row>
    <row r="45" spans="2:3" x14ac:dyDescent="0.25">
      <c r="B45" t="s">
        <v>917</v>
      </c>
      <c r="C45" t="s">
        <v>1024</v>
      </c>
    </row>
    <row r="46" spans="2:3" ht="15.75" customHeight="1" x14ac:dyDescent="0.25">
      <c r="B46" t="s">
        <v>918</v>
      </c>
      <c r="C46" t="s">
        <v>1025</v>
      </c>
    </row>
    <row r="47" spans="2:3" x14ac:dyDescent="0.25">
      <c r="B47" t="s">
        <v>919</v>
      </c>
      <c r="C47" t="s">
        <v>1026</v>
      </c>
    </row>
    <row r="48" spans="2:3" x14ac:dyDescent="0.25">
      <c r="B48" t="s">
        <v>920</v>
      </c>
      <c r="C48" t="s">
        <v>1027</v>
      </c>
    </row>
    <row r="49" spans="2:3" x14ac:dyDescent="0.25">
      <c r="B49" t="s">
        <v>921</v>
      </c>
      <c r="C49" t="s">
        <v>1095</v>
      </c>
    </row>
    <row r="50" spans="2:3" x14ac:dyDescent="0.25">
      <c r="B50" t="s">
        <v>922</v>
      </c>
      <c r="C50" t="s">
        <v>1028</v>
      </c>
    </row>
    <row r="51" spans="2:3" x14ac:dyDescent="0.25">
      <c r="C51" t="s">
        <v>1029</v>
      </c>
    </row>
    <row r="52" spans="2:3" x14ac:dyDescent="0.25">
      <c r="C52" t="s">
        <v>1030</v>
      </c>
    </row>
    <row r="53" spans="2:3" x14ac:dyDescent="0.25">
      <c r="C53" t="s">
        <v>1031</v>
      </c>
    </row>
    <row r="54" spans="2:3" x14ac:dyDescent="0.25">
      <c r="C54" t="s">
        <v>1032</v>
      </c>
    </row>
    <row r="55" spans="2:3" x14ac:dyDescent="0.25">
      <c r="C55" t="s">
        <v>1033</v>
      </c>
    </row>
    <row r="56" spans="2:3" x14ac:dyDescent="0.25">
      <c r="C56" t="s">
        <v>1034</v>
      </c>
    </row>
    <row r="57" spans="2:3" x14ac:dyDescent="0.25">
      <c r="C57" t="s">
        <v>1035</v>
      </c>
    </row>
    <row r="58" spans="2:3" x14ac:dyDescent="0.25">
      <c r="C58" t="s">
        <v>1036</v>
      </c>
    </row>
    <row r="59" spans="2:3" x14ac:dyDescent="0.25">
      <c r="C59" t="s">
        <v>1037</v>
      </c>
    </row>
    <row r="60" spans="2:3" x14ac:dyDescent="0.25">
      <c r="C60" t="s">
        <v>1038</v>
      </c>
    </row>
    <row r="61" spans="2:3" x14ac:dyDescent="0.25">
      <c r="C61" t="s">
        <v>1039</v>
      </c>
    </row>
    <row r="62" spans="2:3" x14ac:dyDescent="0.25">
      <c r="C62" t="s">
        <v>1040</v>
      </c>
    </row>
    <row r="63" spans="2:3" x14ac:dyDescent="0.25">
      <c r="C63" t="s">
        <v>1096</v>
      </c>
    </row>
    <row r="64" spans="2:3" x14ac:dyDescent="0.25">
      <c r="C64" t="s">
        <v>1041</v>
      </c>
    </row>
    <row r="65" spans="3:3" x14ac:dyDescent="0.25">
      <c r="C65" t="s">
        <v>1042</v>
      </c>
    </row>
    <row r="66" spans="3:3" x14ac:dyDescent="0.25">
      <c r="C66" t="s">
        <v>1043</v>
      </c>
    </row>
    <row r="67" spans="3:3" x14ac:dyDescent="0.25">
      <c r="C67" t="s">
        <v>1044</v>
      </c>
    </row>
    <row r="68" spans="3:3" x14ac:dyDescent="0.25">
      <c r="C68" t="s">
        <v>1045</v>
      </c>
    </row>
    <row r="69" spans="3:3" x14ac:dyDescent="0.25">
      <c r="C69" t="s">
        <v>1046</v>
      </c>
    </row>
    <row r="70" spans="3:3" x14ac:dyDescent="0.25">
      <c r="C70" t="s">
        <v>1047</v>
      </c>
    </row>
    <row r="71" spans="3:3" x14ac:dyDescent="0.25">
      <c r="C71" t="s">
        <v>1048</v>
      </c>
    </row>
    <row r="72" spans="3:3" x14ac:dyDescent="0.25">
      <c r="C72" t="s">
        <v>1093</v>
      </c>
    </row>
    <row r="73" spans="3:3" x14ac:dyDescent="0.25">
      <c r="C73" t="s">
        <v>980</v>
      </c>
    </row>
    <row r="74" spans="3:3" x14ac:dyDescent="0.25">
      <c r="C74" t="s">
        <v>1049</v>
      </c>
    </row>
    <row r="75" spans="3:3" x14ac:dyDescent="0.25">
      <c r="C75" t="s">
        <v>1050</v>
      </c>
    </row>
    <row r="76" spans="3:3" x14ac:dyDescent="0.25">
      <c r="C76" t="s">
        <v>1051</v>
      </c>
    </row>
    <row r="77" spans="3:3" x14ac:dyDescent="0.25">
      <c r="C77" t="s">
        <v>1052</v>
      </c>
    </row>
    <row r="78" spans="3:3" x14ac:dyDescent="0.25">
      <c r="C78" t="s">
        <v>1053</v>
      </c>
    </row>
    <row r="79" spans="3:3" x14ac:dyDescent="0.25">
      <c r="C79" t="s">
        <v>1054</v>
      </c>
    </row>
    <row r="80" spans="3:3" x14ac:dyDescent="0.25">
      <c r="C80" t="s">
        <v>1055</v>
      </c>
    </row>
    <row r="81" spans="3:3" x14ac:dyDescent="0.25">
      <c r="C81" t="s">
        <v>1056</v>
      </c>
    </row>
    <row r="82" spans="3:3" x14ac:dyDescent="0.25">
      <c r="C82" t="s">
        <v>1057</v>
      </c>
    </row>
    <row r="83" spans="3:3" x14ac:dyDescent="0.25">
      <c r="C83" t="s">
        <v>1058</v>
      </c>
    </row>
    <row r="84" spans="3:3" x14ac:dyDescent="0.25">
      <c r="C84" t="s">
        <v>1059</v>
      </c>
    </row>
    <row r="85" spans="3:3" x14ac:dyDescent="0.25">
      <c r="C85" t="s">
        <v>1060</v>
      </c>
    </row>
    <row r="86" spans="3:3" x14ac:dyDescent="0.25">
      <c r="C86" t="s">
        <v>1061</v>
      </c>
    </row>
    <row r="87" spans="3:3" x14ac:dyDescent="0.25">
      <c r="C87" t="s">
        <v>1062</v>
      </c>
    </row>
    <row r="88" spans="3:3" x14ac:dyDescent="0.25">
      <c r="C88" t="s">
        <v>1063</v>
      </c>
    </row>
    <row r="89" spans="3:3" x14ac:dyDescent="0.25">
      <c r="C89" t="s">
        <v>1064</v>
      </c>
    </row>
    <row r="90" spans="3:3" x14ac:dyDescent="0.25">
      <c r="C90" t="s">
        <v>1065</v>
      </c>
    </row>
    <row r="91" spans="3:3" x14ac:dyDescent="0.25">
      <c r="C91" t="s">
        <v>1066</v>
      </c>
    </row>
    <row r="92" spans="3:3" x14ac:dyDescent="0.25">
      <c r="C92" t="s">
        <v>1067</v>
      </c>
    </row>
    <row r="93" spans="3:3" x14ac:dyDescent="0.25">
      <c r="C93" t="s">
        <v>1068</v>
      </c>
    </row>
    <row r="94" spans="3:3" x14ac:dyDescent="0.25">
      <c r="C94" t="s">
        <v>1069</v>
      </c>
    </row>
    <row r="95" spans="3:3" x14ac:dyDescent="0.25">
      <c r="C95" t="s">
        <v>1070</v>
      </c>
    </row>
    <row r="96" spans="3:3" x14ac:dyDescent="0.25">
      <c r="C96" t="s">
        <v>1071</v>
      </c>
    </row>
    <row r="97" spans="3:3" x14ac:dyDescent="0.25">
      <c r="C97" t="s">
        <v>1072</v>
      </c>
    </row>
    <row r="98" spans="3:3" x14ac:dyDescent="0.25">
      <c r="C98" t="s">
        <v>1073</v>
      </c>
    </row>
    <row r="99" spans="3:3" x14ac:dyDescent="0.25">
      <c r="C99" t="s">
        <v>1074</v>
      </c>
    </row>
    <row r="100" spans="3:3" x14ac:dyDescent="0.25">
      <c r="C100" t="s">
        <v>1075</v>
      </c>
    </row>
    <row r="101" spans="3:3" x14ac:dyDescent="0.25">
      <c r="C101" t="s">
        <v>1076</v>
      </c>
    </row>
    <row r="102" spans="3:3" x14ac:dyDescent="0.25">
      <c r="C102" t="s">
        <v>1077</v>
      </c>
    </row>
    <row r="103" spans="3:3" x14ac:dyDescent="0.25">
      <c r="C103" t="s">
        <v>1078</v>
      </c>
    </row>
    <row r="104" spans="3:3" x14ac:dyDescent="0.25">
      <c r="C104" t="s">
        <v>1079</v>
      </c>
    </row>
    <row r="105" spans="3:3" x14ac:dyDescent="0.25">
      <c r="C105" t="s">
        <v>1080</v>
      </c>
    </row>
    <row r="106" spans="3:3" x14ac:dyDescent="0.25">
      <c r="C106" t="s">
        <v>1081</v>
      </c>
    </row>
    <row r="107" spans="3:3" x14ac:dyDescent="0.25">
      <c r="C107" t="s">
        <v>1082</v>
      </c>
    </row>
    <row r="108" spans="3:3" x14ac:dyDescent="0.25">
      <c r="C108" t="s">
        <v>1094</v>
      </c>
    </row>
    <row r="109" spans="3:3" x14ac:dyDescent="0.25">
      <c r="C109" t="s">
        <v>1083</v>
      </c>
    </row>
    <row r="110" spans="3:3" x14ac:dyDescent="0.25">
      <c r="C110" t="s">
        <v>1084</v>
      </c>
    </row>
    <row r="111" spans="3:3" x14ac:dyDescent="0.25">
      <c r="C111" t="s">
        <v>1085</v>
      </c>
    </row>
    <row r="112" spans="3:3" x14ac:dyDescent="0.25">
      <c r="C112" t="s">
        <v>1086</v>
      </c>
    </row>
    <row r="113" spans="3:3" x14ac:dyDescent="0.25">
      <c r="C113" t="s">
        <v>1087</v>
      </c>
    </row>
    <row r="114" spans="3:3" x14ac:dyDescent="0.25">
      <c r="C114" t="s">
        <v>1088</v>
      </c>
    </row>
    <row r="115" spans="3:3" x14ac:dyDescent="0.25">
      <c r="C115" t="s">
        <v>1089</v>
      </c>
    </row>
    <row r="116" spans="3:3" x14ac:dyDescent="0.25">
      <c r="C116" t="s">
        <v>1090</v>
      </c>
    </row>
    <row r="117" spans="3:3" x14ac:dyDescent="0.25">
      <c r="C117" t="s">
        <v>1091</v>
      </c>
    </row>
    <row r="118" spans="3:3" x14ac:dyDescent="0.25">
      <c r="C118" t="s">
        <v>1092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2018-06-15T21:24:59Z</cp:lastPrinted>
  <dcterms:created xsi:type="dcterms:W3CDTF">2017-09-29T17:34:34Z</dcterms:created>
  <dcterms:modified xsi:type="dcterms:W3CDTF">2018-09-13T20:56:06Z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