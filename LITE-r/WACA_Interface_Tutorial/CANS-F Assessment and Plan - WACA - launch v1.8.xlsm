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nmader\Chapin Hall Center for Children\CHIC - General\Core Products\CHERS Tool\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howMacWarning">'Face Sheet'!$H$1</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Meta!$C$2:$C$123</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7" i="19"/>
  <c r="S78" i="19" s="1"/>
  <c r="T76" i="19"/>
  <c r="S76" i="19"/>
  <c r="T75" i="19"/>
  <c r="X74" i="19"/>
  <c r="W74" i="19"/>
  <c r="V74" i="19"/>
  <c r="R73" i="19"/>
  <c r="S58" i="19"/>
  <c r="T58" i="19" s="1"/>
  <c r="T57" i="19"/>
  <c r="X56" i="19"/>
  <c r="W56" i="19"/>
  <c r="V56" i="19"/>
  <c r="R55" i="19"/>
  <c r="K55" i="19"/>
  <c r="L55" i="19" s="1"/>
  <c r="L54" i="19"/>
  <c r="P53" i="19"/>
  <c r="O53" i="19"/>
  <c r="N53" i="19"/>
  <c r="J52" i="19"/>
  <c r="S40" i="19"/>
  <c r="T40" i="19" s="1"/>
  <c r="T39" i="19"/>
  <c r="X38" i="19"/>
  <c r="W38" i="19"/>
  <c r="V38" i="19"/>
  <c r="K38" i="19"/>
  <c r="R37" i="19"/>
  <c r="L37" i="19"/>
  <c r="P36" i="19"/>
  <c r="O36" i="19"/>
  <c r="N36" i="19"/>
  <c r="J35" i="19"/>
  <c r="S23" i="19"/>
  <c r="T23" i="19" s="1"/>
  <c r="S22" i="19"/>
  <c r="T22" i="19" s="1"/>
  <c r="T21" i="19"/>
  <c r="K21" i="19"/>
  <c r="K22"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K720" i="5"/>
  <c r="L720" i="5" s="1"/>
  <c r="K719" i="5"/>
  <c r="L719" i="5" s="1"/>
  <c r="K718" i="5"/>
  <c r="L718" i="5" s="1"/>
  <c r="K717" i="5"/>
  <c r="L717" i="5" s="1"/>
  <c r="K716" i="5"/>
  <c r="L716" i="5" s="1"/>
  <c r="K715" i="5"/>
  <c r="L715" i="5" s="1"/>
  <c r="F715" i="5"/>
  <c r="K714" i="5"/>
  <c r="L714" i="5" s="1"/>
  <c r="K713" i="5"/>
  <c r="L713" i="5" s="1"/>
  <c r="F713" i="5"/>
  <c r="K712" i="5"/>
  <c r="L712" i="5" s="1"/>
  <c r="K711" i="5"/>
  <c r="L711" i="5" s="1"/>
  <c r="K710" i="5"/>
  <c r="L710" i="5" s="1"/>
  <c r="K709" i="5"/>
  <c r="L709" i="5" s="1"/>
  <c r="K708" i="5"/>
  <c r="L708" i="5" s="1"/>
  <c r="K707" i="5"/>
  <c r="L707" i="5" s="1"/>
  <c r="F707" i="5"/>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F681" i="5"/>
  <c r="K680" i="5"/>
  <c r="L680" i="5" s="1"/>
  <c r="K679" i="5"/>
  <c r="L679" i="5" s="1"/>
  <c r="K678" i="5"/>
  <c r="L678" i="5" s="1"/>
  <c r="F678" i="5"/>
  <c r="K677" i="5"/>
  <c r="L677" i="5" s="1"/>
  <c r="K676" i="5"/>
  <c r="L676" i="5" s="1"/>
  <c r="F676" i="5"/>
  <c r="K675" i="5"/>
  <c r="L675" i="5" s="1"/>
  <c r="K674" i="5"/>
  <c r="L674" i="5" s="1"/>
  <c r="K673" i="5"/>
  <c r="L673" i="5" s="1"/>
  <c r="K672" i="5"/>
  <c r="L672" i="5" s="1"/>
  <c r="F672" i="5"/>
  <c r="K671" i="5"/>
  <c r="L671" i="5" s="1"/>
  <c r="K670" i="5"/>
  <c r="L670" i="5" s="1"/>
  <c r="F670" i="5"/>
  <c r="K669" i="5"/>
  <c r="L669" i="5" s="1"/>
  <c r="K668" i="5"/>
  <c r="L668" i="5" s="1"/>
  <c r="F668" i="5"/>
  <c r="K667" i="5"/>
  <c r="L667" i="5" s="1"/>
  <c r="K666" i="5"/>
  <c r="L666" i="5" s="1"/>
  <c r="K665" i="5"/>
  <c r="L665" i="5" s="1"/>
  <c r="K664" i="5"/>
  <c r="L664" i="5" s="1"/>
  <c r="F664" i="5"/>
  <c r="K663" i="5"/>
  <c r="L663" i="5" s="1"/>
  <c r="K662" i="5"/>
  <c r="L662" i="5" s="1"/>
  <c r="F662" i="5"/>
  <c r="K661" i="5"/>
  <c r="L661" i="5" s="1"/>
  <c r="K660" i="5"/>
  <c r="L660" i="5" s="1"/>
  <c r="F660" i="5"/>
  <c r="K659" i="5"/>
  <c r="L659" i="5" s="1"/>
  <c r="K658" i="5"/>
  <c r="L658" i="5" s="1"/>
  <c r="K657" i="5"/>
  <c r="L657" i="5" s="1"/>
  <c r="K656" i="5"/>
  <c r="L656" i="5" s="1"/>
  <c r="F656" i="5"/>
  <c r="K655" i="5"/>
  <c r="L655" i="5" s="1"/>
  <c r="K654" i="5"/>
  <c r="L654" i="5" s="1"/>
  <c r="F654" i="5"/>
  <c r="K653" i="5"/>
  <c r="L653" i="5" s="1"/>
  <c r="K652" i="5"/>
  <c r="L652" i="5" s="1"/>
  <c r="F652" i="5"/>
  <c r="K651" i="5"/>
  <c r="L651" i="5" s="1"/>
  <c r="K650" i="5"/>
  <c r="L650" i="5" s="1"/>
  <c r="K649" i="5"/>
  <c r="L649" i="5" s="1"/>
  <c r="K648" i="5"/>
  <c r="L648" i="5" s="1"/>
  <c r="F648" i="5"/>
  <c r="K647" i="5"/>
  <c r="L647" i="5" s="1"/>
  <c r="K646" i="5"/>
  <c r="L646" i="5" s="1"/>
  <c r="F646" i="5"/>
  <c r="K645" i="5"/>
  <c r="L645" i="5" s="1"/>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I2" i="9"/>
  <c r="J1" i="9"/>
  <c r="K1" i="9" s="1"/>
  <c r="K2" i="9" s="1"/>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E41" i="24"/>
  <c r="E45" i="24"/>
  <c r="E49" i="24"/>
  <c r="C45" i="24"/>
  <c r="E43" i="24"/>
  <c r="C47" i="24"/>
  <c r="E46" i="24"/>
  <c r="C44" i="24"/>
  <c r="C49" i="24"/>
  <c r="C43" i="24"/>
  <c r="E47" i="24"/>
  <c r="E44" i="24"/>
  <c r="E42" i="24"/>
  <c r="K17" i="2"/>
  <c r="C42" i="24"/>
  <c r="E48" i="24"/>
  <c r="C48" i="24"/>
  <c r="C41" i="24"/>
  <c r="C46" i="24"/>
  <c r="J2" i="9" l="1"/>
  <c r="K56" i="19"/>
  <c r="K57" i="19" s="1"/>
  <c r="K58" i="19" s="1"/>
  <c r="L21" i="19"/>
  <c r="S24" i="19"/>
  <c r="T24" i="19" s="1"/>
  <c r="K5" i="19"/>
  <c r="K6" i="19" s="1"/>
  <c r="S59" i="19"/>
  <c r="T95" i="19"/>
  <c r="S96" i="19"/>
  <c r="S5" i="19"/>
  <c r="T4" i="19"/>
  <c r="K23" i="19"/>
  <c r="L22" i="19"/>
  <c r="K39" i="19"/>
  <c r="L38" i="19"/>
  <c r="L58" i="19"/>
  <c r="K59" i="19"/>
  <c r="L57" i="19"/>
  <c r="T78" i="19"/>
  <c r="S79" i="19"/>
  <c r="C5" i="19"/>
  <c r="D4" i="19"/>
  <c r="T94" i="19"/>
  <c r="C18" i="19"/>
  <c r="S41" i="19"/>
  <c r="T77" i="19"/>
  <c r="L56"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S25" i="19" l="1"/>
  <c r="L5" i="19"/>
  <c r="L39" i="19"/>
  <c r="K40" i="19"/>
  <c r="T5" i="19"/>
  <c r="S6" i="19"/>
  <c r="T25" i="19"/>
  <c r="S2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T26" i="19" l="1"/>
  <c r="S27" i="19"/>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57" i="2"/>
  <c r="B56" i="2"/>
  <c r="I56" i="2"/>
  <c r="H72" i="2"/>
  <c r="E194" i="2" l="1"/>
  <c r="B32" i="2"/>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T27" i="19"/>
  <c r="S28"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J180" i="2"/>
  <c r="E179" i="2" s="1"/>
  <c r="B179" i="2"/>
  <c r="I179" i="2"/>
  <c r="D178" i="2" s="1"/>
  <c r="E178" i="2"/>
  <c r="H20" i="2"/>
  <c r="D19" i="2"/>
  <c r="J198" i="2"/>
  <c r="E197" i="2" s="1"/>
  <c r="B197" i="2"/>
  <c r="I197"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I21" i="2"/>
  <c r="J22" i="2"/>
  <c r="B21" i="2"/>
  <c r="E5" i="19" s="1"/>
  <c r="C87" i="2"/>
  <c r="C30" i="2"/>
  <c r="H160" i="2"/>
  <c r="D158" i="2"/>
  <c r="C157" i="2"/>
  <c r="D123" i="2"/>
  <c r="C54" i="2"/>
  <c r="I33" i="2" l="1"/>
  <c r="H33" i="2" s="1"/>
  <c r="C32" i="2" s="1"/>
  <c r="E32" i="2"/>
  <c r="D194" i="2"/>
  <c r="D196" i="2"/>
  <c r="H196" i="2"/>
  <c r="C194" i="2" s="1"/>
  <c r="B33" i="2"/>
  <c r="L26" i="19"/>
  <c r="K27" i="19"/>
  <c r="T62" i="19"/>
  <c r="S63" i="19"/>
  <c r="K10" i="19"/>
  <c r="L9" i="19"/>
  <c r="T99" i="19"/>
  <c r="S100" i="19"/>
  <c r="C22" i="19"/>
  <c r="D21" i="19"/>
  <c r="T82" i="19"/>
  <c r="S83" i="19"/>
  <c r="T28" i="19"/>
  <c r="S29" i="19"/>
  <c r="L62" i="19"/>
  <c r="K63" i="19"/>
  <c r="S9" i="19"/>
  <c r="T8" i="19"/>
  <c r="L42" i="19"/>
  <c r="K43" i="19"/>
  <c r="T44" i="19"/>
  <c r="S45" i="19"/>
  <c r="C9" i="19"/>
  <c r="D8" i="19"/>
  <c r="H142" i="2"/>
  <c r="C140" i="2" s="1"/>
  <c r="E142" i="2"/>
  <c r="J144" i="2"/>
  <c r="E143" i="2" s="1"/>
  <c r="B143" i="2"/>
  <c r="D141" i="2"/>
  <c r="I125" i="2"/>
  <c r="D124" i="2" s="1"/>
  <c r="B125" i="2"/>
  <c r="J126" i="2"/>
  <c r="E125" i="2" s="1"/>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D142" i="2"/>
  <c r="C122" i="2"/>
  <c r="H179" i="2"/>
  <c r="C178" i="2" s="1"/>
  <c r="B180" i="2"/>
  <c r="J181" i="2"/>
  <c r="E180" i="2" s="1"/>
  <c r="I180" i="2"/>
  <c r="D179" i="2" s="1"/>
  <c r="B34" i="2"/>
  <c r="I34" i="2"/>
  <c r="J35" i="2"/>
  <c r="E34" i="2" s="1"/>
  <c r="D106" i="2"/>
  <c r="C176" i="2"/>
  <c r="C159" i="2"/>
  <c r="G5" i="19"/>
  <c r="F5" i="19"/>
  <c r="H5" i="19"/>
  <c r="H21" i="2"/>
  <c r="E74" i="2"/>
  <c r="E107" i="2"/>
  <c r="C88" i="2"/>
  <c r="D73" i="2"/>
  <c r="H161" i="2"/>
  <c r="B162" i="2"/>
  <c r="J163" i="2"/>
  <c r="E162" i="2" s="1"/>
  <c r="I162" i="2"/>
  <c r="D161" i="2" s="1"/>
  <c r="B42" i="2"/>
  <c r="I42" i="2"/>
  <c r="J43" i="2"/>
  <c r="E42" i="2" s="1"/>
  <c r="H197" i="2"/>
  <c r="B198" i="2"/>
  <c r="J199" i="2"/>
  <c r="E198" i="2" s="1"/>
  <c r="I198" i="2"/>
  <c r="D20" i="2"/>
  <c r="C104" i="2"/>
  <c r="C72" i="2"/>
  <c r="H90" i="2"/>
  <c r="C89" i="2" s="1"/>
  <c r="H57" i="2"/>
  <c r="C56" i="2" s="1"/>
  <c r="D56" i="2"/>
  <c r="I91" i="2"/>
  <c r="B91" i="2"/>
  <c r="J92" i="2"/>
  <c r="E91" i="2" s="1"/>
  <c r="J59" i="2"/>
  <c r="E58" i="2" s="1"/>
  <c r="I58" i="2"/>
  <c r="B58" i="2"/>
  <c r="D33" i="2" l="1"/>
  <c r="C141" i="2"/>
  <c r="C195" i="2"/>
  <c r="D32" i="2"/>
  <c r="C196" i="2"/>
  <c r="C142" i="2"/>
  <c r="E6" i="19"/>
  <c r="L43" i="19"/>
  <c r="K44" i="19"/>
  <c r="L63" i="19"/>
  <c r="K64" i="19"/>
  <c r="S84" i="19"/>
  <c r="T83" i="19"/>
  <c r="S101" i="19"/>
  <c r="T100" i="19"/>
  <c r="T63" i="19"/>
  <c r="S64" i="19"/>
  <c r="D9" i="19"/>
  <c r="C10" i="19"/>
  <c r="T45" i="19"/>
  <c r="S46" i="19"/>
  <c r="T29" i="19"/>
  <c r="S30"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E144" i="2" l="1"/>
  <c r="B145" i="2"/>
  <c r="C125" i="2"/>
  <c r="K12" i="19"/>
  <c r="L11" i="19"/>
  <c r="S11" i="19"/>
  <c r="T10" i="19"/>
  <c r="T30" i="19"/>
  <c r="S31"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H145" i="2" l="1"/>
  <c r="C144" i="2" s="1"/>
  <c r="F8" i="19"/>
  <c r="E127" i="2"/>
  <c r="L45" i="19"/>
  <c r="K46" i="19"/>
  <c r="T47" i="19"/>
  <c r="S48" i="19"/>
  <c r="S103" i="19"/>
  <c r="T102" i="19"/>
  <c r="D11" i="19"/>
  <c r="C12" i="19"/>
  <c r="D12" i="19" s="1"/>
  <c r="T11" i="19"/>
  <c r="S12" i="19"/>
  <c r="S86" i="19"/>
  <c r="T85" i="19"/>
  <c r="T65" i="19"/>
  <c r="S66" i="19"/>
  <c r="L29" i="19"/>
  <c r="K30" i="19"/>
  <c r="L65" i="19"/>
  <c r="K66" i="19"/>
  <c r="T31" i="19"/>
  <c r="S32"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H36" i="2"/>
  <c r="C35" i="2" s="1"/>
  <c r="H24" i="2"/>
  <c r="C23" i="2" s="1"/>
  <c r="C34" i="2"/>
  <c r="B129" i="2" l="1"/>
  <c r="J130" i="2"/>
  <c r="E129" i="2" s="1"/>
  <c r="T32" i="19"/>
  <c r="S33" i="19"/>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E201" i="2"/>
  <c r="B46" i="2"/>
  <c r="I46" i="2"/>
  <c r="J47" i="2"/>
  <c r="E165" i="2"/>
  <c r="B148" i="2"/>
  <c r="J149" i="2"/>
  <c r="I148" i="2"/>
  <c r="C181" i="2"/>
  <c r="E61" i="2"/>
  <c r="D60" i="2"/>
  <c r="D77" i="2"/>
  <c r="E94" i="2"/>
  <c r="H129" i="2" l="1"/>
  <c r="J131" i="2"/>
  <c r="J132" i="2" s="1"/>
  <c r="E131" i="2" s="1"/>
  <c r="I130" i="2"/>
  <c r="D129" i="2" s="1"/>
  <c r="B130" i="2"/>
  <c r="S105" i="19"/>
  <c r="T104" i="19"/>
  <c r="T13" i="19"/>
  <c r="S14" i="19"/>
  <c r="S88" i="19"/>
  <c r="T87" i="19"/>
  <c r="L31" i="19"/>
  <c r="K32" i="19"/>
  <c r="L47" i="19"/>
  <c r="K48" i="19"/>
  <c r="S68" i="19"/>
  <c r="T67" i="19"/>
  <c r="L14" i="19"/>
  <c r="K15" i="19"/>
  <c r="T49" i="19"/>
  <c r="S50" i="19"/>
  <c r="S34" i="19"/>
  <c r="T33" i="19"/>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E130" i="2"/>
  <c r="C128" i="2"/>
  <c r="H26" i="2"/>
  <c r="C25" i="2" s="1"/>
  <c r="D45" i="2"/>
  <c r="C77" i="2"/>
  <c r="H184" i="2"/>
  <c r="H62" i="2"/>
  <c r="C61" i="2" s="1"/>
  <c r="H166" i="2"/>
  <c r="H79" i="2"/>
  <c r="C37"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H130" i="2" l="1"/>
  <c r="C129" i="2" s="1"/>
  <c r="I131" i="2"/>
  <c r="D130" i="2" s="1"/>
  <c r="B131" i="2"/>
  <c r="T50" i="19"/>
  <c r="S51" i="19"/>
  <c r="L32" i="19"/>
  <c r="K33" i="19"/>
  <c r="L33" i="19" s="1"/>
  <c r="S15" i="19"/>
  <c r="T14" i="19"/>
  <c r="K16" i="19"/>
  <c r="L16" i="19" s="1"/>
  <c r="L15" i="19"/>
  <c r="L48" i="19"/>
  <c r="K49" i="19"/>
  <c r="T68" i="19"/>
  <c r="S69" i="19"/>
  <c r="T34" i="19"/>
  <c r="S35" i="19"/>
  <c r="T35" i="19" s="1"/>
  <c r="T88" i="19"/>
  <c r="S89" i="19"/>
  <c r="T89" i="19" s="1"/>
  <c r="T105" i="19"/>
  <c r="S106" i="19"/>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I48" i="2"/>
  <c r="J49" i="2"/>
  <c r="H149" i="2"/>
  <c r="B186" i="2"/>
  <c r="J187" i="2"/>
  <c r="E186" i="2" s="1"/>
  <c r="I186" i="2"/>
  <c r="D185" i="2" s="1"/>
  <c r="D62" i="2"/>
  <c r="J65" i="2"/>
  <c r="B64" i="2"/>
  <c r="I64" i="2"/>
  <c r="H96" i="2"/>
  <c r="C95" i="2" s="1"/>
  <c r="B204" i="2"/>
  <c r="J205" i="2"/>
  <c r="E204" i="2" s="1"/>
  <c r="I204" i="2"/>
  <c r="D203" i="2" s="1"/>
  <c r="N9" i="19"/>
  <c r="E11" i="19"/>
  <c r="G11" i="19"/>
  <c r="H11" i="19"/>
  <c r="F11" i="19"/>
  <c r="O5"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X150" i="2"/>
  <c r="Z121" i="2"/>
  <c r="Z18" i="2"/>
  <c r="Y172" i="2"/>
  <c r="X28" i="2"/>
  <c r="Z53" i="2"/>
  <c r="Y199" i="2"/>
  <c r="Y138" i="2"/>
  <c r="Y119" i="2"/>
  <c r="X113" i="2"/>
  <c r="Z168" i="2"/>
  <c r="Z178" i="2"/>
  <c r="X122" i="2"/>
  <c r="Y44" i="2"/>
  <c r="Y65" i="2"/>
  <c r="Y89" i="2"/>
  <c r="Y40" i="2"/>
  <c r="Y103" i="2"/>
  <c r="Z194" i="2"/>
  <c r="Y51" i="2"/>
  <c r="Y81" i="2"/>
  <c r="Z100" i="2"/>
  <c r="X98" i="2"/>
  <c r="Y90" i="2"/>
  <c r="Z195" i="2"/>
  <c r="X80" i="2"/>
  <c r="Z160" i="2"/>
  <c r="Y124" i="2"/>
  <c r="X133" i="2"/>
  <c r="Y133" i="2"/>
  <c r="Z67" i="2"/>
  <c r="Y135" i="2"/>
  <c r="X69" i="2"/>
  <c r="Z105" i="2"/>
  <c r="Y143" i="2"/>
  <c r="X171" i="2"/>
  <c r="X160" i="2"/>
  <c r="Z25" i="2"/>
  <c r="Y28" i="2"/>
  <c r="Y121" i="2"/>
  <c r="Z145" i="2"/>
  <c r="Y35" i="2"/>
  <c r="Z96" i="2"/>
  <c r="Y108" i="2"/>
  <c r="X120" i="2"/>
  <c r="Z46" i="2"/>
  <c r="Z110" i="2"/>
  <c r="Z186" i="2"/>
  <c r="Y180" i="2"/>
  <c r="X181" i="2"/>
  <c r="Z79" i="2"/>
  <c r="X82" i="2"/>
  <c r="Y67" i="2"/>
  <c r="X36" i="2"/>
  <c r="Y130" i="2"/>
  <c r="X170" i="2"/>
  <c r="X67" i="2"/>
  <c r="X177" i="2"/>
  <c r="Y64" i="2"/>
  <c r="X145" i="2"/>
  <c r="Y144" i="2"/>
  <c r="X39" i="2"/>
  <c r="X27" i="2"/>
  <c r="X105" i="2"/>
  <c r="Z117" i="2"/>
  <c r="Y197" i="2"/>
  <c r="X60" i="2"/>
  <c r="Z177" i="2"/>
  <c r="Z39" i="2"/>
  <c r="X167" i="2"/>
  <c r="Z126" i="2"/>
  <c r="Y99" i="2"/>
  <c r="X106" i="2"/>
  <c r="Z49" i="2"/>
  <c r="Y34" i="2"/>
  <c r="X209" i="2"/>
  <c r="Z115" i="2"/>
  <c r="Z130" i="2"/>
  <c r="X130" i="2"/>
  <c r="X75" i="2"/>
  <c r="Z197" i="2"/>
  <c r="X24" i="2"/>
  <c r="Z206" i="2"/>
  <c r="Z29" i="2"/>
  <c r="Z94" i="2"/>
  <c r="X172" i="2"/>
  <c r="Y87" i="2"/>
  <c r="Y93" i="2"/>
  <c r="Z68" i="2"/>
  <c r="Z59" i="2"/>
  <c r="Z95" i="2"/>
  <c r="Y187" i="2"/>
  <c r="Y140" i="2"/>
  <c r="Z153" i="2"/>
  <c r="Z109" i="2"/>
  <c r="X208" i="2"/>
  <c r="Y170" i="2"/>
  <c r="X134" i="2"/>
  <c r="Z51" i="2"/>
  <c r="Y200" i="2"/>
  <c r="Z139" i="2"/>
  <c r="Y82" i="2"/>
  <c r="Y56" i="2"/>
  <c r="X66" i="2"/>
  <c r="Z185" i="2"/>
  <c r="X86" i="2"/>
  <c r="Y38" i="2"/>
  <c r="Z26" i="2"/>
  <c r="Z209" i="2"/>
  <c r="X206" i="2"/>
  <c r="X131" i="2"/>
  <c r="Z35" i="2"/>
  <c r="Z133" i="2"/>
  <c r="Z125" i="2"/>
  <c r="X103" i="2"/>
  <c r="X119" i="2"/>
  <c r="Z47" i="2"/>
  <c r="Y57" i="2"/>
  <c r="Z141" i="2"/>
  <c r="Y163" i="2"/>
  <c r="Z188" i="2"/>
  <c r="Z99" i="2"/>
  <c r="Y118" i="2"/>
  <c r="Y75" i="2"/>
  <c r="Z149" i="2"/>
  <c r="Y157" i="2"/>
  <c r="X70" i="2"/>
  <c r="X65" i="2"/>
  <c r="Y83" i="2"/>
  <c r="Z90" i="2"/>
  <c r="Z113" i="2"/>
  <c r="Y120" i="2"/>
  <c r="Z61" i="2"/>
  <c r="Y147" i="2"/>
  <c r="Y158" i="2"/>
  <c r="Z31" i="2"/>
  <c r="X100" i="2"/>
  <c r="Y153" i="2"/>
  <c r="Y62" i="2"/>
  <c r="Z208" i="2"/>
  <c r="X71" i="2"/>
  <c r="Z41" i="2"/>
  <c r="X68" i="2"/>
  <c r="Z200" i="2"/>
  <c r="Z135" i="2"/>
  <c r="Y167" i="2"/>
  <c r="Y205" i="2"/>
  <c r="Z119" i="2"/>
  <c r="X127" i="2"/>
  <c r="Y71" i="2"/>
  <c r="X35" i="2"/>
  <c r="Z122" i="2"/>
  <c r="X99" i="2"/>
  <c r="X201" i="2"/>
  <c r="Z44" i="2"/>
  <c r="X196" i="2"/>
  <c r="Z36" i="2"/>
  <c r="X77" i="2"/>
  <c r="Z54" i="2"/>
  <c r="Z84" i="2"/>
  <c r="Z150" i="2"/>
  <c r="Y84" i="2"/>
  <c r="X192" i="2"/>
  <c r="X164" i="2"/>
  <c r="Y26" i="2"/>
  <c r="Z50" i="2"/>
  <c r="Y102" i="2"/>
  <c r="Z24" i="2"/>
  <c r="Y78" i="2"/>
  <c r="Z66" i="2"/>
  <c r="Z134" i="2"/>
  <c r="Y129" i="2"/>
  <c r="X138" i="2"/>
  <c r="Z69" i="2"/>
  <c r="Z85" i="2"/>
  <c r="X95" i="2"/>
  <c r="Y123" i="2"/>
  <c r="Y59" i="2"/>
  <c r="X163" i="2"/>
  <c r="Z101" i="2"/>
  <c r="Y63" i="2"/>
  <c r="Y43" i="2"/>
  <c r="Y195" i="2"/>
  <c r="Y111" i="2"/>
  <c r="X121" i="2"/>
  <c r="Z161" i="2"/>
  <c r="Y136" i="2"/>
  <c r="Z132" i="2"/>
  <c r="Z55" i="2"/>
  <c r="Y46" i="2"/>
  <c r="Z124" i="2"/>
  <c r="X188" i="2"/>
  <c r="Y137" i="2"/>
  <c r="X93" i="2"/>
  <c r="Z32" i="2"/>
  <c r="X165" i="2"/>
  <c r="X178" i="2"/>
  <c r="Z82" i="2"/>
  <c r="Z27" i="2"/>
  <c r="X154" i="2"/>
  <c r="Z196" i="2"/>
  <c r="Z22" i="2"/>
  <c r="Z123" i="2"/>
  <c r="Z183" i="2"/>
  <c r="X48" i="2"/>
  <c r="X191" i="2"/>
  <c r="Z176" i="2"/>
  <c r="X73" i="2"/>
  <c r="X108" i="2"/>
  <c r="Z148" i="2"/>
  <c r="X155" i="2"/>
  <c r="Z102" i="2"/>
  <c r="Y101" i="2"/>
  <c r="X140" i="2"/>
  <c r="Y79" i="2"/>
  <c r="Z129" i="2"/>
  <c r="Y181" i="2"/>
  <c r="Y152" i="2"/>
  <c r="Y30" i="2"/>
  <c r="X132" i="2"/>
  <c r="Z107" i="2"/>
  <c r="X112" i="2"/>
  <c r="Y148" i="2"/>
  <c r="Y49" i="2"/>
  <c r="X64" i="2"/>
  <c r="Z181" i="2"/>
  <c r="X51" i="2"/>
  <c r="Z72" i="2"/>
  <c r="X203" i="2"/>
  <c r="Z114" i="2"/>
  <c r="Y98" i="2"/>
  <c r="X72" i="2"/>
  <c r="X109" i="2"/>
  <c r="Z83" i="2"/>
  <c r="Z89" i="2"/>
  <c r="X123" i="2"/>
  <c r="Z203" i="2"/>
  <c r="Y160" i="2"/>
  <c r="Z175" i="2"/>
  <c r="Z73" i="2"/>
  <c r="Y37" i="2"/>
  <c r="X141" i="2"/>
  <c r="Y52" i="2"/>
  <c r="X185" i="2"/>
  <c r="Z48" i="2"/>
  <c r="X97" i="2"/>
  <c r="X187" i="2"/>
  <c r="Z199" i="2"/>
  <c r="X186" i="2"/>
  <c r="Y159" i="2"/>
  <c r="Y55" i="2"/>
  <c r="Y162" i="2"/>
  <c r="Y176" i="2"/>
  <c r="Z64" i="2"/>
  <c r="X46" i="2"/>
  <c r="Z30" i="2"/>
  <c r="Z167" i="2"/>
  <c r="Y41" i="2"/>
  <c r="Z80" i="2"/>
  <c r="Y190" i="2"/>
  <c r="Y96" i="2"/>
  <c r="Z162" i="2"/>
  <c r="X183" i="2"/>
  <c r="X50" i="2"/>
  <c r="Y126" i="2"/>
  <c r="X148" i="2"/>
  <c r="Z57" i="2"/>
  <c r="Z116" i="2"/>
  <c r="Z143" i="2"/>
  <c r="Y127" i="2"/>
  <c r="Z70" i="2"/>
  <c r="X125" i="2"/>
  <c r="Y85" i="2"/>
  <c r="Z151" i="2"/>
  <c r="Y198" i="2"/>
  <c r="X180" i="2"/>
  <c r="Z97" i="2"/>
  <c r="Z98" i="2"/>
  <c r="Z77" i="2"/>
  <c r="Z92" i="2"/>
  <c r="X139" i="2"/>
  <c r="X174" i="2"/>
  <c r="Y33" i="2"/>
  <c r="X107" i="2"/>
  <c r="Y19" i="2"/>
  <c r="X33" i="2"/>
  <c r="Y95" i="2"/>
  <c r="Y74" i="2"/>
  <c r="Z172" i="2"/>
  <c r="X176" i="2"/>
  <c r="Y125" i="2"/>
  <c r="X34" i="2"/>
  <c r="Y122" i="2"/>
  <c r="Z179" i="2"/>
  <c r="Y208" i="2"/>
  <c r="Z23" i="2"/>
  <c r="Y42" i="2"/>
  <c r="Z187" i="2"/>
  <c r="X74" i="2"/>
  <c r="X96" i="2"/>
  <c r="X175" i="2"/>
  <c r="Y50" i="2"/>
  <c r="X129" i="2"/>
  <c r="Z75" i="2"/>
  <c r="Z52" i="2"/>
  <c r="Z40" i="2"/>
  <c r="Y113" i="2"/>
  <c r="X25" i="2"/>
  <c r="Z81" i="2"/>
  <c r="X47" i="2"/>
  <c r="Z74" i="2"/>
  <c r="X19" i="2"/>
  <c r="Y206" i="2"/>
  <c r="Y116" i="2"/>
  <c r="Y155" i="2"/>
  <c r="Y184" i="2"/>
  <c r="X162" i="2"/>
  <c r="X111" i="2"/>
  <c r="X58" i="2"/>
  <c r="X195" i="2"/>
  <c r="X126" i="2"/>
  <c r="X94" i="2"/>
  <c r="X45" i="2"/>
  <c r="Y36" i="2"/>
  <c r="X149" i="2"/>
  <c r="X110" i="2"/>
  <c r="Z192" i="2"/>
  <c r="Y131" i="2"/>
  <c r="X169" i="2"/>
  <c r="Y105" i="2"/>
  <c r="Z56" i="2"/>
  <c r="Z63" i="2"/>
  <c r="Z78" i="2"/>
  <c r="X202" i="2"/>
  <c r="Y106" i="2"/>
  <c r="Y161" i="2"/>
  <c r="X157" i="2"/>
  <c r="Z166" i="2"/>
  <c r="X147" i="2"/>
  <c r="Z170" i="2"/>
  <c r="Y27" i="2"/>
  <c r="Y188" i="2"/>
  <c r="X198" i="2"/>
  <c r="Y72" i="2"/>
  <c r="Z202" i="2"/>
  <c r="X21" i="2"/>
  <c r="Y150" i="2"/>
  <c r="Z142" i="2"/>
  <c r="Z37" i="2"/>
  <c r="Y132" i="2"/>
  <c r="Y73" i="2"/>
  <c r="Y175" i="2"/>
  <c r="Y31" i="2"/>
  <c r="Y117" i="2"/>
  <c r="X159" i="2"/>
  <c r="X101" i="2"/>
  <c r="Y196" i="2"/>
  <c r="X92" i="2"/>
  <c r="Y189" i="2"/>
  <c r="Y177" i="2"/>
  <c r="Y97" i="2"/>
  <c r="Y77" i="2"/>
  <c r="X44" i="2"/>
  <c r="Y47" i="2"/>
  <c r="Z106" i="2"/>
  <c r="X168" i="2"/>
  <c r="X118" i="2"/>
  <c r="X62" i="2"/>
  <c r="Y94" i="2"/>
  <c r="Y25" i="2"/>
  <c r="Z201" i="2"/>
  <c r="Y164" i="2"/>
  <c r="X179" i="2"/>
  <c r="Y174" i="2"/>
  <c r="Z28" i="2"/>
  <c r="Z154" i="2"/>
  <c r="X144" i="2"/>
  <c r="Z137" i="2"/>
  <c r="X153" i="2"/>
  <c r="Y88" i="2"/>
  <c r="X128" i="2"/>
  <c r="X78" i="2"/>
  <c r="Y114" i="2"/>
  <c r="Y178" i="2"/>
  <c r="Y80" i="2"/>
  <c r="Y166" i="2"/>
  <c r="Y68" i="2"/>
  <c r="X85" i="2"/>
  <c r="X143" i="2"/>
  <c r="Z104" i="2"/>
  <c r="X205" i="2"/>
  <c r="Y171" i="2"/>
  <c r="Z163" i="2"/>
  <c r="Z184" i="2"/>
  <c r="X37" i="2"/>
  <c r="Z165" i="2"/>
  <c r="Y115" i="2"/>
  <c r="X88" i="2"/>
  <c r="X200" i="2"/>
  <c r="Y61" i="2"/>
  <c r="Z38" i="2"/>
  <c r="Z34" i="2"/>
  <c r="X146" i="2"/>
  <c r="Z108" i="2"/>
  <c r="Y70" i="2"/>
  <c r="Z111" i="2"/>
  <c r="X49" i="2"/>
  <c r="X161" i="2"/>
  <c r="Y207" i="2"/>
  <c r="Y165" i="2"/>
  <c r="Z189" i="2"/>
  <c r="X30" i="2"/>
  <c r="Y48" i="2"/>
  <c r="Y110" i="2"/>
  <c r="Z86" i="2"/>
  <c r="X57" i="2"/>
  <c r="Y32" i="2"/>
  <c r="Z204" i="2"/>
  <c r="Z138" i="2"/>
  <c r="X42" i="2"/>
  <c r="X151" i="2"/>
  <c r="X204" i="2"/>
  <c r="X29" i="2"/>
  <c r="Z174" i="2"/>
  <c r="X194" i="2"/>
  <c r="X199" i="2"/>
  <c r="X83" i="2"/>
  <c r="X31" i="2"/>
  <c r="Y58" i="2"/>
  <c r="Y202" i="2"/>
  <c r="Y145" i="2"/>
  <c r="Z21" i="2"/>
  <c r="X87" i="2"/>
  <c r="Z191" i="2"/>
  <c r="X152" i="2"/>
  <c r="X124" i="2"/>
  <c r="Z76" i="2"/>
  <c r="Z33" i="2"/>
  <c r="Y146" i="2"/>
  <c r="Y193" i="2"/>
  <c r="Y39" i="2"/>
  <c r="Y209" i="2"/>
  <c r="Z158" i="2"/>
  <c r="Z136" i="2"/>
  <c r="Y53" i="2"/>
  <c r="X79" i="2"/>
  <c r="Z205" i="2"/>
  <c r="X197" i="2"/>
  <c r="Y201" i="2"/>
  <c r="Z127" i="2"/>
  <c r="X26" i="2"/>
  <c r="Y22" i="2"/>
  <c r="X158" i="2"/>
  <c r="Z198" i="2"/>
  <c r="X22" i="2"/>
  <c r="X117" i="2"/>
  <c r="Z147" i="2"/>
  <c r="Z157" i="2"/>
  <c r="Y128" i="2"/>
  <c r="Z190" i="2"/>
  <c r="Y194" i="2"/>
  <c r="Z193" i="2"/>
  <c r="Y151" i="2"/>
  <c r="X115" i="2"/>
  <c r="Z112" i="2"/>
  <c r="X76" i="2"/>
  <c r="Z19" i="2"/>
  <c r="X173" i="2"/>
  <c r="X63" i="2"/>
  <c r="Y23" i="2"/>
  <c r="X53" i="2"/>
  <c r="X104" i="2"/>
  <c r="X166" i="2"/>
  <c r="Z91" i="2"/>
  <c r="Y139" i="2"/>
  <c r="Y109" i="2"/>
  <c r="Y142" i="2"/>
  <c r="Z93" i="2"/>
  <c r="Y204" i="2"/>
  <c r="Y76" i="2"/>
  <c r="Y86" i="2"/>
  <c r="X32" i="2"/>
  <c r="X41" i="2"/>
  <c r="X54" i="2"/>
  <c r="X91" i="2"/>
  <c r="X52" i="2"/>
  <c r="Y185" i="2"/>
  <c r="Z156" i="2"/>
  <c r="X114" i="2"/>
  <c r="Z180" i="2"/>
  <c r="X23" i="2"/>
  <c r="X135" i="2"/>
  <c r="Y18" i="2"/>
  <c r="X182" i="2"/>
  <c r="Z140" i="2"/>
  <c r="Z152" i="2"/>
  <c r="Y107" i="2"/>
  <c r="Z118" i="2"/>
  <c r="X90" i="2"/>
  <c r="Z58" i="2"/>
  <c r="X81" i="2"/>
  <c r="Z146" i="2"/>
  <c r="X43" i="2"/>
  <c r="Z71" i="2"/>
  <c r="Z103" i="2"/>
  <c r="X102" i="2"/>
  <c r="X59" i="2"/>
  <c r="X38" i="2"/>
  <c r="Y173" i="2"/>
  <c r="Z171" i="2"/>
  <c r="X18" i="2"/>
  <c r="Z144" i="2"/>
  <c r="X207" i="2"/>
  <c r="Y134" i="2"/>
  <c r="Y29" i="2"/>
  <c r="Z182" i="2"/>
  <c r="Z43" i="2"/>
  <c r="X84" i="2"/>
  <c r="X156" i="2"/>
  <c r="Y183" i="2"/>
  <c r="Y191" i="2"/>
  <c r="Z155" i="2"/>
  <c r="X136" i="2"/>
  <c r="Z20" i="2"/>
  <c r="Y91" i="2"/>
  <c r="Y21" i="2"/>
  <c r="Z87" i="2"/>
  <c r="Z131" i="2"/>
  <c r="Y154" i="2"/>
  <c r="Z60" i="2"/>
  <c r="Y54" i="2"/>
  <c r="X189" i="2"/>
  <c r="Y203" i="2"/>
  <c r="X116" i="2"/>
  <c r="Z88" i="2"/>
  <c r="X89" i="2"/>
  <c r="Y141" i="2"/>
  <c r="Z164" i="2"/>
  <c r="X142" i="2"/>
  <c r="Y104" i="2"/>
  <c r="Y100" i="2"/>
  <c r="Y192" i="2"/>
  <c r="X55" i="2"/>
  <c r="Z45" i="2"/>
  <c r="Y156" i="2"/>
  <c r="Z62" i="2"/>
  <c r="Z207" i="2"/>
  <c r="X137" i="2"/>
  <c r="Y169" i="2"/>
  <c r="Y149" i="2"/>
  <c r="Z159" i="2"/>
  <c r="Y45" i="2"/>
  <c r="Y186" i="2"/>
  <c r="X184" i="2"/>
  <c r="Y179" i="2"/>
  <c r="Z128" i="2"/>
  <c r="Y60" i="2"/>
  <c r="Y20" i="2"/>
  <c r="Z173" i="2"/>
  <c r="Y182" i="2"/>
  <c r="X190" i="2"/>
  <c r="Y69" i="2"/>
  <c r="Y24" i="2"/>
  <c r="X193" i="2"/>
  <c r="Z169" i="2"/>
  <c r="Z120" i="2"/>
  <c r="X56" i="2"/>
  <c r="Y92" i="2"/>
  <c r="X40" i="2"/>
  <c r="Y112" i="2"/>
  <c r="Y168" i="2"/>
  <c r="Y66" i="2"/>
  <c r="Z42" i="2"/>
  <c r="Z65" i="2"/>
  <c r="X61" i="2"/>
  <c r="P61" i="2" l="1"/>
  <c r="S61" i="2"/>
  <c r="Q61" i="2"/>
  <c r="W65" i="2"/>
  <c r="W42" i="2"/>
  <c r="U66" i="2"/>
  <c r="U168" i="2"/>
  <c r="U112" i="2"/>
  <c r="P40" i="2"/>
  <c r="Q40" i="2"/>
  <c r="S40" i="2"/>
  <c r="U92" i="2"/>
  <c r="S56" i="2"/>
  <c r="Q56" i="2"/>
  <c r="P56" i="2"/>
  <c r="W120" i="2"/>
  <c r="W169" i="2"/>
  <c r="S193" i="2"/>
  <c r="P193" i="2"/>
  <c r="Q193" i="2"/>
  <c r="U24" i="2"/>
  <c r="U69" i="2"/>
  <c r="S190" i="2"/>
  <c r="Q190" i="2"/>
  <c r="P190" i="2"/>
  <c r="U182" i="2"/>
  <c r="W173" i="2"/>
  <c r="U20" i="2"/>
  <c r="U60" i="2"/>
  <c r="W128" i="2"/>
  <c r="U179" i="2"/>
  <c r="S184" i="2"/>
  <c r="P184" i="2"/>
  <c r="Q184" i="2"/>
  <c r="U186" i="2"/>
  <c r="U45" i="2"/>
  <c r="W159" i="2"/>
  <c r="U149" i="2"/>
  <c r="U169" i="2"/>
  <c r="P137" i="2"/>
  <c r="Q137" i="2"/>
  <c r="S137" i="2"/>
  <c r="W207" i="2"/>
  <c r="W62" i="2"/>
  <c r="U156" i="2"/>
  <c r="W45" i="2"/>
  <c r="Q55" i="2"/>
  <c r="S55" i="2"/>
  <c r="P55" i="2"/>
  <c r="U192" i="2"/>
  <c r="U100" i="2"/>
  <c r="U104" i="2"/>
  <c r="P142" i="2"/>
  <c r="S142" i="2"/>
  <c r="Q142" i="2"/>
  <c r="W164" i="2"/>
  <c r="U141" i="2"/>
  <c r="Q89" i="2"/>
  <c r="P89" i="2"/>
  <c r="S89" i="2"/>
  <c r="W88" i="2"/>
  <c r="S116" i="2"/>
  <c r="Q116" i="2"/>
  <c r="P116" i="2"/>
  <c r="U203" i="2"/>
  <c r="P189" i="2"/>
  <c r="Q189" i="2"/>
  <c r="S189" i="2"/>
  <c r="U54" i="2"/>
  <c r="W60" i="2"/>
  <c r="U154" i="2"/>
  <c r="W131" i="2"/>
  <c r="W87" i="2"/>
  <c r="U21" i="2"/>
  <c r="U91" i="2"/>
  <c r="W20" i="2"/>
  <c r="P136" i="2"/>
  <c r="S136" i="2"/>
  <c r="Q136" i="2"/>
  <c r="W155" i="2"/>
  <c r="U191" i="2"/>
  <c r="U183" i="2"/>
  <c r="S156" i="2"/>
  <c r="Q156" i="2"/>
  <c r="P156" i="2"/>
  <c r="Q84" i="2"/>
  <c r="P84" i="2"/>
  <c r="S84" i="2"/>
  <c r="W43" i="2"/>
  <c r="W182" i="2"/>
  <c r="U29" i="2"/>
  <c r="U134" i="2"/>
  <c r="P207" i="2"/>
  <c r="Q207" i="2"/>
  <c r="S207" i="2"/>
  <c r="W144" i="2"/>
  <c r="S18" i="2"/>
  <c r="R18" i="2" s="1"/>
  <c r="Q18" i="2"/>
  <c r="M18" i="2" s="1"/>
  <c r="P18" i="2"/>
  <c r="L18" i="2" s="1"/>
  <c r="W171" i="2"/>
  <c r="U173" i="2"/>
  <c r="S38" i="2"/>
  <c r="Q38" i="2"/>
  <c r="M38" i="2" s="1"/>
  <c r="P38" i="2"/>
  <c r="L38" i="2" s="1"/>
  <c r="L39" i="2" s="1"/>
  <c r="L40" i="2" s="1"/>
  <c r="L41" i="2" s="1"/>
  <c r="L42" i="2" s="1"/>
  <c r="L43" i="2" s="1"/>
  <c r="L44" i="2" s="1"/>
  <c r="L45" i="2" s="1"/>
  <c r="L46" i="2" s="1"/>
  <c r="Q59" i="2"/>
  <c r="S59" i="2"/>
  <c r="P59" i="2"/>
  <c r="Q102" i="2"/>
  <c r="P102" i="2"/>
  <c r="S102" i="2"/>
  <c r="W103" i="2"/>
  <c r="W71" i="2"/>
  <c r="S43" i="2"/>
  <c r="P43" i="2"/>
  <c r="Q43" i="2"/>
  <c r="W146" i="2"/>
  <c r="P81" i="2"/>
  <c r="Q81" i="2"/>
  <c r="S81" i="2"/>
  <c r="W58" i="2"/>
  <c r="P90" i="2"/>
  <c r="S90" i="2"/>
  <c r="Q90" i="2"/>
  <c r="W118" i="2"/>
  <c r="U107" i="2"/>
  <c r="W152" i="2"/>
  <c r="W140" i="2"/>
  <c r="Q182" i="2"/>
  <c r="P182" i="2"/>
  <c r="S182" i="2"/>
  <c r="U18" i="2"/>
  <c r="T18" i="2" s="1"/>
  <c r="S135" i="2"/>
  <c r="P135" i="2"/>
  <c r="Q135" i="2"/>
  <c r="Q23" i="2"/>
  <c r="S23" i="2"/>
  <c r="P23" i="2"/>
  <c r="W180" i="2"/>
  <c r="Q114" i="2"/>
  <c r="P114" i="2"/>
  <c r="S114" i="2"/>
  <c r="W156" i="2"/>
  <c r="U185" i="2"/>
  <c r="S52" i="2"/>
  <c r="P52" i="2"/>
  <c r="Q52" i="2"/>
  <c r="S91" i="2"/>
  <c r="P91" i="2"/>
  <c r="Q91" i="2"/>
  <c r="Q54" i="2"/>
  <c r="P54" i="2"/>
  <c r="S54" i="2"/>
  <c r="S41" i="2"/>
  <c r="Q41" i="2"/>
  <c r="P41" i="2"/>
  <c r="S32" i="2"/>
  <c r="P32" i="2"/>
  <c r="Q32" i="2"/>
  <c r="U86" i="2"/>
  <c r="U76" i="2"/>
  <c r="U204" i="2"/>
  <c r="W93" i="2"/>
  <c r="U142" i="2"/>
  <c r="U109" i="2"/>
  <c r="U139" i="2"/>
  <c r="W91" i="2"/>
  <c r="S166" i="2"/>
  <c r="Q166" i="2"/>
  <c r="P166" i="2"/>
  <c r="P104" i="2"/>
  <c r="Q104" i="2"/>
  <c r="S104" i="2"/>
  <c r="P53" i="2"/>
  <c r="Q53" i="2"/>
  <c r="S53" i="2"/>
  <c r="U23" i="2"/>
  <c r="S63" i="2"/>
  <c r="Q63" i="2"/>
  <c r="P63" i="2"/>
  <c r="P173" i="2"/>
  <c r="Q173" i="2"/>
  <c r="S173" i="2"/>
  <c r="W19" i="2"/>
  <c r="S76" i="2"/>
  <c r="Q76" i="2"/>
  <c r="P76" i="2"/>
  <c r="W112" i="2"/>
  <c r="P115" i="2"/>
  <c r="S115" i="2"/>
  <c r="Q115" i="2"/>
  <c r="U151" i="2"/>
  <c r="W193" i="2"/>
  <c r="U194" i="2"/>
  <c r="W190" i="2"/>
  <c r="U128" i="2"/>
  <c r="W157" i="2"/>
  <c r="W147" i="2"/>
  <c r="Q117" i="2"/>
  <c r="P117" i="2"/>
  <c r="S117" i="2"/>
  <c r="S22" i="2"/>
  <c r="P22" i="2"/>
  <c r="Q22" i="2"/>
  <c r="W198" i="2"/>
  <c r="P158" i="2"/>
  <c r="Q158" i="2"/>
  <c r="S158" i="2"/>
  <c r="U22" i="2"/>
  <c r="S26" i="2"/>
  <c r="P26" i="2"/>
  <c r="Q26" i="2"/>
  <c r="W127" i="2"/>
  <c r="U201" i="2"/>
  <c r="S197" i="2"/>
  <c r="Q197" i="2"/>
  <c r="P197" i="2"/>
  <c r="W205" i="2"/>
  <c r="S79" i="2"/>
  <c r="P79" i="2"/>
  <c r="Q79" i="2"/>
  <c r="U53" i="2"/>
  <c r="W136" i="2"/>
  <c r="W158" i="2"/>
  <c r="U209" i="2"/>
  <c r="U39" i="2"/>
  <c r="U193" i="2"/>
  <c r="U146" i="2"/>
  <c r="W33" i="2"/>
  <c r="W76" i="2"/>
  <c r="Q124" i="2"/>
  <c r="S124" i="2"/>
  <c r="P124" i="2"/>
  <c r="Q152" i="2"/>
  <c r="P152" i="2"/>
  <c r="S152" i="2"/>
  <c r="W191" i="2"/>
  <c r="Q87" i="2"/>
  <c r="S87" i="2"/>
  <c r="P87" i="2"/>
  <c r="W21" i="2"/>
  <c r="U145" i="2"/>
  <c r="U202" i="2"/>
  <c r="U58" i="2"/>
  <c r="Q31" i="2"/>
  <c r="P31" i="2"/>
  <c r="S31" i="2"/>
  <c r="Q83" i="2"/>
  <c r="S83" i="2"/>
  <c r="P83" i="2"/>
  <c r="P199" i="2"/>
  <c r="S199" i="2"/>
  <c r="Q199" i="2"/>
  <c r="S194" i="2"/>
  <c r="Q194" i="2"/>
  <c r="P194" i="2"/>
  <c r="W174" i="2"/>
  <c r="P29" i="2"/>
  <c r="L29" i="2" s="1"/>
  <c r="Q29" i="2"/>
  <c r="M29" i="2" s="1"/>
  <c r="S29" i="2"/>
  <c r="P204" i="2"/>
  <c r="Q204" i="2"/>
  <c r="S204" i="2"/>
  <c r="S151" i="2"/>
  <c r="P151" i="2"/>
  <c r="Q151" i="2"/>
  <c r="S42" i="2"/>
  <c r="Q42" i="2"/>
  <c r="P42" i="2"/>
  <c r="W138" i="2"/>
  <c r="W204" i="2"/>
  <c r="U32" i="2"/>
  <c r="Q57" i="2"/>
  <c r="P57" i="2"/>
  <c r="S57" i="2"/>
  <c r="W86" i="2"/>
  <c r="U110" i="2"/>
  <c r="U48" i="2"/>
  <c r="S30" i="2"/>
  <c r="Q30" i="2"/>
  <c r="P30" i="2"/>
  <c r="W189" i="2"/>
  <c r="U165" i="2"/>
  <c r="U207" i="2"/>
  <c r="P161" i="2"/>
  <c r="Q161" i="2"/>
  <c r="S161" i="2"/>
  <c r="P49" i="2"/>
  <c r="S49" i="2"/>
  <c r="Q49" i="2"/>
  <c r="W111" i="2"/>
  <c r="U70" i="2"/>
  <c r="W108" i="2"/>
  <c r="P146" i="2"/>
  <c r="Q146" i="2"/>
  <c r="S146" i="2"/>
  <c r="W34" i="2"/>
  <c r="W38" i="2"/>
  <c r="O38" i="2" s="1"/>
  <c r="U61" i="2"/>
  <c r="S200" i="2"/>
  <c r="Q200" i="2"/>
  <c r="P200" i="2"/>
  <c r="Q88" i="2"/>
  <c r="P88" i="2"/>
  <c r="S88" i="2"/>
  <c r="U115" i="2"/>
  <c r="W165" i="2"/>
  <c r="S37" i="2"/>
  <c r="P37" i="2"/>
  <c r="Q37" i="2"/>
  <c r="W184" i="2"/>
  <c r="W163" i="2"/>
  <c r="U171" i="2"/>
  <c r="Q205" i="2"/>
  <c r="P205" i="2"/>
  <c r="S205" i="2"/>
  <c r="W104" i="2"/>
  <c r="S143" i="2"/>
  <c r="P143" i="2"/>
  <c r="Q143" i="2"/>
  <c r="Q85" i="2"/>
  <c r="P85" i="2"/>
  <c r="S85" i="2"/>
  <c r="U68" i="2"/>
  <c r="U166" i="2"/>
  <c r="U80" i="2"/>
  <c r="U178" i="2"/>
  <c r="U114" i="2"/>
  <c r="S78" i="2"/>
  <c r="Q78" i="2"/>
  <c r="P78" i="2"/>
  <c r="P128" i="2"/>
  <c r="S128" i="2"/>
  <c r="Q128" i="2"/>
  <c r="U88" i="2"/>
  <c r="S153" i="2"/>
  <c r="Q153" i="2"/>
  <c r="P153" i="2"/>
  <c r="W137" i="2"/>
  <c r="S144" i="2"/>
  <c r="P144" i="2"/>
  <c r="Q144" i="2"/>
  <c r="W154" i="2"/>
  <c r="W28" i="2"/>
  <c r="U174" i="2"/>
  <c r="P179" i="2"/>
  <c r="Q179" i="2"/>
  <c r="S179" i="2"/>
  <c r="U164" i="2"/>
  <c r="W201" i="2"/>
  <c r="U25" i="2"/>
  <c r="U94" i="2"/>
  <c r="S62" i="2"/>
  <c r="P62" i="2"/>
  <c r="Q62" i="2"/>
  <c r="P118" i="2"/>
  <c r="Q118" i="2"/>
  <c r="S118" i="2"/>
  <c r="Q168" i="2"/>
  <c r="S168" i="2"/>
  <c r="P168" i="2"/>
  <c r="W106" i="2"/>
  <c r="U47" i="2"/>
  <c r="S44" i="2"/>
  <c r="P44" i="2"/>
  <c r="Q44" i="2"/>
  <c r="U77" i="2"/>
  <c r="U97" i="2"/>
  <c r="U177" i="2"/>
  <c r="U189" i="2"/>
  <c r="Q92" i="2"/>
  <c r="S92" i="2"/>
  <c r="P92" i="2"/>
  <c r="U196" i="2"/>
  <c r="P101" i="2"/>
  <c r="Q101" i="2"/>
  <c r="S101" i="2"/>
  <c r="Q159" i="2"/>
  <c r="P159" i="2"/>
  <c r="S159" i="2"/>
  <c r="U117" i="2"/>
  <c r="U31" i="2"/>
  <c r="U175" i="2"/>
  <c r="U73" i="2"/>
  <c r="U132" i="2"/>
  <c r="W37" i="2"/>
  <c r="W142" i="2"/>
  <c r="U150" i="2"/>
  <c r="P21" i="2"/>
  <c r="S21" i="2"/>
  <c r="Q21" i="2"/>
  <c r="W202" i="2"/>
  <c r="U72" i="2"/>
  <c r="P198" i="2"/>
  <c r="Q198" i="2"/>
  <c r="S198" i="2"/>
  <c r="U188" i="2"/>
  <c r="U27" i="2"/>
  <c r="W170" i="2"/>
  <c r="P147" i="2"/>
  <c r="S147" i="2"/>
  <c r="Q147" i="2"/>
  <c r="W166" i="2"/>
  <c r="Q157" i="2"/>
  <c r="P157" i="2"/>
  <c r="S157" i="2"/>
  <c r="U161" i="2"/>
  <c r="U106" i="2"/>
  <c r="P202" i="2"/>
  <c r="S202" i="2"/>
  <c r="Q202" i="2"/>
  <c r="W78" i="2"/>
  <c r="W63" i="2"/>
  <c r="W56" i="2"/>
  <c r="U105" i="2"/>
  <c r="Q169" i="2"/>
  <c r="S169" i="2"/>
  <c r="P169" i="2"/>
  <c r="U131" i="2"/>
  <c r="W192" i="2"/>
  <c r="S110" i="2"/>
  <c r="P110" i="2"/>
  <c r="Q110" i="2"/>
  <c r="P149" i="2"/>
  <c r="S149" i="2"/>
  <c r="Q149" i="2"/>
  <c r="U36" i="2"/>
  <c r="P45" i="2"/>
  <c r="S45" i="2"/>
  <c r="Q45" i="2"/>
  <c r="P94" i="2"/>
  <c r="Q94" i="2"/>
  <c r="S94" i="2"/>
  <c r="P126" i="2"/>
  <c r="S126" i="2"/>
  <c r="Q126" i="2"/>
  <c r="Q195" i="2"/>
  <c r="S195" i="2"/>
  <c r="P195" i="2"/>
  <c r="Q58" i="2"/>
  <c r="S58" i="2"/>
  <c r="P58" i="2"/>
  <c r="P111" i="2"/>
  <c r="Q111" i="2"/>
  <c r="S111" i="2"/>
  <c r="Q162" i="2"/>
  <c r="S162" i="2"/>
  <c r="P162" i="2"/>
  <c r="U184" i="2"/>
  <c r="U155" i="2"/>
  <c r="U116" i="2"/>
  <c r="U206" i="2"/>
  <c r="Q19" i="2"/>
  <c r="M19" i="2" s="1"/>
  <c r="M20" i="2" s="1"/>
  <c r="M21" i="2" s="1"/>
  <c r="M22" i="2" s="1"/>
  <c r="P19" i="2"/>
  <c r="S19" i="2"/>
  <c r="W74" i="2"/>
  <c r="P47" i="2"/>
  <c r="S47" i="2"/>
  <c r="Q47" i="2"/>
  <c r="W81" i="2"/>
  <c r="Q25" i="2"/>
  <c r="S25" i="2"/>
  <c r="P25" i="2"/>
  <c r="U113" i="2"/>
  <c r="W40" i="2"/>
  <c r="W52" i="2"/>
  <c r="W75" i="2"/>
  <c r="Q129" i="2"/>
  <c r="S129" i="2"/>
  <c r="P129" i="2"/>
  <c r="U50" i="2"/>
  <c r="Q175" i="2"/>
  <c r="S175" i="2"/>
  <c r="P175" i="2"/>
  <c r="P96" i="2"/>
  <c r="Q96" i="2"/>
  <c r="S96" i="2"/>
  <c r="Q74" i="2"/>
  <c r="P74" i="2"/>
  <c r="S74" i="2"/>
  <c r="W187" i="2"/>
  <c r="U42" i="2"/>
  <c r="W23" i="2"/>
  <c r="U208" i="2"/>
  <c r="W179" i="2"/>
  <c r="U122" i="2"/>
  <c r="S34" i="2"/>
  <c r="Q34" i="2"/>
  <c r="P34" i="2"/>
  <c r="U125" i="2"/>
  <c r="P176" i="2"/>
  <c r="Q176" i="2"/>
  <c r="S176" i="2"/>
  <c r="W172" i="2"/>
  <c r="U74" i="2"/>
  <c r="U95" i="2"/>
  <c r="P33" i="2"/>
  <c r="Q33" i="2"/>
  <c r="S33" i="2"/>
  <c r="U19" i="2"/>
  <c r="S107" i="2"/>
  <c r="P107" i="2"/>
  <c r="Q107" i="2"/>
  <c r="U33" i="2"/>
  <c r="Q174" i="2"/>
  <c r="S174" i="2"/>
  <c r="P174" i="2"/>
  <c r="Q139" i="2"/>
  <c r="P139" i="2"/>
  <c r="S139" i="2"/>
  <c r="W92" i="2"/>
  <c r="W77" i="2"/>
  <c r="W98" i="2"/>
  <c r="W97" i="2"/>
  <c r="Q180" i="2"/>
  <c r="P180" i="2"/>
  <c r="S180" i="2"/>
  <c r="U198" i="2"/>
  <c r="W151" i="2"/>
  <c r="U85" i="2"/>
  <c r="P125" i="2"/>
  <c r="Q125" i="2"/>
  <c r="S125" i="2"/>
  <c r="W70" i="2"/>
  <c r="U127" i="2"/>
  <c r="W143" i="2"/>
  <c r="W116" i="2"/>
  <c r="W57" i="2"/>
  <c r="P148" i="2"/>
  <c r="Q148" i="2"/>
  <c r="S148" i="2"/>
  <c r="U126" i="2"/>
  <c r="Q50" i="2"/>
  <c r="P50" i="2"/>
  <c r="S50" i="2"/>
  <c r="S183" i="2"/>
  <c r="P183" i="2"/>
  <c r="Q183" i="2"/>
  <c r="W162" i="2"/>
  <c r="U96" i="2"/>
  <c r="U190" i="2"/>
  <c r="W80" i="2"/>
  <c r="U41" i="2"/>
  <c r="W167" i="2"/>
  <c r="W30" i="2"/>
  <c r="Q46" i="2"/>
  <c r="P46" i="2"/>
  <c r="S46" i="2"/>
  <c r="W64" i="2"/>
  <c r="U176" i="2"/>
  <c r="U162" i="2"/>
  <c r="U55" i="2"/>
  <c r="U159" i="2"/>
  <c r="P186" i="2"/>
  <c r="Q186" i="2"/>
  <c r="S186" i="2"/>
  <c r="W199" i="2"/>
  <c r="Q187" i="2"/>
  <c r="S187" i="2"/>
  <c r="P187" i="2"/>
  <c r="Q97" i="2"/>
  <c r="S97" i="2"/>
  <c r="P97" i="2"/>
  <c r="W48" i="2"/>
  <c r="Q185" i="2"/>
  <c r="P185" i="2"/>
  <c r="S185" i="2"/>
  <c r="U52" i="2"/>
  <c r="P141" i="2"/>
  <c r="Q141" i="2"/>
  <c r="S141" i="2"/>
  <c r="U37" i="2"/>
  <c r="W73" i="2"/>
  <c r="W175" i="2"/>
  <c r="U160" i="2"/>
  <c r="W203" i="2"/>
  <c r="P123" i="2"/>
  <c r="Q123" i="2"/>
  <c r="S123" i="2"/>
  <c r="W89" i="2"/>
  <c r="W83" i="2"/>
  <c r="P109" i="2"/>
  <c r="Q109" i="2"/>
  <c r="S109" i="2"/>
  <c r="S72" i="2"/>
  <c r="Q72" i="2"/>
  <c r="P72" i="2"/>
  <c r="U98" i="2"/>
  <c r="W114" i="2"/>
  <c r="P203" i="2"/>
  <c r="Q203" i="2"/>
  <c r="S203" i="2"/>
  <c r="W72" i="2"/>
  <c r="P51" i="2"/>
  <c r="Q51" i="2"/>
  <c r="S51" i="2"/>
  <c r="W181" i="2"/>
  <c r="S64" i="2"/>
  <c r="P64" i="2"/>
  <c r="Q64" i="2"/>
  <c r="U49" i="2"/>
  <c r="U148" i="2"/>
  <c r="Q112" i="2"/>
  <c r="S112" i="2"/>
  <c r="P112" i="2"/>
  <c r="W107" i="2"/>
  <c r="P132" i="2"/>
  <c r="Q132" i="2"/>
  <c r="S132" i="2"/>
  <c r="U30" i="2"/>
  <c r="U152" i="2"/>
  <c r="U181" i="2"/>
  <c r="W129" i="2"/>
  <c r="U79" i="2"/>
  <c r="S140" i="2"/>
  <c r="P140" i="2"/>
  <c r="Q140" i="2"/>
  <c r="U101" i="2"/>
  <c r="W102" i="2"/>
  <c r="S155" i="2"/>
  <c r="P155" i="2"/>
  <c r="Q155" i="2"/>
  <c r="W148" i="2"/>
  <c r="S108" i="2"/>
  <c r="Q108" i="2"/>
  <c r="P108" i="2"/>
  <c r="S73" i="2"/>
  <c r="P73" i="2"/>
  <c r="Q73" i="2"/>
  <c r="W176" i="2"/>
  <c r="S191" i="2"/>
  <c r="P191" i="2"/>
  <c r="Q191" i="2"/>
  <c r="S48" i="2"/>
  <c r="Q48" i="2"/>
  <c r="P48" i="2"/>
  <c r="W183" i="2"/>
  <c r="W123" i="2"/>
  <c r="W22" i="2"/>
  <c r="W196" i="2"/>
  <c r="S154" i="2"/>
  <c r="P154" i="2"/>
  <c r="Q154" i="2"/>
  <c r="W27" i="2"/>
  <c r="W82" i="2"/>
  <c r="S178" i="2"/>
  <c r="P178" i="2"/>
  <c r="Q178" i="2"/>
  <c r="S165" i="2"/>
  <c r="P165" i="2"/>
  <c r="Q165" i="2"/>
  <c r="W32" i="2"/>
  <c r="Q93" i="2"/>
  <c r="P93" i="2"/>
  <c r="S93" i="2"/>
  <c r="U137" i="2"/>
  <c r="S188" i="2"/>
  <c r="Q188" i="2"/>
  <c r="P188" i="2"/>
  <c r="W124" i="2"/>
  <c r="U46" i="2"/>
  <c r="W55" i="2"/>
  <c r="W132" i="2"/>
  <c r="U136" i="2"/>
  <c r="W161" i="2"/>
  <c r="P121" i="2"/>
  <c r="Q121" i="2"/>
  <c r="S121" i="2"/>
  <c r="U111" i="2"/>
  <c r="U195" i="2"/>
  <c r="U43" i="2"/>
  <c r="U63" i="2"/>
  <c r="W101" i="2"/>
  <c r="S163" i="2"/>
  <c r="Q163" i="2"/>
  <c r="P163" i="2"/>
  <c r="U59" i="2"/>
  <c r="U123" i="2"/>
  <c r="S95" i="2"/>
  <c r="Q95" i="2"/>
  <c r="P95" i="2"/>
  <c r="W85" i="2"/>
  <c r="W69" i="2"/>
  <c r="P138" i="2"/>
  <c r="S138" i="2"/>
  <c r="Q138" i="2"/>
  <c r="U129" i="2"/>
  <c r="W134" i="2"/>
  <c r="W66" i="2"/>
  <c r="U78" i="2"/>
  <c r="W24" i="2"/>
  <c r="U102" i="2"/>
  <c r="W50" i="2"/>
  <c r="U26" i="2"/>
  <c r="P164" i="2"/>
  <c r="Q164" i="2"/>
  <c r="S164" i="2"/>
  <c r="P192" i="2"/>
  <c r="S192" i="2"/>
  <c r="Q192" i="2"/>
  <c r="U84" i="2"/>
  <c r="W150" i="2"/>
  <c r="W84" i="2"/>
  <c r="W54" i="2"/>
  <c r="Q77" i="2"/>
  <c r="S77" i="2"/>
  <c r="P77" i="2"/>
  <c r="W36" i="2"/>
  <c r="Q196" i="2"/>
  <c r="P196" i="2"/>
  <c r="S196" i="2"/>
  <c r="W44" i="2"/>
  <c r="P201" i="2"/>
  <c r="S201" i="2"/>
  <c r="Q201" i="2"/>
  <c r="Q99" i="2"/>
  <c r="S99" i="2"/>
  <c r="P99" i="2"/>
  <c r="W122" i="2"/>
  <c r="S35" i="2"/>
  <c r="P35" i="2"/>
  <c r="Q35" i="2"/>
  <c r="U71" i="2"/>
  <c r="P127" i="2"/>
  <c r="Q127" i="2"/>
  <c r="S127" i="2"/>
  <c r="W119" i="2"/>
  <c r="U205" i="2"/>
  <c r="U167" i="2"/>
  <c r="W135" i="2"/>
  <c r="W200" i="2"/>
  <c r="Q68" i="2"/>
  <c r="S68" i="2"/>
  <c r="P68" i="2"/>
  <c r="W41" i="2"/>
  <c r="Q71" i="2"/>
  <c r="S71" i="2"/>
  <c r="P71" i="2"/>
  <c r="W208" i="2"/>
  <c r="U62" i="2"/>
  <c r="U153" i="2"/>
  <c r="P100" i="2"/>
  <c r="S100" i="2"/>
  <c r="Q100" i="2"/>
  <c r="W31" i="2"/>
  <c r="U158" i="2"/>
  <c r="U147" i="2"/>
  <c r="W61" i="2"/>
  <c r="U120" i="2"/>
  <c r="W113" i="2"/>
  <c r="W90" i="2"/>
  <c r="U83" i="2"/>
  <c r="P65" i="2"/>
  <c r="S65" i="2"/>
  <c r="Q65" i="2"/>
  <c r="P70" i="2"/>
  <c r="S70" i="2"/>
  <c r="Q70" i="2"/>
  <c r="U157" i="2"/>
  <c r="W149" i="2"/>
  <c r="U75" i="2"/>
  <c r="U118" i="2"/>
  <c r="W99" i="2"/>
  <c r="W188" i="2"/>
  <c r="U163" i="2"/>
  <c r="W141" i="2"/>
  <c r="U57" i="2"/>
  <c r="W47" i="2"/>
  <c r="P119" i="2"/>
  <c r="Q119" i="2"/>
  <c r="S119" i="2"/>
  <c r="S103" i="2"/>
  <c r="P103" i="2"/>
  <c r="Q103" i="2"/>
  <c r="W125" i="2"/>
  <c r="W133" i="2"/>
  <c r="W35" i="2"/>
  <c r="P131" i="2"/>
  <c r="S131" i="2"/>
  <c r="Q131" i="2"/>
  <c r="Q206" i="2"/>
  <c r="S206" i="2"/>
  <c r="P206" i="2"/>
  <c r="W209" i="2"/>
  <c r="W26" i="2"/>
  <c r="U38" i="2"/>
  <c r="N38" i="2" s="1"/>
  <c r="S86" i="2"/>
  <c r="Q86" i="2"/>
  <c r="P86" i="2"/>
  <c r="W185" i="2"/>
  <c r="P66" i="2"/>
  <c r="Q66" i="2"/>
  <c r="S66" i="2"/>
  <c r="U56" i="2"/>
  <c r="U82" i="2"/>
  <c r="W139" i="2"/>
  <c r="U200" i="2"/>
  <c r="W51" i="2"/>
  <c r="P134" i="2"/>
  <c r="Q134" i="2"/>
  <c r="S134" i="2"/>
  <c r="U170" i="2"/>
  <c r="S208" i="2"/>
  <c r="P208" i="2"/>
  <c r="Q208" i="2"/>
  <c r="W109" i="2"/>
  <c r="W153" i="2"/>
  <c r="U140" i="2"/>
  <c r="U187" i="2"/>
  <c r="W95" i="2"/>
  <c r="W59" i="2"/>
  <c r="W68" i="2"/>
  <c r="U93" i="2"/>
  <c r="U87" i="2"/>
  <c r="S172" i="2"/>
  <c r="Q172" i="2"/>
  <c r="P172" i="2"/>
  <c r="W94" i="2"/>
  <c r="W29" i="2"/>
  <c r="W206" i="2"/>
  <c r="Q24" i="2"/>
  <c r="P24" i="2"/>
  <c r="S24" i="2"/>
  <c r="W197" i="2"/>
  <c r="P75" i="2"/>
  <c r="Q75" i="2"/>
  <c r="S75" i="2"/>
  <c r="P130" i="2"/>
  <c r="S130" i="2"/>
  <c r="Q130" i="2"/>
  <c r="W130" i="2"/>
  <c r="W115" i="2"/>
  <c r="P209" i="2"/>
  <c r="S209" i="2"/>
  <c r="Q209" i="2"/>
  <c r="U34" i="2"/>
  <c r="W49" i="2"/>
  <c r="S106" i="2"/>
  <c r="Q106" i="2"/>
  <c r="P106" i="2"/>
  <c r="U99" i="2"/>
  <c r="W126" i="2"/>
  <c r="Q167" i="2"/>
  <c r="P167" i="2"/>
  <c r="S167" i="2"/>
  <c r="W39" i="2"/>
  <c r="O39" i="2" s="1"/>
  <c r="W177" i="2"/>
  <c r="P60" i="2"/>
  <c r="Q60" i="2"/>
  <c r="S60" i="2"/>
  <c r="U197" i="2"/>
  <c r="W117" i="2"/>
  <c r="P105" i="2"/>
  <c r="S105" i="2"/>
  <c r="Q105" i="2"/>
  <c r="S27" i="2"/>
  <c r="P27" i="2"/>
  <c r="Q27" i="2"/>
  <c r="P39" i="2"/>
  <c r="S39" i="2"/>
  <c r="Q39" i="2"/>
  <c r="U144" i="2"/>
  <c r="P145" i="2"/>
  <c r="Q145" i="2"/>
  <c r="S145" i="2"/>
  <c r="U64" i="2"/>
  <c r="P177" i="2"/>
  <c r="Q177" i="2"/>
  <c r="S177" i="2"/>
  <c r="Q67" i="2"/>
  <c r="S67" i="2"/>
  <c r="P67" i="2"/>
  <c r="Q170" i="2"/>
  <c r="P170" i="2"/>
  <c r="S170" i="2"/>
  <c r="U130" i="2"/>
  <c r="Q36" i="2"/>
  <c r="P36" i="2"/>
  <c r="S36" i="2"/>
  <c r="U67" i="2"/>
  <c r="S82" i="2"/>
  <c r="Q82" i="2"/>
  <c r="P82" i="2"/>
  <c r="W79" i="2"/>
  <c r="S181" i="2"/>
  <c r="P181" i="2"/>
  <c r="Q181" i="2"/>
  <c r="U180" i="2"/>
  <c r="W186" i="2"/>
  <c r="W110" i="2"/>
  <c r="W46" i="2"/>
  <c r="S120" i="2"/>
  <c r="P120" i="2"/>
  <c r="Q120" i="2"/>
  <c r="U108" i="2"/>
  <c r="W96" i="2"/>
  <c r="U35" i="2"/>
  <c r="W145" i="2"/>
  <c r="U121" i="2"/>
  <c r="U28" i="2"/>
  <c r="W25" i="2"/>
  <c r="P160" i="2"/>
  <c r="S160" i="2"/>
  <c r="Q160" i="2"/>
  <c r="P171" i="2"/>
  <c r="Q171" i="2"/>
  <c r="S171" i="2"/>
  <c r="U143" i="2"/>
  <c r="W105" i="2"/>
  <c r="Q69" i="2"/>
  <c r="P69" i="2"/>
  <c r="S69" i="2"/>
  <c r="U135" i="2"/>
  <c r="W67" i="2"/>
  <c r="U133" i="2"/>
  <c r="S133" i="2"/>
  <c r="P133" i="2"/>
  <c r="Q133" i="2"/>
  <c r="U124" i="2"/>
  <c r="W160" i="2"/>
  <c r="Q80" i="2"/>
  <c r="P80" i="2"/>
  <c r="S80" i="2"/>
  <c r="W195" i="2"/>
  <c r="U90" i="2"/>
  <c r="P98" i="2"/>
  <c r="Q98" i="2"/>
  <c r="S98" i="2"/>
  <c r="W100" i="2"/>
  <c r="U81" i="2"/>
  <c r="U51" i="2"/>
  <c r="W194" i="2"/>
  <c r="U103" i="2"/>
  <c r="U40" i="2"/>
  <c r="U89" i="2"/>
  <c r="U65" i="2"/>
  <c r="U44" i="2"/>
  <c r="S122" i="2"/>
  <c r="Q122" i="2"/>
  <c r="P122" i="2"/>
  <c r="W178" i="2"/>
  <c r="W168" i="2"/>
  <c r="P113" i="2"/>
  <c r="S113" i="2"/>
  <c r="Q113" i="2"/>
  <c r="U119" i="2"/>
  <c r="U138" i="2"/>
  <c r="U199" i="2"/>
  <c r="W53" i="2"/>
  <c r="Q28" i="2"/>
  <c r="S28" i="2"/>
  <c r="P28" i="2"/>
  <c r="U172" i="2"/>
  <c r="W18" i="2"/>
  <c r="V18" i="2" s="1"/>
  <c r="V19" i="2" s="1"/>
  <c r="V20" i="2" s="1"/>
  <c r="W121" i="2"/>
  <c r="Q150" i="2"/>
  <c r="P150" i="2"/>
  <c r="S150" i="2"/>
  <c r="P7" i="19"/>
  <c r="H21" i="19"/>
  <c r="P4" i="19"/>
  <c r="P11" i="19"/>
  <c r="K11" i="9"/>
  <c r="T19" i="2"/>
  <c r="T20" i="2" s="1"/>
  <c r="T21" i="2" s="1"/>
  <c r="L19" i="2"/>
  <c r="L20" i="2" s="1"/>
  <c r="L21" i="2" s="1"/>
  <c r="L22" i="2" s="1"/>
  <c r="L23" i="2" s="1"/>
  <c r="L24" i="2" s="1"/>
  <c r="L25" i="2" s="1"/>
  <c r="L26" i="2" s="1"/>
  <c r="N18" i="2"/>
  <c r="N19" i="2" s="1"/>
  <c r="N20" i="2" s="1"/>
  <c r="N21" i="2" s="1"/>
  <c r="N39" i="2"/>
  <c r="M30" i="2"/>
  <c r="M31" i="2" s="1"/>
  <c r="M32" i="2" s="1"/>
  <c r="M33" i="2" s="1"/>
  <c r="M34" i="2" s="1"/>
  <c r="M35" i="2" s="1"/>
  <c r="R19" i="2"/>
  <c r="R20" i="2" s="1"/>
  <c r="N3" i="19"/>
  <c r="H17" i="19"/>
  <c r="E12" i="9"/>
  <c r="D12" i="9" s="1"/>
  <c r="N10" i="19"/>
  <c r="N7" i="19"/>
  <c r="P3" i="19"/>
  <c r="F16" i="19"/>
  <c r="S107" i="19"/>
  <c r="T107" i="19" s="1"/>
  <c r="T106" i="19"/>
  <c r="H11" i="9"/>
  <c r="L49" i="19"/>
  <c r="K50" i="19"/>
  <c r="L50" i="19" s="1"/>
  <c r="S52" i="19"/>
  <c r="T51" i="19"/>
  <c r="I11" i="9"/>
  <c r="J11" i="9"/>
  <c r="T15" i="19"/>
  <c r="S16" i="19"/>
  <c r="S70" i="19"/>
  <c r="T69" i="19"/>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E13" i="9"/>
  <c r="D13" i="9" s="1"/>
  <c r="G12" i="9"/>
  <c r="F13" i="9"/>
  <c r="J12" i="9"/>
  <c r="B12" i="9"/>
  <c r="C12" i="9" s="1"/>
  <c r="I3" i="7"/>
  <c r="I4" i="7"/>
  <c r="O11" i="19"/>
  <c r="O3" i="19"/>
  <c r="M11" i="19"/>
  <c r="E18" i="19"/>
  <c r="F18" i="19"/>
  <c r="P10" i="19"/>
  <c r="O6" i="19"/>
  <c r="G22" i="19"/>
  <c r="F23" i="19"/>
  <c r="M4" i="19"/>
  <c r="E23" i="19"/>
  <c r="O10" i="19"/>
  <c r="O8" i="19"/>
  <c r="E21" i="19"/>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H28" i="2"/>
  <c r="C28" i="2" s="1"/>
  <c r="D28" i="2"/>
  <c r="D47" i="2"/>
  <c r="E64" i="2"/>
  <c r="C184" i="2"/>
  <c r="J170" i="2"/>
  <c r="B169" i="2"/>
  <c r="I169" i="2"/>
  <c r="H81" i="2"/>
  <c r="C80" i="2" s="1"/>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H186" i="2"/>
  <c r="C185" i="2" s="1"/>
  <c r="H48" i="2"/>
  <c r="C47" i="2" s="1"/>
  <c r="H168" i="2"/>
  <c r="C148" i="2"/>
  <c r="M39" i="2" l="1"/>
  <c r="M40" i="2" s="1"/>
  <c r="M41" i="2" s="1"/>
  <c r="M42" i="2" s="1"/>
  <c r="M43" i="2" s="1"/>
  <c r="M44" i="2" s="1"/>
  <c r="M45" i="2" s="1"/>
  <c r="M46" i="2" s="1"/>
  <c r="M47" i="2" s="1"/>
  <c r="M48" i="2" s="1"/>
  <c r="M49" i="2" s="1"/>
  <c r="M23" i="2"/>
  <c r="O18" i="2"/>
  <c r="O19" i="2" s="1"/>
  <c r="O20" i="2" s="1"/>
  <c r="R21" i="2"/>
  <c r="R22" i="2" s="1"/>
  <c r="R23" i="2" s="1"/>
  <c r="L47" i="2"/>
  <c r="L48" i="2" s="1"/>
  <c r="L49" i="2" s="1"/>
  <c r="M24" i="2"/>
  <c r="M25" i="2" s="1"/>
  <c r="M26" i="2" s="1"/>
  <c r="M27" i="2" s="1"/>
  <c r="M28" i="2" s="1"/>
  <c r="D6" i="15" s="1"/>
  <c r="O21" i="2"/>
  <c r="O22" i="2" s="1"/>
  <c r="O23" i="2" s="1"/>
  <c r="O24" i="2" s="1"/>
  <c r="O25" i="2" s="1"/>
  <c r="O26" i="2" s="1"/>
  <c r="O27" i="2" s="1"/>
  <c r="O28" i="2" s="1"/>
  <c r="O29" i="2" s="1"/>
  <c r="O30" i="2" s="1"/>
  <c r="O31" i="2" s="1"/>
  <c r="O32" i="2" s="1"/>
  <c r="O33" i="2" s="1"/>
  <c r="O34" i="2" s="1"/>
  <c r="O35" i="2" s="1"/>
  <c r="O36" i="2" s="1"/>
  <c r="O37" i="2" s="1"/>
  <c r="L27" i="2"/>
  <c r="L28" i="2" s="1"/>
  <c r="E6" i="15" s="1"/>
  <c r="V21" i="2"/>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T22" i="2"/>
  <c r="T23" i="2" s="1"/>
  <c r="T24" i="2" s="1"/>
  <c r="T25" i="2" s="1"/>
  <c r="T26" i="2" s="1"/>
  <c r="T27" i="2" s="1"/>
  <c r="T28" i="2" s="1"/>
  <c r="O40" i="2"/>
  <c r="O41" i="2" s="1"/>
  <c r="O42" i="2" s="1"/>
  <c r="O43" i="2" s="1"/>
  <c r="O44" i="2" s="1"/>
  <c r="O45" i="2" s="1"/>
  <c r="O46" i="2" s="1"/>
  <c r="O47" i="2" s="1"/>
  <c r="O48" i="2" s="1"/>
  <c r="M36" i="2"/>
  <c r="M37" i="2" s="1"/>
  <c r="D7" i="15" s="1"/>
  <c r="N40" i="2"/>
  <c r="N41" i="2" s="1"/>
  <c r="N42" i="2" s="1"/>
  <c r="N43" i="2" s="1"/>
  <c r="N44" i="2" s="1"/>
  <c r="N45" i="2" s="1"/>
  <c r="N46" i="2" s="1"/>
  <c r="N47" i="2" s="1"/>
  <c r="N48" i="2" s="1"/>
  <c r="N22" i="2"/>
  <c r="N23" i="2" s="1"/>
  <c r="N24" i="2" s="1"/>
  <c r="N25" i="2" s="1"/>
  <c r="N26" i="2" s="1"/>
  <c r="N27" i="2" s="1"/>
  <c r="N28" i="2" s="1"/>
  <c r="N29" i="2" s="1"/>
  <c r="N30" i="2" s="1"/>
  <c r="N31" i="2" s="1"/>
  <c r="N32" i="2" s="1"/>
  <c r="N33" i="2" s="1"/>
  <c r="N34" i="2" s="1"/>
  <c r="N35" i="2" s="1"/>
  <c r="N36" i="2" s="1"/>
  <c r="N37" i="2" s="1"/>
  <c r="L30" i="2"/>
  <c r="L31" i="2" s="1"/>
  <c r="L32" i="2" s="1"/>
  <c r="L33" i="2" s="1"/>
  <c r="L34" i="2" s="1"/>
  <c r="L35" i="2" s="1"/>
  <c r="L36" i="2" s="1"/>
  <c r="L37" i="2" s="1"/>
  <c r="E7" i="15" s="1"/>
  <c r="I12" i="9"/>
  <c r="K12" i="9"/>
  <c r="I2" i="7"/>
  <c r="T70" i="19"/>
  <c r="S71" i="19"/>
  <c r="T71" i="19" s="1"/>
  <c r="T16" i="19"/>
  <c r="S17" i="19"/>
  <c r="T17" i="19" s="1"/>
  <c r="S53" i="19"/>
  <c r="T53" i="19" s="1"/>
  <c r="T52" i="19"/>
  <c r="M50" i="2"/>
  <c r="L50" i="2"/>
  <c r="H12" i="9"/>
  <c r="J2" i="7" s="1"/>
  <c r="T29" i="2"/>
  <c r="J4" i="7"/>
  <c r="J3" i="7"/>
  <c r="G13" i="9"/>
  <c r="F14" i="9"/>
  <c r="J13" i="9"/>
  <c r="I13" i="9"/>
  <c r="E14" i="9"/>
  <c r="D14" i="9" s="1"/>
  <c r="K13" i="9"/>
  <c r="B13" i="9"/>
  <c r="C13" i="9" s="1"/>
  <c r="C27" i="2"/>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E82" i="2"/>
  <c r="E187" i="2"/>
  <c r="C150" i="2"/>
  <c r="I99" i="2"/>
  <c r="D98" i="2" s="1"/>
  <c r="B99" i="2"/>
  <c r="J100" i="2"/>
  <c r="E99" i="2" s="1"/>
  <c r="B50" i="2"/>
  <c r="I50" i="2"/>
  <c r="J51" i="2"/>
  <c r="E50" i="2" s="1"/>
  <c r="J67" i="2"/>
  <c r="I66" i="2"/>
  <c r="D65" i="2" s="1"/>
  <c r="B66" i="2"/>
  <c r="D204" i="2"/>
  <c r="R24" i="2" l="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R48" i="5"/>
  <c r="T12" i="5"/>
  <c r="T44" i="5"/>
  <c r="T7" i="5"/>
  <c r="T49" i="5"/>
  <c r="T32" i="5"/>
  <c r="T31" i="5"/>
  <c r="T24" i="5"/>
  <c r="T21" i="5"/>
  <c r="T48" i="5"/>
  <c r="R47" i="5"/>
  <c r="R22" i="5"/>
  <c r="T26" i="5"/>
  <c r="R6" i="5"/>
  <c r="R23" i="5"/>
  <c r="T47" i="5"/>
  <c r="R7" i="5"/>
  <c r="T25" i="5"/>
  <c r="T34" i="5"/>
  <c r="T28" i="5"/>
  <c r="T33" i="5"/>
  <c r="T35" i="5"/>
  <c r="T6" i="5"/>
  <c r="T17" i="5"/>
  <c r="T50" i="5"/>
  <c r="T13" i="5"/>
  <c r="T38" i="5"/>
  <c r="T22" i="5"/>
  <c r="T42" i="5"/>
  <c r="T30" i="5"/>
  <c r="T45" i="5"/>
  <c r="T29" i="5"/>
  <c r="T8" i="5"/>
  <c r="T27" i="5"/>
  <c r="T36" i="5"/>
  <c r="T18" i="5"/>
  <c r="T51" i="5"/>
  <c r="T39" i="5"/>
  <c r="T14" i="5"/>
  <c r="T5" i="5"/>
  <c r="T40" i="5"/>
  <c r="T11" i="5"/>
  <c r="T52" i="5"/>
  <c r="T20" i="5"/>
  <c r="T16" i="5"/>
  <c r="T46" i="5"/>
  <c r="T19" i="5"/>
  <c r="T41" i="5"/>
  <c r="T43" i="5"/>
  <c r="T10" i="5"/>
  <c r="T53" i="5"/>
  <c r="T37" i="5"/>
  <c r="T4" i="5"/>
  <c r="S4" i="6" s="1"/>
  <c r="T9" i="5"/>
  <c r="T23" i="5"/>
  <c r="L51" i="2"/>
  <c r="M51" i="2"/>
  <c r="T30" i="2"/>
  <c r="D19" i="1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R17" i="5" l="1"/>
  <c r="R45" i="5"/>
  <c r="R53" i="5"/>
  <c r="R35" i="5"/>
  <c r="R5" i="5"/>
  <c r="O5" i="5" s="1"/>
  <c r="O6" i="5" s="1"/>
  <c r="O7" i="5" s="1"/>
  <c r="R21" i="5"/>
  <c r="R25" i="5"/>
  <c r="R16" i="5"/>
  <c r="R52" i="5"/>
  <c r="R11" i="5"/>
  <c r="R37" i="5"/>
  <c r="R46" i="5"/>
  <c r="R36" i="5"/>
  <c r="R20" i="5"/>
  <c r="R4" i="5"/>
  <c r="R26" i="5"/>
  <c r="R8" i="5"/>
  <c r="R27" i="5"/>
  <c r="R9" i="5"/>
  <c r="R32" i="5"/>
  <c r="R14" i="5"/>
  <c r="R10" i="5"/>
  <c r="R29" i="5"/>
  <c r="Q5" i="5"/>
  <c r="Q6" i="5" s="1"/>
  <c r="Q7" i="5" s="1"/>
  <c r="Q8" i="5" s="1"/>
  <c r="Q9" i="5" s="1"/>
  <c r="Q10" i="5" s="1"/>
  <c r="Q11" i="5" s="1"/>
  <c r="Q12" i="5" s="1"/>
  <c r="Q13" i="5" s="1"/>
  <c r="R34" i="5"/>
  <c r="R51" i="5"/>
  <c r="R39" i="5"/>
  <c r="R44" i="5"/>
  <c r="R49" i="5"/>
  <c r="R13" i="5"/>
  <c r="R19" i="5"/>
  <c r="R43" i="5"/>
  <c r="R30" i="5"/>
  <c r="R33" i="5"/>
  <c r="R28" i="5"/>
  <c r="R18" i="5"/>
  <c r="R15" i="5"/>
  <c r="R40" i="5"/>
  <c r="R38" i="5"/>
  <c r="R31" i="5"/>
  <c r="R24" i="5"/>
  <c r="R42" i="5"/>
  <c r="R12" i="5"/>
  <c r="R41" i="5"/>
  <c r="I4" i="23"/>
  <c r="M52" i="2"/>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H14" i="9"/>
  <c r="L2" i="7" s="1"/>
  <c r="F16" i="9"/>
  <c r="J15" i="9"/>
  <c r="G15" i="9"/>
  <c r="K15" i="9"/>
  <c r="I15" i="9"/>
  <c r="E16" i="9"/>
  <c r="D16" i="9" s="1"/>
  <c r="B15" i="9"/>
  <c r="C15" i="9" s="1"/>
  <c r="H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Q4" i="6" l="1"/>
  <c r="G4" i="23"/>
  <c r="O8" i="5"/>
  <c r="O9" i="5" s="1"/>
  <c r="O10" i="5" s="1"/>
  <c r="O11" i="5" s="1"/>
  <c r="O12" i="5" s="1"/>
  <c r="O13" i="5" s="1"/>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X2" i="7" s="1"/>
  <c r="F28" i="9"/>
  <c r="J27" i="9"/>
  <c r="I27" i="9"/>
  <c r="K27" i="9"/>
  <c r="G27" i="9"/>
  <c r="E28" i="9"/>
  <c r="D28" i="9" s="1"/>
  <c r="B27" i="9"/>
  <c r="C27" i="9" s="1"/>
  <c r="W4"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l="1"/>
  <c r="K40" i="9"/>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l="1"/>
  <c r="G116" i="9"/>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l="1"/>
  <c r="G133" i="9"/>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l="1"/>
  <c r="G166" i="9"/>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l="1"/>
  <c r="K290" i="9"/>
  <c r="E291" i="9"/>
  <c r="D291" i="9" s="1"/>
  <c r="G290" i="9"/>
  <c r="F291" i="9"/>
  <c r="J290" i="9"/>
  <c r="I290" i="9"/>
  <c r="B290" i="9"/>
  <c r="C290" i="9" s="1"/>
  <c r="H290" i="9" s="1"/>
  <c r="G291" i="9" l="1"/>
  <c r="K291" i="9"/>
  <c r="F292" i="9"/>
  <c r="J291" i="9"/>
  <c r="I291" i="9"/>
  <c r="E292" i="9"/>
  <c r="D292" i="9" s="1"/>
  <c r="B291" i="9"/>
  <c r="C291" i="9" s="1"/>
  <c r="H291" i="9" l="1"/>
  <c r="E293" i="9"/>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l="1"/>
  <c r="E297" i="9"/>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l="1"/>
  <c r="F313" i="9"/>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l="1"/>
  <c r="K329" i="9"/>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l="1"/>
  <c r="G374" i="9"/>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l="1"/>
  <c r="E380" i="9"/>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l="1"/>
  <c r="E396" i="9"/>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s="1"/>
  <c r="G398" i="9" l="1"/>
  <c r="F399" i="9"/>
  <c r="I398" i="9"/>
  <c r="J398" i="9"/>
  <c r="E399" i="9"/>
  <c r="D399" i="9" s="1"/>
  <c r="K398" i="9"/>
  <c r="B398" i="9"/>
  <c r="C398" i="9" s="1"/>
  <c r="H398" i="9" l="1"/>
  <c r="E400" i="9"/>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l="1"/>
  <c r="K405" i="9"/>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l="1"/>
  <c r="G418" i="9"/>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l="1"/>
  <c r="K421" i="9"/>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l="1"/>
  <c r="E432" i="9"/>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l="1"/>
  <c r="E456" i="9"/>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l="1"/>
  <c r="E460" i="9"/>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<sst xmlns="http://schemas.openxmlformats.org/spreadsheetml/2006/main" count="5892" uniqueCount="1102">
  <si>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</si>
  <si>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</si>
  <si>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</si>
  <si>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</si>
  <si>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</si>
  <si>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</si>
  <si>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</si>
  <si>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</si>
  <si>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</si>
  <si>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</si>
  <si>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</si>
  <si>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</si>
  <si>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</si>
  <si>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</si>
  <si>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</si>
  <si>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</si>
  <si>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</si>
  <si>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</si>
  <si>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</si>
  <si>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</si>
  <si>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</si>
  <si>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</si>
  <si>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</si>
  <si>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</si>
  <si>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</si>
  <si>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</si>
  <si>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</si>
  <si>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</si>
  <si>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</si>
  <si>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</si>
  <si>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</si>
  <si>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</si>
  <si>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</si>
  <si>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</si>
  <si>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</si>
  <si>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</si>
  <si>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</si>
  <si>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</si>
  <si>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</si>
  <si>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</si>
  <si>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</si>
  <si>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</si>
  <si>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</si>
  <si>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</si>
  <si>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</si>
  <si>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</si>
  <si>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</si>
  <si>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</si>
  <si>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</si>
  <si>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</si>
  <si>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</si>
  <si>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</si>
  <si>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</si>
  <si>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</si>
  <si>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</si>
  <si>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</si>
  <si>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</si>
  <si>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</si>
  <si>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</si>
  <si>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</si>
  <si>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</si>
  <si>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</si>
  <si>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</si>
  <si>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</si>
  <si>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</si>
  <si>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</si>
  <si>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</si>
  <si>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</si>
  <si>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</si>
  <si>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</si>
  <si>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</si>
  <si>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</si>
  <si>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</si>
  <si>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</si>
  <si>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</si>
  <si>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</si>
  <si>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</si>
  <si>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</si>
  <si>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</si>
  <si>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</si>
  <si>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</si>
  <si>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</si>
  <si>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</si>
  <si>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</si>
  <si>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</si>
  <si>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</si>
  <si>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</si>
  <si>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</si>
  <si>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</si>
  <si>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</si>
  <si>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</si>
  <si>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</si>
  <si>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</si>
  <si>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</si>
  <si>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</si>
  <si>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</si>
  <si>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</si>
  <si>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</si>
  <si>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</si>
  <si>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</si>
  <si>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</si>
  <si>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</si>
  <si>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</si>
  <si>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</si>
  <si>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</si>
  <si>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</si>
  <si>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</si>
  <si>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</si>
  <si>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</si>
  <si>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</si>
  <si>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</si>
  <si>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</si>
  <si>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</si>
  <si>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</si>
  <si>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</si>
  <si>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</si>
  <si>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</si>
  <si>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</si>
  <si>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</si>
  <si>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</si>
  <si>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</si>
  <si>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</si>
  <si>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</si>
  <si>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</si>
  <si>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</si>
  <si>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</si>
  <si>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</si>
  <si>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</si>
  <si>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</si>
  <si>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</si>
  <si>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</si>
  <si>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</si>
  <si>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</si>
  <si>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</si>
  <si>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</si>
  <si>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</si>
  <si>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</si>
  <si>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</si>
  <si>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</si>
  <si>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</si>
  <si>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</si>
  <si>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</si>
  <si>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</si>
  <si>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</si>
  <si>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</si>
  <si>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</si>
  <si>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</si>
  <si>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</si>
  <si>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</si>
  <si>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</si>
  <si>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</si>
  <si>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</si>
  <si>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</si>
  <si>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</si>
  <si>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</si>
  <si>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</si>
  <si>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</si>
  <si>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</si>
  <si>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</si>
  <si>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</si>
  <si>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</si>
  <si>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</si>
  <si>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</si>
  <si>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</si>
  <si>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</si>
  <si>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</si>
  <si>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</si>
  <si>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</si>
  <si>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</si>
  <si>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</si>
  <si>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</si>
  <si>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</si>
  <si>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</si>
  <si>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</si>
  <si>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</si>
  <si>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</si>
  <si>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</si>
  <si>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</si>
  <si>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</si>
  <si>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</si>
  <si>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</si>
  <si>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</si>
  <si>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</si>
  <si>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</si>
  <si>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</si>
  <si>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</si>
  <si>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</si>
  <si>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</si>
  <si>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</si>
  <si>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</si>
  <si>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</si>
  <si>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</si>
  <si>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</si>
  <si>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</si>
  <si>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</si>
  <si>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</si>
  <si>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</si>
  <si>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</si>
  <si>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</si>
  <si>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</si>
  <si>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</si>
  <si>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</si>
  <si>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</si>
  <si>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</si>
  <si>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</si>
  <si>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</si>
  <si>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</si>
  <si>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</si>
  <si>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</si>
  <si>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</si>
  <si>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</si>
  <si>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</si>
  <si>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</si>
  <si>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</si>
  <si>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</si>
  <si>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</si>
  <si>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</si>
  <si>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</si>
  <si>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</si>
  <si>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</si>
  <si>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</si>
  <si>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</si>
  <si>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</si>
  <si>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</si>
  <si>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</si>
  <si>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</si>
  <si>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</si>
  <si>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</si>
  <si>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</si>
  <si>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</si>
  <si>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</si>
  <si>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</si>
  <si>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</si>
  <si>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</si>
  <si>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</si>
  <si>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</si>
  <si>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</si>
  <si>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</si>
  <si>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</si>
  <si>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</si>
  <si>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</si>
  <si>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</si>
  <si>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</si>
  <si>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</si>
  <si>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</si>
  <si>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</si>
  <si>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</si>
  <si>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</si>
  <si>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</si>
  <si>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</si>
  <si>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</si>
  <si>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</si>
  <si>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</si>
  <si>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</si>
  <si>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</si>
  <si>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</si>
  <si>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</si>
  <si>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</si>
  <si>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</si>
  <si>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</si>
  <si>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</si>
  <si>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</si>
  <si>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</si>
  <si>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</si>
  <si>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</si>
  <si>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</si>
  <si>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</si>
  <si>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</si>
  <si>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</si>
  <si>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</si>
  <si>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</si>
  <si>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</si>
  <si>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</si>
  <si>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</si>
  <si>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</si>
  <si>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</si>
  <si>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</si>
  <si>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</si>
  <si>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</si>
  <si>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</si>
  <si>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</si>
  <si>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</si>
  <si>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</si>
  <si>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</si>
  <si>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</si>
  <si>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</si>
  <si>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</si>
  <si>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</si>
  <si>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</si>
  <si>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</si>
  <si>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</si>
  <si>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</si>
  <si>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</si>
  <si>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</si>
  <si>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</si>
  <si>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</si>
  <si>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</si>
  <si>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</si>
  <si>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</si>
  <si>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</si>
  <si>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</si>
  <si>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</si>
  <si>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</si>
  <si>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</si>
  <si>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</si>
  <si>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</si>
  <si>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</si>
  <si>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</si>
  <si>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</si>
  <si>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</si>
  <si>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</si>
  <si>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</si>
  <si>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</si>
  <si>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</si>
  <si>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</si>
  <si>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</si>
  <si>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</si>
  <si>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</si>
  <si>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</si>
  <si>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</si>
  <si>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</si>
  <si>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</si>
  <si>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</si>
  <si>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</si>
  <si>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</si>
  <si>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</si>
  <si>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</si>
  <si>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</si>
  <si>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</si>
  <si>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</si>
  <si>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</si>
  <si>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</si>
  <si>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</si>
  <si>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</si>
  <si>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</si>
  <si>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</si>
  <si>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</si>
  <si>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</si>
  <si>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</si>
  <si>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</si>
  <si>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</si>
  <si>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</si>
  <si>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</si>
  <si>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</si>
  <si>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</si>
  <si>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</si>
  <si>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</si>
  <si>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</si>
  <si>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</si>
  <si>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</si>
  <si>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</si>
  <si>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</si>
  <si>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</si>
  <si>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</si>
  <si>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</si>
  <si>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</si>
  <si>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</si>
  <si>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</si>
  <si>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</si>
  <si>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</si>
  <si>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</si>
  <si>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</si>
  <si>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</si>
  <si>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</si>
  <si>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</si>
  <si>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</si>
  <si>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</si>
  <si>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</si>
  <si>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</si>
  <si>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</si>
  <si>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</si>
  <si>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</si>
  <si>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</si>
  <si>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</si>
  <si>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</si>
  <si>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</si>
  <si>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</si>
  <si>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</si>
  <si>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</si>
  <si>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</si>
  <si>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</si>
  <si>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</si>
  <si>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</si>
  <si>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</si>
  <si>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</si>
  <si>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</si>
  <si>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</si>
  <si>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</si>
  <si>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</si>
  <si>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</si>
  <si>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</si>
  <si>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</si>
  <si>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</si>
  <si>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</si>
  <si>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</si>
  <si>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</si>
  <si>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</si>
  <si>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</si>
  <si>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</si>
  <si>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</si>
  <si>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</si>
  <si>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</si>
  <si>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</si>
  <si>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</si>
  <si>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</si>
  <si>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</si>
  <si>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</si>
  <si>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</si>
  <si>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</si>
  <si>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</si>
  <si>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</si>
  <si>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</si>
  <si>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</si>
  <si>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</si>
  <si>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</si>
  <si>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</si>
  <si>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</si>
  <si>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</si>
  <si>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</si>
  <si>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</si>
  <si>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</si>
  <si>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</si>
  <si>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</si>
  <si>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</si>
  <si>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</si>
  <si>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</si>
  <si>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</si>
  <si>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</si>
  <si>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</si>
  <si>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</si>
  <si>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</si>
  <si>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</si>
  <si>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</si>
  <si>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</si>
  <si>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</si>
  <si>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</si>
  <si>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</si>
  <si>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</si>
  <si>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</si>
  <si>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</si>
  <si>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</si>
  <si>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</si>
  <si>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</si>
  <si>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</si>
  <si>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</si>
  <si>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</si>
  <si>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</si>
  <si>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</si>
  <si>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</si>
  <si>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</si>
  <si>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</si>
  <si>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</si>
  <si>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</si>
  <si>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</si>
  <si>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</si>
  <si>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</si>
  <si>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</si>
  <si>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</si>
  <si>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</si>
  <si>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</si>
  <si>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</si>
  <si>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</si>
  <si>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</si>
  <si>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</si>
  <si>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</si>
  <si>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</si>
  <si>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</si>
  <si>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</si>
  <si>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</si>
  <si>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</si>
  <si>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</si>
  <si>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</si>
  <si>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</si>
  <si>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</si>
  <si>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</si>
  <si>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</si>
  <si>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</si>
  <si>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</si>
  <si>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</si>
  <si>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</si>
  <si>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</si>
  <si>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</si>
  <si>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</si>
  <si>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</si>
  <si>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</si>
  <si>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</si>
  <si>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</si>
  <si>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</si>
  <si>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</si>
  <si>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</si>
  <si>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</si>
  <si>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</si>
  <si>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</si>
  <si>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</si>
  <si>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</si>
  <si>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</si>
  <si>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</si>
  <si>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</si>
  <si>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</si>
  <si>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</si>
  <si>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</si>
  <si>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</si>
  <si>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</si>
  <si>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</si>
  <si>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</si>
  <si>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</si>
  <si>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</si>
  <si>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</si>
  <si>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</si>
  <si>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</si>
  <si>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</si>
  <si>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</si>
  <si>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</si>
  <si>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</si>
  <si>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</si>
  <si>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</si>
  <si>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</si>
  <si>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</si>
  <si>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</si>
  <si>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</si>
  <si>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</si>
  <si>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</si>
  <si>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</si>
  <si>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</si>
  <si>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</si>
  <si>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</si>
  <si>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</si>
  <si>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</si>
  <si>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</si>
  <si>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</si>
  <si>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</si>
  <si>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</si>
  <si>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</si>
  <si>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</si>
  <si>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</si>
  <si>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</si>
  <si>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</si>
  <si>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</si>
  <si>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</si>
  <si>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</si>
  <si>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</si>
  <si>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</si>
  <si>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</si>
  <si>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</si>
  <si>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</si>
  <si>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</si>
  <si>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</si>
  <si>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</si>
  <si>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</si>
  <si>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</si>
  <si>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</si>
  <si>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</si>
  <si>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</si>
  <si>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</si>
  <si>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</si>
  <si>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</si>
  <si>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</si>
  <si>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</si>
  <si>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</si>
  <si>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</si>
  <si>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</si>
  <si>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</si>
  <si>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</si>
  <si>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</si>
  <si>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</si>
  <si>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</si>
  <si>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</si>
  <si>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</si>
  <si>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</si>
  <si>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</si>
  <si>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</si>
  <si>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</si>
  <si>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</si>
  <si>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</si>
  <si>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</si>
  <si>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</si>
  <si>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</si>
  <si>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</si>
  <si>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</si>
  <si>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</si>
  <si>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</si>
  <si>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</si>
  <si>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</si>
  <si>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</si>
  <si>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</si>
  <si>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</si>
  <si>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</si>
  <si>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</si>
  <si>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</si>
  <si>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</si>
  <si>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</si>
  <si>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</si>
  <si>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</si>
  <si>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</si>
  <si>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</si>
  <si>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</si>
  <si>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</si>
  <si>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</si>
  <si>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</si>
  <si>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</si>
  <si>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</si>
  <si>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</si>
  <si>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</si>
  <si>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</si>
  <si>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</si>
  <si>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</si>
  <si>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</si>
  <si>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</si>
  <si>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</si>
  <si>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</si>
  <si>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</si>
  <si>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</si>
  <si>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</si>
  <si>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</si>
  <si>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</si>
  <si>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</si>
  <si>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</si>
  <si>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</si>
  <si>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</si>
  <si>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</si>
  <si>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</si>
  <si>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</si>
  <si>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</si>
  <si>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</si>
  <si>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</si>
  <si>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</si>
  <si>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</si>
  <si>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</si>
  <si>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</si>
  <si>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</si>
  <si>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</si>
  <si>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</si>
  <si>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</si>
  <si>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</si>
  <si>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</si>
  <si>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</si>
  <si>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</si>
  <si>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</si>
  <si>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</si>
  <si>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</si>
  <si>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</si>
  <si>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</si>
  <si>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</si>
  <si>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</si>
  <si>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</si>
  <si>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</si>
  <si>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</si>
  <si>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</si>
  <si>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</si>
  <si>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</si>
  <si>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</si>
  <si>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</si>
  <si>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</si>
  <si>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</si>
  <si>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</si>
  <si>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</si>
  <si>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</si>
  <si>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</si>
  <si>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</si>
  <si>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</si>
  <si>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</si>
  <si>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</si>
  <si>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</si>
  <si>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</si>
  <si>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</si>
  <si>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</si>
  <si>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</si>
  <si>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</si>
  <si>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</si>
  <si>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</si>
  <si>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</si>
  <si>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</si>
  <si>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</si>
  <si>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</si>
  <si>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</si>
  <si>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</si>
  <si>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</si>
  <si>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</si>
  <si>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</si>
  <si>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</si>
  <si>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</si>
  <si>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</si>
  <si>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</si>
  <si>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</si>
  <si>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</si>
  <si>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</si>
  <si>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</si>
  <si>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</si>
  <si>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</si>
  <si>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</si>
  <si>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</si>
  <si>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</si>
  <si>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</si>
  <si>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</si>
  <si>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</si>
  <si>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</si>
  <si>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</si>
  <si>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</si>
  <si>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</si>
  <si>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</si>
  <si>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</si>
  <si>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</si>
  <si>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</si>
  <si>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</si>
  <si>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</si>
  <si>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</si>
  <si>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</si>
  <si>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</si>
  <si>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</si>
  <si>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</si>
  <si>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</si>
  <si>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</si>
  <si>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</si>
  <si>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</si>
  <si>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</si>
  <si>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</si>
  <si>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</si>
  <si>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</si>
  <si>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</si>
  <si>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</si>
  <si>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</si>
  <si>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</si>
  <si>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</si>
  <si>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</si>
  <si>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</si>
  <si>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</si>
  <si>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</si>
  <si>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</si>
  <si>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</si>
  <si>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</si>
  <si>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</si>
  <si>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</si>
  <si>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</si>
  <si>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</si>
  <si>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</si>
  <si>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</si>
  <si>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</si>
  <si>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</si>
  <si>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</si>
  <si>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</si>
  <si>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</si>
  <si>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</si>
  <si>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</si>
  <si>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</si>
  <si>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</si>
  <si>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</si>
  <si>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</si>
  <si>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</si>
  <si>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</si>
  <si>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</si>
  <si>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</si>
  <si>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</si>
  <si>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</si>
  <si>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</si>
  <si>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</si>
  <si>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</si>
  <si>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</si>
  <si>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</si>
  <si>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</si>
  <si>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</si>
  <si>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</si>
  <si>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</si>
  <si>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</si>
  <si>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</si>
  <si>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</si>
  <si>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</si>
  <si>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</si>
  <si>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</si>
  <si>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</si>
  <si>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</si>
  <si>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</si>
  <si>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</si>
  <si>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</si>
  <si>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</si>
  <si>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</si>
  <si>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</si>
  <si>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</si>
  <si>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</si>
  <si>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</si>
  <si>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</si>
  <si>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</si>
  <si>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</si>
  <si>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</si>
  <si>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</si>
  <si>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</si>
  <si>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</si>
  <si>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</si>
  <si>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</si>
  <si>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</si>
  <si>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</si>
  <si>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</si>
  <si>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</si>
  <si>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</si>
  <si>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</si>
  <si>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</si>
  <si>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</si>
  <si>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</si>
  <si>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</si>
  <si>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</si>
  <si>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</si>
  <si>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</si>
  <si>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</si>
  <si>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</si>
  <si>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</si>
  <si>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</si>
  <si>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</si>
  <si>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</si>
  <si>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</si>
  <si>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</si>
  <si>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</si>
  <si>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</si>
  <si>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</si>
  <si>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</si>
  <si>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</si>
  <si>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</si>
  <si>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</si>
  <si>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</si>
  <si>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</si>
  <si>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</si>
  <si>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</si>
  <si>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</si>
  <si>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</si>
  <si>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</si>
  <si>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</si>
  <si>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</si>
  <si>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</si>
  <si>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</si>
  <si>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</si>
  <si>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</si>
  <si>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</si>
  <si>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</si>
  <si>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</si>
  <si>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</si>
  <si>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</si>
  <si>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</si>
  <si>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</si>
  <si>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</si>
  <si>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</si>
  <si>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</si>
  <si>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</si>
  <si>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</si>
  <si>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</si>
  <si>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</si>
  <si>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</si>
  <si>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</si>
  <si>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</si>
  <si>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</si>
  <si>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</si>
  <si>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</si>
  <si>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</si>
  <si>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</si>
  <si>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</si>
  <si>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</si>
  <si>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</si>
  <si>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</si>
  <si>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</si>
  <si>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</si>
  <si>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</si>
  <si>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</si>
  <si>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</si>
  <si>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</si>
  <si>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</si>
  <si>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</si>
  <si>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</si>
  <si>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</si>
  <si>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</si>
  <si>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</si>
  <si>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</si>
  <si>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</si>
  <si>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</si>
  <si>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</si>
  <si>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</si>
  <si>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</si>
  <si>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</si>
  <si>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</si>
  <si>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</si>
  <si>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</si>
  <si>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</si>
  <si>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</si>
  <si>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</si>
  <si>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</si>
  <si>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</si>
  <si>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</si>
  <si>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</si>
  <si>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</si>
  <si>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</si>
  <si>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</si>
  <si>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</si>
  <si>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</si>
  <si>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</si>
  <si>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</si>
  <si>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</si>
  <si>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</si>
  <si>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</si>
  <si>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</si>
  <si>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</si>
  <si>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</si>
  <si>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</si>
  <si>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</si>
  <si>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</si>
  <si>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</si>
  <si>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</si>
  <si>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</si>
  <si>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</si>
  <si>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</si>
  <si>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</si>
  <si>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</si>
  <si>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</si>
  <si>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</si>
  <si>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</si>
  <si>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</si>
  <si>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</si>
  <si>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</si>
  <si>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</si>
  <si>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</si>
  <si>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</si>
  <si>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</si>
  <si>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</si>
  <si>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</si>
  <si>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</si>
  <si>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</si>
  <si>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</si>
  <si>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</si>
  <si>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</si>
  <si>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</si>
  <si>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</si>
  <si>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</si>
  <si>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</si>
  <si>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</si>
  <si>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</si>
  <si>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</si>
  <si>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</si>
  <si>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</si>
  <si>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</si>
  <si>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</si>
  <si>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</si>
  <si>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</si>
  <si>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</si>
  <si>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</si>
  <si>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</si>
  <si>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</si>
  <si>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</si>
  <si>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</si>
  <si>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</si>
  <si>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</si>
  <si>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</si>
  <si>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</si>
  <si>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</si>
  <si>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</si>
  <si>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</si>
  <si>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</si>
  <si>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</si>
  <si>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</si>
  <si>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</si>
  <si>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</si>
  <si>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</si>
  <si>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</si>
  <si>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</si>
  <si>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</si>
  <si>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</si>
  <si>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</si>
  <si>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</si>
  <si>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</si>
  <si>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</si>
  <si>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</si>
  <si>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</si>
  <si>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</si>
  <si>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</si>
  <si>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</si>
  <si>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</si>
  <si>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</si>
  <si>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</si>
  <si>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</si>
  <si>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</si>
  <si>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</si>
  <si>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</si>
  <si>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</si>
  <si>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</si>
  <si>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</si>
  <si>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</si>
  <si>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</si>
  <si>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</si>
  <si>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</si>
  <si>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</si>
  <si>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</si>
  <si>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</si>
  <si>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</si>
  <si>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</si>
  <si>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</si>
  <si>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</si>
  <si>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</si>
  <si>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</si>
  <si>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</si>
  <si>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</si>
  <si>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</si>
  <si>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</si>
  <si>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</si>
  <si>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</si>
  <si>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</si>
  <si>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</si>
  <si>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</si>
  <si>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</si>
  <si>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</si>
  <si>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</si>
  <si>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</si>
  <si>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</si>
  <si>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</si>
  <si>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</si>
  <si>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</si>
  <si>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</si>
  <si>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</si>
  <si>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</si>
  <si>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</si>
  <si>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</si>
  <si>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</si>
  <si>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</si>
  <si>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</si>
  <si>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</si>
  <si>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</si>
  <si>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</si>
  <si>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</si>
  <si>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</si>
  <si>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</si>
  <si>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</si>
  <si>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</si>
  <si>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</si>
  <si>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</si>
  <si>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</si>
  <si>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</si>
  <si>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</si>
  <si>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</si>
  <si>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</si>
  <si>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</si>
  <si>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</si>
  <si>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</si>
  <si>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</si>
  <si>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</si>
  <si>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</si>
  <si>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</si>
  <si>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</si>
  <si>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</si>
  <si>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</si>
  <si>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</si>
  <si>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</si>
  <si>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</si>
  <si>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</si>
  <si>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</si>
  <si>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</si>
  <si>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</si>
  <si>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</si>
  <si>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</si>
  <si>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</si>
  <si>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</si>
  <si>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</si>
  <si>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</si>
  <si>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</si>
  <si>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</si>
  <si>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</si>
  <si>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</si>
  <si>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</si>
  <si>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</si>
  <si>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</si>
  <si>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</si>
  <si>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</si>
  <si>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</si>
  <si>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</si>
  <si>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</si>
  <si>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</si>
  <si>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</si>
  <si>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</si>
  <si>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</si>
  <si>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</si>
  <si>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</si>
  <si>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</si>
  <si>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</si>
  <si>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</si>
  <si>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</si>
  <si>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</si>
  <si>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</si>
  <si>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</si>
  <si>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</si>
  <si>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</si>
  <si>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</si>
  <si>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</si>
  <si>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</si>
  <si>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</si>
  <si>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</si>
  <si>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</si>
  <si>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</si>
  <si>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</si>
  <si>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</si>
  <si>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</si>
  <si>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</si>
  <si>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</si>
  <si>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</si>
  <si>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</si>
  <si>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</si>
  <si>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</si>
  <si>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</si>
  <si>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</si>
  <si>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</si>
  <si>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Parent Child Therapy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</si>
</sst>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wrapText="1"/>
    </xf>
    <xf numFmtId="0" fontId="0" fillId="2" borderId="5" xfId="0" applyFill="1" applyBorder="1" applyAlignment="1">
      <alignment horizontal="left" wrapText="1"/>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8708-4708-8E67-138ED41BAE0A}"/>
            </c:ext>
          </c:extLst>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1-8708-4708-8E67-138ED41BAE0A}"/>
            </c:ext>
          </c:extLst>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2-8708-4708-8E67-138ED41BAE0A}"/>
            </c:ext>
          </c:extLst>
        </c:ser>
        <c:dLbls>
          <c:showLegendKey val="0"/>
          <c:showVal val="0"/>
          <c:showCatName val="0"/>
          <c:showSerName val="0"/>
          <c:showPercent val="0"/>
          <c:showBubbleSize val="0"/>
        </c:dLbls>
        <c:gapWidth val="219"/>
        <c:overlap val="-27"/>
        <c:axId val="442484544"/>
        <c:axId val="442485104"/>
      </c:barChart>
      <c:catAx>
        <c:axId val="44248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485104"/>
        <c:crosses val="autoZero"/>
        <c:auto val="1"/>
        <c:lblAlgn val="ctr"/>
        <c:lblOffset val="100"/>
        <c:noMultiLvlLbl val="0"/>
      </c:catAx>
      <c:valAx>
        <c:axId val="4424851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4845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9E3E-41D8-BB2E-7B5B8A3A9C74}"/>
            </c:ext>
          </c:extLst>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9E3E-41D8-BB2E-7B5B8A3A9C74}"/>
            </c:ext>
          </c:extLst>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2-9E3E-41D8-BB2E-7B5B8A3A9C74}"/>
            </c:ext>
          </c:extLst>
        </c:ser>
        <c:dLbls>
          <c:showLegendKey val="0"/>
          <c:showVal val="0"/>
          <c:showCatName val="0"/>
          <c:showSerName val="0"/>
          <c:showPercent val="0"/>
          <c:showBubbleSize val="0"/>
        </c:dLbls>
        <c:gapWidth val="219"/>
        <c:overlap val="-27"/>
        <c:axId val="442489024"/>
        <c:axId val="442489584"/>
      </c:barChart>
      <c:catAx>
        <c:axId val="44248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489584"/>
        <c:crosses val="autoZero"/>
        <c:auto val="1"/>
        <c:lblAlgn val="ctr"/>
        <c:lblOffset val="100"/>
        <c:noMultiLvlLbl val="0"/>
      </c:catAx>
      <c:valAx>
        <c:axId val="4424895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4890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0-8C7A-463C-998D-DF7CECAF3E07}"/>
            </c:ext>
          </c:extLst>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1-8C7A-463C-998D-DF7CECAF3E07}"/>
            </c:ext>
          </c:extLst>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2-8C7A-463C-998D-DF7CECAF3E07}"/>
            </c:ext>
          </c:extLst>
        </c:ser>
        <c:dLbls>
          <c:showLegendKey val="0"/>
          <c:showVal val="0"/>
          <c:showCatName val="0"/>
          <c:showSerName val="0"/>
          <c:showPercent val="0"/>
          <c:showBubbleSize val="0"/>
        </c:dLbls>
        <c:gapWidth val="219"/>
        <c:overlap val="-27"/>
        <c:axId val="444403440"/>
        <c:axId val="444404000"/>
      </c:barChart>
      <c:catAx>
        <c:axId val="44440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44404000"/>
        <c:crosses val="autoZero"/>
        <c:auto val="1"/>
        <c:lblAlgn val="ctr"/>
        <c:lblOffset val="100"/>
        <c:noMultiLvlLbl val="0"/>
      </c:catAx>
      <c:valAx>
        <c:axId val="4444040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40344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0-B6DC-4B8E-85EC-816DCD685488}"/>
            </c:ext>
          </c:extLst>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1-B6DC-4B8E-85EC-816DCD685488}"/>
            </c:ext>
          </c:extLst>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2-B6DC-4B8E-85EC-816DCD685488}"/>
            </c:ext>
          </c:extLst>
        </c:ser>
        <c:dLbls>
          <c:showLegendKey val="0"/>
          <c:showVal val="0"/>
          <c:showCatName val="0"/>
          <c:showSerName val="0"/>
          <c:showPercent val="0"/>
          <c:showBubbleSize val="0"/>
        </c:dLbls>
        <c:gapWidth val="219"/>
        <c:overlap val="-27"/>
        <c:axId val="444407920"/>
        <c:axId val="444408480"/>
      </c:barChart>
      <c:catAx>
        <c:axId val="444407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408480"/>
        <c:crosses val="autoZero"/>
        <c:auto val="1"/>
        <c:lblAlgn val="ctr"/>
        <c:lblOffset val="100"/>
        <c:noMultiLvlLbl val="0"/>
      </c:catAx>
      <c:valAx>
        <c:axId val="4444084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4079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0-9A08-4F76-8694-6B9EA73E5D3E}"/>
            </c:ext>
          </c:extLst>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1-9A08-4F76-8694-6B9EA73E5D3E}"/>
            </c:ext>
          </c:extLst>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2-9A08-4F76-8694-6B9EA73E5D3E}"/>
            </c:ext>
          </c:extLst>
        </c:ser>
        <c:dLbls>
          <c:showLegendKey val="0"/>
          <c:showVal val="0"/>
          <c:showCatName val="0"/>
          <c:showSerName val="0"/>
          <c:showPercent val="0"/>
          <c:showBubbleSize val="0"/>
        </c:dLbls>
        <c:gapWidth val="219"/>
        <c:overlap val="-27"/>
        <c:axId val="444280096"/>
        <c:axId val="444280656"/>
      </c:barChart>
      <c:catAx>
        <c:axId val="44428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0656"/>
        <c:crosses val="autoZero"/>
        <c:auto val="1"/>
        <c:lblAlgn val="ctr"/>
        <c:lblOffset val="100"/>
        <c:noMultiLvlLbl val="0"/>
      </c:catAx>
      <c:valAx>
        <c:axId val="4442806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00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0-1510-4DE9-99CD-DFAFDFB3CE8C}"/>
            </c:ext>
          </c:extLst>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1-1510-4DE9-99CD-DFAFDFB3CE8C}"/>
            </c:ext>
          </c:extLst>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c:ext xmlns:c16="http://schemas.microsoft.com/office/drawing/2014/chart" uri="{C3380CC4-5D6E-409C-BE32-E72D297353CC}">
              <c16:uniqueId val="{00000002-1510-4DE9-99CD-DFAFDFB3CE8C}"/>
            </c:ext>
          </c:extLst>
        </c:ser>
        <c:dLbls>
          <c:showLegendKey val="0"/>
          <c:showVal val="0"/>
          <c:showCatName val="0"/>
          <c:showSerName val="0"/>
          <c:showPercent val="0"/>
          <c:showBubbleSize val="0"/>
        </c:dLbls>
        <c:gapWidth val="219"/>
        <c:overlap val="-27"/>
        <c:axId val="444284576"/>
        <c:axId val="444285136"/>
      </c:barChart>
      <c:catAx>
        <c:axId val="44428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5136"/>
        <c:crosses val="autoZero"/>
        <c:auto val="1"/>
        <c:lblAlgn val="ctr"/>
        <c:lblOffset val="100"/>
        <c:noMultiLvlLbl val="0"/>
      </c:catAx>
      <c:valAx>
        <c:axId val="4442851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45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1D53-477A-9B8B-541BE99D5DC2}"/>
            </c:ext>
          </c:extLst>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1D53-477A-9B8B-541BE99D5DC2}"/>
            </c:ext>
          </c:extLst>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1D53-477A-9B8B-541BE99D5DC2}"/>
            </c:ext>
          </c:extLst>
        </c:ser>
        <c:dLbls>
          <c:showLegendKey val="0"/>
          <c:showVal val="0"/>
          <c:showCatName val="0"/>
          <c:showSerName val="0"/>
          <c:showPercent val="0"/>
          <c:showBubbleSize val="0"/>
        </c:dLbls>
        <c:gapWidth val="219"/>
        <c:overlap val="-27"/>
        <c:axId val="444289616"/>
        <c:axId val="444290176"/>
      </c:barChart>
      <c:catAx>
        <c:axId val="44428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4290176"/>
        <c:crosses val="autoZero"/>
        <c:auto val="1"/>
        <c:lblAlgn val="ctr"/>
        <c:lblOffset val="100"/>
        <c:noMultiLvlLbl val="0"/>
      </c:catAx>
      <c:valAx>
        <c:axId val="4442901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96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E4AA-41C7-AAF5-5C74C6C78E6D}"/>
            </c:ext>
          </c:extLst>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E4AA-41C7-AAF5-5C74C6C78E6D}"/>
            </c:ext>
          </c:extLst>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E4AA-41C7-AAF5-5C74C6C78E6D}"/>
            </c:ext>
          </c:extLst>
        </c:ser>
        <c:dLbls>
          <c:showLegendKey val="0"/>
          <c:showVal val="0"/>
          <c:showCatName val="0"/>
          <c:showSerName val="0"/>
          <c:showPercent val="0"/>
          <c:showBubbleSize val="0"/>
        </c:dLbls>
        <c:gapWidth val="219"/>
        <c:overlap val="-27"/>
        <c:axId val="444294096"/>
        <c:axId val="444294656"/>
      </c:barChart>
      <c:catAx>
        <c:axId val="44429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4294656"/>
        <c:crosses val="autoZero"/>
        <c:auto val="1"/>
        <c:lblAlgn val="ctr"/>
        <c:lblOffset val="100"/>
        <c:noMultiLvlLbl val="0"/>
      </c:catAx>
      <c:valAx>
        <c:axId val="4442946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940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74A0-4884-BDBC-32BBFFDC2784}"/>
            </c:ext>
          </c:extLst>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74A0-4884-BDBC-32BBFFDC2784}"/>
            </c:ext>
          </c:extLst>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74A0-4884-BDBC-32BBFFDC2784}"/>
            </c:ext>
          </c:extLst>
        </c:ser>
        <c:dLbls>
          <c:showLegendKey val="0"/>
          <c:showVal val="0"/>
          <c:showCatName val="0"/>
          <c:showSerName val="0"/>
          <c:showPercent val="0"/>
          <c:showBubbleSize val="0"/>
        </c:dLbls>
        <c:gapWidth val="219"/>
        <c:overlap val="-27"/>
        <c:axId val="443549456"/>
        <c:axId val="443550016"/>
      </c:barChart>
      <c:catAx>
        <c:axId val="443549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3550016"/>
        <c:crosses val="autoZero"/>
        <c:auto val="1"/>
        <c:lblAlgn val="ctr"/>
        <c:lblOffset val="100"/>
        <c:noMultiLvlLbl val="0"/>
      </c:catAx>
      <c:valAx>
        <c:axId val="4435500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4945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1656-4D4A-A660-4456DC013BB0}"/>
            </c:ext>
          </c:extLst>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1656-4D4A-A660-4456DC013BB0}"/>
            </c:ext>
          </c:extLst>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1656-4D4A-A660-4456DC013BB0}"/>
            </c:ext>
          </c:extLst>
        </c:ser>
        <c:dLbls>
          <c:showLegendKey val="0"/>
          <c:showVal val="0"/>
          <c:showCatName val="0"/>
          <c:showSerName val="0"/>
          <c:showPercent val="0"/>
          <c:showBubbleSize val="0"/>
        </c:dLbls>
        <c:gapWidth val="219"/>
        <c:overlap val="-27"/>
        <c:axId val="443553936"/>
        <c:axId val="443554496"/>
      </c:barChart>
      <c:catAx>
        <c:axId val="44355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3554496"/>
        <c:crosses val="autoZero"/>
        <c:auto val="1"/>
        <c:lblAlgn val="ctr"/>
        <c:lblOffset val="100"/>
        <c:noMultiLvlLbl val="0"/>
      </c:catAx>
      <c:valAx>
        <c:axId val="4435544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539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DF9-4F59-8583-EC2C704CAD3C}"/>
            </c:ext>
          </c:extLst>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DF9-4F59-8583-EC2C704CAD3C}"/>
            </c:ext>
          </c:extLst>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4DF9-4F59-8583-EC2C704CAD3C}"/>
            </c:ext>
          </c:extLst>
        </c:ser>
        <c:dLbls>
          <c:showLegendKey val="0"/>
          <c:showVal val="0"/>
          <c:showCatName val="0"/>
          <c:showSerName val="0"/>
          <c:showPercent val="0"/>
          <c:showBubbleSize val="0"/>
        </c:dLbls>
        <c:gapWidth val="219"/>
        <c:overlap val="-27"/>
        <c:axId val="443558416"/>
        <c:axId val="443558976"/>
      </c:barChart>
      <c:catAx>
        <c:axId val="443558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3558976"/>
        <c:crosses val="autoZero"/>
        <c:auto val="1"/>
        <c:lblAlgn val="ctr"/>
        <c:lblOffset val="100"/>
        <c:noMultiLvlLbl val="0"/>
      </c:catAx>
      <c:valAx>
        <c:axId val="4435589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584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3BD0-4502-A8B1-EE25330E0F15}"/>
            </c:ext>
          </c:extLst>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3BD0-4502-A8B1-EE25330E0F15}"/>
            </c:ext>
          </c:extLst>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3BD0-4502-A8B1-EE25330E0F15}"/>
            </c:ext>
          </c:extLst>
        </c:ser>
        <c:dLbls>
          <c:showLegendKey val="0"/>
          <c:showVal val="0"/>
          <c:showCatName val="0"/>
          <c:showSerName val="0"/>
          <c:showPercent val="0"/>
          <c:showBubbleSize val="0"/>
        </c:dLbls>
        <c:gapWidth val="219"/>
        <c:overlap val="-27"/>
        <c:axId val="445122960"/>
        <c:axId val="445123520"/>
      </c:barChart>
      <c:catAx>
        <c:axId val="44512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5123520"/>
        <c:crosses val="autoZero"/>
        <c:auto val="1"/>
        <c:lblAlgn val="ctr"/>
        <c:lblOffset val="100"/>
        <c:noMultiLvlLbl val="0"/>
      </c:catAx>
      <c:valAx>
        <c:axId val="4451235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229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146050</xdr:rowOff>
        </xdr:from>
        <xdr:to>
          <xdr:col>1</xdr:col>
          <xdr:colOff>1441450</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127000</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127000</xdr:rowOff>
        </xdr:from>
        <xdr:to>
          <xdr:col>1</xdr:col>
          <xdr:colOff>1441450</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127000</xdr:rowOff>
        </xdr:from>
        <xdr:to>
          <xdr:col>2</xdr:col>
          <xdr:colOff>469900</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146050</xdr:rowOff>
        </xdr:from>
        <xdr:to>
          <xdr:col>3</xdr:col>
          <xdr:colOff>1631950</xdr:colOff>
          <xdr:row>24</xdr:row>
          <xdr:rowOff>31750</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1631950</xdr:colOff>
          <xdr:row>19</xdr:row>
          <xdr:rowOff>69850</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Light"/>
                  <a:cs typeface="Calibri Light"/>
                </a:rPr>
                <a:t>Spell Check</a:t>
              </a:r>
              <a:r>
                <a:rPr lang="en-US" sz="2000" b="0" i="0" u="none" strike="noStrike" baseline="0">
                  <a:solidFill>
                    <a:srgbClr val="000000"/>
                  </a:solidFill>
                  <a:latin typeface="Calibri Light"/>
                  <a:cs typeface="Calibri Light"/>
                </a:rPr>
                <a:t> </a:t>
              </a:r>
              <a:r>
                <a:rPr lang="en-US" sz="2000" b="0" i="0" u="none" strike="noStrike" baseline="0">
                  <a:solidFill>
                    <a:srgbClr val="000000"/>
                  </a:solidFill>
                  <a:latin typeface="Webdings"/>
                  <a:cs typeface="Calibri Light"/>
                </a:rPr>
                <a:t>a</a:t>
              </a:r>
              <a:endParaRPr lang="en-US" sz="2000" b="0" i="0" u="none" strike="noStrike" baseline="0">
                <a:solidFill>
                  <a:srgbClr val="000000"/>
                </a:solidFill>
                <a:latin typeface="Webdings"/>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50800</xdr:rowOff>
        </xdr:from>
        <xdr:to>
          <xdr:col>3</xdr:col>
          <xdr:colOff>1631950</xdr:colOff>
          <xdr:row>21</xdr:row>
          <xdr:rowOff>127000</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1631950</xdr:colOff>
          <xdr:row>17</xdr:row>
          <xdr:rowOff>146050</xdr:rowOff>
        </xdr:from>
        <xdr:to>
          <xdr:col>2</xdr:col>
          <xdr:colOff>457200</xdr:colOff>
          <xdr:row>19</xdr:row>
          <xdr:rowOff>50800</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88900</xdr:colOff>
          <xdr:row>24</xdr:row>
          <xdr:rowOff>133350</xdr:rowOff>
        </xdr:from>
        <xdr:to>
          <xdr:col>4</xdr:col>
          <xdr:colOff>1670050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Open Tutorials </a:t>
              </a:r>
            </a:p>
            <a:p>
              <a:pPr algn="ctr" rtl="0">
                <a:defRPr sz="1000"/>
              </a:pPr>
              <a:r>
                <a:rPr lang="en-US" sz="1100" b="0" i="0" u="none" strike="noStrike" baseline="0">
                  <a:solidFill>
                    <a:srgbClr val="000000"/>
                  </a:solidFill>
                  <a:latin typeface="Calibri"/>
                  <a:cs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1631950</xdr:colOff>
          <xdr:row>19</xdr:row>
          <xdr:rowOff>127000</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107950</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50800</xdr:rowOff>
        </xdr:from>
        <xdr:to>
          <xdr:col>2</xdr:col>
          <xdr:colOff>469900</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107950</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27</xdr:row>
          <xdr:rowOff>88900</xdr:rowOff>
        </xdr:from>
        <xdr:to>
          <xdr:col>1</xdr:col>
          <xdr:colOff>1441450</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831850</xdr:colOff>
          <xdr:row>25</xdr:row>
          <xdr:rowOff>76200</xdr:rowOff>
        </xdr:from>
        <xdr:to>
          <xdr:col>2</xdr:col>
          <xdr:colOff>2165350</xdr:colOff>
          <xdr:row>26</xdr:row>
          <xdr:rowOff>165100</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31750</xdr:colOff>
          <xdr:row>19</xdr:row>
          <xdr:rowOff>127000</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88900</xdr:rowOff>
        </xdr:from>
        <xdr:to>
          <xdr:col>2</xdr:col>
          <xdr:colOff>469900</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69850</xdr:rowOff>
        </xdr:from>
        <xdr:to>
          <xdr:col>2</xdr:col>
          <xdr:colOff>469900</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88900</xdr:rowOff>
        </xdr:from>
        <xdr:to>
          <xdr:col>2</xdr:col>
          <xdr:colOff>469900</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622300</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1422400</xdr:colOff>
          <xdr:row>0</xdr:row>
          <xdr:rowOff>57150</xdr:rowOff>
        </xdr:from>
        <xdr:to>
          <xdr:col>32</xdr:col>
          <xdr:colOff>438150</xdr:colOff>
          <xdr:row>1</xdr:row>
          <xdr:rowOff>12700</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165100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88900</xdr:colOff>
          <xdr:row>0</xdr:row>
          <xdr:rowOff>57150</xdr:rowOff>
        </xdr:from>
        <xdr:to>
          <xdr:col>46</xdr:col>
          <xdr:colOff>336550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527050</xdr:colOff>
          <xdr:row>0</xdr:row>
          <xdr:rowOff>57150</xdr:rowOff>
        </xdr:from>
        <xdr:to>
          <xdr:col>49</xdr:col>
          <xdr:colOff>146050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527050</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Light"/>
                  <a:cs typeface="Calibri Light"/>
                </a:rPr>
                <a:t>Spell Check</a:t>
              </a:r>
              <a:r>
                <a:rPr lang="en-US" sz="2000" b="0" i="0" u="none" strike="noStrike" baseline="0">
                  <a:solidFill>
                    <a:srgbClr val="000000"/>
                  </a:solidFill>
                  <a:latin typeface="Calibri Light"/>
                  <a:cs typeface="Calibri Light"/>
                </a:rPr>
                <a:t> </a:t>
              </a:r>
              <a:r>
                <a:rPr lang="en-US" sz="2000" b="0" i="0" u="none" strike="noStrike" baseline="0">
                  <a:solidFill>
                    <a:srgbClr val="000000"/>
                  </a:solidFill>
                  <a:latin typeface="Webdings"/>
                  <a:cs typeface="Calibri Light"/>
                </a:rPr>
                <a:t>a</a:t>
              </a:r>
              <a:endParaRPr lang="en-US" sz="2000" b="0" i="0" u="none" strike="noStrike" baseline="0">
                <a:solidFill>
                  <a:srgbClr val="000000"/>
                </a:solidFill>
                <a:latin typeface="Webdings"/>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317500</xdr:colOff>
          <xdr:row>0</xdr:row>
          <xdr:rowOff>50800</xdr:rowOff>
        </xdr:from>
        <xdr:to>
          <xdr:col>4</xdr:col>
          <xdr:colOff>1612900</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241300</xdr:colOff>
          <xdr:row>2</xdr:row>
          <xdr:rowOff>184150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146050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584200</xdr:colOff>
          <xdr:row>3</xdr:row>
          <xdr:rowOff>127000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641350</xdr:rowOff>
        </xdr:from>
        <xdr:to>
          <xdr:col>3</xdr:col>
          <xdr:colOff>609600</xdr:colOff>
          <xdr:row>3</xdr:row>
          <xdr:rowOff>222250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10</xdr:row>
          <xdr:rowOff>190500</xdr:rowOff>
        </xdr:from>
        <xdr:to>
          <xdr:col>3</xdr:col>
          <xdr:colOff>622300</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12700</xdr:rowOff>
        </xdr:from>
        <xdr:to>
          <xdr:col>3</xdr:col>
          <xdr:colOff>622300</xdr:colOff>
          <xdr:row>19</xdr:row>
          <xdr:rowOff>127000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222250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31750</xdr:rowOff>
        </xdr:from>
        <xdr:to>
          <xdr:col>3</xdr:col>
          <xdr:colOff>622300</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31750</xdr:rowOff>
        </xdr:from>
        <xdr:to>
          <xdr:col>3</xdr:col>
          <xdr:colOff>622300</xdr:colOff>
          <xdr:row>43</xdr:row>
          <xdr:rowOff>146050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12700</xdr:rowOff>
        </xdr:from>
        <xdr:to>
          <xdr:col>3</xdr:col>
          <xdr:colOff>622300</xdr:colOff>
          <xdr:row>51</xdr:row>
          <xdr:rowOff>222250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222250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12700</xdr:rowOff>
        </xdr:from>
        <xdr:to>
          <xdr:col>3</xdr:col>
          <xdr:colOff>622300</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69850</xdr:colOff>
          <xdr:row>0</xdr:row>
          <xdr:rowOff>50800</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300" b="0" i="0" u="none" strike="noStrike" baseline="0">
                  <a:solidFill>
                    <a:srgbClr val="000000"/>
                  </a:solidFill>
                  <a:latin typeface="Calibri"/>
                  <a:cs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1555750</xdr:colOff>
          <xdr:row>0</xdr:row>
          <xdr:rowOff>50800</xdr:rowOff>
        </xdr:from>
        <xdr:to>
          <xdr:col>9</xdr:col>
          <xdr:colOff>793750</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300" b="0" i="0" u="none" strike="noStrike" baseline="0">
                  <a:solidFill>
                    <a:srgbClr val="000000"/>
                  </a:solidFill>
                  <a:latin typeface="Calibri"/>
                  <a:cs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1041400</xdr:colOff>
          <xdr:row>0</xdr:row>
          <xdr:rowOff>50800</xdr:rowOff>
        </xdr:from>
        <xdr:to>
          <xdr:col>10</xdr:col>
          <xdr:colOff>298450</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300" b="0" i="0" u="none" strike="noStrike" baseline="0">
                  <a:solidFill>
                    <a:srgbClr val="000000"/>
                  </a:solidFill>
                  <a:latin typeface="Calibri"/>
                  <a:cs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527050</xdr:colOff>
          <xdr:row>0</xdr:row>
          <xdr:rowOff>50800</xdr:rowOff>
        </xdr:from>
        <xdr:to>
          <xdr:col>10</xdr:col>
          <xdr:colOff>1752600</xdr:colOff>
          <xdr:row>1</xdr:row>
          <xdr:rowOff>50800</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300" b="0" i="0" u="none" strike="noStrike" baseline="0">
                  <a:solidFill>
                    <a:srgbClr val="000000"/>
                  </a:solidFill>
                  <a:latin typeface="Calibri Light"/>
                  <a:cs typeface="Calibri Light"/>
                </a:rPr>
                <a:t>Spell Check</a:t>
              </a:r>
              <a:r>
                <a:rPr lang="en-US" sz="2000" b="0" i="0" u="none" strike="noStrike" baseline="0">
                  <a:solidFill>
                    <a:srgbClr val="000000"/>
                  </a:solidFill>
                  <a:latin typeface="Calibri Light"/>
                  <a:cs typeface="Calibri Light"/>
                </a:rPr>
                <a:t> </a:t>
              </a:r>
              <a:r>
                <a:rPr lang="en-US" sz="2000" b="0" i="0" u="none" strike="noStrike" baseline="0">
                  <a:solidFill>
                    <a:srgbClr val="000000"/>
                  </a:solidFill>
                  <a:latin typeface="Webdings"/>
                  <a:cs typeface="Calibri Light"/>
                </a:rPr>
                <a:t>a</a:t>
              </a:r>
              <a:endParaRPr lang="en-US" sz="2000" b="0" i="0" u="none" strike="noStrike" baseline="0">
                <a:solidFill>
                  <a:srgbClr val="000000"/>
                </a:solidFill>
                <a:latin typeface="Webdings"/>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5765800</xdr:colOff>
          <xdr:row>1</xdr:row>
          <xdr:rowOff>31750</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5994400</xdr:colOff>
          <xdr:row>0</xdr:row>
          <xdr:rowOff>38100</xdr:rowOff>
        </xdr:from>
        <xdr:to>
          <xdr:col>4</xdr:col>
          <xdr:colOff>7200900</xdr:colOff>
          <xdr:row>1</xdr:row>
          <xdr:rowOff>31750</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Light"/>
                  <a:cs typeface="Calibri Light"/>
                </a:rPr>
                <a:t>Spell Check</a:t>
              </a:r>
              <a:r>
                <a:rPr lang="en-US" sz="2000" b="0" i="0" u="none" strike="noStrike" baseline="0">
                  <a:solidFill>
                    <a:srgbClr val="000000"/>
                  </a:solidFill>
                  <a:latin typeface="Calibri Light"/>
                  <a:cs typeface="Calibri Light"/>
                </a:rPr>
                <a:t> </a:t>
              </a:r>
              <a:r>
                <a:rPr lang="en-US" sz="2000" b="0" i="0" u="none" strike="noStrike" baseline="0">
                  <a:solidFill>
                    <a:srgbClr val="000000"/>
                  </a:solidFill>
                  <a:latin typeface="Webdings"/>
                  <a:cs typeface="Calibri Light"/>
                </a:rPr>
                <a:t>a</a:t>
              </a:r>
              <a:endParaRPr lang="en-US" sz="2000" b="0" i="0" u="none" strike="noStrike" baseline="0">
                <a:solidFill>
                  <a:srgbClr val="000000"/>
                </a:solidFill>
                <a:latin typeface="Webdings"/>
              </a:endParaRP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50800</xdr:rowOff>
        </xdr:from>
        <xdr:to>
          <xdr:col>5</xdr:col>
          <xdr:colOff>31750</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222250</xdr:colOff>
          <xdr:row>0</xdr:row>
          <xdr:rowOff>50800</xdr:rowOff>
        </xdr:from>
        <xdr:to>
          <xdr:col>6</xdr:col>
          <xdr:colOff>241300</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Light"/>
                  <a:cs typeface="Calibri Light"/>
                </a:rPr>
                <a:t>Spell Check</a:t>
              </a:r>
              <a:r>
                <a:rPr lang="en-US" sz="2000" b="0" i="0" u="none" strike="noStrike" baseline="0">
                  <a:solidFill>
                    <a:srgbClr val="000000"/>
                  </a:solidFill>
                  <a:latin typeface="Calibri Light"/>
                  <a:cs typeface="Calibri Light"/>
                </a:rPr>
                <a:t> </a:t>
              </a:r>
              <a:r>
                <a:rPr lang="en-US" sz="2000" b="0" i="0" u="none" strike="noStrike" baseline="0">
                  <a:solidFill>
                    <a:srgbClr val="000000"/>
                  </a:solidFill>
                  <a:latin typeface="Webdings"/>
                  <a:cs typeface="Calibri Light"/>
                </a:rPr>
                <a:t>a</a:t>
              </a:r>
              <a:endParaRPr lang="en-US" sz="2000" b="0" i="0" u="none" strike="noStrike" baseline="0">
                <a:solidFill>
                  <a:srgbClr val="000000"/>
                </a:solidFill>
                <a:latin typeface="Webdings"/>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B15" sqref="B15:E15"/>
    </sheetView>
  </sheetViews>
  <sheetFormatPr defaultRowHeight="14.5" x14ac:dyDescent="0.35"/>
  <cols>
    <col min="1" max="1" width="4.81640625" customWidth="1"/>
    <col min="2" max="2" width="37.54296875" customWidth="1"/>
    <col min="3" max="3" width="33.26953125" customWidth="1"/>
    <col min="4" max="4" width="57.81640625" customWidth="1"/>
    <col min="5" max="5" width="29" customWidth="1"/>
    <col min="6" max="6" width="4.26953125" customWidth="1"/>
    <col min="8" max="8" width="161.453125" style="162" hidden="1" customWidth="1"/>
    <col min="36" max="39" width="9.1796875" customWidth="1"/>
  </cols>
  <sheetData>
    <row r="1" spans="1:36" ht="21" customHeight="1" x14ac:dyDescent="0.35">
      <c r="A1" s="56"/>
      <c r="B1" s="283" t="s">
        <v>312</v>
      </c>
      <c r="C1" s="283"/>
      <c r="D1" s="283"/>
      <c r="E1" s="283"/>
      <c r="F1" s="57"/>
      <c r="G1" s="58"/>
      <c r="H1" s="162">
        <v>1</v>
      </c>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3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3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3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3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3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3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3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3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3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3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3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3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ht="29.5" customHeight="1" x14ac:dyDescent="0.3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3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3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3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3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3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3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3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3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3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3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3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3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3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3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3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3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3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3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3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3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3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3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3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3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3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3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3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3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3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3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3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3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3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3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3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3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3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3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3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3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3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3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3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3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3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3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3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3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3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3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3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disablePrompts="1"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146050</xdr:rowOff>
                  </from>
                  <to>
                    <xdr:col>1</xdr:col>
                    <xdr:colOff>1441450</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127000</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127000</xdr:rowOff>
                  </from>
                  <to>
                    <xdr:col>1</xdr:col>
                    <xdr:colOff>1441450</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127000</xdr:rowOff>
                  </from>
                  <to>
                    <xdr:col>2</xdr:col>
                    <xdr:colOff>469900</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146050</xdr:rowOff>
                  </from>
                  <to>
                    <xdr:col>3</xdr:col>
                    <xdr:colOff>1631950</xdr:colOff>
                    <xdr:row>24</xdr:row>
                    <xdr:rowOff>31750</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1631950</xdr:colOff>
                    <xdr:row>19</xdr:row>
                    <xdr:rowOff>69850</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50800</xdr:rowOff>
                  </from>
                  <to>
                    <xdr:col>3</xdr:col>
                    <xdr:colOff>1631950</xdr:colOff>
                    <xdr:row>21</xdr:row>
                    <xdr:rowOff>127000</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1631950</xdr:colOff>
                    <xdr:row>17</xdr:row>
                    <xdr:rowOff>146050</xdr:rowOff>
                  </from>
                  <to>
                    <xdr:col>2</xdr:col>
                    <xdr:colOff>457200</xdr:colOff>
                    <xdr:row>19</xdr:row>
                    <xdr:rowOff>50800</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88900</xdr:colOff>
                    <xdr:row>24</xdr:row>
                    <xdr:rowOff>133350</xdr:rowOff>
                  </from>
                  <to>
                    <xdr:col>4</xdr:col>
                    <xdr:colOff>1670050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1631950</xdr:colOff>
                    <xdr:row>19</xdr:row>
                    <xdr:rowOff>127000</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107950</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50800</xdr:rowOff>
                  </from>
                  <to>
                    <xdr:col>2</xdr:col>
                    <xdr:colOff>469900</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107950</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12700</xdr:colOff>
                    <xdr:row>27</xdr:row>
                    <xdr:rowOff>88900</xdr:rowOff>
                  </from>
                  <to>
                    <xdr:col>1</xdr:col>
                    <xdr:colOff>1441450</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831850</xdr:colOff>
                    <xdr:row>25</xdr:row>
                    <xdr:rowOff>76200</xdr:rowOff>
                  </from>
                  <to>
                    <xdr:col>2</xdr:col>
                    <xdr:colOff>2165350</xdr:colOff>
                    <xdr:row>26</xdr:row>
                    <xdr:rowOff>165100</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31750</xdr:colOff>
                    <xdr:row>19</xdr:row>
                    <xdr:rowOff>127000</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88900</xdr:rowOff>
                  </from>
                  <to>
                    <xdr:col>2</xdr:col>
                    <xdr:colOff>469900</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69850</xdr:rowOff>
                  </from>
                  <to>
                    <xdr:col>2</xdr:col>
                    <xdr:colOff>469900</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88900</xdr:rowOff>
                  </from>
                  <to>
                    <xdr:col>2</xdr:col>
                    <xdr:colOff>469900</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796875" defaultRowHeight="14.5" x14ac:dyDescent="0.35"/>
  <cols>
    <col min="1" max="1" width="3.7265625" customWidth="1"/>
    <col min="2" max="2" width="37.26953125" style="9" hidden="1" customWidth="1"/>
    <col min="3" max="4" width="9.453125" style="9" hidden="1" customWidth="1"/>
    <col min="5" max="5" width="8.453125" style="9" hidden="1" customWidth="1"/>
    <col min="6" max="6" width="9" style="9" hidden="1" customWidth="1"/>
    <col min="7" max="7" width="11.1796875" style="9" hidden="1" customWidth="1"/>
    <col min="8" max="8" width="7.54296875" style="9" hidden="1" customWidth="1"/>
    <col min="9" max="9" width="5.54296875" style="9" hidden="1" customWidth="1"/>
    <col min="10" max="10" width="34.1796875" style="9" hidden="1" customWidth="1"/>
    <col min="11" max="11" width="6.81640625" style="9" hidden="1" customWidth="1"/>
    <col min="12" max="12" width="9.26953125" style="9" hidden="1" customWidth="1"/>
    <col min="13" max="15" width="13.81640625" style="9" hidden="1" customWidth="1"/>
    <col min="16" max="23" width="7" style="9" hidden="1" customWidth="1"/>
    <col min="24" max="26" width="10.26953125" style="9" hidden="1" customWidth="1"/>
    <col min="27" max="27" width="6.54296875" style="9" hidden="1" customWidth="1"/>
    <col min="28" max="28" width="23" style="15" hidden="1" customWidth="1"/>
    <col min="29" max="29" width="19.1796875" customWidth="1"/>
    <col min="30" max="30" width="25" customWidth="1"/>
    <col min="31" max="31" width="2.1796875" customWidth="1"/>
    <col min="32" max="32" width="9.7265625" style="2" customWidth="1"/>
    <col min="33" max="33" width="34.1796875" style="8" customWidth="1"/>
    <col min="34" max="35" width="9.7265625" style="2" customWidth="1"/>
    <col min="36" max="36" width="9.7265625" style="2" hidden="1" customWidth="1"/>
    <col min="37" max="37" width="34.1796875" style="8" hidden="1" customWidth="1"/>
    <col min="38" max="39" width="9.7265625" style="2" hidden="1" customWidth="1"/>
    <col min="40" max="40" width="9.7265625" hidden="1" customWidth="1"/>
    <col min="41" max="41" width="34.1796875" style="8" hidden="1" customWidth="1"/>
    <col min="42" max="43" width="9.7265625" style="77" hidden="1" customWidth="1"/>
    <col min="44" max="44" width="3.7265625" customWidth="1"/>
  </cols>
  <sheetData>
    <row r="1" spans="1:44" ht="35.25" customHeight="1" x14ac:dyDescent="0.3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3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4">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3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 x14ac:dyDescent="0.4">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5" x14ac:dyDescent="0.3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1090</v>
      </c>
      <c r="AD6" s="284"/>
      <c r="AE6" s="284"/>
      <c r="AF6" s="284"/>
      <c r="AG6" s="284"/>
      <c r="AH6" s="284"/>
      <c r="AI6" s="284"/>
      <c r="AJ6" s="284"/>
      <c r="AK6" s="284"/>
      <c r="AL6" s="284"/>
      <c r="AM6" s="284"/>
      <c r="AN6" s="284"/>
      <c r="AO6" s="284"/>
      <c r="AP6" s="284"/>
      <c r="AQ6" s="284"/>
      <c r="AR6" s="6"/>
    </row>
    <row r="7" spans="1:44" ht="15.5" x14ac:dyDescent="0.3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1091</v>
      </c>
      <c r="AD7" s="284"/>
      <c r="AE7" s="284"/>
      <c r="AF7" s="284"/>
      <c r="AG7" s="284"/>
      <c r="AH7" s="284"/>
      <c r="AI7" s="284"/>
      <c r="AJ7" s="284"/>
      <c r="AK7" s="284"/>
      <c r="AL7" s="284"/>
      <c r="AM7" s="284"/>
      <c r="AN7" s="284"/>
      <c r="AO7" s="284"/>
      <c r="AP7" s="284"/>
      <c r="AQ7" s="284"/>
      <c r="AR7" s="6"/>
    </row>
    <row r="8" spans="1:44" ht="15.5" x14ac:dyDescent="0.3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1092</v>
      </c>
      <c r="AD8" s="284"/>
      <c r="AE8" s="284"/>
      <c r="AF8" s="284"/>
      <c r="AG8" s="284"/>
      <c r="AH8" s="284"/>
      <c r="AI8" s="284"/>
      <c r="AJ8" s="284"/>
      <c r="AK8" s="284"/>
      <c r="AL8" s="284"/>
      <c r="AM8" s="284"/>
      <c r="AN8" s="284"/>
      <c r="AO8" s="284"/>
      <c r="AP8" s="284"/>
      <c r="AQ8" s="284"/>
      <c r="AR8" s="6"/>
    </row>
    <row r="9" spans="1:44" ht="15.5" x14ac:dyDescent="0.3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1093</v>
      </c>
      <c r="AD9" s="284"/>
      <c r="AE9" s="284"/>
      <c r="AF9" s="284"/>
      <c r="AG9" s="284"/>
      <c r="AH9" s="284"/>
      <c r="AI9" s="284"/>
      <c r="AJ9" s="284"/>
      <c r="AK9" s="284"/>
      <c r="AL9" s="284"/>
      <c r="AM9" s="284"/>
      <c r="AN9" s="284"/>
      <c r="AO9" s="284"/>
      <c r="AP9" s="284"/>
      <c r="AQ9" s="284"/>
      <c r="AR9" s="6"/>
    </row>
    <row r="10" spans="1:44" ht="15.5" x14ac:dyDescent="0.3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1094</v>
      </c>
      <c r="AD10" s="284"/>
      <c r="AE10" s="284"/>
      <c r="AF10" s="284"/>
      <c r="AG10" s="284"/>
      <c r="AH10" s="284"/>
      <c r="AI10" s="284"/>
      <c r="AJ10" s="284"/>
      <c r="AK10" s="284"/>
      <c r="AL10" s="284"/>
      <c r="AM10" s="284"/>
      <c r="AN10" s="284"/>
      <c r="AO10" s="284"/>
      <c r="AP10" s="284"/>
      <c r="AQ10" s="284"/>
      <c r="AR10" s="6"/>
    </row>
    <row r="11" spans="1:44" ht="15.5" x14ac:dyDescent="0.35">
      <c r="A11" s="37"/>
      <c r="L11" s="34" t="s">
        <v>148</v>
      </c>
      <c r="M11" s="36">
        <f>IF(dateAssess3&lt;&gt;"",dateAssess3,IF(dateAssess2&lt;&gt;"",dateAssess2,IF(dateAssess1&lt;&gt;"",dateAssess1,"")))</f>
        <v>43101</v>
      </c>
      <c r="T11" s="36"/>
      <c r="AC11" s="284" t="s">
        <v>1095</v>
      </c>
      <c r="AD11" s="284"/>
      <c r="AE11" s="284"/>
      <c r="AF11" s="284"/>
      <c r="AG11" s="284"/>
      <c r="AH11" s="284"/>
      <c r="AI11" s="284"/>
      <c r="AJ11" s="284"/>
      <c r="AK11" s="284"/>
      <c r="AL11" s="284"/>
      <c r="AM11" s="284"/>
      <c r="AN11" s="284"/>
      <c r="AO11" s="284"/>
      <c r="AP11" s="284"/>
      <c r="AQ11" s="284"/>
      <c r="AR11" s="6"/>
    </row>
    <row r="12" spans="1:44" x14ac:dyDescent="0.3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5" x14ac:dyDescent="0.45">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 x14ac:dyDescent="0.45">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5" hidden="1" x14ac:dyDescent="0.45">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5" hidden="1" x14ac:dyDescent="0.45">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5" x14ac:dyDescent="0.3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5" x14ac:dyDescent="0.3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5" x14ac:dyDescent="0.3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5" x14ac:dyDescent="0.3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5" x14ac:dyDescent="0.3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5" x14ac:dyDescent="0.3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5" x14ac:dyDescent="0.3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5" x14ac:dyDescent="0.3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5" x14ac:dyDescent="0.3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5" x14ac:dyDescent="0.3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5" x14ac:dyDescent="0.3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5" x14ac:dyDescent="0.3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5" x14ac:dyDescent="0.3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5" x14ac:dyDescent="0.3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5" x14ac:dyDescent="0.3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5" x14ac:dyDescent="0.3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5" x14ac:dyDescent="0.3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5" x14ac:dyDescent="0.3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5" x14ac:dyDescent="0.3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5" x14ac:dyDescent="0.3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5" x14ac:dyDescent="0.3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5" x14ac:dyDescent="0.3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15.5" x14ac:dyDescent="0.3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5" x14ac:dyDescent="0.3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5" x14ac:dyDescent="0.3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5" x14ac:dyDescent="0.3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5" x14ac:dyDescent="0.3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5" x14ac:dyDescent="0.3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5" x14ac:dyDescent="0.3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5" x14ac:dyDescent="0.3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5" x14ac:dyDescent="0.3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5" x14ac:dyDescent="0.3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5" x14ac:dyDescent="0.3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5" x14ac:dyDescent="0.3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5" x14ac:dyDescent="0.3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5" x14ac:dyDescent="0.3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5" x14ac:dyDescent="0.3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5" hidden="1" x14ac:dyDescent="0.3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15.5" hidden="1" x14ac:dyDescent="0.3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5" hidden="1" x14ac:dyDescent="0.3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5" hidden="1" x14ac:dyDescent="0.3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5" hidden="1" x14ac:dyDescent="0.3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5" hidden="1" x14ac:dyDescent="0.3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5" hidden="1" x14ac:dyDescent="0.3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5" hidden="1" x14ac:dyDescent="0.3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5" hidden="1" x14ac:dyDescent="0.3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5" hidden="1" x14ac:dyDescent="0.3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5" hidden="1" x14ac:dyDescent="0.3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5" hidden="1" x14ac:dyDescent="0.3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5" hidden="1" x14ac:dyDescent="0.3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5" hidden="1" x14ac:dyDescent="0.3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5" hidden="1" x14ac:dyDescent="0.3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5" hidden="1" x14ac:dyDescent="0.3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5" hidden="1" x14ac:dyDescent="0.3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15.5" hidden="1" x14ac:dyDescent="0.3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5" hidden="1" x14ac:dyDescent="0.3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5" hidden="1" x14ac:dyDescent="0.3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5" hidden="1" x14ac:dyDescent="0.3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5" hidden="1" x14ac:dyDescent="0.3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5" hidden="1" x14ac:dyDescent="0.3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5" hidden="1" x14ac:dyDescent="0.3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5" hidden="1" x14ac:dyDescent="0.3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5" hidden="1" x14ac:dyDescent="0.3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5" hidden="1" x14ac:dyDescent="0.3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5" hidden="1" x14ac:dyDescent="0.3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5" hidden="1" x14ac:dyDescent="0.3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5" hidden="1" x14ac:dyDescent="0.3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5" hidden="1" x14ac:dyDescent="0.3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5" hidden="1" x14ac:dyDescent="0.3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5" hidden="1" x14ac:dyDescent="0.3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15.5" hidden="1" x14ac:dyDescent="0.3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5" hidden="1" x14ac:dyDescent="0.3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5" hidden="1" x14ac:dyDescent="0.3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5" hidden="1" x14ac:dyDescent="0.3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5" hidden="1" x14ac:dyDescent="0.3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5" hidden="1" x14ac:dyDescent="0.3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5" hidden="1" x14ac:dyDescent="0.3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5" hidden="1" x14ac:dyDescent="0.3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5" hidden="1" x14ac:dyDescent="0.3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5" hidden="1" x14ac:dyDescent="0.3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5" hidden="1" x14ac:dyDescent="0.3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5" hidden="1" x14ac:dyDescent="0.3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5" hidden="1" x14ac:dyDescent="0.3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5" hidden="1" x14ac:dyDescent="0.3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5" hidden="1" x14ac:dyDescent="0.3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5" x14ac:dyDescent="0.3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5" x14ac:dyDescent="0.3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5" x14ac:dyDescent="0.3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5" x14ac:dyDescent="0.3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5" x14ac:dyDescent="0.3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5" x14ac:dyDescent="0.3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5" x14ac:dyDescent="0.3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5" x14ac:dyDescent="0.3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5" x14ac:dyDescent="0.3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5" x14ac:dyDescent="0.3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5" x14ac:dyDescent="0.3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5" x14ac:dyDescent="0.3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5" x14ac:dyDescent="0.3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5" x14ac:dyDescent="0.3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5" x14ac:dyDescent="0.3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5" x14ac:dyDescent="0.3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5" x14ac:dyDescent="0.3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5" x14ac:dyDescent="0.3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5" hidden="1" x14ac:dyDescent="0.3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5" hidden="1" x14ac:dyDescent="0.3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5" hidden="1" x14ac:dyDescent="0.3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5" hidden="1" x14ac:dyDescent="0.3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5" hidden="1" x14ac:dyDescent="0.3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5" hidden="1" x14ac:dyDescent="0.3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5" hidden="1" x14ac:dyDescent="0.3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5" hidden="1" x14ac:dyDescent="0.3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5" hidden="1" x14ac:dyDescent="0.3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5" hidden="1" x14ac:dyDescent="0.3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5" hidden="1" x14ac:dyDescent="0.3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5" hidden="1" x14ac:dyDescent="0.3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5" hidden="1" x14ac:dyDescent="0.3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5" hidden="1" x14ac:dyDescent="0.3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5" hidden="1" x14ac:dyDescent="0.3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5" hidden="1" x14ac:dyDescent="0.3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5" hidden="1" x14ac:dyDescent="0.3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5" hidden="1" x14ac:dyDescent="0.3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5" hidden="1" x14ac:dyDescent="0.3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5" hidden="1" x14ac:dyDescent="0.3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5" hidden="1" x14ac:dyDescent="0.3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5" hidden="1" x14ac:dyDescent="0.3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5" hidden="1" x14ac:dyDescent="0.3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5" hidden="1" x14ac:dyDescent="0.3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5" hidden="1" x14ac:dyDescent="0.3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5" hidden="1" x14ac:dyDescent="0.3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5" hidden="1" x14ac:dyDescent="0.3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5" hidden="1" x14ac:dyDescent="0.3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5" hidden="1" x14ac:dyDescent="0.3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5" hidden="1" x14ac:dyDescent="0.3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5" hidden="1" x14ac:dyDescent="0.3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5" hidden="1" x14ac:dyDescent="0.3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5" hidden="1" x14ac:dyDescent="0.3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5" hidden="1" x14ac:dyDescent="0.3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5" hidden="1" x14ac:dyDescent="0.3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5" hidden="1" x14ac:dyDescent="0.3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5" hidden="1" x14ac:dyDescent="0.3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5" hidden="1" x14ac:dyDescent="0.3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5" hidden="1" x14ac:dyDescent="0.3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5" hidden="1" x14ac:dyDescent="0.3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5" hidden="1" x14ac:dyDescent="0.3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5" hidden="1" x14ac:dyDescent="0.3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5" hidden="1" x14ac:dyDescent="0.3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5" hidden="1" x14ac:dyDescent="0.3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5" hidden="1" x14ac:dyDescent="0.3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5" hidden="1" x14ac:dyDescent="0.3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5" hidden="1" x14ac:dyDescent="0.3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5" hidden="1" x14ac:dyDescent="0.3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5" hidden="1" x14ac:dyDescent="0.3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5" hidden="1" x14ac:dyDescent="0.3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5" hidden="1" x14ac:dyDescent="0.3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5" hidden="1" x14ac:dyDescent="0.3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5" hidden="1" x14ac:dyDescent="0.3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5" hidden="1" x14ac:dyDescent="0.3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5" hidden="1" x14ac:dyDescent="0.3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5" hidden="1" x14ac:dyDescent="0.3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5" hidden="1" x14ac:dyDescent="0.3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5" hidden="1" x14ac:dyDescent="0.3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5" hidden="1" x14ac:dyDescent="0.3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5" hidden="1" x14ac:dyDescent="0.3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5" hidden="1" x14ac:dyDescent="0.3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5" hidden="1" x14ac:dyDescent="0.3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5" hidden="1" x14ac:dyDescent="0.3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5" hidden="1" x14ac:dyDescent="0.3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5" hidden="1" x14ac:dyDescent="0.3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5" hidden="1" x14ac:dyDescent="0.3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5" hidden="1" x14ac:dyDescent="0.3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5" hidden="1" x14ac:dyDescent="0.3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5" hidden="1" x14ac:dyDescent="0.3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5" hidden="1" x14ac:dyDescent="0.3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5" hidden="1" x14ac:dyDescent="0.3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5" hidden="1" x14ac:dyDescent="0.3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5" hidden="1" x14ac:dyDescent="0.3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5" hidden="1" x14ac:dyDescent="0.3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5" hidden="1" x14ac:dyDescent="0.3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5" hidden="1" x14ac:dyDescent="0.3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5" hidden="1" x14ac:dyDescent="0.3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5" hidden="1" x14ac:dyDescent="0.3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5" hidden="1" x14ac:dyDescent="0.3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5" hidden="1" x14ac:dyDescent="0.3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5" hidden="1" x14ac:dyDescent="0.3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5" hidden="1" x14ac:dyDescent="0.3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5" hidden="1" x14ac:dyDescent="0.3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5" hidden="1" x14ac:dyDescent="0.3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5" hidden="1" x14ac:dyDescent="0.3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5" hidden="1" x14ac:dyDescent="0.3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5" hidden="1" x14ac:dyDescent="0.3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5" hidden="1" x14ac:dyDescent="0.3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5" hidden="1" x14ac:dyDescent="0.3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5" hidden="1" x14ac:dyDescent="0.3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3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3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622300</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1422400</xdr:colOff>
                    <xdr:row>0</xdr:row>
                    <xdr:rowOff>57150</xdr:rowOff>
                  </from>
                  <to>
                    <xdr:col>32</xdr:col>
                    <xdr:colOff>438150</xdr:colOff>
                    <xdr:row>1</xdr:row>
                    <xdr:rowOff>12700</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165100</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88900</xdr:colOff>
                    <xdr:row>0</xdr:row>
                    <xdr:rowOff>57150</xdr:rowOff>
                  </from>
                  <to>
                    <xdr:col>46</xdr:col>
                    <xdr:colOff>336550</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527050</xdr:colOff>
                    <xdr:row>0</xdr:row>
                    <xdr:rowOff>57150</xdr:rowOff>
                  </from>
                  <to>
                    <xdr:col>49</xdr:col>
                    <xdr:colOff>146050</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527050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4.5" x14ac:dyDescent="0.35"/>
  <cols>
    <col min="1" max="1" width="26" bestFit="1" customWidth="1"/>
    <col min="2" max="2" width="33.453125" bestFit="1" customWidth="1"/>
    <col min="3" max="3" width="7.7265625" bestFit="1" customWidth="1"/>
    <col min="4" max="4" width="10.7265625" bestFit="1" customWidth="1"/>
    <col min="5" max="5" width="5.54296875" bestFit="1" customWidth="1"/>
    <col min="6" max="6" width="6.26953125" bestFit="1" customWidth="1"/>
    <col min="7" max="7" width="21" customWidth="1"/>
    <col min="8" max="8" width="41.1796875" bestFit="1" customWidth="1"/>
    <col min="9" max="17" width="14.1796875" bestFit="1" customWidth="1"/>
    <col min="18" max="21" width="15.1796875" bestFit="1" customWidth="1"/>
  </cols>
  <sheetData>
    <row r="1" spans="1:21" x14ac:dyDescent="0.35">
      <c r="B1" s="14"/>
      <c r="C1" s="14"/>
      <c r="D1" s="14"/>
      <c r="E1" s="14"/>
      <c r="F1" s="14"/>
      <c r="I1">
        <v>1</v>
      </c>
      <c r="J1">
        <f>I1+1</f>
        <v>2</v>
      </c>
      <c r="K1">
        <f>J1+1</f>
        <v>3</v>
      </c>
    </row>
    <row r="2" spans="1:21" x14ac:dyDescent="0.3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35">
      <c r="H3" t="s">
        <v>334</v>
      </c>
      <c r="I3" s="18" t="str">
        <f>CaseID&amp;""</f>
        <v/>
      </c>
      <c r="J3" s="18" t="str">
        <f>CaseID&amp;""</f>
        <v/>
      </c>
      <c r="K3" s="18" t="str">
        <f>CaseID&amp;""</f>
        <v/>
      </c>
      <c r="L3" s="18"/>
      <c r="M3" s="18"/>
      <c r="N3" s="18"/>
      <c r="O3" s="18"/>
      <c r="P3" s="18"/>
      <c r="Q3" s="18"/>
      <c r="R3" s="18"/>
      <c r="S3" s="18"/>
      <c r="T3" s="18"/>
      <c r="U3" s="18"/>
    </row>
    <row r="4" spans="1:21" x14ac:dyDescent="0.3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3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35">
      <c r="H6" t="s">
        <v>337</v>
      </c>
      <c r="I6" s="18" t="str">
        <f>office&amp;""</f>
        <v/>
      </c>
      <c r="J6" s="18" t="str">
        <f>office&amp;""</f>
        <v/>
      </c>
      <c r="K6" s="18" t="str">
        <f>office&amp;""</f>
        <v/>
      </c>
      <c r="L6" s="18"/>
      <c r="M6" s="18"/>
      <c r="N6" s="18"/>
      <c r="O6" s="18"/>
      <c r="P6" s="18"/>
      <c r="Q6" s="18"/>
      <c r="R6" s="18"/>
      <c r="S6" s="18"/>
      <c r="T6" s="18"/>
      <c r="U6" s="18"/>
    </row>
    <row r="7" spans="1:21" x14ac:dyDescent="0.35">
      <c r="H7" t="s">
        <v>313</v>
      </c>
      <c r="I7" s="18" t="str">
        <f>serviceType&amp;""</f>
        <v/>
      </c>
      <c r="J7" s="18" t="str">
        <f>serviceType&amp;""</f>
        <v/>
      </c>
      <c r="K7" s="18" t="str">
        <f>serviceType&amp;""</f>
        <v/>
      </c>
      <c r="L7" s="18"/>
      <c r="M7" s="18"/>
      <c r="N7" s="18"/>
      <c r="O7" s="18"/>
      <c r="P7" s="18"/>
      <c r="Q7" s="18"/>
      <c r="R7" s="18"/>
      <c r="S7" s="18"/>
      <c r="T7" s="18"/>
      <c r="U7" s="18"/>
    </row>
    <row r="8" spans="1:21" x14ac:dyDescent="0.35">
      <c r="H8" t="s">
        <v>338</v>
      </c>
      <c r="I8" s="19">
        <f>nCaregivers</f>
        <v>1</v>
      </c>
      <c r="J8" s="19">
        <f>nCaregivers</f>
        <v>1</v>
      </c>
      <c r="K8" s="19">
        <f>nCaregivers</f>
        <v>1</v>
      </c>
      <c r="L8" s="19"/>
      <c r="M8" s="19"/>
      <c r="N8" s="19"/>
      <c r="O8" s="19"/>
      <c r="P8" s="19"/>
      <c r="Q8" s="19"/>
      <c r="R8" s="19"/>
      <c r="S8" s="19"/>
      <c r="T8" s="19"/>
      <c r="U8" s="19"/>
    </row>
    <row r="9" spans="1:21" x14ac:dyDescent="0.3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3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3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3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3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3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3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3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3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3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3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3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3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3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3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3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3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3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3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3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3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3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3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3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3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3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3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3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3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3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3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3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3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3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3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3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3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3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3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3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3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3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3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3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3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3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3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3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3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3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3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3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3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3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3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3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3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3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3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3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3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3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3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3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3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3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3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3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3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3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3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3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3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3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3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3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3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3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3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3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3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3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3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3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3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3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3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3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3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3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3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3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3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3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3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3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3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3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3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3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3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3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3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3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3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3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3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3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3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3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3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3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3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3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3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3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3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3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3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3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3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3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3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3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3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3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3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3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3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3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3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3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3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3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3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3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3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3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3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3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3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3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3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3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3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3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3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3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3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3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3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3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3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3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3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3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3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3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3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3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3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3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3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3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3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3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3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3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3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3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3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3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3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3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3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3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3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3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3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3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3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3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3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3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3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3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3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3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3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3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3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3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3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3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3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3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3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3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3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3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3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3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3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3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3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3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3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3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3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3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3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3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3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3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3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3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3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3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3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3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3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3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3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3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3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3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3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3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3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3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3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3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3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3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3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3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3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3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3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3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3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3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3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3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3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3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3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3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3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3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3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3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3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3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3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3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3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3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3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3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3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3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3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3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3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3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3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3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3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3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3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3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3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3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3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3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3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3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3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3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3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3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3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3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3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3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3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3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3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3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3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3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3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3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3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3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3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3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3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3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3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3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3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3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3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3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3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3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3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3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3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3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3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3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3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3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3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3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3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3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3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3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3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3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3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3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3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3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3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3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3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3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3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3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3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3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3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3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3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3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3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3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3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3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3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3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3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3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3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3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3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3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3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3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3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3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3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3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3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3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3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3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3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3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3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3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3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3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3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3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3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3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3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3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3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3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3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3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3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3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3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3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3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3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3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3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3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3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3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3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3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3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3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3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3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3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3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3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3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3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3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3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3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3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3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3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3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3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3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3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3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3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3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3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3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3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3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3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3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3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3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3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3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3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3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3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3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3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3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3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3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3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3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3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3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3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3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3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3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3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3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3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3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3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3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3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3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3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3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3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3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3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3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3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3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3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3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3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3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3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3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3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3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3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3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3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3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3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3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3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3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3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3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3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3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3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3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3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3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3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3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3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3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3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3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3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3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3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3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3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3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3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3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4.5" x14ac:dyDescent="0.35"/>
  <cols>
    <col min="1" max="5" width="12.7265625" customWidth="1"/>
    <col min="6" max="6" width="16.81640625" bestFit="1" customWidth="1"/>
    <col min="7" max="7" width="22.453125" bestFit="1" customWidth="1"/>
    <col min="8" max="8" width="22" bestFit="1" customWidth="1"/>
    <col min="9" max="9" width="18" bestFit="1" customWidth="1"/>
    <col min="10" max="11" width="19.81640625" bestFit="1" customWidth="1"/>
    <col min="12" max="12" width="23.81640625" bestFit="1" customWidth="1"/>
    <col min="13" max="13" width="23.453125" bestFit="1" customWidth="1"/>
    <col min="14" max="14" width="26" bestFit="1" customWidth="1"/>
    <col min="15" max="15" width="23.453125" bestFit="1" customWidth="1"/>
    <col min="16" max="16" width="23.81640625" bestFit="1" customWidth="1"/>
    <col min="17" max="17" width="23.453125" bestFit="1" customWidth="1"/>
    <col min="18" max="18" width="26" bestFit="1" customWidth="1"/>
    <col min="19" max="19" width="23.453125" bestFit="1" customWidth="1"/>
    <col min="20" max="20" width="23.81640625" bestFit="1" customWidth="1"/>
    <col min="21" max="21" width="23.453125" bestFit="1" customWidth="1"/>
    <col min="22" max="22" width="26" bestFit="1" customWidth="1"/>
    <col min="23" max="23" width="23.453125" bestFit="1" customWidth="1"/>
    <col min="24" max="24" width="23.81640625" bestFit="1" customWidth="1"/>
    <col min="25" max="25" width="23.453125" bestFit="1" customWidth="1"/>
    <col min="26" max="26" width="26" bestFit="1" customWidth="1"/>
    <col min="27" max="27" width="23.453125" bestFit="1" customWidth="1"/>
    <col min="28" max="28" width="23.81640625" bestFit="1" customWidth="1"/>
    <col min="29" max="29" width="23.453125" bestFit="1" customWidth="1"/>
    <col min="30" max="30" width="26" bestFit="1" customWidth="1"/>
    <col min="31" max="31" width="23.453125" bestFit="1" customWidth="1"/>
    <col min="32" max="32" width="22.26953125" bestFit="1" customWidth="1"/>
    <col min="33" max="33" width="28.26953125" bestFit="1" customWidth="1"/>
    <col min="34" max="34" width="22.7265625" bestFit="1" customWidth="1"/>
    <col min="35" max="35" width="24.1796875" bestFit="1" customWidth="1"/>
    <col min="36" max="36" width="23.26953125" bestFit="1" customWidth="1"/>
    <col min="37" max="37" width="25.26953125" bestFit="1" customWidth="1"/>
    <col min="38" max="38" width="27" bestFit="1" customWidth="1"/>
    <col min="39" max="39" width="33" bestFit="1" customWidth="1"/>
    <col min="40" max="40" width="27.453125" bestFit="1" customWidth="1"/>
    <col min="41" max="41" width="28.81640625" bestFit="1" customWidth="1"/>
    <col min="42" max="42" width="28" bestFit="1" customWidth="1"/>
    <col min="43" max="43" width="30.1796875" bestFit="1" customWidth="1"/>
    <col min="44" max="44" width="13.26953125" bestFit="1" customWidth="1"/>
    <col min="45" max="45" width="19.26953125" bestFit="1" customWidth="1"/>
    <col min="46" max="46" width="13.7265625" bestFit="1" customWidth="1"/>
    <col min="47" max="47" width="15.1796875" bestFit="1" customWidth="1"/>
    <col min="48" max="48" width="14.26953125" bestFit="1" customWidth="1"/>
    <col min="49" max="49" width="16.26953125" bestFit="1" customWidth="1"/>
    <col min="50" max="50" width="16" bestFit="1" customWidth="1"/>
    <col min="51" max="51" width="22.1796875" bestFit="1" customWidth="1"/>
    <col min="52" max="52" width="16.453125" bestFit="1" customWidth="1"/>
    <col min="53" max="53" width="18" bestFit="1" customWidth="1"/>
    <col min="54" max="54" width="17" bestFit="1" customWidth="1"/>
    <col min="55" max="55" width="19.1796875" bestFit="1" customWidth="1"/>
    <col min="56" max="56" width="16" bestFit="1" customWidth="1"/>
    <col min="57" max="57" width="22.1796875" bestFit="1" customWidth="1"/>
    <col min="58" max="58" width="16.453125" bestFit="1" customWidth="1"/>
    <col min="59" max="59" width="18" bestFit="1" customWidth="1"/>
    <col min="60" max="60" width="17" bestFit="1" customWidth="1"/>
    <col min="61" max="61" width="19.1796875" bestFit="1" customWidth="1"/>
    <col min="62" max="62" width="16" bestFit="1" customWidth="1"/>
    <col min="63" max="63" width="22.1796875" bestFit="1" customWidth="1"/>
    <col min="64" max="64" width="16.453125" bestFit="1" customWidth="1"/>
    <col min="65" max="65" width="18" bestFit="1" customWidth="1"/>
    <col min="66" max="66" width="17" bestFit="1" customWidth="1"/>
    <col min="67" max="67" width="19.1796875" bestFit="1" customWidth="1"/>
    <col min="68" max="68" width="12" bestFit="1" customWidth="1"/>
    <col min="69" max="69" width="13.7265625" bestFit="1" customWidth="1"/>
    <col min="70" max="70" width="11.54296875" bestFit="1" customWidth="1"/>
    <col min="71" max="71" width="12.81640625" bestFit="1" customWidth="1"/>
    <col min="72" max="72" width="12.453125" bestFit="1" customWidth="1"/>
    <col min="73" max="73" width="10.81640625" bestFit="1" customWidth="1"/>
    <col min="74" max="74" width="13.26953125" bestFit="1" customWidth="1"/>
    <col min="75" max="75" width="10.26953125" bestFit="1" customWidth="1"/>
    <col min="76" max="76" width="14.81640625" bestFit="1" customWidth="1"/>
    <col min="77" max="77" width="18.1796875" bestFit="1" customWidth="1"/>
    <col min="78" max="78" width="15.26953125" bestFit="1" customWidth="1"/>
    <col min="79" max="79" width="21.1796875" bestFit="1" customWidth="1"/>
    <col min="80" max="80" width="18.1796875" bestFit="1" customWidth="1"/>
    <col min="81" max="81" width="22.1796875" bestFit="1" customWidth="1"/>
    <col min="82" max="82" width="17" bestFit="1" customWidth="1"/>
    <col min="83" max="83" width="14" bestFit="1" customWidth="1"/>
    <col min="84" max="84" width="12.26953125" bestFit="1" customWidth="1"/>
    <col min="85" max="85" width="10.7265625" bestFit="1" customWidth="1"/>
    <col min="86" max="86" width="9.54296875" bestFit="1" customWidth="1"/>
    <col min="87" max="87" width="9.453125" bestFit="1" customWidth="1"/>
    <col min="88" max="88" width="11.54296875" bestFit="1" customWidth="1"/>
    <col min="89" max="89" width="20.453125" bestFit="1" customWidth="1"/>
    <col min="90" max="90" width="21" bestFit="1" customWidth="1"/>
    <col min="91" max="91" width="19" bestFit="1" customWidth="1"/>
    <col min="92" max="92" width="16.54296875" bestFit="1" customWidth="1"/>
    <col min="93" max="93" width="22.54296875" bestFit="1" customWidth="1"/>
    <col min="94" max="94" width="23.54296875" bestFit="1" customWidth="1"/>
    <col min="95" max="95" width="18.1796875" bestFit="1" customWidth="1"/>
    <col min="96" max="96" width="20.453125" bestFit="1" customWidth="1"/>
    <col min="97" max="97" width="21" bestFit="1" customWidth="1"/>
    <col min="98" max="98" width="19.7265625" bestFit="1" customWidth="1"/>
    <col min="99" max="99" width="21" bestFit="1" customWidth="1"/>
    <col min="100" max="100" width="13.453125" bestFit="1" customWidth="1"/>
    <col min="101" max="101" width="13.26953125" bestFit="1" customWidth="1"/>
    <col min="102" max="102" width="14.54296875" bestFit="1" customWidth="1"/>
    <col min="103" max="103" width="9.7265625" bestFit="1" customWidth="1"/>
    <col min="104" max="104" width="14.7265625" bestFit="1" customWidth="1"/>
    <col min="105" max="105" width="11.1796875" bestFit="1" customWidth="1"/>
    <col min="106" max="106" width="12.26953125" bestFit="1" customWidth="1"/>
    <col min="107" max="107" width="8.26953125" bestFit="1" customWidth="1"/>
    <col min="108" max="108" width="10" bestFit="1" customWidth="1"/>
    <col min="109" max="109" width="8.26953125" bestFit="1" customWidth="1"/>
    <col min="110" max="110" width="10.54296875" bestFit="1" customWidth="1"/>
    <col min="111" max="111" width="9.7265625" bestFit="1" customWidth="1"/>
    <col min="112" max="112" width="14.1796875" bestFit="1" customWidth="1"/>
    <col min="113" max="113" width="12.54296875" bestFit="1" customWidth="1"/>
    <col min="114" max="114" width="9.26953125" bestFit="1" customWidth="1"/>
    <col min="115" max="115" width="13.26953125" bestFit="1" customWidth="1"/>
    <col min="116" max="116" width="10.26953125" bestFit="1" customWidth="1"/>
    <col min="117" max="117" width="12.54296875" bestFit="1" customWidth="1"/>
    <col min="118" max="119" width="15.26953125" bestFit="1" customWidth="1"/>
    <col min="120" max="120" width="14.26953125" bestFit="1" customWidth="1"/>
    <col min="121" max="121" width="15.453125" bestFit="1" customWidth="1"/>
    <col min="122" max="122" width="20.1796875" bestFit="1" customWidth="1"/>
    <col min="123" max="123" width="24.453125" bestFit="1" customWidth="1"/>
    <col min="124" max="124" width="27.81640625" bestFit="1" customWidth="1"/>
    <col min="125" max="125" width="25.1796875" bestFit="1" customWidth="1"/>
    <col min="126" max="126" width="22" bestFit="1" customWidth="1"/>
    <col min="127" max="127" width="24.7265625" bestFit="1" customWidth="1"/>
    <col min="128" max="128" width="23.81640625" bestFit="1" customWidth="1"/>
    <col min="129" max="129" width="16.453125" bestFit="1" customWidth="1"/>
    <col min="130" max="130" width="11.26953125" bestFit="1" customWidth="1"/>
    <col min="131" max="131" width="8.81640625" bestFit="1" customWidth="1"/>
    <col min="132" max="133" width="11.81640625" bestFit="1" customWidth="1"/>
    <col min="134" max="134" width="14.54296875" bestFit="1" customWidth="1"/>
    <col min="135" max="135" width="14" bestFit="1" customWidth="1"/>
    <col min="136" max="136" width="9.54296875" bestFit="1" customWidth="1"/>
    <col min="137" max="137" width="10.1796875" bestFit="1" customWidth="1"/>
    <col min="138" max="138" width="11.54296875" bestFit="1" customWidth="1"/>
    <col min="139" max="139" width="14.453125" bestFit="1" customWidth="1"/>
    <col min="140" max="140" width="16" bestFit="1" customWidth="1"/>
    <col min="141" max="141" width="18.26953125" bestFit="1" customWidth="1"/>
    <col min="142" max="142" width="18.1796875" bestFit="1" customWidth="1"/>
    <col min="143" max="143" width="9.81640625" bestFit="1" customWidth="1"/>
    <col min="144" max="144" width="10.81640625" bestFit="1" customWidth="1"/>
    <col min="145" max="145" width="10.54296875" bestFit="1" customWidth="1"/>
    <col min="146" max="147" width="12.7265625" bestFit="1" customWidth="1"/>
    <col min="148" max="148" width="9" bestFit="1" customWidth="1"/>
    <col min="149" max="149" width="11.26953125" bestFit="1" customWidth="1"/>
    <col min="150" max="150" width="12.81640625" bestFit="1" customWidth="1"/>
    <col min="151" max="151" width="15.26953125" bestFit="1" customWidth="1"/>
    <col min="152" max="152" width="10.81640625" bestFit="1" customWidth="1"/>
    <col min="153" max="153" width="9.7265625" bestFit="1" customWidth="1"/>
    <col min="154" max="154" width="8.81640625" bestFit="1" customWidth="1"/>
    <col min="155" max="155" width="16.1796875" bestFit="1" customWidth="1"/>
    <col min="156" max="156" width="12" bestFit="1" customWidth="1"/>
    <col min="157" max="157" width="15" bestFit="1" customWidth="1"/>
    <col min="158" max="158" width="11.7265625" bestFit="1" customWidth="1"/>
    <col min="159" max="159" width="8.7265625" bestFit="1" customWidth="1"/>
    <col min="160" max="160" width="11.7265625" bestFit="1" customWidth="1"/>
    <col min="161" max="161" width="10.81640625" bestFit="1" customWidth="1"/>
    <col min="162" max="162" width="9.7265625" bestFit="1" customWidth="1"/>
    <col min="163" max="163" width="12.26953125" bestFit="1" customWidth="1"/>
    <col min="164" max="164" width="11.81640625" bestFit="1" customWidth="1"/>
    <col min="165" max="165" width="9.81640625" bestFit="1" customWidth="1"/>
    <col min="166" max="166" width="11.7265625" bestFit="1" customWidth="1"/>
    <col min="167" max="167" width="11.81640625" bestFit="1" customWidth="1"/>
    <col min="168" max="168" width="12.81640625" bestFit="1" customWidth="1"/>
    <col min="169" max="169" width="13.1796875" bestFit="1" customWidth="1"/>
    <col min="170" max="170" width="18.26953125" bestFit="1" customWidth="1"/>
    <col min="171" max="171" width="18.81640625" bestFit="1" customWidth="1"/>
    <col min="172" max="172" width="12.26953125" bestFit="1" customWidth="1"/>
    <col min="173" max="173" width="15.81640625" bestFit="1" customWidth="1"/>
  </cols>
  <sheetData>
    <row r="1" spans="1:499" x14ac:dyDescent="0.3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3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3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3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3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3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3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3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3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3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3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3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3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3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4.5" x14ac:dyDescent="0.35"/>
  <cols>
    <col min="1" max="1" width="6.26953125" bestFit="1" customWidth="1"/>
    <col min="2" max="2" width="9" bestFit="1" customWidth="1"/>
    <col min="3" max="3" width="7.1796875" bestFit="1" customWidth="1"/>
    <col min="4" max="4" width="6.26953125" bestFit="1" customWidth="1"/>
    <col min="6" max="6" width="10.7265625" bestFit="1" customWidth="1"/>
    <col min="7" max="7" width="7.81640625" bestFit="1" customWidth="1"/>
    <col min="8" max="8" width="8.1796875" bestFit="1" customWidth="1"/>
    <col min="9" max="9" width="29.26953125" bestFit="1" customWidth="1"/>
    <col min="10" max="10" width="33.81640625" bestFit="1" customWidth="1"/>
    <col min="11" max="11" width="6.54296875" bestFit="1" customWidth="1"/>
    <col min="12" max="12" width="16" bestFit="1" customWidth="1"/>
    <col min="15" max="17" width="10.7265625" customWidth="1"/>
    <col min="18" max="20" width="25.7265625" customWidth="1"/>
    <col min="21" max="21" width="7.1796875" customWidth="1"/>
    <col min="22" max="22" width="10.7265625" bestFit="1" customWidth="1"/>
    <col min="38" max="38" width="46.54296875" bestFit="1" customWidth="1"/>
    <col min="51" max="51" width="46.54296875" bestFit="1" customWidth="1"/>
    <col min="64" max="64" width="26.26953125" bestFit="1" customWidth="1"/>
  </cols>
  <sheetData>
    <row r="1" spans="1:64" ht="17" x14ac:dyDescent="0.4">
      <c r="A1" s="22" t="s">
        <v>255</v>
      </c>
    </row>
    <row r="2" spans="1:64" ht="17" x14ac:dyDescent="0.4">
      <c r="A2" s="22" t="s">
        <v>256</v>
      </c>
    </row>
    <row r="3" spans="1:64" s="8" customFormat="1" ht="29" x14ac:dyDescent="0.3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3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3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3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3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3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3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3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3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3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3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3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3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3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3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3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3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3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3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3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3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3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3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3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3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3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3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3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3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3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3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3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3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3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3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3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3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3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3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3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3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3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3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3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3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3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3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3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3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3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3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3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3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3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3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3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3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3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3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3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3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3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3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3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3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3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3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3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3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3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3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3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3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3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3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3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3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3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3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3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3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3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3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3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3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3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3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3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3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3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3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3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3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3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3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3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3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3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3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3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3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3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3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3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3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3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3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3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3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3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3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3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3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3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3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3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3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3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3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3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3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3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3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3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3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3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3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3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3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3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3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3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3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3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3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3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3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3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3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3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3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3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3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3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3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3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3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3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3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3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3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3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3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3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3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3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3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3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3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3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3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3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3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3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3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3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3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3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3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3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3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3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3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3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3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3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3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3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3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3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3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3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3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3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3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3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3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3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3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3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3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3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3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3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3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3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3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3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3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3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3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3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3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3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3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3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3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3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3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3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3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3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3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3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3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3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3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3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3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3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3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3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3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3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3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3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3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3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3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3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3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3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3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3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3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3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3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3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3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3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3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3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3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3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3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3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3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3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3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3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3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3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3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3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3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3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3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3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3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3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3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3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3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3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3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3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3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3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3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3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3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3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3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3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3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3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3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3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3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3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3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3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3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3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3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3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3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3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3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3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3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3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3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3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3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3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3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3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3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3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3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3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3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3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3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3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3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3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3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3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3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3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3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3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3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3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3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3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3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3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3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3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3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3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3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3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3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3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3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3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3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3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3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3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3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3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3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3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3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3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3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3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3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3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3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3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3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3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3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3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3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3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3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3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3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3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3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3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3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3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3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3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3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3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3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3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3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3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3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3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3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3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3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3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3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3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3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3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3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3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3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3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3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3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3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3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3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3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3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3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3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3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3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3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3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3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3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3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3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3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3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3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3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3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3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3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3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3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3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3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3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3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3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3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3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3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3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3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3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3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3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3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3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3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3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3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3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3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3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3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3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3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3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3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3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3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3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3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3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3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3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3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3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3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3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3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3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3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3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3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3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3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3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3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3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3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3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3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3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3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3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3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3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3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3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3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3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3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3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3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3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3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3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3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3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3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3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3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3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3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3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3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3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3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3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3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3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3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3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3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3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3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3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3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3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3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3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3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3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3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3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3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3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3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3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3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3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3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3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3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3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3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3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3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3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3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3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3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3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3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3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3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3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3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3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3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3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3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3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3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3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3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3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3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3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3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3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3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3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3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3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3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3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3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3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3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3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3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3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3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3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3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3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3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3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3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3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3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3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3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3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3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3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3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3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3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3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3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3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3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3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3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3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3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3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3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3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3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3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3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3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3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3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3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3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3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3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3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3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3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3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3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3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3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3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3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3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3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3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3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3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3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3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3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3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3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3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3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3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3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3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3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3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3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3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3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3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3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3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3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3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3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3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3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3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3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3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3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3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3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3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3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3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3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3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3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3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3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3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3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3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3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3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3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3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3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3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3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3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3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3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3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3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3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3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3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3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3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3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3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3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3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3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3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3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3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3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3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3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3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3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3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3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3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3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3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3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3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3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3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3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3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3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3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3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3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3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3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3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3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3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3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3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3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3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3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3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3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3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3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3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3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3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3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3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3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3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3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3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3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3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3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3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3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3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3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3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3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3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3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3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3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3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3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3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3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3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3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3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3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3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3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3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3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3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3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3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3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3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3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3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3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3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3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3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3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3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3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3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3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3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3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3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3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3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3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3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3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3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3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3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3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3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3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3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3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3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3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3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3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3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3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3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3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3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3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3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3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3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3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3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3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3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3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3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3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3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3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3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3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3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3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3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3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3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3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3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3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3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3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3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3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3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3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3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3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3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3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3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3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3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3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3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3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3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3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3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3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3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3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3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3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3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3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3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3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3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3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3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3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3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3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3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3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3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3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3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3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3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3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3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3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3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3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3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3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3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3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3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3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3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3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3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3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3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3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3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3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3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3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3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3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3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3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3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3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3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3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3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3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3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3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3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3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3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3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3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3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3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3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3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3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3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3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3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3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3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3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3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3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3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3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3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3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3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3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3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3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3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3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3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3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3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3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3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3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3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3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3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3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3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3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3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3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3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3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3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3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3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3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3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3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3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3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3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3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3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3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3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3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3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3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3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3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3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3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3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3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3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3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3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3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3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3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3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3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3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3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3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3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3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3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3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3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3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3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3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3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3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3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3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3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3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3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3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3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3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3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3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3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3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3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3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3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3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3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3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3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3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3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3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3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3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3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3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3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3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3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3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3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3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3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3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3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3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3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3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3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3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3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3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3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3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3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3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3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3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3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3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3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3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3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3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3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3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3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3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3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3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3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3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3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3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3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3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3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3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3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3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3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3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3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3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3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3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3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3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3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3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3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3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ColWidth="9.1796875" defaultRowHeight="14.5" x14ac:dyDescent="0.35"/>
  <cols>
    <col min="1" max="1" width="3.7265625" style="111" customWidth="1"/>
    <col min="2" max="2" width="76.7265625" style="145" hidden="1" customWidth="1"/>
    <col min="3" max="3" width="32.26953125" style="111" customWidth="1"/>
    <col min="4" max="5" width="38.7265625" style="111" customWidth="1"/>
    <col min="6" max="6" width="4.81640625" style="111" customWidth="1"/>
    <col min="7" max="7" width="9.1796875" style="111"/>
    <col min="8" max="11" width="9.1796875" style="111" customWidth="1"/>
    <col min="12" max="16384" width="9.1796875" style="111"/>
  </cols>
  <sheetData>
    <row r="1" spans="1:6" ht="28.5" x14ac:dyDescent="0.65">
      <c r="A1" s="167" t="s">
        <v>303</v>
      </c>
      <c r="B1" s="128"/>
      <c r="C1" s="166"/>
      <c r="D1" s="129"/>
      <c r="E1" s="129"/>
      <c r="F1" s="129"/>
    </row>
    <row r="2" spans="1:6" x14ac:dyDescent="0.35">
      <c r="A2" s="130"/>
      <c r="B2" s="131"/>
      <c r="C2" s="134" t="s">
        <v>304</v>
      </c>
      <c r="D2" s="134" t="str">
        <f>FamilyName&amp;""</f>
        <v/>
      </c>
      <c r="E2" s="132"/>
      <c r="F2" s="130"/>
    </row>
    <row r="3" spans="1:6" x14ac:dyDescent="0.35">
      <c r="A3" s="124"/>
      <c r="B3" s="133"/>
      <c r="C3" s="134" t="str">
        <f>"Information from latest assessment: "&amp;TEXT(dateLastAssess, "M/D/YYYY")</f>
        <v>Information from latest assessment: 1/1/2018</v>
      </c>
      <c r="D3" s="135"/>
      <c r="E3" s="132"/>
      <c r="F3" s="124"/>
    </row>
    <row r="4" spans="1:6" x14ac:dyDescent="0.35">
      <c r="A4" s="124"/>
      <c r="B4" s="133"/>
      <c r="C4" s="134"/>
      <c r="D4" s="135"/>
      <c r="E4" s="132"/>
      <c r="F4" s="124"/>
    </row>
    <row r="5" spans="1:6" x14ac:dyDescent="0.35">
      <c r="A5" s="124"/>
      <c r="B5" s="136" t="s">
        <v>680</v>
      </c>
      <c r="C5" s="137"/>
      <c r="D5" s="138" t="s">
        <v>258</v>
      </c>
      <c r="E5" s="138" t="s">
        <v>259</v>
      </c>
      <c r="F5" s="124"/>
    </row>
    <row r="6" spans="1:6" x14ac:dyDescent="0.3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35">
      <c r="A7" s="124"/>
      <c r="B7" s="133" t="s">
        <v>305</v>
      </c>
      <c r="C7" s="173" t="s">
        <v>305</v>
      </c>
      <c r="D7" s="139" t="str">
        <f t="shared" ca="1" si="0"/>
        <v/>
      </c>
      <c r="E7" s="139" t="str">
        <f t="shared" ca="1" si="1"/>
        <v/>
      </c>
      <c r="F7" s="124"/>
    </row>
    <row r="8" spans="1:6" x14ac:dyDescent="0.35">
      <c r="A8" s="124"/>
      <c r="B8" s="133" t="s">
        <v>323</v>
      </c>
      <c r="C8" s="173" t="str">
        <f>"Caregiver Functioning - "&amp;CGName1</f>
        <v xml:space="preserve">Caregiver Functioning - </v>
      </c>
      <c r="D8" s="139" t="str">
        <f t="shared" ca="1" si="0"/>
        <v/>
      </c>
      <c r="E8" s="139" t="str">
        <f t="shared" ca="1" si="1"/>
        <v/>
      </c>
      <c r="F8" s="124"/>
    </row>
    <row r="9" spans="1:6" x14ac:dyDescent="0.35">
      <c r="A9" s="124"/>
      <c r="B9" s="133" t="s">
        <v>324</v>
      </c>
      <c r="C9" s="173" t="str">
        <f>"Caregiver Functioning - "&amp;CGName2</f>
        <v xml:space="preserve">Caregiver Functioning - </v>
      </c>
      <c r="D9" s="139" t="str">
        <f t="shared" ca="1" si="0"/>
        <v/>
      </c>
      <c r="E9" s="139" t="str">
        <f t="shared" ca="1" si="1"/>
        <v/>
      </c>
      <c r="F9" s="124"/>
    </row>
    <row r="10" spans="1:6" x14ac:dyDescent="0.35">
      <c r="A10" s="124"/>
      <c r="B10" s="133" t="s">
        <v>667</v>
      </c>
      <c r="C10" s="173" t="str">
        <f>"Caregiver Functioning - "&amp;CGName3</f>
        <v xml:space="preserve">Caregiver Functioning - </v>
      </c>
      <c r="D10" s="139" t="str">
        <f t="shared" ca="1" si="0"/>
        <v/>
      </c>
      <c r="E10" s="139" t="str">
        <f t="shared" ca="1" si="1"/>
        <v/>
      </c>
      <c r="F10" s="124"/>
    </row>
    <row r="11" spans="1:6" x14ac:dyDescent="0.35">
      <c r="A11" s="124"/>
      <c r="B11" s="133" t="s">
        <v>668</v>
      </c>
      <c r="C11" s="173" t="str">
        <f>"Caregiver Functioning - "&amp;CGName4</f>
        <v xml:space="preserve">Caregiver Functioning - </v>
      </c>
      <c r="D11" s="139" t="str">
        <f t="shared" ca="1" si="0"/>
        <v/>
      </c>
      <c r="E11" s="139" t="str">
        <f t="shared" ca="1" si="1"/>
        <v/>
      </c>
      <c r="F11" s="124"/>
    </row>
    <row r="12" spans="1:6" x14ac:dyDescent="0.35">
      <c r="A12" s="124"/>
      <c r="B12" s="133" t="s">
        <v>325</v>
      </c>
      <c r="C12" s="173" t="str">
        <f>"Child Functioning - "&amp;ChildName1</f>
        <v xml:space="preserve">Child Functioning - </v>
      </c>
      <c r="D12" s="139" t="str">
        <f t="shared" ca="1" si="0"/>
        <v/>
      </c>
      <c r="E12" s="139" t="str">
        <f t="shared" ca="1" si="1"/>
        <v/>
      </c>
      <c r="F12" s="124"/>
    </row>
    <row r="13" spans="1:6" x14ac:dyDescent="0.35">
      <c r="A13" s="124"/>
      <c r="B13" s="133" t="s">
        <v>326</v>
      </c>
      <c r="C13" s="173" t="str">
        <f>"Child Functioning - "&amp;ChildName2</f>
        <v xml:space="preserve">Child Functioning - </v>
      </c>
      <c r="D13" s="139" t="str">
        <f t="shared" ca="1" si="0"/>
        <v/>
      </c>
      <c r="E13" s="139" t="str">
        <f t="shared" ca="1" si="1"/>
        <v/>
      </c>
      <c r="F13" s="124"/>
    </row>
    <row r="14" spans="1:6" x14ac:dyDescent="0.35">
      <c r="A14" s="124"/>
      <c r="B14" s="133" t="s">
        <v>327</v>
      </c>
      <c r="C14" s="173" t="str">
        <f>"Child Functioning - "&amp;ChildName3</f>
        <v xml:space="preserve">Child Functioning - </v>
      </c>
      <c r="D14" s="139" t="str">
        <f t="shared" ca="1" si="0"/>
        <v/>
      </c>
      <c r="E14" s="139" t="str">
        <f t="shared" ca="1" si="1"/>
        <v/>
      </c>
      <c r="F14" s="124"/>
    </row>
    <row r="15" spans="1:6" x14ac:dyDescent="0.35">
      <c r="A15" s="124"/>
      <c r="B15" s="133" t="s">
        <v>328</v>
      </c>
      <c r="C15" s="173" t="str">
        <f>"Child Functioning - "&amp;ChildName4</f>
        <v xml:space="preserve">Child Functioning - </v>
      </c>
      <c r="D15" s="139" t="str">
        <f t="shared" ca="1" si="0"/>
        <v/>
      </c>
      <c r="E15" s="139" t="str">
        <f t="shared" ca="1" si="1"/>
        <v/>
      </c>
      <c r="F15" s="124"/>
    </row>
    <row r="16" spans="1:6" x14ac:dyDescent="0.35">
      <c r="A16" s="124"/>
      <c r="B16" s="133" t="s">
        <v>329</v>
      </c>
      <c r="C16" s="173" t="str">
        <f>"Child Functioning - "&amp;ChildName5</f>
        <v xml:space="preserve">Child Functioning - </v>
      </c>
      <c r="D16" s="139" t="str">
        <f t="shared" ca="1" si="0"/>
        <v/>
      </c>
      <c r="E16" s="139" t="str">
        <f t="shared" ca="1" si="1"/>
        <v/>
      </c>
      <c r="F16" s="124"/>
    </row>
    <row r="17" spans="1:6" x14ac:dyDescent="0.35">
      <c r="A17" s="124"/>
      <c r="B17" s="133" t="s">
        <v>330</v>
      </c>
      <c r="C17" s="173" t="str">
        <f>"Child Functioning - "&amp;ChildName6</f>
        <v xml:space="preserve">Child Functioning - </v>
      </c>
      <c r="D17" s="139" t="str">
        <f t="shared" ca="1" si="0"/>
        <v/>
      </c>
      <c r="E17" s="139" t="str">
        <f t="shared" ca="1" si="1"/>
        <v/>
      </c>
      <c r="F17" s="124"/>
    </row>
    <row r="18" spans="1:6" x14ac:dyDescent="0.35">
      <c r="A18" s="124"/>
      <c r="B18" s="133"/>
      <c r="C18" s="140"/>
      <c r="D18" s="141" t="s">
        <v>306</v>
      </c>
      <c r="E18" s="141" t="s">
        <v>307</v>
      </c>
      <c r="F18" s="124"/>
    </row>
    <row r="19" spans="1:6" x14ac:dyDescent="0.35">
      <c r="A19" s="124"/>
      <c r="B19" s="133" t="s">
        <v>682</v>
      </c>
      <c r="C19" s="173" t="s">
        <v>10</v>
      </c>
      <c r="D19" s="139" t="str">
        <f ca="1">INDEX(USList, MATCH($B19, LastDomShortItem, 0))&amp;""</f>
        <v/>
      </c>
      <c r="E19" s="139" t="str">
        <f ca="1">INDEX(SBList, MATCH($B19, LastDomShortItem, 0))&amp;""</f>
        <v/>
      </c>
      <c r="F19" s="124"/>
    </row>
    <row r="20" spans="1:6" x14ac:dyDescent="0.35">
      <c r="A20" s="124"/>
      <c r="B20" s="133" t="s">
        <v>665</v>
      </c>
      <c r="C20" s="173" t="s">
        <v>308</v>
      </c>
      <c r="D20" s="139" t="str">
        <f ca="1">INDEX(USList, MATCH($B20, LastDomShortItem, 0))&amp;""</f>
        <v/>
      </c>
      <c r="E20" s="139" t="str">
        <f ca="1">INDEX(SBList, MATCH($B20, LastDomShortItem, 0))&amp;""</f>
        <v/>
      </c>
      <c r="F20" s="124"/>
    </row>
    <row r="21" spans="1:6" x14ac:dyDescent="0.35">
      <c r="A21" s="124"/>
      <c r="B21" s="133" t="s">
        <v>666</v>
      </c>
      <c r="C21" s="173" t="s">
        <v>309</v>
      </c>
      <c r="D21" s="139" t="str">
        <f ca="1">INDEX(USList, MATCH($B21, LastDomShortItem, 0))&amp;""</f>
        <v/>
      </c>
      <c r="E21" s="139" t="str">
        <f ca="1">INDEX(SBList, MATCH($B21, LastDomShortItem, 0))&amp;""</f>
        <v/>
      </c>
      <c r="F21" s="124"/>
    </row>
    <row r="22" spans="1:6" x14ac:dyDescent="0.35">
      <c r="A22" s="124"/>
      <c r="B22" s="124"/>
      <c r="C22" s="124"/>
      <c r="D22" s="124"/>
      <c r="E22" s="124"/>
      <c r="F22" s="124"/>
    </row>
    <row r="23" spans="1:6" x14ac:dyDescent="0.35">
      <c r="A23" s="124"/>
      <c r="B23" s="136" t="s">
        <v>683</v>
      </c>
      <c r="C23" s="142" t="s">
        <v>310</v>
      </c>
      <c r="D23" s="143"/>
      <c r="E23" s="143"/>
      <c r="F23" s="124"/>
    </row>
    <row r="24" spans="1:6" x14ac:dyDescent="0.35">
      <c r="A24" s="124"/>
      <c r="B24" s="144">
        <f>FamilyGoals</f>
        <v>0</v>
      </c>
      <c r="C24" s="173" t="s">
        <v>311</v>
      </c>
      <c r="D24" s="287" t="str">
        <f>FamilyGoals &amp; ""</f>
        <v/>
      </c>
      <c r="E24" s="287"/>
      <c r="F24" s="124"/>
    </row>
    <row r="25" spans="1:6" x14ac:dyDescent="0.35">
      <c r="A25" s="124"/>
      <c r="B25" s="144">
        <f>FamilyStrengths</f>
        <v>0</v>
      </c>
      <c r="C25" s="173" t="s">
        <v>10</v>
      </c>
      <c r="D25" s="287" t="str">
        <f>FamilyStrengths &amp; ""</f>
        <v/>
      </c>
      <c r="E25" s="287"/>
      <c r="F25" s="124"/>
    </row>
    <row r="26" spans="1:6" x14ac:dyDescent="0.3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317500</xdr:colOff>
                    <xdr:row>0</xdr:row>
                    <xdr:rowOff>50800</xdr:rowOff>
                  </from>
                  <to>
                    <xdr:col>4</xdr:col>
                    <xdr:colOff>1612900</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4.5" x14ac:dyDescent="0.35"/>
  <cols>
    <col min="2" max="2" width="18.453125" bestFit="1" customWidth="1"/>
    <col min="5" max="5" width="30.1796875" bestFit="1" customWidth="1"/>
    <col min="6" max="6" width="9.7265625" bestFit="1" customWidth="1"/>
    <col min="7" max="8" width="9.26953125" bestFit="1" customWidth="1"/>
    <col min="10" max="10" width="33.453125" bestFit="1" customWidth="1"/>
    <col min="12" max="12" width="9.1796875" style="20"/>
    <col min="13" max="13" width="30.1796875" bestFit="1" customWidth="1"/>
    <col min="14" max="14" width="9.7265625" bestFit="1" customWidth="1"/>
    <col min="15" max="16" width="9.26953125" bestFit="1" customWidth="1"/>
    <col min="18" max="18" width="25.54296875" bestFit="1" customWidth="1"/>
    <col min="21" max="21" width="30.1796875" style="20" bestFit="1" customWidth="1"/>
    <col min="22" max="22" width="9.7265625" bestFit="1" customWidth="1"/>
    <col min="23" max="24" width="9.26953125" bestFit="1" customWidth="1"/>
  </cols>
  <sheetData>
    <row r="1" spans="2:24" x14ac:dyDescent="0.3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3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3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3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3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3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3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3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3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3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3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3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3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3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3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3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3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3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3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3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3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3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3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3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3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3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3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3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3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3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3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3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3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3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3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3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3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3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3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3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3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3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3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3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3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3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3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3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3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3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3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3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3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3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3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3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3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3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3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3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3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3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3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3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3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3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3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3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3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3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3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35">
      <c r="R73" s="14" t="str">
        <f>"Child Functioning -- "&amp;IF(ChildName5="", "&lt;No name provided&gt;", ChildName5&amp;", ID: "&amp;ChildID5)</f>
        <v>Child Functioning -- &lt;No name provided&gt;</v>
      </c>
    </row>
    <row r="74" spans="10:24" x14ac:dyDescent="0.3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3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3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3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3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3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3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3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3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3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3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3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3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3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3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3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35">
      <c r="R91" s="14" t="str">
        <f>"Child Functioning -- "&amp;IF(ChildName6="", "&lt;No name provided&gt;", ChildName6&amp;", ID: "&amp;ChildID6)</f>
        <v>Child Functioning -- &lt;No name provided&gt;</v>
      </c>
    </row>
    <row r="92" spans="18:24" x14ac:dyDescent="0.3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3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3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3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3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3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3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3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3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3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3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3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3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3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3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3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3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ColWidth="9.1796875" defaultRowHeight="14.5" x14ac:dyDescent="0.35"/>
  <cols>
    <col min="1" max="16384" width="9.179687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241300</xdr:colOff>
                    <xdr:row>2</xdr:row>
                    <xdr:rowOff>184150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ColWidth="9.1796875" defaultRowHeight="14.5" x14ac:dyDescent="0.35"/>
  <cols>
    <col min="1" max="8" width="9.1796875" style="58"/>
    <col min="9" max="9" width="13.1796875" style="58" customWidth="1"/>
    <col min="10" max="17" width="9.1796875" style="58"/>
    <col min="18" max="18" width="15.54296875" style="58" customWidth="1"/>
    <col min="19" max="16384" width="9.179687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ColWidth="9.1796875" defaultRowHeight="14.5" x14ac:dyDescent="0.35"/>
  <cols>
    <col min="1" max="8" width="9.1796875" style="58"/>
    <col min="9" max="9" width="13.54296875" style="58" customWidth="1"/>
    <col min="10" max="17" width="9.1796875" style="58"/>
    <col min="18" max="18" width="17" style="58" customWidth="1"/>
    <col min="19" max="26" width="9.1796875" style="58"/>
    <col min="27" max="27" width="20.1796875" style="58" customWidth="1"/>
    <col min="28" max="16384" width="9.179687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584200</xdr:colOff>
                    <xdr:row>3</xdr:row>
                    <xdr:rowOff>127000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796875" defaultRowHeight="18.5" zeroHeight="1" x14ac:dyDescent="0.45"/>
  <cols>
    <col min="1" max="1" width="13.54296875" style="112" hidden="1" customWidth="1"/>
    <col min="2" max="2" width="14.26953125" style="112" hidden="1" customWidth="1"/>
    <col min="3" max="3" width="3" style="122" customWidth="1"/>
    <col min="4" max="4" width="38.453125" style="264" customWidth="1"/>
    <col min="5" max="5" width="17.7265625" style="264" customWidth="1"/>
    <col min="6" max="6" width="26.7265625" style="264" bestFit="1" customWidth="1"/>
    <col min="7" max="7" width="17.7265625" style="264" hidden="1" customWidth="1"/>
    <col min="8" max="8" width="26.7265625" style="264" hidden="1" customWidth="1"/>
    <col min="9" max="9" width="3" style="265" customWidth="1"/>
    <col min="10" max="10" width="29.54296875" style="264" customWidth="1"/>
    <col min="11" max="11" width="26.7265625" style="264" bestFit="1" customWidth="1"/>
    <col min="12" max="12" width="3" style="265" customWidth="1"/>
    <col min="13" max="13" width="30.1796875" style="264" customWidth="1"/>
    <col min="14" max="14" width="3" style="265" customWidth="1"/>
    <col min="15" max="15" width="18.54296875" style="264" customWidth="1"/>
    <col min="16" max="16" width="3.1796875" style="122" customWidth="1"/>
    <col min="17" max="19" width="26.26953125" style="269" customWidth="1"/>
    <col min="20" max="20" width="4.26953125" style="111" customWidth="1"/>
    <col min="21" max="32" width="9.1796875" style="111" customWidth="1"/>
    <col min="33" max="16384" width="9.1796875" style="111"/>
  </cols>
  <sheetData>
    <row r="1" spans="1:29" ht="28.5" x14ac:dyDescent="0.3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45">
      <c r="C2" s="113"/>
      <c r="D2" s="113"/>
      <c r="E2" s="113"/>
      <c r="F2" s="113"/>
      <c r="G2" s="113"/>
      <c r="H2" s="113"/>
      <c r="I2" s="127"/>
      <c r="J2" s="113"/>
      <c r="K2" s="113"/>
      <c r="L2" s="127"/>
      <c r="M2" s="113"/>
      <c r="N2" s="127"/>
      <c r="O2" s="113"/>
      <c r="P2" s="113"/>
      <c r="Q2" s="267"/>
      <c r="R2" s="267"/>
      <c r="S2" s="267"/>
    </row>
    <row r="3" spans="1:29" ht="42" x14ac:dyDescent="0.45">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45">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45">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45">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45">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45">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45">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45">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45">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45">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45">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45">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45">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45">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45">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45">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45">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45">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45">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45">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45">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45">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45">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45">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45">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45">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45">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45">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45">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45">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45">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45">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45">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45">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45">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45">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45">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45">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45">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45">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45">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45">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45">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45">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45">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45">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45">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45">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45">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45">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45">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45">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45">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45">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45">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45">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45">
      <c r="B59" s="112" t="str">
        <f t="shared" si="7"/>
        <v/>
      </c>
      <c r="C59" s="113"/>
      <c r="D59" s="253"/>
      <c r="E59" s="253"/>
      <c r="F59" s="253"/>
      <c r="G59" s="253"/>
      <c r="H59" s="253"/>
      <c r="I59" s="254"/>
      <c r="J59" s="253"/>
      <c r="K59" s="253"/>
      <c r="L59" s="254"/>
      <c r="M59" s="253"/>
      <c r="N59" s="254"/>
      <c r="O59" s="253"/>
      <c r="P59" s="113"/>
      <c r="Q59" s="267"/>
      <c r="R59" s="267"/>
      <c r="S59" s="267"/>
    </row>
    <row r="60" spans="1:19" x14ac:dyDescent="0.45">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45">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45">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45">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45">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45">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45">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45">
      <c r="B67" s="112" t="str">
        <f t="shared" si="7"/>
        <v/>
      </c>
      <c r="C67" s="113"/>
      <c r="D67" s="253"/>
      <c r="E67" s="253"/>
      <c r="F67" s="253"/>
      <c r="G67" s="253"/>
      <c r="H67" s="253"/>
      <c r="I67" s="254"/>
      <c r="J67" s="253"/>
      <c r="K67" s="253"/>
      <c r="L67" s="254"/>
      <c r="M67" s="253"/>
      <c r="N67" s="254"/>
      <c r="O67" s="253"/>
      <c r="P67" s="113"/>
      <c r="Q67" s="267"/>
      <c r="R67" s="267"/>
      <c r="S67" s="267"/>
    </row>
    <row r="68" spans="1:19" x14ac:dyDescent="0.45">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45">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45">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45">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45">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45">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45">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45">
      <c r="B75" s="112" t="str">
        <f t="shared" si="8"/>
        <v/>
      </c>
      <c r="C75" s="113"/>
      <c r="D75" s="259"/>
      <c r="E75" s="259"/>
      <c r="F75" s="259"/>
      <c r="G75" s="259"/>
      <c r="H75" s="259"/>
      <c r="I75" s="260"/>
      <c r="J75" s="259"/>
      <c r="K75" s="259"/>
      <c r="L75" s="260"/>
      <c r="M75" s="259"/>
      <c r="N75" s="260"/>
      <c r="O75" s="259"/>
      <c r="P75" s="113"/>
      <c r="Q75" s="267"/>
      <c r="R75" s="267"/>
      <c r="S75" s="267"/>
    </row>
    <row r="76" spans="1:19" x14ac:dyDescent="0.45">
      <c r="A76" s="120"/>
      <c r="B76" s="120"/>
      <c r="C76" s="111"/>
      <c r="D76" s="261"/>
      <c r="E76" s="261"/>
      <c r="F76" s="261"/>
      <c r="G76" s="261"/>
      <c r="H76" s="261"/>
      <c r="I76" s="262"/>
      <c r="J76" s="261"/>
      <c r="K76" s="261"/>
      <c r="L76" s="262"/>
      <c r="M76" s="261"/>
      <c r="N76" s="262"/>
      <c r="O76" s="261"/>
      <c r="P76" s="111"/>
      <c r="Q76" s="267"/>
      <c r="R76" s="267"/>
      <c r="S76" s="267"/>
    </row>
    <row r="77" spans="1:19" x14ac:dyDescent="0.45">
      <c r="A77" s="120"/>
      <c r="B77" s="120"/>
      <c r="C77" s="111"/>
      <c r="D77" s="261"/>
      <c r="E77" s="261"/>
      <c r="F77" s="261"/>
      <c r="G77" s="261"/>
      <c r="H77" s="261"/>
      <c r="I77" s="262"/>
      <c r="J77" s="261"/>
      <c r="K77" s="261"/>
      <c r="L77" s="262"/>
      <c r="M77" s="261"/>
      <c r="N77" s="262"/>
      <c r="O77" s="261"/>
      <c r="P77" s="111"/>
      <c r="Q77" s="267"/>
      <c r="R77" s="267"/>
      <c r="S77" s="267"/>
    </row>
    <row r="78" spans="1:19" x14ac:dyDescent="0.45">
      <c r="A78" s="120"/>
      <c r="B78" s="120"/>
      <c r="C78" s="111"/>
      <c r="D78" s="261"/>
      <c r="E78" s="261"/>
      <c r="F78" s="261"/>
      <c r="G78" s="261"/>
      <c r="H78" s="261"/>
      <c r="I78" s="262"/>
      <c r="J78" s="261"/>
      <c r="K78" s="261"/>
      <c r="L78" s="262"/>
      <c r="M78" s="261"/>
      <c r="N78" s="262"/>
      <c r="O78" s="261"/>
      <c r="P78" s="111"/>
      <c r="Q78" s="267"/>
      <c r="R78" s="267"/>
      <c r="S78" s="267"/>
    </row>
    <row r="79" spans="1:19" x14ac:dyDescent="0.45">
      <c r="A79" s="120"/>
      <c r="B79" s="120"/>
      <c r="C79" s="111"/>
      <c r="D79" s="261"/>
      <c r="E79" s="261"/>
      <c r="F79" s="261"/>
      <c r="G79" s="261"/>
      <c r="H79" s="261"/>
      <c r="I79" s="262"/>
      <c r="J79" s="261"/>
      <c r="K79" s="261"/>
      <c r="L79" s="262"/>
      <c r="M79" s="261"/>
      <c r="N79" s="262"/>
      <c r="O79" s="261"/>
      <c r="P79" s="111"/>
      <c r="Q79" s="267"/>
      <c r="R79" s="267"/>
      <c r="S79" s="267"/>
    </row>
    <row r="80" spans="1:19" hidden="1" x14ac:dyDescent="0.45">
      <c r="A80" s="120"/>
      <c r="B80" s="120"/>
      <c r="C80" s="111"/>
      <c r="D80" s="261"/>
      <c r="E80" s="261"/>
      <c r="F80" s="261"/>
      <c r="G80" s="261"/>
      <c r="H80" s="261"/>
      <c r="I80" s="262"/>
      <c r="J80" s="261"/>
      <c r="K80" s="261"/>
      <c r="L80" s="262"/>
      <c r="M80" s="261"/>
      <c r="N80" s="262"/>
      <c r="O80" s="261"/>
      <c r="P80" s="111"/>
      <c r="Q80" s="267"/>
      <c r="R80" s="267"/>
      <c r="S80" s="267"/>
    </row>
    <row r="81" spans="1:19" hidden="1" x14ac:dyDescent="0.45">
      <c r="A81" s="120"/>
      <c r="B81" s="120"/>
      <c r="C81" s="111"/>
      <c r="D81" s="261"/>
      <c r="E81" s="261"/>
      <c r="F81" s="261"/>
      <c r="G81" s="261"/>
      <c r="H81" s="261"/>
      <c r="I81" s="262"/>
      <c r="J81" s="261"/>
      <c r="K81" s="261"/>
      <c r="L81" s="262"/>
      <c r="M81" s="261"/>
      <c r="N81" s="262"/>
      <c r="O81" s="261"/>
      <c r="P81" s="111"/>
      <c r="Q81" s="267"/>
      <c r="R81" s="267"/>
      <c r="S81" s="267"/>
    </row>
    <row r="82" spans="1:19" hidden="1" x14ac:dyDescent="0.45">
      <c r="A82" s="120"/>
      <c r="B82" s="120"/>
      <c r="C82" s="111"/>
      <c r="D82" s="261"/>
      <c r="E82" s="261"/>
      <c r="F82" s="261"/>
      <c r="G82" s="261"/>
      <c r="H82" s="261"/>
      <c r="I82" s="262"/>
      <c r="J82" s="261"/>
      <c r="K82" s="261"/>
      <c r="L82" s="262"/>
      <c r="M82" s="261"/>
      <c r="N82" s="262"/>
      <c r="O82" s="261"/>
      <c r="P82" s="111"/>
      <c r="Q82" s="267"/>
      <c r="R82" s="267"/>
      <c r="S82" s="267"/>
    </row>
    <row r="83" spans="1:19" hidden="1" x14ac:dyDescent="0.45">
      <c r="A83" s="120"/>
      <c r="B83" s="120"/>
      <c r="C83" s="111"/>
      <c r="D83" s="261"/>
      <c r="E83" s="261"/>
      <c r="F83" s="261"/>
      <c r="G83" s="261"/>
      <c r="H83" s="261"/>
      <c r="I83" s="262"/>
      <c r="J83" s="261"/>
      <c r="K83" s="261"/>
      <c r="L83" s="262"/>
      <c r="M83" s="261"/>
      <c r="N83" s="262"/>
      <c r="O83" s="261"/>
      <c r="P83" s="111"/>
      <c r="Q83" s="267"/>
      <c r="R83" s="267"/>
      <c r="S83" s="267"/>
    </row>
    <row r="84" spans="1:19" hidden="1" x14ac:dyDescent="0.45">
      <c r="A84" s="120"/>
      <c r="B84" s="120"/>
      <c r="C84" s="111"/>
      <c r="D84" s="261"/>
      <c r="E84" s="261"/>
      <c r="F84" s="261"/>
      <c r="G84" s="261"/>
      <c r="H84" s="261"/>
      <c r="I84" s="262"/>
      <c r="J84" s="261"/>
      <c r="K84" s="261"/>
      <c r="L84" s="262"/>
      <c r="M84" s="261"/>
      <c r="N84" s="262"/>
      <c r="O84" s="261"/>
      <c r="P84" s="111"/>
      <c r="Q84" s="267"/>
      <c r="R84" s="267"/>
      <c r="S84" s="267"/>
    </row>
    <row r="85" spans="1:19" hidden="1" x14ac:dyDescent="0.45">
      <c r="A85" s="120"/>
      <c r="B85" s="120"/>
      <c r="C85" s="111"/>
      <c r="D85" s="261"/>
      <c r="E85" s="261"/>
      <c r="F85" s="261"/>
      <c r="G85" s="261"/>
      <c r="H85" s="261"/>
      <c r="I85" s="262"/>
      <c r="J85" s="261"/>
      <c r="K85" s="261"/>
      <c r="L85" s="262"/>
      <c r="M85" s="261"/>
      <c r="N85" s="262"/>
      <c r="O85" s="261"/>
      <c r="P85" s="111"/>
      <c r="Q85" s="267"/>
      <c r="R85" s="267"/>
      <c r="S85" s="267"/>
    </row>
    <row r="86" spans="1:19" x14ac:dyDescent="0.45">
      <c r="A86" s="120"/>
      <c r="B86" s="120"/>
      <c r="C86" s="111"/>
      <c r="D86" s="261"/>
      <c r="E86" s="261"/>
      <c r="F86" s="261"/>
      <c r="G86" s="261"/>
      <c r="H86" s="261"/>
      <c r="I86" s="262"/>
      <c r="J86" s="261"/>
      <c r="K86" s="261"/>
      <c r="L86" s="262"/>
      <c r="M86" s="261"/>
      <c r="N86" s="262"/>
      <c r="O86" s="261"/>
      <c r="P86" s="111"/>
    </row>
    <row r="87" spans="1:19" x14ac:dyDescent="0.45">
      <c r="A87" s="120"/>
      <c r="B87" s="120"/>
      <c r="C87" s="111"/>
      <c r="D87" s="261"/>
      <c r="E87" s="261"/>
      <c r="F87" s="261"/>
      <c r="G87" s="261"/>
      <c r="H87" s="261"/>
      <c r="I87" s="262"/>
      <c r="J87" s="263"/>
      <c r="K87" s="261"/>
      <c r="L87" s="262"/>
      <c r="M87" s="261"/>
      <c r="N87" s="262"/>
      <c r="O87" s="261"/>
      <c r="P87" s="111"/>
    </row>
    <row r="88" spans="1:19" x14ac:dyDescent="0.45">
      <c r="A88" s="120"/>
      <c r="B88" s="120"/>
      <c r="C88" s="111"/>
      <c r="D88" s="261"/>
      <c r="E88" s="261"/>
      <c r="F88" s="261"/>
      <c r="G88" s="261"/>
      <c r="H88" s="261"/>
      <c r="I88" s="262"/>
      <c r="J88" s="261"/>
      <c r="K88" s="261"/>
      <c r="L88" s="262"/>
      <c r="M88" s="261"/>
      <c r="N88" s="262"/>
      <c r="O88" s="261"/>
      <c r="P88" s="111"/>
    </row>
    <row r="89" spans="1:19" x14ac:dyDescent="0.45">
      <c r="A89" s="120"/>
      <c r="B89" s="120"/>
      <c r="C89" s="111"/>
      <c r="D89" s="261"/>
      <c r="E89" s="261"/>
      <c r="F89" s="261"/>
      <c r="G89" s="261"/>
      <c r="H89" s="261"/>
      <c r="I89" s="262"/>
      <c r="J89" s="261"/>
      <c r="K89" s="261"/>
      <c r="L89" s="262"/>
      <c r="M89" s="261"/>
      <c r="N89" s="262"/>
      <c r="O89" s="261"/>
      <c r="P89" s="111"/>
    </row>
    <row r="90" spans="1:19" x14ac:dyDescent="0.45">
      <c r="A90" s="120"/>
      <c r="B90" s="120"/>
      <c r="C90" s="111"/>
      <c r="D90" s="261"/>
      <c r="E90" s="261"/>
      <c r="F90" s="261"/>
      <c r="G90" s="261"/>
      <c r="H90" s="261"/>
      <c r="I90" s="262"/>
      <c r="J90" s="261"/>
      <c r="K90" s="261"/>
      <c r="L90" s="262"/>
      <c r="M90" s="261"/>
      <c r="N90" s="262"/>
      <c r="O90" s="261"/>
      <c r="P90" s="111"/>
    </row>
    <row r="91" spans="1:19" x14ac:dyDescent="0.45">
      <c r="A91" s="120"/>
      <c r="B91" s="120"/>
      <c r="C91" s="111"/>
      <c r="D91" s="261"/>
      <c r="E91" s="261"/>
      <c r="F91" s="261"/>
      <c r="G91" s="261"/>
      <c r="H91" s="261"/>
      <c r="I91" s="262"/>
      <c r="J91" s="261"/>
      <c r="K91" s="261"/>
      <c r="L91" s="262"/>
      <c r="M91" s="261"/>
      <c r="N91" s="262"/>
      <c r="O91" s="261"/>
      <c r="P91" s="111"/>
    </row>
    <row r="92" spans="1:19" x14ac:dyDescent="0.45">
      <c r="A92" s="120"/>
      <c r="B92" s="120"/>
      <c r="C92" s="111"/>
      <c r="D92" s="261"/>
      <c r="E92" s="261"/>
      <c r="F92" s="261"/>
      <c r="G92" s="261"/>
      <c r="H92" s="261"/>
      <c r="I92" s="262"/>
      <c r="J92" s="261"/>
      <c r="K92" s="261"/>
      <c r="L92" s="262"/>
      <c r="M92" s="261"/>
      <c r="N92" s="262"/>
      <c r="O92" s="261"/>
      <c r="P92" s="111"/>
    </row>
    <row r="93" spans="1:19" x14ac:dyDescent="0.45">
      <c r="A93" s="120"/>
      <c r="B93" s="120"/>
      <c r="C93" s="111"/>
      <c r="D93" s="261"/>
      <c r="E93" s="261"/>
      <c r="F93" s="261"/>
      <c r="G93" s="261"/>
      <c r="H93" s="261"/>
      <c r="I93" s="262"/>
      <c r="J93" s="261"/>
      <c r="K93" s="261"/>
      <c r="L93" s="262"/>
      <c r="M93" s="261"/>
      <c r="N93" s="262"/>
      <c r="O93" s="261"/>
      <c r="P93" s="111"/>
    </row>
    <row r="94" spans="1:19" x14ac:dyDescent="0.45">
      <c r="A94" s="120"/>
      <c r="B94" s="120"/>
      <c r="C94" s="111"/>
      <c r="D94" s="261"/>
      <c r="E94" s="261"/>
      <c r="F94" s="261"/>
      <c r="G94" s="261"/>
      <c r="H94" s="261"/>
      <c r="I94" s="262"/>
      <c r="J94" s="261"/>
      <c r="K94" s="261"/>
      <c r="L94" s="262"/>
      <c r="M94" s="261"/>
      <c r="N94" s="262"/>
      <c r="O94" s="261"/>
      <c r="P94" s="111"/>
    </row>
    <row r="95" spans="1:19" x14ac:dyDescent="0.45">
      <c r="A95" s="120"/>
      <c r="B95" s="120"/>
      <c r="C95" s="111"/>
      <c r="D95" s="261"/>
      <c r="E95" s="261"/>
      <c r="F95" s="261"/>
      <c r="G95" s="261"/>
      <c r="H95" s="261"/>
      <c r="I95" s="262"/>
      <c r="J95" s="261"/>
      <c r="K95" s="261"/>
      <c r="L95" s="262"/>
      <c r="M95" s="261"/>
      <c r="N95" s="262"/>
      <c r="O95" s="261"/>
      <c r="P95" s="111"/>
    </row>
    <row r="96" spans="1:19" x14ac:dyDescent="0.45">
      <c r="A96" s="120"/>
      <c r="B96" s="120"/>
      <c r="C96" s="111"/>
      <c r="D96" s="261"/>
      <c r="E96" s="261"/>
      <c r="F96" s="261"/>
      <c r="G96" s="261"/>
      <c r="H96" s="261"/>
      <c r="I96" s="262"/>
      <c r="J96" s="261"/>
      <c r="K96" s="261"/>
      <c r="L96" s="262"/>
      <c r="M96" s="261"/>
      <c r="N96" s="262"/>
      <c r="O96" s="261"/>
      <c r="P96" s="111"/>
    </row>
    <row r="97" hidden="1" x14ac:dyDescent="0.45"/>
    <row r="98" hidden="1" x14ac:dyDescent="0.45"/>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641350</xdr:rowOff>
                  </from>
                  <to>
                    <xdr:col>3</xdr:col>
                    <xdr:colOff>609600</xdr:colOff>
                    <xdr:row>3</xdr:row>
                    <xdr:rowOff>222250</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12700</xdr:colOff>
                    <xdr:row>10</xdr:row>
                    <xdr:rowOff>190500</xdr:rowOff>
                  </from>
                  <to>
                    <xdr:col>3</xdr:col>
                    <xdr:colOff>622300</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12700</xdr:rowOff>
                  </from>
                  <to>
                    <xdr:col>3</xdr:col>
                    <xdr:colOff>622300</xdr:colOff>
                    <xdr:row>19</xdr:row>
                    <xdr:rowOff>127000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222250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31750</xdr:rowOff>
                  </from>
                  <to>
                    <xdr:col>3</xdr:col>
                    <xdr:colOff>622300</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31750</xdr:rowOff>
                  </from>
                  <to>
                    <xdr:col>3</xdr:col>
                    <xdr:colOff>622300</xdr:colOff>
                    <xdr:row>43</xdr:row>
                    <xdr:rowOff>146050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12700</xdr:rowOff>
                  </from>
                  <to>
                    <xdr:col>3</xdr:col>
                    <xdr:colOff>622300</xdr:colOff>
                    <xdr:row>51</xdr:row>
                    <xdr:rowOff>222250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222250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12700</xdr:rowOff>
                  </from>
                  <to>
                    <xdr:col>3</xdr:col>
                    <xdr:colOff>622300</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69850</xdr:colOff>
                    <xdr:row>0</xdr:row>
                    <xdr:rowOff>50800</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1555750</xdr:colOff>
                    <xdr:row>0</xdr:row>
                    <xdr:rowOff>50800</xdr:rowOff>
                  </from>
                  <to>
                    <xdr:col>9</xdr:col>
                    <xdr:colOff>793750</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1041400</xdr:colOff>
                    <xdr:row>0</xdr:row>
                    <xdr:rowOff>50800</xdr:rowOff>
                  </from>
                  <to>
                    <xdr:col>10</xdr:col>
                    <xdr:colOff>298450</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527050</xdr:colOff>
                    <xdr:row>0</xdr:row>
                    <xdr:rowOff>50800</xdr:rowOff>
                  </from>
                  <to>
                    <xdr:col>10</xdr:col>
                    <xdr:colOff>1752600</xdr:colOff>
                    <xdr:row>1</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796875" defaultRowHeight="0" customHeight="1" zeroHeight="1" x14ac:dyDescent="0.35"/>
  <cols>
    <col min="1" max="1" width="13.54296875" style="112" hidden="1" customWidth="1"/>
    <col min="2" max="2" width="14.26953125" style="112" hidden="1" customWidth="1"/>
    <col min="3" max="4" width="3" style="122" customWidth="1"/>
    <col min="5" max="5" width="118.453125" style="122" customWidth="1"/>
    <col min="6" max="6" width="3.1796875" style="122" customWidth="1"/>
    <col min="7" max="9" width="26.26953125" style="121" customWidth="1"/>
    <col min="10" max="10" width="4.26953125" style="111" customWidth="1"/>
    <col min="11" max="22" width="9.1796875" style="111" customWidth="1"/>
    <col min="23" max="16384" width="9.1796875" style="111"/>
  </cols>
  <sheetData>
    <row r="1" spans="1:19" ht="28.5" x14ac:dyDescent="0.35">
      <c r="A1" s="106"/>
      <c r="B1" s="106"/>
      <c r="C1" s="123" t="s">
        <v>855</v>
      </c>
      <c r="D1" s="107"/>
      <c r="E1" s="108"/>
      <c r="F1" s="108"/>
      <c r="G1" s="109"/>
      <c r="H1" s="109"/>
      <c r="I1" s="109"/>
      <c r="J1" s="110"/>
      <c r="K1" s="110"/>
      <c r="L1" s="110"/>
      <c r="M1" s="110"/>
      <c r="N1" s="110"/>
      <c r="O1" s="110"/>
      <c r="P1" s="110"/>
      <c r="Q1" s="110"/>
      <c r="R1" s="110"/>
      <c r="S1" s="110"/>
    </row>
    <row r="2" spans="1:19" ht="14.5" x14ac:dyDescent="0.35">
      <c r="C2" s="113"/>
      <c r="D2" s="113"/>
      <c r="E2" s="113"/>
      <c r="F2" s="113"/>
      <c r="G2" s="114"/>
      <c r="H2" s="114"/>
      <c r="I2" s="114"/>
    </row>
    <row r="3" spans="1:19" ht="17" x14ac:dyDescent="0.35">
      <c r="A3" s="115"/>
      <c r="B3" s="112">
        <f t="array" ref="B3">MAX(IF(A:A=TRUE, ROW(A:A)))+7</f>
        <v>11</v>
      </c>
      <c r="C3" s="116"/>
      <c r="D3" s="294" t="s">
        <v>854</v>
      </c>
      <c r="E3" s="294"/>
      <c r="F3" s="117"/>
      <c r="G3" s="118" t="s">
        <v>301</v>
      </c>
      <c r="H3" s="118" t="s">
        <v>300</v>
      </c>
      <c r="I3" s="118" t="s">
        <v>302</v>
      </c>
    </row>
    <row r="4" spans="1:19" ht="14.5" x14ac:dyDescent="0.3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4.5" x14ac:dyDescent="0.3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4.5" x14ac:dyDescent="0.3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4.5" x14ac:dyDescent="0.3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4.5" x14ac:dyDescent="0.3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4.5" x14ac:dyDescent="0.3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4.5" x14ac:dyDescent="0.3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4.5" x14ac:dyDescent="0.3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4.5" x14ac:dyDescent="0.3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4.5" x14ac:dyDescent="0.3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4.5" x14ac:dyDescent="0.3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4.5" x14ac:dyDescent="0.3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4.5" x14ac:dyDescent="0.3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4.5" x14ac:dyDescent="0.3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4.5" x14ac:dyDescent="0.3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4.5" x14ac:dyDescent="0.3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4.5" x14ac:dyDescent="0.3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4.5" x14ac:dyDescent="0.3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4.5" x14ac:dyDescent="0.3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4.5" x14ac:dyDescent="0.3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4.5" x14ac:dyDescent="0.3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4.5" x14ac:dyDescent="0.3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4.5" x14ac:dyDescent="0.3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4.5" x14ac:dyDescent="0.3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4.5" x14ac:dyDescent="0.3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4.5" x14ac:dyDescent="0.3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4.5" x14ac:dyDescent="0.3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4.5" x14ac:dyDescent="0.3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4.5" x14ac:dyDescent="0.3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4.5" x14ac:dyDescent="0.3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4.5" x14ac:dyDescent="0.3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4.5" x14ac:dyDescent="0.3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4.5" x14ac:dyDescent="0.3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4.5" x14ac:dyDescent="0.3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4.5" x14ac:dyDescent="0.3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4.5" x14ac:dyDescent="0.3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4.5" x14ac:dyDescent="0.3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4.5" x14ac:dyDescent="0.3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4.5" x14ac:dyDescent="0.3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4.5" x14ac:dyDescent="0.3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4.5" x14ac:dyDescent="0.3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4.5" x14ac:dyDescent="0.3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4.5" x14ac:dyDescent="0.3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4.5" x14ac:dyDescent="0.3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4.5" x14ac:dyDescent="0.3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4.5" x14ac:dyDescent="0.3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4.5" x14ac:dyDescent="0.3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4.5" x14ac:dyDescent="0.3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4.5" x14ac:dyDescent="0.3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4.5" x14ac:dyDescent="0.3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4.5" x14ac:dyDescent="0.35">
      <c r="A54" s="120"/>
      <c r="B54" s="120" t="str">
        <f>IFERROR(CHOOSE(MATCH(#REF!, Val_ResponseCat, 0), "IdentifiedNeeds", "IdentifiedUsefulStrengths", "IdentifiedStrengthsToBuild"), "")</f>
        <v/>
      </c>
      <c r="C54" s="111"/>
      <c r="D54" s="111"/>
      <c r="E54" s="111"/>
      <c r="F54" s="111"/>
      <c r="G54" s="114"/>
      <c r="H54" s="114"/>
      <c r="I54" s="114"/>
    </row>
    <row r="55" spans="1:9" ht="14.5" x14ac:dyDescent="0.35">
      <c r="A55" s="120"/>
      <c r="B55" s="120" t="str">
        <f>IFERROR(CHOOSE(MATCH(#REF!, Val_ResponseCat, 0), "IdentifiedNeeds", "IdentifiedUsefulStrengths", "IdentifiedStrengthsToBuild"), "")</f>
        <v/>
      </c>
      <c r="C55" s="111"/>
      <c r="D55" s="111"/>
      <c r="E55" s="111"/>
      <c r="F55" s="111"/>
      <c r="G55" s="114"/>
      <c r="H55" s="114"/>
      <c r="I55" s="114"/>
    </row>
    <row r="56" spans="1:9" ht="14.5" x14ac:dyDescent="0.35">
      <c r="A56" s="120"/>
      <c r="B56" s="120" t="str">
        <f>IFERROR(CHOOSE(MATCH(#REF!, Val_ResponseCat, 0), "IdentifiedNeeds", "IdentifiedUsefulStrengths", "IdentifiedStrengthsToBuild"), "")</f>
        <v/>
      </c>
      <c r="C56" s="111"/>
      <c r="D56" s="111"/>
      <c r="E56" s="111"/>
      <c r="F56" s="111"/>
      <c r="G56" s="114"/>
      <c r="H56" s="114"/>
      <c r="I56" s="114"/>
    </row>
    <row r="57" spans="1:9" ht="14.5" x14ac:dyDescent="0.35">
      <c r="A57" s="120"/>
      <c r="B57" s="120" t="str">
        <f>IFERROR(CHOOSE(MATCH(#REF!, Val_ResponseCat, 0), "IdentifiedNeeds", "IdentifiedUsefulStrengths", "IdentifiedStrengthsToBuild"), "")</f>
        <v/>
      </c>
      <c r="C57" s="111"/>
      <c r="D57" s="111"/>
      <c r="E57" s="111"/>
      <c r="F57" s="111"/>
      <c r="G57" s="114"/>
      <c r="H57" s="114"/>
      <c r="I57" s="114"/>
    </row>
    <row r="58" spans="1:9" ht="14.5" x14ac:dyDescent="0.35">
      <c r="A58" s="120"/>
      <c r="B58" s="120" t="str">
        <f>IFERROR(CHOOSE(MATCH(#REF!, Val_ResponseCat, 0), "IdentifiedNeeds", "IdentifiedUsefulStrengths", "IdentifiedStrengthsToBuild"), "")</f>
        <v/>
      </c>
      <c r="C58" s="111"/>
      <c r="D58" s="111"/>
      <c r="E58" s="111"/>
      <c r="F58" s="111"/>
      <c r="G58" s="114"/>
      <c r="H58" s="114"/>
      <c r="I58" s="114"/>
    </row>
    <row r="59" spans="1:9" ht="14.5" x14ac:dyDescent="0.35">
      <c r="A59" s="120"/>
      <c r="B59" s="120" t="str">
        <f>IFERROR(CHOOSE(MATCH(#REF!, Val_ResponseCat, 0), "IdentifiedNeeds", "IdentifiedUsefulStrengths", "IdentifiedStrengthsToBuild"), "")</f>
        <v/>
      </c>
      <c r="C59" s="111"/>
      <c r="D59" s="111"/>
      <c r="E59" s="111"/>
      <c r="F59" s="111"/>
      <c r="G59" s="114"/>
      <c r="H59" s="114"/>
      <c r="I59" s="114"/>
    </row>
    <row r="60" spans="1:9" ht="14.5" x14ac:dyDescent="0.35">
      <c r="A60" s="120"/>
      <c r="B60" s="120" t="str">
        <f>IFERROR(CHOOSE(MATCH(#REF!, Val_ResponseCat, 0), "IdentifiedNeeds", "IdentifiedUsefulStrengths", "IdentifiedStrengthsToBuild"), "")</f>
        <v/>
      </c>
      <c r="C60" s="111"/>
      <c r="D60" s="111"/>
      <c r="E60" s="111"/>
      <c r="F60" s="111"/>
      <c r="G60" s="114"/>
      <c r="H60" s="114"/>
      <c r="I60" s="114"/>
    </row>
    <row r="61" spans="1:9" ht="14.5" x14ac:dyDescent="0.35">
      <c r="A61" s="120"/>
      <c r="B61" s="120" t="str">
        <f>IFERROR(CHOOSE(MATCH(#REF!, Val_ResponseCat, 0), "IdentifiedNeeds", "IdentifiedUsefulStrengths", "IdentifiedStrengthsToBuild"), "")</f>
        <v/>
      </c>
      <c r="C61" s="111"/>
      <c r="D61" s="111"/>
      <c r="E61" s="111"/>
      <c r="F61" s="111"/>
      <c r="G61" s="114"/>
      <c r="H61" s="114"/>
      <c r="I61" s="114"/>
    </row>
    <row r="62" spans="1:9" ht="14.5" x14ac:dyDescent="0.35">
      <c r="A62" s="120"/>
      <c r="B62" s="120" t="str">
        <f>IFERROR(CHOOSE(MATCH(#REF!, Val_ResponseCat, 0), "IdentifiedNeeds", "IdentifiedUsefulStrengths", "IdentifiedStrengthsToBuild"), "")</f>
        <v/>
      </c>
      <c r="C62" s="111"/>
      <c r="D62" s="111"/>
      <c r="E62" s="111"/>
      <c r="F62" s="111"/>
      <c r="G62" s="114"/>
      <c r="H62" s="114"/>
      <c r="I62" s="114"/>
    </row>
    <row r="63" spans="1:9" ht="14.5" x14ac:dyDescent="0.35">
      <c r="A63" s="120"/>
      <c r="B63" s="120" t="str">
        <f>IFERROR(CHOOSE(MATCH(#REF!, Val_ResponseCat, 0), "IdentifiedNeeds", "IdentifiedUsefulStrengths", "IdentifiedStrengthsToBuild"), "")</f>
        <v/>
      </c>
      <c r="C63" s="111"/>
      <c r="D63" s="111"/>
      <c r="E63" s="111"/>
      <c r="F63" s="111"/>
      <c r="G63" s="114"/>
      <c r="H63" s="114"/>
      <c r="I63" s="114"/>
    </row>
    <row r="64" spans="1:9" ht="14.5" x14ac:dyDescent="0.35">
      <c r="A64" s="120"/>
      <c r="B64" s="120" t="str">
        <f>IFERROR(CHOOSE(MATCH(#REF!, Val_ResponseCat, 0), "IdentifiedNeeds", "IdentifiedUsefulStrengths", "IdentifiedStrengthsToBuild"), "")</f>
        <v/>
      </c>
      <c r="C64" s="111"/>
      <c r="D64" s="111"/>
      <c r="E64" s="111"/>
      <c r="F64" s="111"/>
      <c r="G64" s="114"/>
      <c r="H64" s="114"/>
      <c r="I64" s="114"/>
    </row>
    <row r="65" spans="1:9" ht="14.5" x14ac:dyDescent="0.35">
      <c r="A65" s="120"/>
      <c r="B65" s="120" t="str">
        <f>IFERROR(CHOOSE(MATCH(#REF!, Val_ResponseCat, 0), "IdentifiedNeeds", "IdentifiedUsefulStrengths", "IdentifiedStrengthsToBuild"), "")</f>
        <v/>
      </c>
      <c r="C65" s="111"/>
      <c r="D65" s="111"/>
      <c r="E65" s="111"/>
      <c r="F65" s="111"/>
      <c r="G65" s="114"/>
      <c r="H65" s="114"/>
      <c r="I65" s="114"/>
    </row>
    <row r="66" spans="1:9" ht="14.5" x14ac:dyDescent="0.35">
      <c r="A66" s="120"/>
      <c r="B66" s="120" t="str">
        <f>IFERROR(CHOOSE(MATCH(#REF!, Val_ResponseCat, 0), "IdentifiedNeeds", "IdentifiedUsefulStrengths", "IdentifiedStrengthsToBuild"), "")</f>
        <v/>
      </c>
      <c r="C66" s="111"/>
      <c r="D66" s="111"/>
      <c r="E66" s="111"/>
      <c r="F66" s="111"/>
      <c r="G66" s="114"/>
      <c r="H66" s="114"/>
      <c r="I66" s="114"/>
    </row>
    <row r="67" spans="1:9" ht="14.5" x14ac:dyDescent="0.35">
      <c r="A67" s="120"/>
      <c r="B67" s="120" t="str">
        <f>IFERROR(CHOOSE(MATCH(#REF!, Val_ResponseCat, 0), "IdentifiedNeeds", "IdentifiedUsefulStrengths", "IdentifiedStrengthsToBuild"), "")</f>
        <v/>
      </c>
      <c r="C67" s="111"/>
      <c r="D67" s="111"/>
      <c r="E67" s="111"/>
      <c r="F67" s="111"/>
      <c r="G67" s="114"/>
      <c r="H67" s="114"/>
      <c r="I67" s="114"/>
    </row>
    <row r="68" spans="1:9" ht="14.5" x14ac:dyDescent="0.35">
      <c r="A68" s="120"/>
      <c r="B68" s="120" t="str">
        <f>IFERROR(CHOOSE(MATCH(#REF!, Val_ResponseCat, 0), "IdentifiedNeeds", "IdentifiedUsefulStrengths", "IdentifiedStrengthsToBuild"), "")</f>
        <v/>
      </c>
      <c r="C68" s="111"/>
      <c r="D68" s="111"/>
      <c r="E68" s="111"/>
      <c r="F68" s="111"/>
      <c r="G68" s="114"/>
      <c r="H68" s="114"/>
      <c r="I68" s="114"/>
    </row>
    <row r="69" spans="1:9" ht="14.5" x14ac:dyDescent="0.35">
      <c r="A69" s="120"/>
      <c r="B69" s="120" t="str">
        <f>IFERROR(CHOOSE(MATCH(#REF!, Val_ResponseCat, 0), "IdentifiedNeeds", "IdentifiedUsefulStrengths", "IdentifiedStrengthsToBuild"), "")</f>
        <v/>
      </c>
      <c r="C69" s="111"/>
      <c r="D69" s="111"/>
      <c r="E69" s="111"/>
      <c r="F69" s="111"/>
      <c r="G69" s="114"/>
      <c r="H69" s="114"/>
      <c r="I69" s="114"/>
    </row>
    <row r="70" spans="1:9" ht="14.5" x14ac:dyDescent="0.35">
      <c r="A70" s="120"/>
      <c r="B70" s="120" t="str">
        <f>IFERROR(CHOOSE(MATCH(#REF!, Val_ResponseCat, 0), "IdentifiedNeeds", "IdentifiedUsefulStrengths", "IdentifiedStrengthsToBuild"), "")</f>
        <v/>
      </c>
      <c r="C70" s="111"/>
      <c r="D70" s="111"/>
      <c r="E70" s="111"/>
      <c r="F70" s="111"/>
      <c r="G70" s="114"/>
      <c r="H70" s="114"/>
      <c r="I70" s="114"/>
    </row>
    <row r="71" spans="1:9" ht="14.5" x14ac:dyDescent="0.35">
      <c r="A71" s="120"/>
      <c r="B71" s="120" t="str">
        <f>IFERROR(CHOOSE(MATCH(#REF!, Val_ResponseCat, 0), "IdentifiedNeeds", "IdentifiedUsefulStrengths", "IdentifiedStrengthsToBuild"), "")</f>
        <v/>
      </c>
      <c r="C71" s="111"/>
      <c r="D71" s="111"/>
      <c r="E71" s="111"/>
      <c r="F71" s="111"/>
      <c r="G71" s="114"/>
      <c r="H71" s="114"/>
      <c r="I71" s="114"/>
    </row>
    <row r="72" spans="1:9" ht="14.5" x14ac:dyDescent="0.35">
      <c r="A72" s="120"/>
      <c r="B72" s="120" t="str">
        <f>IFERROR(CHOOSE(MATCH(#REF!, Val_ResponseCat, 0), "IdentifiedNeeds", "IdentifiedUsefulStrengths", "IdentifiedStrengthsToBuild"), "")</f>
        <v/>
      </c>
      <c r="C72" s="111"/>
      <c r="D72" s="111"/>
      <c r="E72" s="111"/>
      <c r="F72" s="111"/>
      <c r="G72" s="114"/>
      <c r="H72" s="114"/>
      <c r="I72" s="114"/>
    </row>
    <row r="73" spans="1:9" ht="14.5" x14ac:dyDescent="0.35">
      <c r="A73" s="120"/>
      <c r="B73" s="120" t="str">
        <f>IFERROR(CHOOSE(MATCH(#REF!, Val_ResponseCat, 0), "IdentifiedNeeds", "IdentifiedUsefulStrengths", "IdentifiedStrengthsToBuild"), "")</f>
        <v/>
      </c>
      <c r="C73" s="111"/>
      <c r="D73" s="111"/>
      <c r="E73" s="111"/>
      <c r="F73" s="111"/>
      <c r="G73" s="114"/>
      <c r="H73" s="114"/>
      <c r="I73" s="114"/>
    </row>
    <row r="74" spans="1:9" ht="14.5" x14ac:dyDescent="0.35">
      <c r="A74" s="120"/>
      <c r="B74" s="120" t="str">
        <f>IFERROR(CHOOSE(MATCH(#REF!, Val_ResponseCat, 0), "IdentifiedNeeds", "IdentifiedUsefulStrengths", "IdentifiedStrengthsToBuild"), "")</f>
        <v/>
      </c>
      <c r="C74" s="111"/>
      <c r="D74" s="111"/>
      <c r="E74" s="111"/>
      <c r="F74" s="111"/>
      <c r="G74" s="114"/>
      <c r="H74" s="114"/>
      <c r="I74" s="114"/>
    </row>
    <row r="75" spans="1:9" ht="14.5" x14ac:dyDescent="0.35">
      <c r="A75" s="120"/>
      <c r="B75" s="120" t="str">
        <f>IFERROR(CHOOSE(MATCH(#REF!, Val_ResponseCat, 0), "IdentifiedNeeds", "IdentifiedUsefulStrengths", "IdentifiedStrengthsToBuild"), "")</f>
        <v/>
      </c>
      <c r="C75" s="111"/>
      <c r="D75" s="111"/>
      <c r="E75" s="111"/>
      <c r="F75" s="111"/>
      <c r="G75" s="114"/>
      <c r="H75" s="114"/>
      <c r="I75" s="114"/>
    </row>
    <row r="76" spans="1:9" ht="14.5" x14ac:dyDescent="0.35">
      <c r="A76" s="120"/>
      <c r="B76" s="120"/>
      <c r="C76" s="111"/>
      <c r="D76" s="111"/>
      <c r="E76" s="111"/>
      <c r="F76" s="111"/>
      <c r="G76" s="114"/>
      <c r="H76" s="114"/>
      <c r="I76" s="114"/>
    </row>
    <row r="77" spans="1:9" ht="14.5" x14ac:dyDescent="0.35">
      <c r="A77" s="120"/>
      <c r="B77" s="120"/>
      <c r="C77" s="111"/>
      <c r="D77" s="111"/>
      <c r="E77" s="111"/>
      <c r="F77" s="111"/>
      <c r="G77" s="114"/>
      <c r="H77" s="114"/>
      <c r="I77" s="114"/>
    </row>
    <row r="78" spans="1:9" ht="14.5" x14ac:dyDescent="0.35">
      <c r="A78" s="120"/>
      <c r="B78" s="120"/>
      <c r="C78" s="111"/>
      <c r="D78" s="111"/>
      <c r="E78" s="111"/>
      <c r="F78" s="111"/>
      <c r="G78" s="114"/>
      <c r="H78" s="114"/>
      <c r="I78" s="114"/>
    </row>
    <row r="79" spans="1:9" ht="14.5" x14ac:dyDescent="0.35">
      <c r="A79" s="120"/>
      <c r="B79" s="120"/>
      <c r="C79" s="111"/>
      <c r="D79" s="111"/>
      <c r="E79" s="111"/>
      <c r="F79" s="111"/>
      <c r="G79" s="114"/>
      <c r="H79" s="114"/>
      <c r="I79" s="114"/>
    </row>
    <row r="80" spans="1:9" ht="14.5" hidden="1" x14ac:dyDescent="0.35">
      <c r="A80" s="120"/>
      <c r="B80" s="120"/>
      <c r="C80" s="111"/>
      <c r="D80" s="111"/>
      <c r="E80" s="111"/>
      <c r="F80" s="111"/>
      <c r="G80" s="114"/>
      <c r="H80" s="114"/>
      <c r="I80" s="114"/>
    </row>
    <row r="81" spans="1:9" ht="14.5" hidden="1" x14ac:dyDescent="0.35">
      <c r="A81" s="120"/>
      <c r="B81" s="120"/>
      <c r="C81" s="111"/>
      <c r="D81" s="111"/>
      <c r="E81" s="111"/>
      <c r="F81" s="111"/>
      <c r="G81" s="114"/>
      <c r="H81" s="114"/>
      <c r="I81" s="114"/>
    </row>
    <row r="82" spans="1:9" ht="14.5" hidden="1" x14ac:dyDescent="0.35">
      <c r="A82" s="120"/>
      <c r="B82" s="120"/>
      <c r="C82" s="111"/>
      <c r="D82" s="111"/>
      <c r="E82" s="111"/>
      <c r="F82" s="111"/>
      <c r="G82" s="114"/>
      <c r="H82" s="114"/>
      <c r="I82" s="114"/>
    </row>
    <row r="83" spans="1:9" ht="14.5" hidden="1" x14ac:dyDescent="0.35">
      <c r="A83" s="120"/>
      <c r="B83" s="120"/>
      <c r="C83" s="111"/>
      <c r="D83" s="111"/>
      <c r="E83" s="111"/>
      <c r="F83" s="111"/>
      <c r="G83" s="114"/>
      <c r="H83" s="114"/>
      <c r="I83" s="114"/>
    </row>
    <row r="84" spans="1:9" ht="14.5" hidden="1" x14ac:dyDescent="0.35">
      <c r="A84" s="120"/>
      <c r="B84" s="120"/>
      <c r="C84" s="111"/>
      <c r="D84" s="111"/>
      <c r="E84" s="111"/>
      <c r="F84" s="111"/>
      <c r="G84" s="114"/>
      <c r="H84" s="114"/>
      <c r="I84" s="114"/>
    </row>
    <row r="85" spans="1:9" ht="14.5" hidden="1" x14ac:dyDescent="0.35">
      <c r="A85" s="120"/>
      <c r="B85" s="120"/>
      <c r="C85" s="111"/>
      <c r="D85" s="111"/>
      <c r="E85" s="111"/>
      <c r="F85" s="111"/>
      <c r="G85" s="114"/>
      <c r="H85" s="114"/>
      <c r="I85" s="114"/>
    </row>
    <row r="86" spans="1:9" ht="14.5" x14ac:dyDescent="0.35">
      <c r="A86" s="120"/>
      <c r="B86" s="120"/>
      <c r="C86" s="111"/>
      <c r="D86" s="111"/>
      <c r="E86" s="111"/>
      <c r="F86" s="111"/>
    </row>
    <row r="87" spans="1:9" ht="14.5" x14ac:dyDescent="0.35">
      <c r="A87" s="120"/>
      <c r="B87" s="120"/>
      <c r="C87" s="111"/>
      <c r="D87" s="111"/>
      <c r="E87" s="111"/>
      <c r="F87" s="111"/>
    </row>
    <row r="88" spans="1:9" ht="14.5" x14ac:dyDescent="0.35">
      <c r="A88" s="120"/>
      <c r="B88" s="120"/>
      <c r="C88" s="111"/>
      <c r="D88" s="111"/>
      <c r="E88" s="111"/>
      <c r="F88" s="111"/>
    </row>
    <row r="89" spans="1:9" ht="14.5" x14ac:dyDescent="0.35">
      <c r="A89" s="120"/>
      <c r="B89" s="120"/>
      <c r="C89" s="111"/>
      <c r="D89" s="111"/>
      <c r="E89" s="111"/>
      <c r="F89" s="111"/>
    </row>
    <row r="90" spans="1:9" ht="14.5" x14ac:dyDescent="0.35">
      <c r="A90" s="120"/>
      <c r="B90" s="120"/>
      <c r="C90" s="111"/>
      <c r="D90" s="111"/>
      <c r="E90" s="111"/>
      <c r="F90" s="111"/>
    </row>
    <row r="91" spans="1:9" ht="14.5" x14ac:dyDescent="0.35">
      <c r="A91" s="120"/>
      <c r="B91" s="120"/>
      <c r="C91" s="111"/>
      <c r="D91" s="111"/>
      <c r="E91" s="111"/>
      <c r="F91" s="111"/>
    </row>
    <row r="92" spans="1:9" ht="14.5" x14ac:dyDescent="0.35">
      <c r="A92" s="120"/>
      <c r="B92" s="120"/>
      <c r="C92" s="111"/>
      <c r="D92" s="111"/>
      <c r="E92" s="111"/>
      <c r="F92" s="111"/>
    </row>
    <row r="93" spans="1:9" ht="14.5" x14ac:dyDescent="0.35">
      <c r="A93" s="120"/>
      <c r="B93" s="120"/>
      <c r="C93" s="111"/>
      <c r="D93" s="111"/>
      <c r="E93" s="111"/>
      <c r="F93" s="111"/>
    </row>
    <row r="94" spans="1:9" ht="14.5" x14ac:dyDescent="0.35">
      <c r="A94" s="120"/>
      <c r="B94" s="120"/>
      <c r="C94" s="111"/>
      <c r="D94" s="111"/>
      <c r="E94" s="111"/>
      <c r="F94" s="111"/>
    </row>
    <row r="95" spans="1:9" ht="14.5" x14ac:dyDescent="0.35">
      <c r="A95" s="120"/>
      <c r="B95" s="120"/>
      <c r="C95" s="111"/>
      <c r="D95" s="111"/>
      <c r="E95" s="111"/>
      <c r="F95" s="111"/>
    </row>
    <row r="96" spans="1:9" ht="14.5" x14ac:dyDescent="0.3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5765800</xdr:colOff>
                    <xdr:row>1</xdr:row>
                    <xdr:rowOff>31750</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5994400</xdr:colOff>
                    <xdr:row>0</xdr:row>
                    <xdr:rowOff>38100</xdr:rowOff>
                  </from>
                  <to>
                    <xdr:col>4</xdr:col>
                    <xdr:colOff>7200900</xdr:colOff>
                    <xdr:row>1</xdr:row>
                    <xdr:rowOff>31750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ColWidth="9.1796875" defaultRowHeight="14.5" x14ac:dyDescent="0.35"/>
  <cols>
    <col min="1" max="1" width="3" style="122" customWidth="1"/>
    <col min="2" max="2" width="131.7265625" style="179" hidden="1" customWidth="1"/>
    <col min="3" max="3" width="51.7265625" style="179" hidden="1" customWidth="1"/>
    <col min="4" max="4" width="50.7265625" style="169" customWidth="1"/>
    <col min="5" max="5" width="17.7265625" style="169" customWidth="1"/>
    <col min="6" max="6" width="17.81640625" style="169" customWidth="1"/>
    <col min="7" max="7" width="17.453125" style="169" customWidth="1"/>
    <col min="8" max="8" width="29.81640625" style="169" customWidth="1"/>
    <col min="9" max="9" width="3.1796875" style="122" customWidth="1"/>
    <col min="10" max="16384" width="9.1796875" style="58"/>
  </cols>
  <sheetData>
    <row r="1" spans="1:9" ht="28.5" x14ac:dyDescent="0.35">
      <c r="A1" s="170" t="s">
        <v>934</v>
      </c>
      <c r="B1" s="170"/>
      <c r="C1" s="170"/>
      <c r="D1" s="171"/>
      <c r="E1" s="171"/>
      <c r="F1" s="171"/>
      <c r="G1" s="171"/>
      <c r="H1" s="171"/>
      <c r="I1" s="164"/>
    </row>
    <row r="2" spans="1:9" x14ac:dyDescent="0.35">
      <c r="A2" s="127"/>
      <c r="B2" s="175"/>
      <c r="C2" s="175"/>
      <c r="D2" s="172"/>
      <c r="E2" s="172"/>
      <c r="F2" s="172"/>
      <c r="G2" s="172"/>
      <c r="H2" s="172"/>
      <c r="I2" s="127"/>
    </row>
    <row r="3" spans="1:9" x14ac:dyDescent="0.35">
      <c r="A3" s="116"/>
      <c r="B3" s="177" t="str">
        <f>D3</f>
        <v>If the service was not completed for any reason, please describe the circumstances that contributed to the family not engaging or completing the service:</v>
      </c>
      <c r="C3" s="176"/>
      <c r="D3" s="300" t="s">
        <v>944</v>
      </c>
      <c r="E3" s="300"/>
      <c r="F3" s="300"/>
      <c r="G3" s="300"/>
      <c r="H3" s="300"/>
      <c r="I3" s="117"/>
    </row>
    <row r="4" spans="1:9" x14ac:dyDescent="0.35">
      <c r="A4" s="116"/>
      <c r="B4" s="177">
        <f>D4</f>
        <v>0</v>
      </c>
      <c r="C4" s="177"/>
      <c r="D4" s="299"/>
      <c r="E4" s="299"/>
      <c r="F4" s="299"/>
      <c r="G4" s="299"/>
      <c r="H4" s="299"/>
      <c r="I4" s="117"/>
    </row>
    <row r="5" spans="1:9" x14ac:dyDescent="0.35">
      <c r="A5" s="116"/>
      <c r="B5" s="177"/>
      <c r="C5" s="177"/>
      <c r="D5" s="172"/>
      <c r="E5" s="172"/>
      <c r="F5" s="172"/>
      <c r="G5" s="172"/>
      <c r="H5" s="172"/>
      <c r="I5" s="117"/>
    </row>
    <row r="6" spans="1:9" x14ac:dyDescent="0.35">
      <c r="A6" s="116"/>
      <c r="B6" s="177" t="str">
        <f>D6</f>
        <v xml:space="preserve">Describe the caregiver(s) level insight about the chain of events that led to CPS involvement and how this insight has grown or evolved during the intervention: </v>
      </c>
      <c r="C6" s="177"/>
      <c r="D6" s="300" t="s">
        <v>935</v>
      </c>
      <c r="E6" s="300"/>
      <c r="F6" s="300"/>
      <c r="G6" s="300"/>
      <c r="H6" s="300"/>
      <c r="I6" s="117"/>
    </row>
    <row r="7" spans="1:9" x14ac:dyDescent="0.35">
      <c r="A7" s="116"/>
      <c r="B7" s="177">
        <f>D7</f>
        <v>0</v>
      </c>
      <c r="C7" s="177"/>
      <c r="D7" s="299"/>
      <c r="E7" s="299"/>
      <c r="F7" s="299"/>
      <c r="G7" s="299"/>
      <c r="H7" s="299"/>
      <c r="I7" s="117"/>
    </row>
    <row r="8" spans="1:9" x14ac:dyDescent="0.35">
      <c r="A8" s="116"/>
      <c r="B8" s="177"/>
      <c r="C8" s="177"/>
      <c r="D8" s="172"/>
      <c r="E8" s="172"/>
      <c r="F8" s="181"/>
      <c r="G8" s="172"/>
      <c r="H8" s="172"/>
      <c r="I8" s="117"/>
    </row>
    <row r="9" spans="1:9" x14ac:dyDescent="0.35">
      <c r="A9" s="116"/>
      <c r="B9" s="177" t="str">
        <f>D9</f>
        <v>Describe specific ways that the family has improved their home environment to increase sustainable child safety:</v>
      </c>
      <c r="C9" s="177"/>
      <c r="D9" s="300" t="s">
        <v>936</v>
      </c>
      <c r="E9" s="300"/>
      <c r="F9" s="300"/>
      <c r="G9" s="300"/>
      <c r="H9" s="300"/>
      <c r="I9" s="117"/>
    </row>
    <row r="10" spans="1:9" ht="43.5" x14ac:dyDescent="0.35">
      <c r="A10" s="116"/>
      <c r="B10" s="177" t="str">
        <f>D10</f>
        <v>1.
2.
3.</v>
      </c>
      <c r="C10" s="177"/>
      <c r="D10" s="299" t="s">
        <v>937</v>
      </c>
      <c r="E10" s="299"/>
      <c r="F10" s="299"/>
      <c r="G10" s="299"/>
      <c r="H10" s="299"/>
      <c r="I10" s="117"/>
    </row>
    <row r="11" spans="1:9" x14ac:dyDescent="0.35">
      <c r="A11" s="116"/>
      <c r="B11" s="177"/>
      <c r="C11" s="177"/>
      <c r="D11" s="172"/>
      <c r="E11" s="172"/>
      <c r="F11" s="172"/>
      <c r="G11" s="172"/>
      <c r="H11" s="172"/>
      <c r="I11" s="117"/>
    </row>
    <row r="12" spans="1:9" ht="29" x14ac:dyDescent="0.3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300" t="s">
        <v>938</v>
      </c>
      <c r="E12" s="300"/>
      <c r="F12" s="300"/>
      <c r="G12" s="300"/>
      <c r="H12" s="300"/>
      <c r="I12" s="117"/>
    </row>
    <row r="13" spans="1:9" ht="43.5" x14ac:dyDescent="0.35">
      <c r="A13" s="116"/>
      <c r="B13" s="177" t="str">
        <f>D13</f>
        <v>1.
2.
3.</v>
      </c>
      <c r="C13" s="177"/>
      <c r="D13" s="299" t="s">
        <v>937</v>
      </c>
      <c r="E13" s="299"/>
      <c r="F13" s="299"/>
      <c r="G13" s="299"/>
      <c r="H13" s="299"/>
      <c r="I13" s="117"/>
    </row>
    <row r="14" spans="1:9" x14ac:dyDescent="0.35">
      <c r="A14" s="116"/>
      <c r="B14" s="177"/>
      <c r="C14" s="177"/>
      <c r="D14" s="172"/>
      <c r="E14" s="172"/>
      <c r="F14" s="172"/>
      <c r="G14" s="172"/>
      <c r="H14" s="172"/>
      <c r="I14" s="117"/>
    </row>
    <row r="15" spans="1:9" x14ac:dyDescent="0.35">
      <c r="A15" s="116"/>
      <c r="B15" s="177" t="str">
        <f>D15</f>
        <v>Document the families perspective on how their parenting has changed during this intervention:</v>
      </c>
      <c r="C15" s="177"/>
      <c r="D15" s="300" t="s">
        <v>939</v>
      </c>
      <c r="E15" s="300"/>
      <c r="F15" s="300"/>
      <c r="G15" s="300"/>
      <c r="H15" s="300"/>
      <c r="I15" s="117"/>
    </row>
    <row r="16" spans="1:9" ht="43.5" x14ac:dyDescent="0.35">
      <c r="A16" s="116"/>
      <c r="B16" s="177" t="str">
        <f>D16</f>
        <v>1.
2.
3.</v>
      </c>
      <c r="C16" s="177"/>
      <c r="D16" s="299" t="s">
        <v>937</v>
      </c>
      <c r="E16" s="299"/>
      <c r="F16" s="299"/>
      <c r="G16" s="299"/>
      <c r="H16" s="299"/>
      <c r="I16" s="117"/>
    </row>
    <row r="17" spans="1:12" x14ac:dyDescent="0.35">
      <c r="A17" s="116"/>
      <c r="B17" s="177"/>
      <c r="C17" s="177"/>
      <c r="D17" s="172"/>
      <c r="E17" s="172"/>
      <c r="F17" s="172"/>
      <c r="G17" s="172"/>
      <c r="H17" s="172"/>
      <c r="I17" s="117"/>
    </row>
    <row r="18" spans="1:12" ht="29" x14ac:dyDescent="0.3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300" t="s">
        <v>943</v>
      </c>
      <c r="E18" s="300"/>
      <c r="F18" s="300"/>
      <c r="G18" s="300"/>
      <c r="H18" s="300"/>
      <c r="I18" s="117"/>
    </row>
    <row r="19" spans="1:12" ht="43.5" x14ac:dyDescent="0.35">
      <c r="A19" s="116"/>
      <c r="B19" s="177" t="str">
        <f>D19</f>
        <v>1.
2.
3.</v>
      </c>
      <c r="C19" s="177"/>
      <c r="D19" s="299" t="s">
        <v>937</v>
      </c>
      <c r="E19" s="299"/>
      <c r="F19" s="299"/>
      <c r="G19" s="299"/>
      <c r="H19" s="299"/>
      <c r="I19" s="117"/>
    </row>
    <row r="20" spans="1:12" x14ac:dyDescent="0.35">
      <c r="A20" s="116"/>
      <c r="B20" s="177"/>
      <c r="C20" s="177"/>
      <c r="D20" s="172"/>
      <c r="E20" s="172"/>
      <c r="F20" s="172"/>
      <c r="G20" s="172"/>
      <c r="H20" s="172"/>
      <c r="I20" s="117"/>
    </row>
    <row r="21" spans="1:12" x14ac:dyDescent="0.35">
      <c r="A21" s="116"/>
      <c r="B21" s="177" t="str">
        <f>D21</f>
        <v>Briefly describe what tasks or goals were accomplished during the case related family support hours (if used):</v>
      </c>
      <c r="C21" s="177"/>
      <c r="D21" s="300" t="s">
        <v>940</v>
      </c>
      <c r="E21" s="300"/>
      <c r="F21" s="300"/>
      <c r="G21" s="300"/>
      <c r="H21" s="300"/>
      <c r="I21" s="117"/>
    </row>
    <row r="22" spans="1:12" x14ac:dyDescent="0.35">
      <c r="A22" s="116"/>
      <c r="B22" s="177">
        <f>D22</f>
        <v>0</v>
      </c>
      <c r="C22" s="177"/>
      <c r="D22" s="299"/>
      <c r="E22" s="299"/>
      <c r="F22" s="299"/>
      <c r="G22" s="299"/>
      <c r="H22" s="299"/>
      <c r="I22" s="117"/>
    </row>
    <row r="23" spans="1:12" x14ac:dyDescent="0.35">
      <c r="A23" s="116"/>
      <c r="B23" s="177"/>
      <c r="C23" s="177"/>
      <c r="D23" s="172"/>
      <c r="E23" s="172"/>
      <c r="F23" s="172"/>
      <c r="G23" s="172"/>
      <c r="H23" s="172"/>
      <c r="I23" s="117"/>
    </row>
    <row r="24" spans="1:12" x14ac:dyDescent="0.35">
      <c r="A24" s="116"/>
      <c r="B24" s="177" t="str">
        <f>D24</f>
        <v>The Safety Plan (if applicable) and Crisis Plan should be reviewed at each session. Document the family’s success in adhering to the Safety Plan and Crisis Plan:</v>
      </c>
      <c r="C24" s="177"/>
      <c r="D24" s="300" t="s">
        <v>945</v>
      </c>
      <c r="E24" s="300"/>
      <c r="F24" s="300"/>
      <c r="G24" s="300"/>
      <c r="H24" s="300"/>
      <c r="I24" s="117"/>
    </row>
    <row r="25" spans="1:12" x14ac:dyDescent="0.35">
      <c r="A25" s="116"/>
      <c r="B25" s="177">
        <f>D25</f>
        <v>0</v>
      </c>
      <c r="C25" s="177"/>
      <c r="D25" s="299"/>
      <c r="E25" s="299"/>
      <c r="F25" s="299"/>
      <c r="G25" s="299"/>
      <c r="H25" s="299"/>
      <c r="I25" s="117"/>
      <c r="K25" s="174"/>
      <c r="L25" s="174"/>
    </row>
    <row r="26" spans="1:12" x14ac:dyDescent="0.35">
      <c r="A26" s="116"/>
      <c r="B26" s="177"/>
      <c r="C26" s="177"/>
      <c r="D26" s="172"/>
      <c r="E26" s="172"/>
      <c r="F26" s="172"/>
      <c r="G26" s="172"/>
      <c r="H26" s="172"/>
      <c r="I26" s="117"/>
    </row>
    <row r="27" spans="1:12" x14ac:dyDescent="0.35">
      <c r="A27" s="116"/>
      <c r="B27" s="177" t="str">
        <f>D27</f>
        <v>Describe items, goods, or services paid for through concrete funds and how they addressed safety:</v>
      </c>
      <c r="C27" s="177"/>
      <c r="D27" s="300" t="s">
        <v>941</v>
      </c>
      <c r="E27" s="300"/>
      <c r="F27" s="300"/>
      <c r="G27" s="300"/>
      <c r="H27" s="300"/>
      <c r="I27" s="117"/>
    </row>
    <row r="28" spans="1:12" ht="43.5" x14ac:dyDescent="0.35">
      <c r="A28" s="116"/>
      <c r="B28" s="177" t="str">
        <f>D28</f>
        <v>1.
2.
3.</v>
      </c>
      <c r="C28" s="177"/>
      <c r="D28" s="299" t="s">
        <v>937</v>
      </c>
      <c r="E28" s="299"/>
      <c r="F28" s="299"/>
      <c r="G28" s="299"/>
      <c r="H28" s="299"/>
      <c r="I28" s="117"/>
    </row>
    <row r="29" spans="1:12" x14ac:dyDescent="0.35">
      <c r="A29" s="116"/>
      <c r="B29" s="177"/>
      <c r="C29" s="177"/>
      <c r="D29" s="172"/>
      <c r="E29" s="172"/>
      <c r="F29" s="172"/>
      <c r="G29" s="172"/>
      <c r="H29" s="172"/>
      <c r="I29" s="117"/>
    </row>
    <row r="30" spans="1:12" x14ac:dyDescent="0.35">
      <c r="A30" s="116"/>
      <c r="B30" s="177" t="str">
        <f>D30</f>
        <v xml:space="preserve">Detail additional services or supports that may increase safety, functioning, and stability of the family: </v>
      </c>
      <c r="C30" s="177"/>
      <c r="D30" s="300" t="s">
        <v>942</v>
      </c>
      <c r="E30" s="300"/>
      <c r="F30" s="300"/>
      <c r="G30" s="300"/>
      <c r="H30" s="300"/>
      <c r="I30" s="117"/>
    </row>
    <row r="31" spans="1:12" ht="43.5" x14ac:dyDescent="0.35">
      <c r="A31" s="116"/>
      <c r="B31" s="177" t="str">
        <f>D31</f>
        <v>1.
2.
3.</v>
      </c>
      <c r="C31" s="177"/>
      <c r="D31" s="299" t="s">
        <v>937</v>
      </c>
      <c r="E31" s="299"/>
      <c r="F31" s="299"/>
      <c r="G31" s="299"/>
      <c r="H31" s="299"/>
      <c r="I31" s="117"/>
    </row>
    <row r="32" spans="1:12" x14ac:dyDescent="0.35">
      <c r="A32" s="116"/>
      <c r="B32" s="176"/>
      <c r="C32" s="176"/>
      <c r="D32" s="117"/>
      <c r="E32" s="117"/>
      <c r="F32" s="117"/>
      <c r="G32" s="117"/>
      <c r="H32" s="117"/>
      <c r="I32" s="117"/>
    </row>
    <row r="33" spans="1:9" ht="29" x14ac:dyDescent="0.35">
      <c r="A33" s="116"/>
      <c r="B33" s="176"/>
      <c r="C33" s="176"/>
      <c r="D33" s="184" t="s">
        <v>952</v>
      </c>
      <c r="E33" s="184"/>
      <c r="F33" s="184" t="s">
        <v>953</v>
      </c>
      <c r="G33" s="298" t="s">
        <v>954</v>
      </c>
      <c r="H33" s="298"/>
      <c r="I33" s="117"/>
    </row>
    <row r="34" spans="1:9" x14ac:dyDescent="0.35">
      <c r="A34" s="116"/>
      <c r="B34" s="176"/>
      <c r="C34" s="176"/>
      <c r="D34" s="297" t="str">
        <f>IF(CGName1="", "", CGName1)</f>
        <v/>
      </c>
      <c r="E34" s="297"/>
      <c r="F34" s="185"/>
      <c r="G34" s="302" t="s">
        <v>956</v>
      </c>
      <c r="H34" s="302"/>
      <c r="I34" s="117"/>
    </row>
    <row r="35" spans="1:9" x14ac:dyDescent="0.35">
      <c r="A35" s="116"/>
      <c r="B35" s="176"/>
      <c r="C35" s="176"/>
      <c r="D35" s="297" t="str">
        <f>IF(CGName2="", "", CGName2)</f>
        <v/>
      </c>
      <c r="E35" s="297"/>
      <c r="F35" s="185"/>
      <c r="G35" s="302" t="s">
        <v>956</v>
      </c>
      <c r="H35" s="302"/>
      <c r="I35" s="117"/>
    </row>
    <row r="36" spans="1:9" x14ac:dyDescent="0.35">
      <c r="A36" s="116"/>
      <c r="B36" s="176"/>
      <c r="C36" s="176"/>
      <c r="D36" s="297" t="str">
        <f>IF(CGName3="", "", CGName3)</f>
        <v/>
      </c>
      <c r="E36" s="297"/>
      <c r="F36" s="185"/>
      <c r="G36" s="302" t="s">
        <v>956</v>
      </c>
      <c r="H36" s="302"/>
      <c r="I36" s="117"/>
    </row>
    <row r="37" spans="1:9" x14ac:dyDescent="0.35">
      <c r="A37" s="116"/>
      <c r="B37" s="176"/>
      <c r="C37" s="176"/>
      <c r="D37" s="297" t="str">
        <f>IF(CGName4="", "", CGName4)</f>
        <v/>
      </c>
      <c r="E37" s="297"/>
      <c r="F37" s="185"/>
      <c r="G37" s="302" t="s">
        <v>956</v>
      </c>
      <c r="H37" s="302"/>
      <c r="I37" s="117"/>
    </row>
    <row r="38" spans="1:9" x14ac:dyDescent="0.35">
      <c r="A38" s="116"/>
      <c r="B38" s="176"/>
      <c r="C38" s="176"/>
      <c r="D38" s="117"/>
      <c r="E38" s="117"/>
      <c r="F38" s="117"/>
      <c r="G38" s="117"/>
      <c r="H38" s="117"/>
      <c r="I38" s="117"/>
    </row>
    <row r="39" spans="1:9" x14ac:dyDescent="0.35">
      <c r="A39" s="116"/>
      <c r="B39" s="176"/>
      <c r="C39" s="176"/>
      <c r="D39" s="298" t="s">
        <v>1088</v>
      </c>
      <c r="E39" s="298"/>
      <c r="F39" s="298"/>
      <c r="G39" s="301" t="s">
        <v>956</v>
      </c>
      <c r="H39" s="301"/>
      <c r="I39" s="117"/>
    </row>
    <row r="40" spans="1:9" x14ac:dyDescent="0.35">
      <c r="A40" s="116"/>
      <c r="B40" s="178"/>
      <c r="C40" s="178"/>
      <c r="D40" s="183" t="s">
        <v>969</v>
      </c>
      <c r="E40" s="295" t="s">
        <v>63</v>
      </c>
      <c r="F40" s="295"/>
      <c r="G40" s="295"/>
      <c r="H40" s="183" t="s">
        <v>968</v>
      </c>
      <c r="I40" s="117"/>
    </row>
    <row r="41" spans="1:9" x14ac:dyDescent="0.35">
      <c r="A41" s="116"/>
      <c r="B41" s="178"/>
      <c r="C41" s="187" t="str">
        <f>catrange(ActionSteps1)</f>
        <v/>
      </c>
      <c r="D41" s="188" t="str">
        <f>IF(IntGoal1="", "", IntGoal1)</f>
        <v/>
      </c>
      <c r="E41" s="296" t="str">
        <f>catrange(ActionSteps1)</f>
        <v/>
      </c>
      <c r="F41" s="296"/>
      <c r="G41" s="296"/>
      <c r="H41" s="186" t="s">
        <v>963</v>
      </c>
      <c r="I41" s="117"/>
    </row>
    <row r="42" spans="1:9" x14ac:dyDescent="0.35">
      <c r="A42" s="116"/>
      <c r="B42" s="178"/>
      <c r="C42" s="187" t="str">
        <f>catrange(ActionSteps2)</f>
        <v/>
      </c>
      <c r="D42" s="188" t="str">
        <f>IF(IntGoal2="", "", IntGoal2)</f>
        <v/>
      </c>
      <c r="E42" s="296" t="str">
        <f>catrange(ActionSteps2)</f>
        <v/>
      </c>
      <c r="F42" s="296"/>
      <c r="G42" s="296"/>
      <c r="H42" s="186" t="s">
        <v>963</v>
      </c>
      <c r="I42" s="117"/>
    </row>
    <row r="43" spans="1:9" x14ac:dyDescent="0.35">
      <c r="A43" s="116"/>
      <c r="B43" s="178"/>
      <c r="C43" s="187" t="str">
        <f>catrange(ActionSteps3)</f>
        <v/>
      </c>
      <c r="D43" s="188" t="str">
        <f>IF(IntGoal3="", "", IntGoal3)</f>
        <v/>
      </c>
      <c r="E43" s="296" t="str">
        <f>catrange(ActionSteps3)</f>
        <v/>
      </c>
      <c r="F43" s="296"/>
      <c r="G43" s="296"/>
      <c r="H43" s="186" t="s">
        <v>963</v>
      </c>
      <c r="I43" s="117"/>
    </row>
    <row r="44" spans="1:9" x14ac:dyDescent="0.35">
      <c r="A44" s="116"/>
      <c r="B44" s="178"/>
      <c r="C44" s="187" t="str">
        <f>catrange(ActionSteps4)</f>
        <v/>
      </c>
      <c r="D44" s="188" t="str">
        <f>IF(IntGoal4="", "", IntGoal4)</f>
        <v/>
      </c>
      <c r="E44" s="296" t="str">
        <f>catrange(ActionSteps4)</f>
        <v/>
      </c>
      <c r="F44" s="296"/>
      <c r="G44" s="296"/>
      <c r="H44" s="186" t="s">
        <v>963</v>
      </c>
      <c r="I44" s="117"/>
    </row>
    <row r="45" spans="1:9" x14ac:dyDescent="0.35">
      <c r="A45" s="116"/>
      <c r="B45" s="178"/>
      <c r="C45" s="187" t="str">
        <f>catrange(ActionSteps5)</f>
        <v/>
      </c>
      <c r="D45" s="188" t="str">
        <f>IF(IntGoal5="", "", IntGoal5)</f>
        <v/>
      </c>
      <c r="E45" s="296" t="str">
        <f>catrange(ActionSteps5)</f>
        <v/>
      </c>
      <c r="F45" s="296"/>
      <c r="G45" s="296"/>
      <c r="H45" s="186" t="s">
        <v>963</v>
      </c>
      <c r="I45" s="117"/>
    </row>
    <row r="46" spans="1:9" x14ac:dyDescent="0.35">
      <c r="A46" s="116"/>
      <c r="B46" s="178"/>
      <c r="C46" s="187" t="str">
        <f>catrange(ActionSteps6)</f>
        <v/>
      </c>
      <c r="D46" s="188" t="str">
        <f>IF(IntGoal6="", "", IntGoal6)</f>
        <v/>
      </c>
      <c r="E46" s="296" t="str">
        <f>catrange(ActionSteps6)</f>
        <v/>
      </c>
      <c r="F46" s="296"/>
      <c r="G46" s="296"/>
      <c r="H46" s="186" t="s">
        <v>963</v>
      </c>
      <c r="I46" s="117"/>
    </row>
    <row r="47" spans="1:9" x14ac:dyDescent="0.35">
      <c r="A47" s="116"/>
      <c r="B47" s="178"/>
      <c r="C47" s="187" t="str">
        <f>catrange(ActionSteps7)</f>
        <v/>
      </c>
      <c r="D47" s="188" t="str">
        <f>IF(IntGoal7="", "", IntGoal7)</f>
        <v/>
      </c>
      <c r="E47" s="296" t="str">
        <f>catrange(ActionSteps7)</f>
        <v/>
      </c>
      <c r="F47" s="296"/>
      <c r="G47" s="296"/>
      <c r="H47" s="186" t="s">
        <v>963</v>
      </c>
      <c r="I47" s="117"/>
    </row>
    <row r="48" spans="1:9" x14ac:dyDescent="0.35">
      <c r="A48" s="116"/>
      <c r="B48" s="178"/>
      <c r="C48" s="187" t="str">
        <f>catrange(ActionSteps8)</f>
        <v/>
      </c>
      <c r="D48" s="188" t="str">
        <f>IF(IntGoal8="", "", IntGoal8)</f>
        <v/>
      </c>
      <c r="E48" s="296" t="str">
        <f>catrange(ActionSteps8)</f>
        <v/>
      </c>
      <c r="F48" s="296"/>
      <c r="G48" s="296"/>
      <c r="H48" s="186" t="s">
        <v>963</v>
      </c>
      <c r="I48" s="117"/>
    </row>
    <row r="49" spans="1:9" x14ac:dyDescent="0.35">
      <c r="A49" s="116"/>
      <c r="B49" s="178"/>
      <c r="C49" s="187" t="str">
        <f>catrange(ActionSteps9)</f>
        <v/>
      </c>
      <c r="D49" s="188" t="str">
        <f>IF(IntGoal9="", "", IntGoal9)</f>
        <v/>
      </c>
      <c r="E49" s="296" t="str">
        <f>catrange(ActionSteps9)</f>
        <v/>
      </c>
      <c r="F49" s="296"/>
      <c r="G49" s="296"/>
      <c r="H49" s="186" t="s">
        <v>963</v>
      </c>
      <c r="I49" s="117"/>
    </row>
    <row r="50" spans="1:9" x14ac:dyDescent="0.35">
      <c r="A50" s="116"/>
      <c r="B50" s="176"/>
      <c r="C50" s="176"/>
      <c r="D50" s="117"/>
      <c r="E50" s="117"/>
      <c r="F50" s="117"/>
      <c r="G50" s="117"/>
      <c r="H50" s="117"/>
      <c r="I50" s="117"/>
    </row>
    <row r="51" spans="1:9" x14ac:dyDescent="0.35">
      <c r="A51" s="111"/>
      <c r="B51" s="178"/>
      <c r="C51" s="178"/>
      <c r="D51" s="168"/>
      <c r="E51" s="168"/>
      <c r="F51" s="168"/>
      <c r="G51" s="168"/>
      <c r="H51" s="168"/>
      <c r="I51" s="111"/>
    </row>
    <row r="52" spans="1:9" x14ac:dyDescent="0.35">
      <c r="A52" s="111"/>
      <c r="B52" s="178"/>
      <c r="C52" s="178"/>
      <c r="D52" s="168"/>
      <c r="E52" s="168"/>
      <c r="F52" s="168"/>
      <c r="G52" s="168"/>
      <c r="H52" s="168"/>
      <c r="I52" s="111"/>
    </row>
    <row r="53" spans="1:9" x14ac:dyDescent="0.35">
      <c r="A53" s="111"/>
      <c r="B53" s="178"/>
      <c r="C53" s="178"/>
      <c r="D53" s="168"/>
      <c r="E53" s="168"/>
      <c r="F53" s="168"/>
      <c r="G53" s="168"/>
      <c r="H53" s="168"/>
      <c r="I53" s="111"/>
    </row>
    <row r="54" spans="1:9" x14ac:dyDescent="0.35">
      <c r="A54" s="111"/>
      <c r="B54" s="178"/>
      <c r="C54" s="178"/>
      <c r="D54" s="168"/>
      <c r="E54" s="168"/>
      <c r="F54" s="168"/>
      <c r="G54" s="168"/>
      <c r="H54" s="168"/>
      <c r="I54" s="111"/>
    </row>
    <row r="55" spans="1:9" x14ac:dyDescent="0.35">
      <c r="A55" s="111"/>
      <c r="B55" s="178"/>
      <c r="C55" s="178"/>
      <c r="D55" s="168"/>
      <c r="E55" s="168"/>
      <c r="F55" s="168"/>
      <c r="G55" s="168"/>
      <c r="H55" s="168"/>
      <c r="I55" s="111"/>
    </row>
    <row r="56" spans="1:9" x14ac:dyDescent="0.35">
      <c r="A56" s="111"/>
      <c r="B56" s="178"/>
      <c r="C56" s="178"/>
      <c r="D56" s="168"/>
      <c r="E56" s="168"/>
      <c r="F56" s="168"/>
      <c r="G56" s="168"/>
      <c r="H56" s="168"/>
      <c r="I56" s="111"/>
    </row>
    <row r="57" spans="1:9" x14ac:dyDescent="0.35">
      <c r="A57" s="111"/>
      <c r="B57" s="178"/>
      <c r="C57" s="178"/>
      <c r="D57" s="168"/>
      <c r="E57" s="168"/>
      <c r="F57" s="168"/>
      <c r="G57" s="168"/>
      <c r="H57" s="168"/>
      <c r="I57" s="111"/>
    </row>
    <row r="58" spans="1:9" x14ac:dyDescent="0.35">
      <c r="A58" s="111"/>
      <c r="B58" s="178"/>
      <c r="C58" s="178"/>
      <c r="D58" s="168"/>
      <c r="E58" s="168"/>
      <c r="F58" s="168"/>
      <c r="G58" s="168"/>
      <c r="H58" s="168"/>
      <c r="I58" s="111"/>
    </row>
    <row r="59" spans="1:9" x14ac:dyDescent="0.35">
      <c r="A59" s="111"/>
      <c r="B59" s="178"/>
      <c r="C59" s="178"/>
      <c r="D59" s="168"/>
      <c r="E59" s="168"/>
      <c r="F59" s="168"/>
      <c r="G59" s="168"/>
      <c r="H59" s="168"/>
      <c r="I59" s="111"/>
    </row>
    <row r="60" spans="1:9" x14ac:dyDescent="0.35">
      <c r="A60" s="111"/>
      <c r="B60" s="178"/>
      <c r="C60" s="178"/>
      <c r="D60" s="168"/>
      <c r="E60" s="168"/>
      <c r="F60" s="168"/>
      <c r="G60" s="168"/>
      <c r="H60" s="168"/>
      <c r="I60" s="111"/>
    </row>
    <row r="61" spans="1:9" x14ac:dyDescent="0.35">
      <c r="A61" s="111"/>
      <c r="B61" s="178"/>
      <c r="C61" s="178"/>
      <c r="D61" s="168"/>
      <c r="E61" s="168"/>
      <c r="F61" s="168"/>
      <c r="G61" s="168"/>
      <c r="H61" s="168"/>
      <c r="I61" s="111"/>
    </row>
    <row r="62" spans="1:9" x14ac:dyDescent="0.35">
      <c r="A62" s="111"/>
      <c r="B62" s="178"/>
      <c r="C62" s="178"/>
      <c r="D62" s="168"/>
      <c r="E62" s="168"/>
      <c r="F62" s="168"/>
      <c r="G62" s="168"/>
      <c r="H62" s="168"/>
      <c r="I62" s="111"/>
    </row>
    <row r="63" spans="1:9" x14ac:dyDescent="0.35">
      <c r="A63" s="111"/>
      <c r="B63" s="178"/>
      <c r="C63" s="178"/>
      <c r="D63" s="168"/>
      <c r="E63" s="168"/>
      <c r="F63" s="168"/>
      <c r="G63" s="168"/>
      <c r="H63" s="168"/>
      <c r="I63" s="111"/>
    </row>
    <row r="64" spans="1:9" x14ac:dyDescent="0.35">
      <c r="A64" s="111"/>
      <c r="B64" s="178"/>
      <c r="C64" s="178"/>
      <c r="D64" s="168"/>
      <c r="E64" s="168"/>
      <c r="F64" s="168"/>
      <c r="G64" s="168"/>
      <c r="H64" s="168"/>
      <c r="I64" s="111"/>
    </row>
    <row r="65" spans="1:9" x14ac:dyDescent="0.35">
      <c r="A65" s="111"/>
      <c r="B65" s="178"/>
      <c r="C65" s="178"/>
      <c r="D65" s="168"/>
      <c r="E65" s="168"/>
      <c r="F65" s="168"/>
      <c r="G65" s="168"/>
      <c r="H65" s="168"/>
      <c r="I65" s="111"/>
    </row>
    <row r="66" spans="1:9" x14ac:dyDescent="0.35">
      <c r="A66" s="111"/>
      <c r="B66" s="178"/>
      <c r="C66" s="178"/>
      <c r="D66" s="168"/>
      <c r="E66" s="168"/>
      <c r="F66" s="168"/>
      <c r="G66" s="168"/>
      <c r="H66" s="168"/>
      <c r="I66" s="111"/>
    </row>
    <row r="67" spans="1:9" x14ac:dyDescent="0.35">
      <c r="A67" s="111"/>
      <c r="B67" s="178"/>
      <c r="C67" s="178"/>
      <c r="D67" s="168"/>
      <c r="E67" s="168"/>
      <c r="F67" s="168"/>
      <c r="G67" s="168"/>
      <c r="H67" s="168"/>
      <c r="I67" s="111"/>
    </row>
    <row r="68" spans="1:9" x14ac:dyDescent="0.35">
      <c r="A68" s="111"/>
      <c r="B68" s="178"/>
      <c r="C68" s="178"/>
      <c r="D68" s="168"/>
      <c r="E68" s="168"/>
      <c r="F68" s="168"/>
      <c r="G68" s="168"/>
      <c r="H68" s="168"/>
      <c r="I68" s="111"/>
    </row>
    <row r="69" spans="1:9" x14ac:dyDescent="0.35">
      <c r="A69" s="111"/>
      <c r="B69" s="178"/>
      <c r="C69" s="178"/>
      <c r="D69" s="168"/>
      <c r="E69" s="168"/>
      <c r="F69" s="168"/>
      <c r="G69" s="168"/>
      <c r="H69" s="168"/>
      <c r="I69" s="111"/>
    </row>
    <row r="70" spans="1:9" x14ac:dyDescent="0.35">
      <c r="A70" s="111"/>
      <c r="B70" s="178"/>
      <c r="C70" s="178"/>
      <c r="D70" s="168"/>
      <c r="E70" s="168"/>
      <c r="F70" s="168"/>
      <c r="G70" s="168"/>
      <c r="H70" s="168"/>
      <c r="I70" s="111"/>
    </row>
    <row r="71" spans="1:9" x14ac:dyDescent="0.35">
      <c r="A71" s="111"/>
      <c r="B71" s="178"/>
      <c r="C71" s="178"/>
      <c r="D71" s="168"/>
      <c r="E71" s="168"/>
      <c r="F71" s="168"/>
      <c r="G71" s="168"/>
      <c r="H71" s="168"/>
      <c r="I71" s="111"/>
    </row>
    <row r="72" spans="1:9" x14ac:dyDescent="0.35">
      <c r="A72" s="111"/>
      <c r="B72" s="178"/>
      <c r="C72" s="178"/>
      <c r="D72" s="168"/>
      <c r="E72" s="168"/>
      <c r="F72" s="168"/>
      <c r="G72" s="168"/>
      <c r="H72" s="168"/>
      <c r="I72" s="111"/>
    </row>
    <row r="73" spans="1:9" x14ac:dyDescent="0.35">
      <c r="A73" s="111"/>
      <c r="B73" s="178"/>
      <c r="C73" s="178"/>
      <c r="D73" s="168"/>
      <c r="E73" s="168"/>
      <c r="F73" s="168"/>
      <c r="G73" s="168"/>
      <c r="H73" s="168"/>
      <c r="I73" s="111"/>
    </row>
    <row r="74" spans="1:9" x14ac:dyDescent="0.35">
      <c r="A74" s="111"/>
      <c r="B74" s="178"/>
      <c r="C74" s="178"/>
      <c r="D74" s="168"/>
      <c r="E74" s="168"/>
      <c r="F74" s="168"/>
      <c r="G74" s="168"/>
      <c r="H74" s="168"/>
      <c r="I74" s="111"/>
    </row>
    <row r="75" spans="1:9" x14ac:dyDescent="0.35">
      <c r="A75" s="111"/>
      <c r="B75" s="178"/>
      <c r="C75" s="178"/>
      <c r="D75" s="168"/>
      <c r="E75" s="168"/>
      <c r="F75" s="168"/>
      <c r="G75" s="168"/>
      <c r="H75" s="168"/>
      <c r="I75" s="111"/>
    </row>
    <row r="76" spans="1:9" x14ac:dyDescent="0.35">
      <c r="A76" s="111"/>
      <c r="B76" s="178"/>
      <c r="C76" s="178"/>
      <c r="D76" s="168"/>
      <c r="E76" s="168"/>
      <c r="F76" s="168"/>
      <c r="G76" s="168"/>
      <c r="H76" s="168"/>
      <c r="I76" s="111"/>
    </row>
    <row r="77" spans="1:9" x14ac:dyDescent="0.35">
      <c r="A77" s="111"/>
      <c r="B77" s="178"/>
      <c r="C77" s="178"/>
      <c r="D77" s="168"/>
      <c r="E77" s="168"/>
      <c r="F77" s="168"/>
      <c r="G77" s="168"/>
      <c r="H77" s="168"/>
      <c r="I77" s="111"/>
    </row>
    <row r="78" spans="1:9" x14ac:dyDescent="0.35">
      <c r="A78" s="111"/>
      <c r="B78" s="178"/>
      <c r="C78" s="178"/>
      <c r="D78" s="168"/>
      <c r="E78" s="168"/>
      <c r="F78" s="168"/>
      <c r="G78" s="168"/>
      <c r="H78" s="168"/>
      <c r="I78" s="111"/>
    </row>
    <row r="79" spans="1:9" x14ac:dyDescent="0.35">
      <c r="A79" s="111"/>
      <c r="B79" s="178"/>
      <c r="C79" s="178"/>
      <c r="D79" s="168"/>
      <c r="E79" s="168"/>
      <c r="F79" s="168"/>
      <c r="G79" s="168"/>
      <c r="H79" s="168"/>
      <c r="I79" s="111"/>
    </row>
    <row r="80" spans="1:9" x14ac:dyDescent="0.35">
      <c r="A80" s="111"/>
      <c r="B80" s="178"/>
      <c r="C80" s="178"/>
      <c r="D80" s="168"/>
      <c r="E80" s="168"/>
      <c r="F80" s="168"/>
      <c r="G80" s="168"/>
      <c r="H80" s="168"/>
      <c r="I80" s="111"/>
    </row>
    <row r="81" spans="1:9" x14ac:dyDescent="0.35">
      <c r="A81" s="111"/>
      <c r="B81" s="178"/>
      <c r="C81" s="178"/>
      <c r="D81" s="168"/>
      <c r="E81" s="168"/>
      <c r="F81" s="168"/>
      <c r="G81" s="168"/>
      <c r="H81" s="168"/>
      <c r="I81" s="111"/>
    </row>
    <row r="82" spans="1:9" x14ac:dyDescent="0.35">
      <c r="A82" s="111"/>
      <c r="B82" s="178"/>
      <c r="C82" s="178"/>
      <c r="D82" s="168"/>
      <c r="E82" s="168"/>
      <c r="F82" s="168"/>
      <c r="G82" s="168"/>
      <c r="H82" s="168"/>
      <c r="I82" s="111"/>
    </row>
    <row r="83" spans="1:9" x14ac:dyDescent="0.35">
      <c r="A83" s="111"/>
      <c r="B83" s="178"/>
      <c r="C83" s="178"/>
      <c r="D83" s="168"/>
      <c r="E83" s="168"/>
      <c r="F83" s="168"/>
      <c r="G83" s="168"/>
      <c r="H83" s="168"/>
      <c r="I83" s="111"/>
    </row>
    <row r="84" spans="1:9" x14ac:dyDescent="0.35">
      <c r="A84" s="111"/>
      <c r="B84" s="178"/>
      <c r="C84" s="178"/>
      <c r="D84" s="168"/>
      <c r="E84" s="168"/>
      <c r="F84" s="168"/>
      <c r="G84" s="168"/>
      <c r="H84" s="168"/>
      <c r="I84" s="111"/>
    </row>
    <row r="85" spans="1:9" x14ac:dyDescent="0.35">
      <c r="A85" s="111"/>
      <c r="B85" s="178"/>
      <c r="C85" s="178"/>
      <c r="D85" s="168"/>
      <c r="E85" s="168"/>
      <c r="F85" s="168"/>
      <c r="G85" s="168"/>
      <c r="H85" s="168"/>
      <c r="I85" s="111"/>
    </row>
    <row r="86" spans="1:9" x14ac:dyDescent="0.35">
      <c r="A86" s="111"/>
      <c r="B86" s="178"/>
      <c r="C86" s="178"/>
      <c r="D86" s="168"/>
      <c r="E86" s="168"/>
      <c r="F86" s="168"/>
      <c r="G86" s="168"/>
      <c r="H86" s="168"/>
      <c r="I86" s="111"/>
    </row>
    <row r="87" spans="1:9" x14ac:dyDescent="0.35">
      <c r="A87" s="111"/>
      <c r="B87" s="178"/>
      <c r="C87" s="178"/>
      <c r="D87" s="168"/>
      <c r="E87" s="168"/>
      <c r="F87" s="168"/>
      <c r="G87" s="168"/>
      <c r="H87" s="168"/>
      <c r="I87" s="111"/>
    </row>
    <row r="88" spans="1:9" x14ac:dyDescent="0.35">
      <c r="A88" s="111"/>
      <c r="B88" s="178"/>
      <c r="C88" s="178"/>
      <c r="D88" s="168"/>
      <c r="E88" s="168"/>
      <c r="F88" s="168"/>
      <c r="G88" s="168"/>
      <c r="H88" s="168"/>
      <c r="I88" s="111"/>
    </row>
    <row r="89" spans="1:9" x14ac:dyDescent="0.35">
      <c r="A89" s="111"/>
      <c r="B89" s="178"/>
      <c r="C89" s="178"/>
      <c r="D89" s="168"/>
      <c r="E89" s="168"/>
      <c r="F89" s="168"/>
      <c r="G89" s="168"/>
      <c r="H89" s="168"/>
      <c r="I89" s="111"/>
    </row>
    <row r="90" spans="1:9" x14ac:dyDescent="0.35">
      <c r="A90" s="111"/>
      <c r="B90" s="178"/>
      <c r="C90" s="178"/>
      <c r="D90" s="168"/>
      <c r="E90" s="168"/>
      <c r="F90" s="168"/>
      <c r="G90" s="168"/>
      <c r="H90" s="168"/>
      <c r="I90" s="111"/>
    </row>
    <row r="91" spans="1:9" x14ac:dyDescent="0.35">
      <c r="A91" s="111"/>
      <c r="B91" s="178"/>
      <c r="C91" s="178"/>
      <c r="D91" s="168"/>
      <c r="E91" s="168"/>
      <c r="F91" s="168"/>
      <c r="G91" s="168"/>
      <c r="H91" s="168"/>
      <c r="I91" s="111"/>
    </row>
    <row r="92" spans="1:9" x14ac:dyDescent="0.35">
      <c r="A92" s="111"/>
      <c r="B92" s="178"/>
      <c r="C92" s="178"/>
      <c r="D92" s="168"/>
      <c r="E92" s="168"/>
      <c r="F92" s="168"/>
      <c r="G92" s="168"/>
      <c r="H92" s="168"/>
      <c r="I92" s="111"/>
    </row>
    <row r="93" spans="1:9" x14ac:dyDescent="0.35">
      <c r="A93" s="111"/>
      <c r="B93" s="178"/>
      <c r="C93" s="178"/>
      <c r="D93" s="168"/>
      <c r="E93" s="168"/>
      <c r="F93" s="168"/>
      <c r="G93" s="168"/>
      <c r="H93" s="168"/>
      <c r="I93" s="111"/>
    </row>
    <row r="94" spans="1:9" x14ac:dyDescent="0.35">
      <c r="A94" s="111"/>
      <c r="B94" s="178"/>
      <c r="C94" s="178"/>
      <c r="D94" s="168"/>
      <c r="E94" s="168"/>
      <c r="F94" s="168"/>
      <c r="G94" s="168"/>
      <c r="H94" s="168"/>
      <c r="I94" s="111"/>
    </row>
    <row r="95" spans="1:9" x14ac:dyDescent="0.35">
      <c r="A95" s="111"/>
      <c r="B95" s="178"/>
      <c r="C95" s="178"/>
      <c r="D95" s="168"/>
      <c r="E95" s="168"/>
      <c r="F95" s="168"/>
      <c r="G95" s="168"/>
      <c r="H95" s="168"/>
      <c r="I95" s="111"/>
    </row>
    <row r="96" spans="1:9" x14ac:dyDescent="0.35">
      <c r="A96" s="111"/>
      <c r="B96" s="178"/>
      <c r="C96" s="178"/>
      <c r="D96" s="168"/>
      <c r="E96" s="168"/>
      <c r="F96" s="168"/>
      <c r="G96" s="168"/>
      <c r="H96" s="168"/>
      <c r="I96" s="111"/>
    </row>
    <row r="97" spans="1:9" x14ac:dyDescent="0.35">
      <c r="A97" s="111"/>
      <c r="B97" s="178"/>
      <c r="C97" s="178"/>
      <c r="D97" s="168"/>
      <c r="E97" s="168"/>
      <c r="F97" s="168"/>
      <c r="G97" s="168"/>
      <c r="H97" s="168"/>
      <c r="I97" s="111"/>
    </row>
    <row r="98" spans="1:9" x14ac:dyDescent="0.35">
      <c r="A98" s="111"/>
      <c r="B98" s="178"/>
      <c r="C98" s="178"/>
      <c r="D98" s="168"/>
      <c r="E98" s="168"/>
      <c r="F98" s="168"/>
      <c r="G98" s="168"/>
      <c r="H98" s="168"/>
      <c r="I98" s="111"/>
    </row>
    <row r="99" spans="1:9" x14ac:dyDescent="0.35">
      <c r="A99" s="111"/>
      <c r="B99" s="178"/>
      <c r="C99" s="178"/>
      <c r="D99" s="168"/>
      <c r="E99" s="168"/>
      <c r="F99" s="168"/>
      <c r="G99" s="168"/>
      <c r="H99" s="168"/>
      <c r="I99" s="111"/>
    </row>
    <row r="100" spans="1:9" x14ac:dyDescent="0.35">
      <c r="A100" s="111"/>
      <c r="B100" s="178"/>
      <c r="C100" s="178"/>
      <c r="D100" s="168"/>
      <c r="E100" s="168"/>
      <c r="F100" s="168"/>
      <c r="G100" s="168"/>
      <c r="H100" s="168"/>
      <c r="I100" s="111"/>
    </row>
    <row r="101" spans="1:9" x14ac:dyDescent="0.35">
      <c r="A101" s="111"/>
      <c r="B101" s="178"/>
      <c r="C101" s="178"/>
      <c r="D101" s="168"/>
      <c r="E101" s="168"/>
      <c r="F101" s="168"/>
      <c r="G101" s="168"/>
      <c r="H101" s="168"/>
      <c r="I101" s="111"/>
    </row>
    <row r="102" spans="1:9" x14ac:dyDescent="0.35">
      <c r="A102" s="111"/>
      <c r="B102" s="178"/>
      <c r="C102" s="178"/>
      <c r="D102" s="168"/>
      <c r="E102" s="168"/>
      <c r="F102" s="168"/>
      <c r="G102" s="168"/>
      <c r="H102" s="168"/>
      <c r="I102" s="111"/>
    </row>
    <row r="103" spans="1:9" x14ac:dyDescent="0.35">
      <c r="A103" s="111"/>
      <c r="B103" s="178"/>
      <c r="C103" s="178"/>
      <c r="D103" s="168"/>
      <c r="E103" s="168"/>
      <c r="F103" s="168"/>
      <c r="G103" s="168"/>
      <c r="H103" s="168"/>
      <c r="I103" s="111"/>
    </row>
    <row r="104" spans="1:9" x14ac:dyDescent="0.35">
      <c r="A104" s="111"/>
      <c r="B104" s="178"/>
      <c r="C104" s="178"/>
      <c r="D104" s="168"/>
      <c r="E104" s="168"/>
      <c r="F104" s="168"/>
      <c r="G104" s="168"/>
      <c r="H104" s="168"/>
      <c r="I104" s="111"/>
    </row>
    <row r="105" spans="1:9" x14ac:dyDescent="0.35">
      <c r="A105" s="111"/>
      <c r="B105" s="178"/>
      <c r="C105" s="178"/>
      <c r="D105" s="168"/>
      <c r="E105" s="168"/>
      <c r="F105" s="168"/>
      <c r="G105" s="168"/>
      <c r="H105" s="168"/>
      <c r="I105" s="111"/>
    </row>
    <row r="106" spans="1:9" x14ac:dyDescent="0.35">
      <c r="A106" s="111"/>
      <c r="B106" s="178"/>
      <c r="C106" s="178"/>
      <c r="D106" s="168"/>
      <c r="E106" s="168"/>
      <c r="F106" s="168"/>
      <c r="G106" s="168"/>
      <c r="H106" s="168"/>
      <c r="I106" s="111"/>
    </row>
    <row r="107" spans="1:9" x14ac:dyDescent="0.35">
      <c r="A107" s="111"/>
      <c r="B107" s="178"/>
      <c r="C107" s="178"/>
      <c r="D107" s="168"/>
      <c r="E107" s="168"/>
      <c r="F107" s="168"/>
      <c r="G107" s="168"/>
      <c r="H107" s="168"/>
      <c r="I107" s="111"/>
    </row>
    <row r="108" spans="1:9" x14ac:dyDescent="0.35">
      <c r="A108" s="111"/>
      <c r="B108" s="178"/>
      <c r="C108" s="178"/>
      <c r="D108" s="168"/>
      <c r="E108" s="168"/>
      <c r="F108" s="168"/>
      <c r="G108" s="168"/>
      <c r="H108" s="168"/>
      <c r="I108" s="111"/>
    </row>
    <row r="109" spans="1:9" x14ac:dyDescent="0.35">
      <c r="A109" s="111"/>
      <c r="B109" s="178"/>
      <c r="C109" s="178"/>
      <c r="D109" s="168"/>
      <c r="E109" s="168"/>
      <c r="F109" s="168"/>
      <c r="G109" s="168"/>
      <c r="H109" s="168"/>
      <c r="I109" s="111"/>
    </row>
    <row r="110" spans="1:9" x14ac:dyDescent="0.35">
      <c r="A110" s="111"/>
      <c r="B110" s="178"/>
      <c r="C110" s="178"/>
      <c r="D110" s="168"/>
      <c r="E110" s="168"/>
      <c r="F110" s="168"/>
      <c r="G110" s="168"/>
      <c r="H110" s="168"/>
      <c r="I110" s="111"/>
    </row>
    <row r="111" spans="1:9" x14ac:dyDescent="0.35">
      <c r="A111" s="111"/>
      <c r="B111" s="178"/>
      <c r="C111" s="178"/>
      <c r="D111" s="168"/>
      <c r="E111" s="168"/>
      <c r="F111" s="168"/>
      <c r="G111" s="168"/>
      <c r="H111" s="168"/>
      <c r="I111" s="111"/>
    </row>
    <row r="112" spans="1:9" x14ac:dyDescent="0.35">
      <c r="A112" s="111"/>
      <c r="B112" s="178"/>
      <c r="C112" s="178"/>
      <c r="D112" s="168"/>
      <c r="E112" s="168"/>
      <c r="F112" s="168"/>
      <c r="G112" s="168"/>
      <c r="H112" s="168"/>
      <c r="I112" s="111"/>
    </row>
    <row r="113" spans="1:9" x14ac:dyDescent="0.35">
      <c r="A113" s="111"/>
      <c r="B113" s="178"/>
      <c r="C113" s="178"/>
      <c r="D113" s="168"/>
      <c r="E113" s="168"/>
      <c r="F113" s="168"/>
      <c r="G113" s="168"/>
      <c r="H113" s="168"/>
      <c r="I113" s="111"/>
    </row>
    <row r="114" spans="1:9" x14ac:dyDescent="0.35">
      <c r="A114" s="111"/>
      <c r="B114" s="178"/>
      <c r="C114" s="178"/>
      <c r="D114" s="168"/>
      <c r="E114" s="168"/>
      <c r="F114" s="168"/>
      <c r="G114" s="168"/>
      <c r="H114" s="168"/>
      <c r="I114" s="111"/>
    </row>
    <row r="115" spans="1:9" x14ac:dyDescent="0.35">
      <c r="A115" s="111"/>
      <c r="B115" s="178"/>
      <c r="C115" s="178"/>
      <c r="D115" s="168"/>
      <c r="E115" s="168"/>
      <c r="F115" s="168"/>
      <c r="G115" s="168"/>
      <c r="H115" s="168"/>
      <c r="I115" s="111"/>
    </row>
    <row r="116" spans="1:9" x14ac:dyDescent="0.35">
      <c r="A116" s="111"/>
      <c r="B116" s="178"/>
      <c r="C116" s="178"/>
      <c r="D116" s="168"/>
      <c r="E116" s="168"/>
      <c r="F116" s="168"/>
      <c r="G116" s="168"/>
      <c r="H116" s="168"/>
      <c r="I116" s="111"/>
    </row>
    <row r="117" spans="1:9" x14ac:dyDescent="0.35">
      <c r="A117" s="111"/>
      <c r="B117" s="178"/>
      <c r="C117" s="178"/>
      <c r="D117" s="168"/>
      <c r="E117" s="168"/>
      <c r="F117" s="168"/>
      <c r="G117" s="168"/>
      <c r="H117" s="168"/>
      <c r="I117" s="111"/>
    </row>
    <row r="118" spans="1:9" x14ac:dyDescent="0.35">
      <c r="A118" s="111"/>
      <c r="B118" s="178"/>
      <c r="C118" s="178"/>
      <c r="D118" s="168"/>
      <c r="E118" s="168"/>
      <c r="F118" s="168"/>
      <c r="G118" s="168"/>
      <c r="H118" s="168"/>
      <c r="I118" s="111"/>
    </row>
    <row r="119" spans="1:9" x14ac:dyDescent="0.35">
      <c r="A119" s="111"/>
      <c r="B119" s="178"/>
      <c r="C119" s="178"/>
      <c r="D119" s="168"/>
      <c r="E119" s="168"/>
      <c r="F119" s="168"/>
      <c r="G119" s="168"/>
      <c r="H119" s="168"/>
      <c r="I119" s="111"/>
    </row>
    <row r="120" spans="1:9" x14ac:dyDescent="0.35">
      <c r="A120" s="111"/>
      <c r="B120" s="178"/>
      <c r="C120" s="178"/>
      <c r="D120" s="168"/>
      <c r="E120" s="168"/>
      <c r="F120" s="168"/>
      <c r="G120" s="168"/>
      <c r="H120" s="168"/>
      <c r="I120" s="111"/>
    </row>
    <row r="121" spans="1:9" x14ac:dyDescent="0.35">
      <c r="A121" s="111"/>
      <c r="B121" s="178"/>
      <c r="C121" s="178"/>
      <c r="D121" s="168"/>
      <c r="E121" s="168"/>
      <c r="F121" s="168"/>
      <c r="G121" s="168"/>
      <c r="H121" s="168"/>
      <c r="I121" s="111"/>
    </row>
    <row r="122" spans="1:9" x14ac:dyDescent="0.35">
      <c r="A122" s="111"/>
      <c r="B122" s="178"/>
      <c r="C122" s="178"/>
      <c r="D122" s="168"/>
      <c r="E122" s="168"/>
      <c r="F122" s="168"/>
      <c r="G122" s="168"/>
      <c r="H122" s="168"/>
      <c r="I122" s="111"/>
    </row>
    <row r="123" spans="1:9" x14ac:dyDescent="0.35">
      <c r="A123" s="111"/>
      <c r="B123" s="178"/>
      <c r="C123" s="178"/>
      <c r="D123" s="168"/>
      <c r="E123" s="168"/>
      <c r="F123" s="168"/>
      <c r="G123" s="168"/>
      <c r="H123" s="168"/>
      <c r="I123" s="111"/>
    </row>
    <row r="124" spans="1:9" x14ac:dyDescent="0.35">
      <c r="A124" s="111"/>
      <c r="B124" s="178"/>
      <c r="C124" s="178"/>
      <c r="D124" s="168"/>
      <c r="E124" s="168"/>
      <c r="F124" s="168"/>
      <c r="G124" s="168"/>
      <c r="H124" s="168"/>
      <c r="I124" s="111"/>
    </row>
    <row r="125" spans="1:9" x14ac:dyDescent="0.35">
      <c r="A125" s="111"/>
      <c r="B125" s="178"/>
      <c r="C125" s="178"/>
      <c r="D125" s="168"/>
      <c r="E125" s="168"/>
      <c r="F125" s="168"/>
      <c r="G125" s="168"/>
      <c r="H125" s="168"/>
      <c r="I125" s="111"/>
    </row>
    <row r="126" spans="1:9" x14ac:dyDescent="0.35">
      <c r="A126" s="111"/>
      <c r="B126" s="178"/>
      <c r="C126" s="178"/>
      <c r="D126" s="168"/>
      <c r="E126" s="168"/>
      <c r="F126" s="168"/>
      <c r="G126" s="168"/>
      <c r="H126" s="168"/>
      <c r="I126" s="111"/>
    </row>
    <row r="127" spans="1:9" x14ac:dyDescent="0.35">
      <c r="A127" s="111"/>
      <c r="B127" s="178"/>
      <c r="C127" s="178"/>
      <c r="D127" s="168"/>
      <c r="E127" s="168"/>
      <c r="F127" s="168"/>
      <c r="G127" s="168"/>
      <c r="H127" s="168"/>
      <c r="I127" s="111"/>
    </row>
    <row r="128" spans="1:9" x14ac:dyDescent="0.35">
      <c r="A128" s="111"/>
      <c r="B128" s="178"/>
      <c r="C128" s="178"/>
      <c r="D128" s="168"/>
      <c r="E128" s="168"/>
      <c r="F128" s="168"/>
      <c r="G128" s="168"/>
      <c r="H128" s="168"/>
      <c r="I128" s="111"/>
    </row>
    <row r="129" spans="1:9" x14ac:dyDescent="0.35">
      <c r="A129" s="111"/>
      <c r="B129" s="178"/>
      <c r="C129" s="178"/>
      <c r="D129" s="168"/>
      <c r="E129" s="168"/>
      <c r="F129" s="168"/>
      <c r="G129" s="168"/>
      <c r="H129" s="168"/>
      <c r="I129" s="111"/>
    </row>
    <row r="130" spans="1:9" x14ac:dyDescent="0.35">
      <c r="A130" s="111"/>
      <c r="B130" s="178"/>
      <c r="C130" s="178"/>
      <c r="D130" s="168"/>
      <c r="E130" s="168"/>
      <c r="F130" s="168"/>
      <c r="G130" s="168"/>
      <c r="H130" s="168"/>
      <c r="I130" s="111"/>
    </row>
    <row r="131" spans="1:9" x14ac:dyDescent="0.3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50800</xdr:rowOff>
                  </from>
                  <to>
                    <xdr:col>5</xdr:col>
                    <xdr:colOff>31750</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222250</xdr:colOff>
                    <xdr:row>0</xdr:row>
                    <xdr:rowOff>50800</xdr:rowOff>
                  </from>
                  <to>
                    <xdr:col>6</xdr:col>
                    <xdr:colOff>241300</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3"/>
  <sheetViews>
    <sheetView workbookViewId="0">
      <selection activeCell="C1" sqref="C1"/>
    </sheetView>
  </sheetViews>
  <sheetFormatPr defaultRowHeight="14.5" x14ac:dyDescent="0.35"/>
  <cols>
    <col min="1" max="1" width="41.54296875" bestFit="1" customWidth="1"/>
    <col min="2" max="3" width="41.54296875" customWidth="1"/>
    <col min="6" max="6" width="9.7265625" bestFit="1" customWidth="1"/>
    <col min="10" max="10" width="41.26953125" bestFit="1" customWidth="1"/>
    <col min="11" max="11" width="41.26953125" customWidth="1"/>
    <col min="14" max="14" width="29.26953125" bestFit="1" customWidth="1"/>
    <col min="19" max="19" width="15.1796875" bestFit="1" customWidth="1"/>
    <col min="20" max="20" width="14.54296875" bestFit="1" customWidth="1"/>
  </cols>
  <sheetData>
    <row r="1" spans="1:21" x14ac:dyDescent="0.3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3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3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3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3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3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35">
      <c r="A7" t="s">
        <v>862</v>
      </c>
      <c r="B7" t="s">
        <v>872</v>
      </c>
      <c r="C7" t="s">
        <v>977</v>
      </c>
      <c r="J7" t="s">
        <v>961</v>
      </c>
      <c r="M7" t="s">
        <v>170</v>
      </c>
      <c r="N7" t="s">
        <v>149</v>
      </c>
      <c r="O7">
        <f t="array" ref="O7">MAX(IF(ItemDom=M7, DomItemNum, 0))</f>
        <v>0</v>
      </c>
      <c r="S7" t="s">
        <v>136</v>
      </c>
      <c r="T7" t="e">
        <f t="shared" si="0"/>
        <v>#N/A</v>
      </c>
      <c r="U7" t="str">
        <f t="shared" si="1"/>
        <v/>
      </c>
    </row>
    <row r="8" spans="1:21" x14ac:dyDescent="0.35">
      <c r="A8" t="s">
        <v>863</v>
      </c>
      <c r="B8" t="s">
        <v>873</v>
      </c>
      <c r="C8" t="s">
        <v>978</v>
      </c>
      <c r="J8" t="s">
        <v>1089</v>
      </c>
      <c r="S8" t="s">
        <v>137</v>
      </c>
      <c r="T8" t="e">
        <f t="shared" si="0"/>
        <v>#N/A</v>
      </c>
      <c r="U8" t="str">
        <f t="shared" si="1"/>
        <v/>
      </c>
    </row>
    <row r="9" spans="1:21" x14ac:dyDescent="0.35">
      <c r="A9" t="s">
        <v>864</v>
      </c>
      <c r="B9" t="s">
        <v>874</v>
      </c>
      <c r="C9" t="s">
        <v>979</v>
      </c>
      <c r="S9" t="s">
        <v>138</v>
      </c>
      <c r="T9" t="e">
        <f t="shared" si="0"/>
        <v>#N/A</v>
      </c>
      <c r="U9" t="str">
        <f t="shared" si="1"/>
        <v/>
      </c>
    </row>
    <row r="10" spans="1:21" x14ac:dyDescent="0.35">
      <c r="A10" t="s">
        <v>865</v>
      </c>
      <c r="B10" t="s">
        <v>875</v>
      </c>
      <c r="C10" t="s">
        <v>980</v>
      </c>
      <c r="F10" s="14">
        <f t="array" ref="F10">MAX(IF(ItemNum=MAX(ItemNum), ROW(ItemNum), 0))</f>
        <v>209</v>
      </c>
      <c r="G10" t="s">
        <v>262</v>
      </c>
      <c r="S10" t="s">
        <v>139</v>
      </c>
      <c r="T10" t="e">
        <f t="shared" si="0"/>
        <v>#N/A</v>
      </c>
      <c r="U10" t="str">
        <f t="shared" si="1"/>
        <v/>
      </c>
    </row>
    <row r="11" spans="1:21" x14ac:dyDescent="0.3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35">
      <c r="B12" t="s">
        <v>877</v>
      </c>
      <c r="C12" t="s">
        <v>982</v>
      </c>
      <c r="S12" t="s">
        <v>141</v>
      </c>
      <c r="T12" t="e">
        <f t="shared" si="0"/>
        <v>#N/A</v>
      </c>
      <c r="U12" t="str">
        <f t="shared" si="1"/>
        <v/>
      </c>
    </row>
    <row r="13" spans="1:21" x14ac:dyDescent="0.35">
      <c r="B13" t="s">
        <v>878</v>
      </c>
      <c r="C13" t="s">
        <v>983</v>
      </c>
      <c r="F13" s="233" t="b">
        <v>1</v>
      </c>
      <c r="G13" s="233" t="s">
        <v>1096</v>
      </c>
      <c r="S13" t="s">
        <v>142</v>
      </c>
      <c r="T13" t="e">
        <f t="shared" si="0"/>
        <v>#N/A</v>
      </c>
      <c r="U13" t="str">
        <f t="shared" si="1"/>
        <v/>
      </c>
    </row>
    <row r="14" spans="1:21" x14ac:dyDescent="0.35">
      <c r="B14" t="s">
        <v>879</v>
      </c>
      <c r="C14" t="s">
        <v>984</v>
      </c>
      <c r="S14" t="s">
        <v>143</v>
      </c>
      <c r="T14" t="e">
        <f t="shared" si="0"/>
        <v>#N/A</v>
      </c>
      <c r="U14" t="str">
        <f t="shared" si="1"/>
        <v/>
      </c>
    </row>
    <row r="15" spans="1:21" x14ac:dyDescent="0.35">
      <c r="B15" t="s">
        <v>880</v>
      </c>
      <c r="C15" t="s">
        <v>985</v>
      </c>
      <c r="S15" t="s">
        <v>144</v>
      </c>
      <c r="T15" t="e">
        <f t="shared" si="0"/>
        <v>#N/A</v>
      </c>
      <c r="U15" t="str">
        <f t="shared" si="1"/>
        <v/>
      </c>
    </row>
    <row r="16" spans="1:21" x14ac:dyDescent="0.35">
      <c r="B16" t="s">
        <v>881</v>
      </c>
      <c r="C16" t="s">
        <v>986</v>
      </c>
    </row>
    <row r="17" spans="2:3" x14ac:dyDescent="0.35">
      <c r="B17" t="s">
        <v>882</v>
      </c>
      <c r="C17" t="s">
        <v>987</v>
      </c>
    </row>
    <row r="18" spans="2:3" x14ac:dyDescent="0.35">
      <c r="B18" t="s">
        <v>883</v>
      </c>
      <c r="C18" t="s">
        <v>1100</v>
      </c>
    </row>
    <row r="19" spans="2:3" x14ac:dyDescent="0.35">
      <c r="B19" t="s">
        <v>884</v>
      </c>
      <c r="C19" t="s">
        <v>988</v>
      </c>
    </row>
    <row r="20" spans="2:3" x14ac:dyDescent="0.35">
      <c r="B20" t="s">
        <v>885</v>
      </c>
      <c r="C20" t="s">
        <v>989</v>
      </c>
    </row>
    <row r="21" spans="2:3" x14ac:dyDescent="0.35">
      <c r="B21" t="s">
        <v>886</v>
      </c>
      <c r="C21" t="s">
        <v>990</v>
      </c>
    </row>
    <row r="22" spans="2:3" x14ac:dyDescent="0.35">
      <c r="B22" t="s">
        <v>887</v>
      </c>
      <c r="C22" t="s">
        <v>991</v>
      </c>
    </row>
    <row r="23" spans="2:3" x14ac:dyDescent="0.35">
      <c r="B23" t="s">
        <v>888</v>
      </c>
      <c r="C23" t="s">
        <v>992</v>
      </c>
    </row>
    <row r="24" spans="2:3" x14ac:dyDescent="0.35">
      <c r="B24" t="s">
        <v>889</v>
      </c>
      <c r="C24" t="s">
        <v>993</v>
      </c>
    </row>
    <row r="25" spans="2:3" x14ac:dyDescent="0.35">
      <c r="B25" t="s">
        <v>890</v>
      </c>
      <c r="C25" t="s">
        <v>994</v>
      </c>
    </row>
    <row r="26" spans="2:3" x14ac:dyDescent="0.35">
      <c r="B26" t="s">
        <v>891</v>
      </c>
      <c r="C26" t="s">
        <v>995</v>
      </c>
    </row>
    <row r="27" spans="2:3" x14ac:dyDescent="0.35">
      <c r="B27" t="s">
        <v>892</v>
      </c>
      <c r="C27" t="s">
        <v>996</v>
      </c>
    </row>
    <row r="28" spans="2:3" x14ac:dyDescent="0.35">
      <c r="B28" t="s">
        <v>893</v>
      </c>
      <c r="C28" t="s">
        <v>997</v>
      </c>
    </row>
    <row r="29" spans="2:3" ht="15.75" customHeight="1" x14ac:dyDescent="0.35">
      <c r="B29" t="s">
        <v>894</v>
      </c>
      <c r="C29" t="s">
        <v>998</v>
      </c>
    </row>
    <row r="30" spans="2:3" x14ac:dyDescent="0.35">
      <c r="B30" t="s">
        <v>895</v>
      </c>
      <c r="C30" t="s">
        <v>999</v>
      </c>
    </row>
    <row r="31" spans="2:3" x14ac:dyDescent="0.35">
      <c r="B31" t="s">
        <v>896</v>
      </c>
      <c r="C31" t="s">
        <v>1000</v>
      </c>
    </row>
    <row r="32" spans="2:3" x14ac:dyDescent="0.35">
      <c r="B32" t="s">
        <v>897</v>
      </c>
      <c r="C32" t="s">
        <v>1001</v>
      </c>
    </row>
    <row r="33" spans="2:3" x14ac:dyDescent="0.35">
      <c r="B33" t="s">
        <v>898</v>
      </c>
      <c r="C33" t="s">
        <v>1002</v>
      </c>
    </row>
    <row r="34" spans="2:3" x14ac:dyDescent="0.35">
      <c r="B34" t="s">
        <v>899</v>
      </c>
      <c r="C34" t="s">
        <v>1003</v>
      </c>
    </row>
    <row r="35" spans="2:3" x14ac:dyDescent="0.35">
      <c r="B35" t="s">
        <v>900</v>
      </c>
      <c r="C35" t="s">
        <v>1086</v>
      </c>
    </row>
    <row r="36" spans="2:3" x14ac:dyDescent="0.35">
      <c r="B36" t="s">
        <v>901</v>
      </c>
      <c r="C36" t="s">
        <v>1004</v>
      </c>
    </row>
    <row r="37" spans="2:3" x14ac:dyDescent="0.35">
      <c r="B37" t="s">
        <v>902</v>
      </c>
      <c r="C37" t="s">
        <v>1005</v>
      </c>
    </row>
    <row r="38" spans="2:3" x14ac:dyDescent="0.35">
      <c r="B38" t="s">
        <v>903</v>
      </c>
      <c r="C38" t="s">
        <v>1006</v>
      </c>
    </row>
    <row r="39" spans="2:3" x14ac:dyDescent="0.35">
      <c r="B39" t="s">
        <v>904</v>
      </c>
      <c r="C39" t="s">
        <v>1007</v>
      </c>
    </row>
    <row r="40" spans="2:3" x14ac:dyDescent="0.35">
      <c r="B40" t="s">
        <v>905</v>
      </c>
      <c r="C40" t="s">
        <v>1008</v>
      </c>
    </row>
    <row r="41" spans="2:3" x14ac:dyDescent="0.35">
      <c r="B41" t="s">
        <v>906</v>
      </c>
      <c r="C41" t="s">
        <v>1009</v>
      </c>
    </row>
    <row r="42" spans="2:3" x14ac:dyDescent="0.35">
      <c r="B42" t="s">
        <v>907</v>
      </c>
      <c r="C42" t="s">
        <v>1099</v>
      </c>
    </row>
    <row r="43" spans="2:3" x14ac:dyDescent="0.35">
      <c r="B43" t="s">
        <v>908</v>
      </c>
      <c r="C43" t="s">
        <v>1010</v>
      </c>
    </row>
    <row r="44" spans="2:3" x14ac:dyDescent="0.35">
      <c r="B44" t="s">
        <v>909</v>
      </c>
      <c r="C44" t="s">
        <v>1011</v>
      </c>
    </row>
    <row r="45" spans="2:3" x14ac:dyDescent="0.35">
      <c r="B45" t="s">
        <v>910</v>
      </c>
      <c r="C45" t="s">
        <v>1012</v>
      </c>
    </row>
    <row r="46" spans="2:3" ht="15.75" customHeight="1" x14ac:dyDescent="0.35">
      <c r="B46" t="s">
        <v>911</v>
      </c>
      <c r="C46" t="s">
        <v>1013</v>
      </c>
    </row>
    <row r="47" spans="2:3" x14ac:dyDescent="0.35">
      <c r="B47" t="s">
        <v>912</v>
      </c>
      <c r="C47" t="s">
        <v>1014</v>
      </c>
    </row>
    <row r="48" spans="2:3" x14ac:dyDescent="0.35">
      <c r="B48" t="s">
        <v>913</v>
      </c>
      <c r="C48" t="s">
        <v>1015</v>
      </c>
    </row>
    <row r="49" spans="2:3" x14ac:dyDescent="0.35">
      <c r="B49" t="s">
        <v>914</v>
      </c>
      <c r="C49" t="s">
        <v>1016</v>
      </c>
    </row>
    <row r="50" spans="2:3" x14ac:dyDescent="0.35">
      <c r="B50" t="s">
        <v>915</v>
      </c>
      <c r="C50" t="s">
        <v>1084</v>
      </c>
    </row>
    <row r="51" spans="2:3" x14ac:dyDescent="0.35">
      <c r="C51" t="s">
        <v>1017</v>
      </c>
    </row>
    <row r="52" spans="2:3" x14ac:dyDescent="0.35">
      <c r="C52" t="s">
        <v>1018</v>
      </c>
    </row>
    <row r="53" spans="2:3" x14ac:dyDescent="0.35">
      <c r="C53" t="s">
        <v>1019</v>
      </c>
    </row>
    <row r="54" spans="2:3" x14ac:dyDescent="0.35">
      <c r="C54" t="s">
        <v>1020</v>
      </c>
    </row>
    <row r="55" spans="2:3" x14ac:dyDescent="0.35">
      <c r="C55" t="s">
        <v>1021</v>
      </c>
    </row>
    <row r="56" spans="2:3" x14ac:dyDescent="0.35">
      <c r="C56" t="s">
        <v>1022</v>
      </c>
    </row>
    <row r="57" spans="2:3" x14ac:dyDescent="0.35">
      <c r="C57" t="s">
        <v>1023</v>
      </c>
    </row>
    <row r="58" spans="2:3" x14ac:dyDescent="0.35">
      <c r="C58" t="s">
        <v>1024</v>
      </c>
    </row>
    <row r="59" spans="2:3" x14ac:dyDescent="0.35">
      <c r="C59" t="s">
        <v>1025</v>
      </c>
    </row>
    <row r="60" spans="2:3" x14ac:dyDescent="0.35">
      <c r="C60" t="s">
        <v>1026</v>
      </c>
    </row>
    <row r="61" spans="2:3" x14ac:dyDescent="0.35">
      <c r="C61" t="s">
        <v>1027</v>
      </c>
    </row>
    <row r="62" spans="2:3" x14ac:dyDescent="0.35">
      <c r="C62" t="s">
        <v>1028</v>
      </c>
    </row>
    <row r="63" spans="2:3" x14ac:dyDescent="0.35">
      <c r="C63" t="s">
        <v>1098</v>
      </c>
    </row>
    <row r="64" spans="2:3" x14ac:dyDescent="0.35">
      <c r="C64" t="s">
        <v>1029</v>
      </c>
    </row>
    <row r="65" spans="3:3" x14ac:dyDescent="0.35">
      <c r="C65" t="s">
        <v>1085</v>
      </c>
    </row>
    <row r="66" spans="3:3" x14ac:dyDescent="0.35">
      <c r="C66" t="s">
        <v>1030</v>
      </c>
    </row>
    <row r="67" spans="3:3" x14ac:dyDescent="0.35">
      <c r="C67" t="s">
        <v>1031</v>
      </c>
    </row>
    <row r="68" spans="3:3" x14ac:dyDescent="0.35">
      <c r="C68" t="s">
        <v>1032</v>
      </c>
    </row>
    <row r="69" spans="3:3" x14ac:dyDescent="0.35">
      <c r="C69" t="s">
        <v>1033</v>
      </c>
    </row>
    <row r="70" spans="3:3" x14ac:dyDescent="0.35">
      <c r="C70" t="s">
        <v>1034</v>
      </c>
    </row>
    <row r="71" spans="3:3" x14ac:dyDescent="0.35">
      <c r="C71" t="s">
        <v>1035</v>
      </c>
    </row>
    <row r="72" spans="3:3" x14ac:dyDescent="0.35">
      <c r="C72" t="s">
        <v>1036</v>
      </c>
    </row>
    <row r="73" spans="3:3" x14ac:dyDescent="0.35">
      <c r="C73" t="s">
        <v>1037</v>
      </c>
    </row>
    <row r="74" spans="3:3" x14ac:dyDescent="0.35">
      <c r="C74" t="s">
        <v>1082</v>
      </c>
    </row>
    <row r="75" spans="3:3" x14ac:dyDescent="0.35">
      <c r="C75" t="s">
        <v>970</v>
      </c>
    </row>
    <row r="76" spans="3:3" x14ac:dyDescent="0.35">
      <c r="C76" t="s">
        <v>1038</v>
      </c>
    </row>
    <row r="77" spans="3:3" x14ac:dyDescent="0.35">
      <c r="C77" t="s">
        <v>1039</v>
      </c>
    </row>
    <row r="78" spans="3:3" x14ac:dyDescent="0.35">
      <c r="C78" t="s">
        <v>1040</v>
      </c>
    </row>
    <row r="79" spans="3:3" x14ac:dyDescent="0.35">
      <c r="C79" t="s">
        <v>1041</v>
      </c>
    </row>
    <row r="80" spans="3:3" x14ac:dyDescent="0.35">
      <c r="C80" t="s">
        <v>1042</v>
      </c>
    </row>
    <row r="81" spans="3:3" x14ac:dyDescent="0.35">
      <c r="C81" t="s">
        <v>1043</v>
      </c>
    </row>
    <row r="82" spans="3:3" x14ac:dyDescent="0.35">
      <c r="C82" t="s">
        <v>1044</v>
      </c>
    </row>
    <row r="83" spans="3:3" x14ac:dyDescent="0.35">
      <c r="C83" t="s">
        <v>1101</v>
      </c>
    </row>
    <row r="84" spans="3:3" x14ac:dyDescent="0.35">
      <c r="C84" s="270" t="s">
        <v>1097</v>
      </c>
    </row>
    <row r="85" spans="3:3" x14ac:dyDescent="0.35">
      <c r="C85" t="s">
        <v>1045</v>
      </c>
    </row>
    <row r="86" spans="3:3" x14ac:dyDescent="0.35">
      <c r="C86" t="s">
        <v>1046</v>
      </c>
    </row>
    <row r="87" spans="3:3" x14ac:dyDescent="0.35">
      <c r="C87" t="s">
        <v>1047</v>
      </c>
    </row>
    <row r="88" spans="3:3" x14ac:dyDescent="0.35">
      <c r="C88" t="s">
        <v>1048</v>
      </c>
    </row>
    <row r="89" spans="3:3" x14ac:dyDescent="0.35">
      <c r="C89" t="s">
        <v>1049</v>
      </c>
    </row>
    <row r="90" spans="3:3" x14ac:dyDescent="0.35">
      <c r="C90" t="s">
        <v>1050</v>
      </c>
    </row>
    <row r="91" spans="3:3" x14ac:dyDescent="0.35">
      <c r="C91" t="s">
        <v>1051</v>
      </c>
    </row>
    <row r="92" spans="3:3" x14ac:dyDescent="0.35">
      <c r="C92" t="s">
        <v>1052</v>
      </c>
    </row>
    <row r="93" spans="3:3" x14ac:dyDescent="0.35">
      <c r="C93" t="s">
        <v>1053</v>
      </c>
    </row>
    <row r="94" spans="3:3" x14ac:dyDescent="0.35">
      <c r="C94" t="s">
        <v>1054</v>
      </c>
    </row>
    <row r="95" spans="3:3" x14ac:dyDescent="0.35">
      <c r="C95" t="s">
        <v>1055</v>
      </c>
    </row>
    <row r="96" spans="3:3" x14ac:dyDescent="0.35">
      <c r="C96" t="s">
        <v>1056</v>
      </c>
    </row>
    <row r="97" spans="3:3" x14ac:dyDescent="0.35">
      <c r="C97" t="s">
        <v>1057</v>
      </c>
    </row>
    <row r="98" spans="3:3" x14ac:dyDescent="0.35">
      <c r="C98" t="s">
        <v>1058</v>
      </c>
    </row>
    <row r="99" spans="3:3" x14ac:dyDescent="0.35">
      <c r="C99" t="s">
        <v>1059</v>
      </c>
    </row>
    <row r="100" spans="3:3" x14ac:dyDescent="0.35">
      <c r="C100" t="s">
        <v>1060</v>
      </c>
    </row>
    <row r="101" spans="3:3" x14ac:dyDescent="0.35">
      <c r="C101" t="s">
        <v>1061</v>
      </c>
    </row>
    <row r="102" spans="3:3" x14ac:dyDescent="0.35">
      <c r="C102" t="s">
        <v>1062</v>
      </c>
    </row>
    <row r="103" spans="3:3" x14ac:dyDescent="0.35">
      <c r="C103" t="s">
        <v>1063</v>
      </c>
    </row>
    <row r="104" spans="3:3" x14ac:dyDescent="0.35">
      <c r="C104" t="s">
        <v>1064</v>
      </c>
    </row>
    <row r="105" spans="3:3" x14ac:dyDescent="0.35">
      <c r="C105" t="s">
        <v>1065</v>
      </c>
    </row>
    <row r="106" spans="3:3" x14ac:dyDescent="0.35">
      <c r="C106" t="s">
        <v>1066</v>
      </c>
    </row>
    <row r="107" spans="3:3" x14ac:dyDescent="0.35">
      <c r="C107" t="s">
        <v>1067</v>
      </c>
    </row>
    <row r="108" spans="3:3" x14ac:dyDescent="0.35">
      <c r="C108" t="s">
        <v>1068</v>
      </c>
    </row>
    <row r="109" spans="3:3" x14ac:dyDescent="0.35">
      <c r="C109" t="s">
        <v>1069</v>
      </c>
    </row>
    <row r="110" spans="3:3" x14ac:dyDescent="0.35">
      <c r="C110" t="s">
        <v>1070</v>
      </c>
    </row>
    <row r="111" spans="3:3" x14ac:dyDescent="0.35">
      <c r="C111" t="s">
        <v>1071</v>
      </c>
    </row>
    <row r="112" spans="3:3" x14ac:dyDescent="0.35">
      <c r="C112" t="s">
        <v>1083</v>
      </c>
    </row>
    <row r="113" spans="3:3" x14ac:dyDescent="0.35">
      <c r="C113" t="s">
        <v>1072</v>
      </c>
    </row>
    <row r="114" spans="3:3" x14ac:dyDescent="0.35">
      <c r="C114" t="s">
        <v>1073</v>
      </c>
    </row>
    <row r="115" spans="3:3" x14ac:dyDescent="0.35">
      <c r="C115" t="s">
        <v>1074</v>
      </c>
    </row>
    <row r="116" spans="3:3" x14ac:dyDescent="0.35">
      <c r="C116" t="s">
        <v>1075</v>
      </c>
    </row>
    <row r="117" spans="3:3" x14ac:dyDescent="0.35">
      <c r="C117" t="s">
        <v>1076</v>
      </c>
    </row>
    <row r="118" spans="3:3" x14ac:dyDescent="0.35">
      <c r="C118" t="s">
        <v>1077</v>
      </c>
    </row>
    <row r="119" spans="3:3" x14ac:dyDescent="0.35">
      <c r="C119" t="s">
        <v>1078</v>
      </c>
    </row>
    <row r="120" spans="3:3" x14ac:dyDescent="0.35">
      <c r="C120" t="s">
        <v>1087</v>
      </c>
    </row>
    <row r="121" spans="3:3" x14ac:dyDescent="0.35">
      <c r="C121" t="s">
        <v>1079</v>
      </c>
    </row>
    <row r="122" spans="3:3" x14ac:dyDescent="0.35">
      <c r="C122" t="s">
        <v>1080</v>
      </c>
    </row>
    <row r="123" spans="3:3" x14ac:dyDescent="0.35">
      <c r="C123" t="s">
        <v>1081</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C473990E6AF1740B06404558076382E" ma:contentTypeVersion="2" ma:contentTypeDescription="Create a new document." ma:contentTypeScope="" ma:versionID="e071576c8365ad847e1e6020beac0a1a">
  <xsd:schema xmlns:xsd="http://www.w3.org/2001/XMLSchema" xmlns:xs="http://www.w3.org/2001/XMLSchema" xmlns:p="http://schemas.microsoft.com/office/2006/metadata/properties" xmlns:ns2="7aec889a-6013-4b26-bb7f-dc595fa152ce" targetNamespace="http://schemas.microsoft.com/office/2006/metadata/properties" ma:root="true" ma:fieldsID="0241921750c257ee04bccc6c1f38d3e8" ns2:_="">
    <xsd:import namespace="7aec889a-6013-4b26-bb7f-dc595fa152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ec889a-6013-4b26-bb7f-dc595fa152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B7AAD108-9115-4D07-A937-04AC73C38C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ec889a-6013-4b26-bb7f-dc595fa152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9260E2A2-458A-4131-974D-90B8E3F0314B}">
  <ds:schemaRefs>
    <ds:schemaRef ds:uri="7aec889a-6013-4b26-bb7f-dc595fa152ce"/>
    <ds:schemaRef ds:uri="http://purl.org/dc/terms/"/>
    <ds:schemaRef ds:uri="http://www.w3.org/XML/1998/namespace"/>
    <ds:schemaRef ds:uri="http://schemas.microsoft.com/office/2006/documentManagement/types"/>
    <ds:schemaRef ds:uri="http://schemas.microsoft.com/office/2006/metadata/properties"/>
    <ds:schemaRef ds:uri="http://purl.org/dc/dcmitype/"/>
    <ds:schemaRef ds:uri="http://schemas.microsoft.com/office/infopath/2007/PartnerControls"/>
    <ds:schemaRef ds:uri="http://schemas.openxmlformats.org/package/2006/metadata/core-properties"/>
    <ds:schemaRef ds:uri="http://purl.org/dc/elements/1.1/"/>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140</vt:i4>
      </vt:variant>
    </vt:vector>
  </HeadingPairs>
  <TitlesOfParts>
    <vt:vector size="154"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showMacWarning</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2019-01-23T05:37:45Z</cp:lastPrinted>
  <dcterms:created xsi:type="dcterms:W3CDTF">2017-09-29T17:34:34Z</dcterms:created>
  <dcterms:modified xsi:type="dcterms:W3CDTF">2019-04-29T20:07:58Z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0x010100FC473990E6AF1740B06404558076382E</vt:lpwstr>
  </property>
</Properties>
</file>