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G:\GitHub\tcom-chic\LITE-r\WACA_Interface_Tutorial\"/>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Meta!$C$2:$C$124</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4" l="1"/>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C3" i="15" s="1"/>
  <c r="T10" i="3"/>
  <c r="U10" i="3" s="1"/>
  <c r="F601" i="5" s="1"/>
  <c r="T9" i="3"/>
  <c r="U9" i="3" s="1"/>
  <c r="T8" i="3"/>
  <c r="U8" i="3" s="1"/>
  <c r="F477" i="5" s="1"/>
  <c r="T7" i="3"/>
  <c r="U7" i="3" s="1"/>
  <c r="T6" i="3"/>
  <c r="U6" i="3" s="1"/>
  <c r="F317"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a="1"/>
  <c r="B3" i="23" s="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S94" i="19"/>
  <c r="S95" i="19" s="1"/>
  <c r="T93" i="19"/>
  <c r="X92" i="19"/>
  <c r="W92" i="19"/>
  <c r="V92" i="19"/>
  <c r="R91" i="19"/>
  <c r="S76" i="19"/>
  <c r="S77" i="19" s="1"/>
  <c r="S78" i="19" s="1"/>
  <c r="T75" i="19"/>
  <c r="X74" i="19"/>
  <c r="W74" i="19"/>
  <c r="V74" i="19"/>
  <c r="R73" i="19"/>
  <c r="S58" i="19"/>
  <c r="T58" i="19" s="1"/>
  <c r="T57" i="19"/>
  <c r="X56" i="19"/>
  <c r="W56" i="19"/>
  <c r="V56" i="19"/>
  <c r="R55" i="19"/>
  <c r="K55" i="19"/>
  <c r="K56" i="19" s="1"/>
  <c r="K57" i="19" s="1"/>
  <c r="K58" i="19" s="1"/>
  <c r="L54" i="19"/>
  <c r="P53" i="19"/>
  <c r="O53" i="19"/>
  <c r="N53" i="19"/>
  <c r="J52" i="19"/>
  <c r="S40" i="19"/>
  <c r="T40" i="19" s="1"/>
  <c r="T39" i="19"/>
  <c r="X38" i="19"/>
  <c r="W38" i="19"/>
  <c r="V38" i="19"/>
  <c r="K38" i="19"/>
  <c r="R37" i="19"/>
  <c r="L37" i="19"/>
  <c r="P36" i="19"/>
  <c r="O36" i="19"/>
  <c r="N36" i="19"/>
  <c r="J35" i="19"/>
  <c r="S22" i="19"/>
  <c r="T22" i="19" s="1"/>
  <c r="T21" i="19"/>
  <c r="K21" i="19"/>
  <c r="L21" i="19" s="1"/>
  <c r="X20" i="19"/>
  <c r="W20" i="19"/>
  <c r="V20" i="19"/>
  <c r="L20" i="19"/>
  <c r="R19" i="19"/>
  <c r="P19" i="19"/>
  <c r="O19" i="19"/>
  <c r="N19" i="19"/>
  <c r="J18" i="19"/>
  <c r="C17" i="19"/>
  <c r="D17" i="19" s="1"/>
  <c r="D16" i="19"/>
  <c r="H15" i="19"/>
  <c r="G15" i="19"/>
  <c r="F15" i="19"/>
  <c r="S4" i="19"/>
  <c r="K4" i="19"/>
  <c r="L4" i="19" s="1"/>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K722" i="5"/>
  <c r="L722" i="5" s="1"/>
  <c r="K721" i="5"/>
  <c r="L721" i="5" s="1"/>
  <c r="K720" i="5"/>
  <c r="L720" i="5" s="1"/>
  <c r="K719" i="5"/>
  <c r="L719" i="5" s="1"/>
  <c r="K718" i="5"/>
  <c r="L718" i="5" s="1"/>
  <c r="K717" i="5"/>
  <c r="L717" i="5" s="1"/>
  <c r="K716" i="5"/>
  <c r="L716" i="5" s="1"/>
  <c r="K715" i="5"/>
  <c r="L715" i="5" s="1"/>
  <c r="K714" i="5"/>
  <c r="L714" i="5" s="1"/>
  <c r="K713" i="5"/>
  <c r="L713" i="5" s="1"/>
  <c r="F713" i="5"/>
  <c r="K712" i="5"/>
  <c r="L712" i="5" s="1"/>
  <c r="K711" i="5"/>
  <c r="L711" i="5" s="1"/>
  <c r="K710" i="5"/>
  <c r="L710" i="5" s="1"/>
  <c r="K709" i="5"/>
  <c r="L709" i="5" s="1"/>
  <c r="K708" i="5"/>
  <c r="L708" i="5" s="1"/>
  <c r="K707" i="5"/>
  <c r="L707" i="5" s="1"/>
  <c r="K706" i="5"/>
  <c r="L706" i="5" s="1"/>
  <c r="K705" i="5"/>
  <c r="L705" i="5" s="1"/>
  <c r="K704" i="5"/>
  <c r="L704" i="5" s="1"/>
  <c r="K703" i="5"/>
  <c r="L703" i="5" s="1"/>
  <c r="K702" i="5"/>
  <c r="L702" i="5" s="1"/>
  <c r="K701" i="5"/>
  <c r="L701" i="5" s="1"/>
  <c r="K700" i="5"/>
  <c r="L700" i="5" s="1"/>
  <c r="K699" i="5"/>
  <c r="L699" i="5" s="1"/>
  <c r="F699" i="5"/>
  <c r="K698" i="5"/>
  <c r="L698" i="5" s="1"/>
  <c r="K697" i="5"/>
  <c r="L697" i="5" s="1"/>
  <c r="F697" i="5"/>
  <c r="K696" i="5"/>
  <c r="L696" i="5" s="1"/>
  <c r="K695" i="5"/>
  <c r="L695" i="5" s="1"/>
  <c r="K694" i="5"/>
  <c r="L694" i="5" s="1"/>
  <c r="K693" i="5"/>
  <c r="L693" i="5" s="1"/>
  <c r="K692" i="5"/>
  <c r="L692" i="5" s="1"/>
  <c r="K691" i="5"/>
  <c r="L691" i="5" s="1"/>
  <c r="K690" i="5"/>
  <c r="L690" i="5" s="1"/>
  <c r="K689" i="5"/>
  <c r="L689" i="5" s="1"/>
  <c r="K688" i="5"/>
  <c r="L688" i="5" s="1"/>
  <c r="K687" i="5"/>
  <c r="L687" i="5" s="1"/>
  <c r="K686" i="5"/>
  <c r="L686" i="5" s="1"/>
  <c r="K685" i="5"/>
  <c r="L685" i="5" s="1"/>
  <c r="K684" i="5"/>
  <c r="L684" i="5" s="1"/>
  <c r="K683" i="5"/>
  <c r="L683" i="5" s="1"/>
  <c r="F683" i="5"/>
  <c r="K682" i="5"/>
  <c r="L682" i="5" s="1"/>
  <c r="K681" i="5"/>
  <c r="L681" i="5" s="1"/>
  <c r="K680" i="5"/>
  <c r="L680" i="5" s="1"/>
  <c r="K679" i="5"/>
  <c r="L679" i="5" s="1"/>
  <c r="K678" i="5"/>
  <c r="L678" i="5" s="1"/>
  <c r="K677" i="5"/>
  <c r="L677" i="5" s="1"/>
  <c r="K676" i="5"/>
  <c r="L676" i="5" s="1"/>
  <c r="F676" i="5"/>
  <c r="K675" i="5"/>
  <c r="L675" i="5" s="1"/>
  <c r="K674" i="5"/>
  <c r="L674" i="5" s="1"/>
  <c r="K673" i="5"/>
  <c r="L673" i="5" s="1"/>
  <c r="K672" i="5"/>
  <c r="L672" i="5" s="1"/>
  <c r="K671" i="5"/>
  <c r="L671" i="5" s="1"/>
  <c r="K670" i="5"/>
  <c r="L670" i="5" s="1"/>
  <c r="F670" i="5"/>
  <c r="K669" i="5"/>
  <c r="L669" i="5" s="1"/>
  <c r="K668" i="5"/>
  <c r="L668" i="5" s="1"/>
  <c r="K667" i="5"/>
  <c r="L667" i="5" s="1"/>
  <c r="K666" i="5"/>
  <c r="L666" i="5" s="1"/>
  <c r="K665" i="5"/>
  <c r="L665" i="5" s="1"/>
  <c r="K664" i="5"/>
  <c r="L664" i="5" s="1"/>
  <c r="F664" i="5"/>
  <c r="K663" i="5"/>
  <c r="L663" i="5" s="1"/>
  <c r="K662" i="5"/>
  <c r="L662" i="5" s="1"/>
  <c r="K661" i="5"/>
  <c r="L661" i="5" s="1"/>
  <c r="K660" i="5"/>
  <c r="L660" i="5" s="1"/>
  <c r="F660" i="5"/>
  <c r="K659" i="5"/>
  <c r="L659" i="5" s="1"/>
  <c r="K658" i="5"/>
  <c r="L658" i="5" s="1"/>
  <c r="K657" i="5"/>
  <c r="L657" i="5" s="1"/>
  <c r="K656" i="5"/>
  <c r="L656" i="5" s="1"/>
  <c r="K655" i="5"/>
  <c r="L655" i="5" s="1"/>
  <c r="K654" i="5"/>
  <c r="L654" i="5" s="1"/>
  <c r="F654" i="5"/>
  <c r="K653" i="5"/>
  <c r="L653" i="5" s="1"/>
  <c r="K652" i="5"/>
  <c r="L652" i="5" s="1"/>
  <c r="F652" i="5"/>
  <c r="K651" i="5"/>
  <c r="L651" i="5" s="1"/>
  <c r="K650" i="5"/>
  <c r="L650" i="5" s="1"/>
  <c r="K649" i="5"/>
  <c r="L649" i="5" s="1"/>
  <c r="K648" i="5"/>
  <c r="L648" i="5" s="1"/>
  <c r="F648" i="5"/>
  <c r="K647" i="5"/>
  <c r="L647" i="5" s="1"/>
  <c r="K646" i="5"/>
  <c r="L646" i="5" s="1"/>
  <c r="F646" i="5"/>
  <c r="K645" i="5"/>
  <c r="L645" i="5" s="1"/>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K448" i="5"/>
  <c r="L448" i="5" s="1"/>
  <c r="K447" i="5"/>
  <c r="L447" i="5" s="1"/>
  <c r="K446" i="5"/>
  <c r="L446" i="5" s="1"/>
  <c r="K445" i="5"/>
  <c r="L445" i="5" s="1"/>
  <c r="K444" i="5"/>
  <c r="L444" i="5" s="1"/>
  <c r="K443" i="5"/>
  <c r="L443" i="5" s="1"/>
  <c r="K442" i="5"/>
  <c r="L442" i="5" s="1"/>
  <c r="K441" i="5"/>
  <c r="L441" i="5" s="1"/>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K424" i="5"/>
  <c r="L424" i="5" s="1"/>
  <c r="K423" i="5"/>
  <c r="L423" i="5" s="1"/>
  <c r="K422" i="5"/>
  <c r="L422" i="5" s="1"/>
  <c r="K421" i="5"/>
  <c r="L421" i="5" s="1"/>
  <c r="K420" i="5"/>
  <c r="L420" i="5" s="1"/>
  <c r="K419" i="5"/>
  <c r="L419" i="5" s="1"/>
  <c r="K418" i="5"/>
  <c r="L418" i="5" s="1"/>
  <c r="K417" i="5"/>
  <c r="L417" i="5" s="1"/>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D10" i="9"/>
  <c r="K9" i="9"/>
  <c r="J9" i="9"/>
  <c r="I9" i="9"/>
  <c r="K8" i="9"/>
  <c r="J8" i="9"/>
  <c r="I8" i="9"/>
  <c r="K7" i="9"/>
  <c r="J7" i="9"/>
  <c r="I7" i="9"/>
  <c r="K6" i="9"/>
  <c r="J6" i="9"/>
  <c r="I6" i="9"/>
  <c r="K5" i="9"/>
  <c r="J5" i="9"/>
  <c r="I5" i="9"/>
  <c r="K4" i="9"/>
  <c r="J4" i="9"/>
  <c r="I4" i="9"/>
  <c r="K3" i="9"/>
  <c r="J3" i="9"/>
  <c r="I3" i="9"/>
  <c r="J2" i="9"/>
  <c r="I2" i="9"/>
  <c r="K1" i="9"/>
  <c r="K2" i="9" s="1"/>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T3" i="3" s="1"/>
  <c r="U3" i="3" s="1"/>
  <c r="F79" i="5" s="1"/>
  <c r="AN13" i="2"/>
  <c r="AJ13" i="2"/>
  <c r="AF13" i="2"/>
  <c r="M11" i="2"/>
  <c r="S5" i="2"/>
  <c r="MP13" i="7" s="1"/>
  <c r="H17" i="16"/>
  <c r="H15" i="16"/>
  <c r="K17" i="2"/>
  <c r="C45" i="24"/>
  <c r="E48" i="24"/>
  <c r="E46" i="24"/>
  <c r="C49" i="24"/>
  <c r="C43" i="24"/>
  <c r="E45" i="24"/>
  <c r="C44" i="24"/>
  <c r="C41" i="24"/>
  <c r="E49" i="24"/>
  <c r="E43" i="24"/>
  <c r="E44" i="24"/>
  <c r="E47" i="24"/>
  <c r="C48" i="24"/>
  <c r="E41" i="24"/>
  <c r="C46" i="24"/>
  <c r="E42" i="24"/>
  <c r="C42" i="24"/>
  <c r="C47" i="24"/>
  <c r="F707" i="5" l="1"/>
  <c r="F656" i="5"/>
  <c r="F662" i="5"/>
  <c r="F668" i="5"/>
  <c r="F681" i="5"/>
  <c r="F715" i="5"/>
  <c r="L55" i="19"/>
  <c r="F723" i="5"/>
  <c r="F481" i="5"/>
  <c r="F425" i="5"/>
  <c r="F441" i="5"/>
  <c r="F672" i="5"/>
  <c r="F678" i="5"/>
  <c r="F691" i="5"/>
  <c r="F1043" i="5"/>
  <c r="F417" i="5"/>
  <c r="F405" i="5"/>
  <c r="F469" i="5"/>
  <c r="F421" i="5"/>
  <c r="F449" i="5"/>
  <c r="F644" i="5"/>
  <c r="F981" i="5"/>
  <c r="K22" i="19"/>
  <c r="K23" i="19" s="1"/>
  <c r="T76" i="19"/>
  <c r="S23" i="19"/>
  <c r="T23" i="19" s="1"/>
  <c r="K5" i="19"/>
  <c r="K6" i="19" s="1"/>
  <c r="S59" i="19"/>
  <c r="T95" i="19"/>
  <c r="S96" i="19"/>
  <c r="S5" i="19"/>
  <c r="T4" i="19"/>
  <c r="K39" i="19"/>
  <c r="L38" i="19"/>
  <c r="L58" i="19"/>
  <c r="K59" i="19"/>
  <c r="L57" i="19"/>
  <c r="T78" i="19"/>
  <c r="S79" i="19"/>
  <c r="C5" i="19"/>
  <c r="D4" i="19"/>
  <c r="T94" i="19"/>
  <c r="C18" i="19"/>
  <c r="S41" i="19"/>
  <c r="T77" i="19"/>
  <c r="L56" i="19"/>
  <c r="DF5" i="7"/>
  <c r="KX6" i="7"/>
  <c r="F650" i="5"/>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S24" i="19" l="1"/>
  <c r="T24" i="19" s="1"/>
  <c r="L22" i="19"/>
  <c r="L5" i="19"/>
  <c r="L39" i="19"/>
  <c r="K40" i="19"/>
  <c r="T5" i="19"/>
  <c r="S6" i="19"/>
  <c r="L59" i="19"/>
  <c r="K60" i="19"/>
  <c r="S97" i="19"/>
  <c r="T96" i="19"/>
  <c r="T41" i="19"/>
  <c r="S42" i="19"/>
  <c r="D5" i="19"/>
  <c r="C6" i="19"/>
  <c r="L23" i="19"/>
  <c r="K24" i="19"/>
  <c r="D18" i="19"/>
  <c r="C19" i="19"/>
  <c r="S80" i="19"/>
  <c r="T79" i="19"/>
  <c r="L6" i="19"/>
  <c r="K7" i="19"/>
  <c r="T59" i="19"/>
  <c r="S60" i="19"/>
  <c r="B121" i="2"/>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S25" i="19" l="1"/>
  <c r="T60" i="19"/>
  <c r="S61" i="19"/>
  <c r="L24" i="19"/>
  <c r="K25" i="19"/>
  <c r="T42" i="19"/>
  <c r="S43" i="19"/>
  <c r="L60" i="19"/>
  <c r="K61" i="19"/>
  <c r="S7" i="19"/>
  <c r="T6" i="19"/>
  <c r="B31" i="2"/>
  <c r="T80" i="19"/>
  <c r="S81" i="19"/>
  <c r="K8" i="19"/>
  <c r="L7" i="19"/>
  <c r="C20" i="19"/>
  <c r="D19" i="19"/>
  <c r="C7" i="19"/>
  <c r="D6" i="19"/>
  <c r="L40" i="19"/>
  <c r="K41" i="19"/>
  <c r="T97" i="19"/>
  <c r="S98" i="19"/>
  <c r="E30" i="2"/>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J57" i="2"/>
  <c r="B56" i="2"/>
  <c r="I56" i="2"/>
  <c r="H72" i="2"/>
  <c r="T25" i="19" l="1"/>
  <c r="S26" i="19"/>
  <c r="E194" i="2"/>
  <c r="B32" i="2"/>
  <c r="J33" i="2"/>
  <c r="J34" i="2" s="1"/>
  <c r="E33" i="2" s="1"/>
  <c r="I196" i="2"/>
  <c r="D195" i="2" s="1"/>
  <c r="J197" i="2"/>
  <c r="E196" i="2" s="1"/>
  <c r="B196" i="2"/>
  <c r="D7" i="19"/>
  <c r="C8" i="19"/>
  <c r="L8" i="19"/>
  <c r="K9" i="19"/>
  <c r="T43" i="19"/>
  <c r="S44" i="19"/>
  <c r="T61" i="19"/>
  <c r="S62" i="19"/>
  <c r="L41" i="19"/>
  <c r="K42" i="19"/>
  <c r="S82" i="19"/>
  <c r="T81" i="19"/>
  <c r="T7" i="19"/>
  <c r="S8" i="19"/>
  <c r="C21" i="19"/>
  <c r="D20" i="19"/>
  <c r="L61" i="19"/>
  <c r="K62" i="19"/>
  <c r="L25" i="19"/>
  <c r="K26" i="19"/>
  <c r="S99" i="19"/>
  <c r="T98" i="19"/>
  <c r="I32" i="2"/>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J180" i="2"/>
  <c r="E179" i="2" s="1"/>
  <c r="B179" i="2"/>
  <c r="I179" i="2"/>
  <c r="D178" i="2" s="1"/>
  <c r="E178" i="2"/>
  <c r="H20" i="2"/>
  <c r="D19" i="2"/>
  <c r="H89" i="2"/>
  <c r="I41" i="2"/>
  <c r="D40" i="2" s="1"/>
  <c r="J42" i="2"/>
  <c r="E41" i="2" s="1"/>
  <c r="B41" i="2"/>
  <c r="D105" i="2"/>
  <c r="E4" i="19"/>
  <c r="J162" i="2"/>
  <c r="E161" i="2" s="1"/>
  <c r="B161" i="2"/>
  <c r="I161" i="2"/>
  <c r="D160" i="2" s="1"/>
  <c r="C38" i="2"/>
  <c r="H73" i="2"/>
  <c r="H124" i="2"/>
  <c r="C123" i="2" s="1"/>
  <c r="D122" i="2"/>
  <c r="C175"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I21" i="2"/>
  <c r="J22" i="2"/>
  <c r="B21" i="2"/>
  <c r="E5" i="19" s="1"/>
  <c r="C87" i="2"/>
  <c r="C30" i="2"/>
  <c r="H160" i="2"/>
  <c r="D158" i="2"/>
  <c r="C157" i="2"/>
  <c r="D123" i="2"/>
  <c r="C54" i="2"/>
  <c r="E32" i="2" l="1"/>
  <c r="J198" i="2"/>
  <c r="E197" i="2" s="1"/>
  <c r="I33" i="2"/>
  <c r="T26" i="19"/>
  <c r="S27" i="19"/>
  <c r="I197" i="2"/>
  <c r="D196" i="2" s="1"/>
  <c r="B197" i="2"/>
  <c r="H32" i="2"/>
  <c r="C31" i="2" s="1"/>
  <c r="D194" i="2"/>
  <c r="H196" i="2"/>
  <c r="D32" i="2"/>
  <c r="B33" i="2"/>
  <c r="L26" i="19"/>
  <c r="K27" i="19"/>
  <c r="T62" i="19"/>
  <c r="S63" i="19"/>
  <c r="K10" i="19"/>
  <c r="L9" i="19"/>
  <c r="T99" i="19"/>
  <c r="S100" i="19"/>
  <c r="C22" i="19"/>
  <c r="D21" i="19"/>
  <c r="T82" i="19"/>
  <c r="S83" i="19"/>
  <c r="L62" i="19"/>
  <c r="K63" i="19"/>
  <c r="S9" i="19"/>
  <c r="T8" i="19"/>
  <c r="L42" i="19"/>
  <c r="K43" i="19"/>
  <c r="T44" i="19"/>
  <c r="S45" i="19"/>
  <c r="C9" i="19"/>
  <c r="D8" i="19"/>
  <c r="H142" i="2"/>
  <c r="C140" i="2" s="1"/>
  <c r="E142" i="2"/>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H179" i="2"/>
  <c r="C178" i="2" s="1"/>
  <c r="B180" i="2"/>
  <c r="J181" i="2"/>
  <c r="E180" i="2" s="1"/>
  <c r="I180" i="2"/>
  <c r="D179" i="2" s="1"/>
  <c r="B34" i="2"/>
  <c r="I34" i="2"/>
  <c r="D33" i="2" s="1"/>
  <c r="J35" i="2"/>
  <c r="E34" i="2" s="1"/>
  <c r="H33" i="2"/>
  <c r="C32" i="2" s="1"/>
  <c r="D106" i="2"/>
  <c r="C176" i="2"/>
  <c r="C159" i="2"/>
  <c r="G5" i="19"/>
  <c r="F5" i="19"/>
  <c r="H5" i="19"/>
  <c r="H21" i="2"/>
  <c r="E74" i="2"/>
  <c r="E107" i="2"/>
  <c r="C195" i="2"/>
  <c r="C88" i="2"/>
  <c r="D73" i="2"/>
  <c r="H161" i="2"/>
  <c r="B162" i="2"/>
  <c r="J163" i="2"/>
  <c r="E162" i="2" s="1"/>
  <c r="I162" i="2"/>
  <c r="D161" i="2" s="1"/>
  <c r="B42" i="2"/>
  <c r="I42" i="2"/>
  <c r="J43" i="2"/>
  <c r="E42" i="2" s="1"/>
  <c r="B198" i="2"/>
  <c r="J199" i="2"/>
  <c r="E198" i="2" s="1"/>
  <c r="I198" i="2"/>
  <c r="D20" i="2"/>
  <c r="C104" i="2"/>
  <c r="C72" i="2"/>
  <c r="H90" i="2"/>
  <c r="C89" i="2" s="1"/>
  <c r="H57" i="2"/>
  <c r="C56" i="2" s="1"/>
  <c r="D56" i="2"/>
  <c r="I91" i="2"/>
  <c r="B91" i="2"/>
  <c r="J92" i="2"/>
  <c r="E91" i="2" s="1"/>
  <c r="J59" i="2"/>
  <c r="E58" i="2" s="1"/>
  <c r="I58" i="2"/>
  <c r="B58" i="2"/>
  <c r="T27" i="19" l="1"/>
  <c r="S28" i="19"/>
  <c r="H197" i="2"/>
  <c r="C196" i="2"/>
  <c r="C142" i="2"/>
  <c r="E6" i="19"/>
  <c r="L43" i="19"/>
  <c r="K44" i="19"/>
  <c r="L63" i="19"/>
  <c r="K64" i="19"/>
  <c r="S84" i="19"/>
  <c r="T83" i="19"/>
  <c r="S101" i="19"/>
  <c r="T100" i="19"/>
  <c r="T63" i="19"/>
  <c r="S64" i="19"/>
  <c r="D9" i="19"/>
  <c r="C10" i="19"/>
  <c r="T45" i="19"/>
  <c r="S46" i="19"/>
  <c r="L27" i="19"/>
  <c r="K28" i="19"/>
  <c r="T9" i="19"/>
  <c r="S10" i="19"/>
  <c r="D22" i="19"/>
  <c r="C23" i="19"/>
  <c r="D23" i="19" s="1"/>
  <c r="L10" i="19"/>
  <c r="K11" i="19"/>
  <c r="H125" i="2"/>
  <c r="C124" i="2" s="1"/>
  <c r="I144" i="2"/>
  <c r="H144" i="2" s="1"/>
  <c r="B144" i="2"/>
  <c r="J145" i="2"/>
  <c r="J146" i="2" s="1"/>
  <c r="E145" i="2" s="1"/>
  <c r="B126" i="2"/>
  <c r="I126" i="2"/>
  <c r="H126"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D90" i="2"/>
  <c r="J200" i="2"/>
  <c r="E199" i="2" s="1"/>
  <c r="B199" i="2"/>
  <c r="I199" i="2"/>
  <c r="D197" i="2"/>
  <c r="H42" i="2"/>
  <c r="C41" i="2" s="1"/>
  <c r="D41" i="2"/>
  <c r="H162" i="2"/>
  <c r="C161" i="2" s="1"/>
  <c r="J164" i="2"/>
  <c r="E163" i="2" s="1"/>
  <c r="B163" i="2"/>
  <c r="I16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T28" i="19" l="1"/>
  <c r="S29" i="19"/>
  <c r="B145" i="2"/>
  <c r="E144" i="2"/>
  <c r="C125" i="2"/>
  <c r="K12" i="19"/>
  <c r="L11" i="19"/>
  <c r="S11" i="19"/>
  <c r="T10" i="19"/>
  <c r="C11" i="19"/>
  <c r="D10" i="19"/>
  <c r="L64" i="19"/>
  <c r="K65" i="19"/>
  <c r="T101" i="19"/>
  <c r="S102" i="19"/>
  <c r="L28" i="19"/>
  <c r="K29" i="19"/>
  <c r="T46" i="19"/>
  <c r="S47" i="19"/>
  <c r="T64" i="19"/>
  <c r="S65" i="19"/>
  <c r="L44" i="19"/>
  <c r="K45" i="19"/>
  <c r="T84" i="19"/>
  <c r="S85" i="19"/>
  <c r="D143" i="2"/>
  <c r="I145" i="2"/>
  <c r="D144" i="2" s="1"/>
  <c r="Q20"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J61" i="2"/>
  <c r="E60" i="2" s="1"/>
  <c r="B60" i="2"/>
  <c r="I60" i="2"/>
  <c r="D59" i="2" s="1"/>
  <c r="B182" i="2"/>
  <c r="J183" i="2"/>
  <c r="E182" i="2" s="1"/>
  <c r="I182" i="2"/>
  <c r="D181" i="2" s="1"/>
  <c r="H43" i="2"/>
  <c r="C42" i="2" s="1"/>
  <c r="C107" i="2"/>
  <c r="B77" i="2"/>
  <c r="J78" i="2"/>
  <c r="E77" i="2" s="1"/>
  <c r="I77" i="2"/>
  <c r="D76" i="2" s="1"/>
  <c r="H23" i="2"/>
  <c r="C22" i="2" s="1"/>
  <c r="D75" i="2"/>
  <c r="H35" i="2"/>
  <c r="H163" i="2"/>
  <c r="C162" i="2" s="1"/>
  <c r="D162" i="2"/>
  <c r="H199" i="2"/>
  <c r="C198" i="2" s="1"/>
  <c r="H145" i="2"/>
  <c r="H181" i="2"/>
  <c r="C21" i="2"/>
  <c r="D91" i="2"/>
  <c r="I93" i="2"/>
  <c r="B93" i="2"/>
  <c r="J94" i="2"/>
  <c r="D58" i="2"/>
  <c r="D22" i="2"/>
  <c r="D34" i="2"/>
  <c r="E109" i="2"/>
  <c r="G7" i="19"/>
  <c r="E7" i="19"/>
  <c r="F7" i="19"/>
  <c r="D108" i="2"/>
  <c r="F194" i="2"/>
  <c r="F195" i="2"/>
  <c r="F196" i="2" s="1"/>
  <c r="F197" i="2" s="1"/>
  <c r="F198" i="2" s="1"/>
  <c r="F199" i="2" s="1"/>
  <c r="F200" i="2" s="1"/>
  <c r="F201" i="2" s="1"/>
  <c r="F202" i="2" s="1"/>
  <c r="F203" i="2" s="1"/>
  <c r="F204" i="2" s="1"/>
  <c r="F205" i="2" s="1"/>
  <c r="F206" i="2" s="1"/>
  <c r="F207" i="2" s="1"/>
  <c r="F208" i="2" s="1"/>
  <c r="F209" i="2" s="1"/>
  <c r="D198" i="2"/>
  <c r="E59" i="2"/>
  <c r="C33" i="2"/>
  <c r="B44" i="2"/>
  <c r="I44" i="2"/>
  <c r="J45" i="2"/>
  <c r="E92" i="2"/>
  <c r="T29" i="19" l="1"/>
  <c r="S30" i="19"/>
  <c r="F8" i="19"/>
  <c r="E127" i="2"/>
  <c r="L45" i="19"/>
  <c r="K46" i="19"/>
  <c r="T47" i="19"/>
  <c r="S48" i="19"/>
  <c r="S103" i="19"/>
  <c r="T102" i="19"/>
  <c r="D11" i="19"/>
  <c r="C12" i="19"/>
  <c r="D12" i="19" s="1"/>
  <c r="T11" i="19"/>
  <c r="S12" i="19"/>
  <c r="S86" i="19"/>
  <c r="T85" i="19"/>
  <c r="T65" i="19"/>
  <c r="S66" i="19"/>
  <c r="L29" i="19"/>
  <c r="K30" i="19"/>
  <c r="L65" i="19"/>
  <c r="K66" i="19"/>
  <c r="L12" i="19"/>
  <c r="K13" i="19"/>
  <c r="D145" i="2"/>
  <c r="P20" i="2"/>
  <c r="S20" i="2"/>
  <c r="J129" i="2"/>
  <c r="E128" i="2" s="1"/>
  <c r="H127" i="2"/>
  <c r="C126"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B129" i="2"/>
  <c r="C144" i="2"/>
  <c r="H36" i="2"/>
  <c r="C35" i="2" s="1"/>
  <c r="H24" i="2"/>
  <c r="C23" i="2" s="1"/>
  <c r="C34" i="2"/>
  <c r="T30" i="19" l="1"/>
  <c r="S31" i="19"/>
  <c r="J130" i="2"/>
  <c r="E129" i="2" s="1"/>
  <c r="L30" i="19"/>
  <c r="K31" i="19"/>
  <c r="T48" i="19"/>
  <c r="S49" i="19"/>
  <c r="T86" i="19"/>
  <c r="S87" i="19"/>
  <c r="L13" i="19"/>
  <c r="K14" i="19"/>
  <c r="L66" i="19"/>
  <c r="K67" i="19"/>
  <c r="L67" i="19" s="1"/>
  <c r="T66" i="19"/>
  <c r="S67" i="19"/>
  <c r="T12" i="19"/>
  <c r="S13" i="19"/>
  <c r="L46" i="19"/>
  <c r="K47" i="19"/>
  <c r="T103" i="19"/>
  <c r="S104" i="19"/>
  <c r="I129" i="2"/>
  <c r="D128" i="2" s="1"/>
  <c r="AA194" i="2"/>
  <c r="AA195" i="2"/>
  <c r="AA196" i="2" s="1"/>
  <c r="AA197" i="2" s="1"/>
  <c r="AA198" i="2" s="1"/>
  <c r="AA199" i="2" s="1"/>
  <c r="AA200" i="2" s="1"/>
  <c r="AA201" i="2" s="1"/>
  <c r="AA202" i="2" s="1"/>
  <c r="AA203" i="2" s="1"/>
  <c r="AA204" i="2" s="1"/>
  <c r="AA205" i="2" s="1"/>
  <c r="AA206" i="2" s="1"/>
  <c r="AA207" i="2" s="1"/>
  <c r="AA208" i="2" s="1"/>
  <c r="AA209" i="2" s="1"/>
  <c r="H78" i="2"/>
  <c r="J63" i="2"/>
  <c r="E62" i="2" s="1"/>
  <c r="I62" i="2"/>
  <c r="B62" i="2"/>
  <c r="H61" i="2"/>
  <c r="B184" i="2"/>
  <c r="J185" i="2"/>
  <c r="I184" i="2"/>
  <c r="D183" i="2" s="1"/>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I130" i="2"/>
  <c r="B130" i="2"/>
  <c r="E201" i="2"/>
  <c r="B46" i="2"/>
  <c r="I46" i="2"/>
  <c r="J47" i="2"/>
  <c r="E165" i="2"/>
  <c r="B148" i="2"/>
  <c r="J149" i="2"/>
  <c r="I148" i="2"/>
  <c r="C181" i="2"/>
  <c r="E61" i="2"/>
  <c r="D60" i="2"/>
  <c r="D77" i="2"/>
  <c r="E94" i="2"/>
  <c r="Y171" i="2"/>
  <c r="Y198" i="2"/>
  <c r="Z31" i="2"/>
  <c r="Z173" i="2"/>
  <c r="X56" i="2"/>
  <c r="Z48" i="2"/>
  <c r="Z104" i="2"/>
  <c r="Y142" i="2"/>
  <c r="Z44" i="2"/>
  <c r="X63" i="2"/>
  <c r="Y63" i="2"/>
  <c r="X204" i="2"/>
  <c r="X86" i="2"/>
  <c r="Z187" i="2"/>
  <c r="Y145" i="2"/>
  <c r="X18" i="2"/>
  <c r="X151" i="2"/>
  <c r="X64" i="2"/>
  <c r="Z74" i="2"/>
  <c r="Y52" i="2"/>
  <c r="X168" i="2"/>
  <c r="Y205" i="2"/>
  <c r="X141" i="2"/>
  <c r="X194" i="2"/>
  <c r="Z141" i="2"/>
  <c r="Y117" i="2"/>
  <c r="Y137" i="2"/>
  <c r="X106" i="2"/>
  <c r="Y46" i="2"/>
  <c r="X33" i="2"/>
  <c r="X128" i="2"/>
  <c r="Z154" i="2"/>
  <c r="Z179" i="2"/>
  <c r="Z123" i="2"/>
  <c r="Y143" i="2"/>
  <c r="Z61" i="2"/>
  <c r="Y49" i="2"/>
  <c r="Y138" i="2"/>
  <c r="X174" i="2"/>
  <c r="X164" i="2"/>
  <c r="X124" i="2"/>
  <c r="Z118" i="2"/>
  <c r="Y19" i="2"/>
  <c r="Y29" i="2"/>
  <c r="Z164" i="2"/>
  <c r="Y78" i="2"/>
  <c r="Y125" i="2"/>
  <c r="Y207" i="2"/>
  <c r="X83" i="2"/>
  <c r="Y77" i="2"/>
  <c r="Y109" i="2"/>
  <c r="Z158" i="2"/>
  <c r="Z162" i="2"/>
  <c r="X73" i="2"/>
  <c r="Z102" i="2"/>
  <c r="Y20" i="2"/>
  <c r="X145" i="2"/>
  <c r="Y168" i="2"/>
  <c r="Y161" i="2"/>
  <c r="X177" i="2"/>
  <c r="Y144" i="2"/>
  <c r="X169" i="2"/>
  <c r="X137" i="2"/>
  <c r="Z45" i="2"/>
  <c r="X108" i="2"/>
  <c r="Z138" i="2"/>
  <c r="X154" i="2"/>
  <c r="X69" i="2"/>
  <c r="Z119" i="2"/>
  <c r="Z167" i="2"/>
  <c r="Z183" i="2"/>
  <c r="Y153" i="2"/>
  <c r="Z143" i="2"/>
  <c r="X202" i="2"/>
  <c r="Z81" i="2"/>
  <c r="Y104" i="2"/>
  <c r="Z76" i="2"/>
  <c r="Y126" i="2"/>
  <c r="Y54" i="2"/>
  <c r="Y33" i="2"/>
  <c r="X160" i="2"/>
  <c r="Y182" i="2"/>
  <c r="X188" i="2"/>
  <c r="Y140" i="2"/>
  <c r="X161" i="2"/>
  <c r="Z205" i="2"/>
  <c r="Y200" i="2"/>
  <c r="Z144" i="2"/>
  <c r="X76" i="2"/>
  <c r="Z20" i="2"/>
  <c r="X180" i="2"/>
  <c r="Y196" i="2"/>
  <c r="Y75" i="2"/>
  <c r="X131" i="2"/>
  <c r="Y160" i="2"/>
  <c r="Y169" i="2"/>
  <c r="Z127" i="2"/>
  <c r="Z72" i="2"/>
  <c r="Y96" i="2"/>
  <c r="Z32" i="2"/>
  <c r="Y134" i="2"/>
  <c r="Y180" i="2"/>
  <c r="X182" i="2"/>
  <c r="X98" i="2"/>
  <c r="Z191" i="2"/>
  <c r="Z50" i="2"/>
  <c r="Y116" i="2"/>
  <c r="Z77" i="2"/>
  <c r="Z96" i="2"/>
  <c r="Y193" i="2"/>
  <c r="Z52" i="2"/>
  <c r="Z180" i="2"/>
  <c r="Z121" i="2"/>
  <c r="X107" i="2"/>
  <c r="X159" i="2"/>
  <c r="Z101" i="2"/>
  <c r="Y150" i="2"/>
  <c r="Z170" i="2"/>
  <c r="Z203" i="2"/>
  <c r="Y184" i="2"/>
  <c r="Y176" i="2"/>
  <c r="X171" i="2"/>
  <c r="Z67" i="2"/>
  <c r="X97" i="2"/>
  <c r="Z111" i="2"/>
  <c r="X38" i="2"/>
  <c r="Z100" i="2"/>
  <c r="X209" i="2"/>
  <c r="Z198" i="2"/>
  <c r="Z18" i="2"/>
  <c r="Z69" i="2"/>
  <c r="X94" i="2"/>
  <c r="Y101" i="2"/>
  <c r="Y67" i="2"/>
  <c r="X207" i="2"/>
  <c r="Z65" i="2"/>
  <c r="X206" i="2"/>
  <c r="Z89" i="2"/>
  <c r="Z168" i="2"/>
  <c r="Z108" i="2"/>
  <c r="Z194" i="2"/>
  <c r="X119" i="2"/>
  <c r="X149" i="2"/>
  <c r="X27" i="2"/>
  <c r="Y45" i="2"/>
  <c r="Z70" i="2"/>
  <c r="Z54" i="2"/>
  <c r="Y155" i="2"/>
  <c r="X77" i="2"/>
  <c r="Y146" i="2"/>
  <c r="X54" i="2"/>
  <c r="Y173" i="2"/>
  <c r="Y25" i="2"/>
  <c r="Z38" i="2"/>
  <c r="Y199" i="2"/>
  <c r="Y23" i="2"/>
  <c r="Y47" i="2"/>
  <c r="Z75" i="2"/>
  <c r="Z134" i="2"/>
  <c r="X112" i="2"/>
  <c r="X147" i="2"/>
  <c r="Y72" i="2"/>
  <c r="Z24" i="2"/>
  <c r="Y105" i="2"/>
  <c r="X125" i="2"/>
  <c r="Z126" i="2"/>
  <c r="X175" i="2"/>
  <c r="X136" i="2"/>
  <c r="Z182" i="2"/>
  <c r="Y100" i="2"/>
  <c r="X99" i="2"/>
  <c r="Y123" i="2"/>
  <c r="X158" i="2"/>
  <c r="Z37" i="2"/>
  <c r="X181" i="2"/>
  <c r="Y112" i="2"/>
  <c r="Y41" i="2"/>
  <c r="Z62" i="2"/>
  <c r="X132" i="2"/>
  <c r="Y34" i="2"/>
  <c r="Z204" i="2"/>
  <c r="Z207" i="2"/>
  <c r="X166" i="2"/>
  <c r="X23" i="2"/>
  <c r="X60" i="2"/>
  <c r="Z120" i="2"/>
  <c r="Z171" i="2"/>
  <c r="X24" i="2"/>
  <c r="Y149" i="2"/>
  <c r="Y157" i="2"/>
  <c r="X51" i="2"/>
  <c r="Y170" i="2"/>
  <c r="Z125" i="2"/>
  <c r="Y18" i="2"/>
  <c r="X55" i="2"/>
  <c r="Z40" i="2"/>
  <c r="Z201" i="2"/>
  <c r="X41" i="2"/>
  <c r="Z82" i="2"/>
  <c r="X100" i="2"/>
  <c r="X116" i="2"/>
  <c r="Y192" i="2"/>
  <c r="Y141" i="2"/>
  <c r="X45" i="2"/>
  <c r="X87" i="2"/>
  <c r="Z135" i="2"/>
  <c r="Y194" i="2"/>
  <c r="Y163" i="2"/>
  <c r="Z161" i="2"/>
  <c r="Z159" i="2"/>
  <c r="X101" i="2"/>
  <c r="X191" i="2"/>
  <c r="X29" i="2"/>
  <c r="Z19" i="2"/>
  <c r="Z112" i="2"/>
  <c r="X144" i="2"/>
  <c r="Z175" i="2"/>
  <c r="Z174" i="2"/>
  <c r="Y175" i="2"/>
  <c r="X31" i="2"/>
  <c r="Y131" i="2"/>
  <c r="Z95" i="2"/>
  <c r="Y69" i="2"/>
  <c r="Y208" i="2"/>
  <c r="X84" i="2"/>
  <c r="Y37" i="2"/>
  <c r="X102" i="2"/>
  <c r="Z51" i="2"/>
  <c r="Y39" i="2"/>
  <c r="X71" i="2"/>
  <c r="Z68" i="2"/>
  <c r="Y151" i="2"/>
  <c r="Y62" i="2"/>
  <c r="Y186" i="2"/>
  <c r="Z107" i="2"/>
  <c r="X187" i="2"/>
  <c r="Z178" i="2"/>
  <c r="Z133" i="2"/>
  <c r="X121" i="2"/>
  <c r="Y97" i="2"/>
  <c r="Z145" i="2"/>
  <c r="Z116" i="2"/>
  <c r="Y57" i="2"/>
  <c r="Y158" i="2"/>
  <c r="Y139" i="2"/>
  <c r="Z196" i="2"/>
  <c r="Z35" i="2"/>
  <c r="Y44" i="2"/>
  <c r="X208" i="2"/>
  <c r="Y98" i="2"/>
  <c r="Z49" i="2"/>
  <c r="Y202" i="2"/>
  <c r="X193" i="2"/>
  <c r="Y95" i="2"/>
  <c r="X48" i="2"/>
  <c r="Y80" i="2"/>
  <c r="X61" i="2"/>
  <c r="X35" i="2"/>
  <c r="X167" i="2"/>
  <c r="Y76" i="2"/>
  <c r="X162" i="2"/>
  <c r="X200" i="2"/>
  <c r="X176" i="2"/>
  <c r="Z149" i="2"/>
  <c r="X109" i="2"/>
  <c r="Y152" i="2"/>
  <c r="Y59" i="2"/>
  <c r="Z165" i="2"/>
  <c r="X85" i="2"/>
  <c r="X138" i="2"/>
  <c r="X49" i="2"/>
  <c r="Z66" i="2"/>
  <c r="Y115" i="2"/>
  <c r="X153" i="2"/>
  <c r="Z122" i="2"/>
  <c r="Z71" i="2"/>
  <c r="Y189" i="2"/>
  <c r="X134" i="2"/>
  <c r="X184" i="2"/>
  <c r="Y43" i="2"/>
  <c r="Z148" i="2"/>
  <c r="Z209" i="2"/>
  <c r="Y154" i="2"/>
  <c r="Z34" i="2"/>
  <c r="X103" i="2"/>
  <c r="Y58" i="2"/>
  <c r="X36" i="2"/>
  <c r="Y70" i="2"/>
  <c r="Z29" i="2"/>
  <c r="X123" i="2"/>
  <c r="X155" i="2"/>
  <c r="Y179" i="2"/>
  <c r="Z28" i="2"/>
  <c r="X117" i="2"/>
  <c r="Z160" i="2"/>
  <c r="Z103" i="2"/>
  <c r="Z151" i="2"/>
  <c r="Z30" i="2"/>
  <c r="X186" i="2"/>
  <c r="Y79" i="2"/>
  <c r="Y84" i="2"/>
  <c r="Z199" i="2"/>
  <c r="X92" i="2"/>
  <c r="Y103" i="2"/>
  <c r="X133" i="2"/>
  <c r="Y206" i="2"/>
  <c r="Z33" i="2"/>
  <c r="Y174" i="2"/>
  <c r="X93" i="2"/>
  <c r="X185" i="2"/>
  <c r="X53" i="2"/>
  <c r="Z130" i="2"/>
  <c r="Y108" i="2"/>
  <c r="Y65" i="2"/>
  <c r="X62" i="2"/>
  <c r="Z47" i="2"/>
  <c r="X59" i="2"/>
  <c r="X96" i="2"/>
  <c r="X80" i="2"/>
  <c r="X74" i="2"/>
  <c r="Y162" i="2"/>
  <c r="Z150" i="2"/>
  <c r="X172" i="2"/>
  <c r="X157" i="2"/>
  <c r="Z193" i="2"/>
  <c r="X32" i="2"/>
  <c r="X178" i="2"/>
  <c r="Y28" i="2"/>
  <c r="Y165" i="2"/>
  <c r="Y133" i="2"/>
  <c r="X46" i="2"/>
  <c r="Z93" i="2"/>
  <c r="X127" i="2"/>
  <c r="Z90" i="2"/>
  <c r="Y147" i="2"/>
  <c r="Y172" i="2"/>
  <c r="Y190" i="2"/>
  <c r="Z105" i="2"/>
  <c r="Z36" i="2"/>
  <c r="Z79" i="2"/>
  <c r="Y90" i="2"/>
  <c r="Z129" i="2"/>
  <c r="X40" i="2"/>
  <c r="X70" i="2"/>
  <c r="X72" i="2"/>
  <c r="Y48" i="2"/>
  <c r="X196" i="2"/>
  <c r="Z146" i="2"/>
  <c r="X203" i="2"/>
  <c r="Z142" i="2"/>
  <c r="X34" i="2"/>
  <c r="Y85" i="2"/>
  <c r="Y36" i="2"/>
  <c r="Z131" i="2"/>
  <c r="Y64" i="2"/>
  <c r="Z84" i="2"/>
  <c r="Y204" i="2"/>
  <c r="X75" i="2"/>
  <c r="Z98" i="2"/>
  <c r="Y121" i="2"/>
  <c r="Y118" i="2"/>
  <c r="X81" i="2"/>
  <c r="Z192" i="2"/>
  <c r="Y88" i="2"/>
  <c r="Z186" i="2"/>
  <c r="X165" i="2"/>
  <c r="X189" i="2"/>
  <c r="Z23" i="2"/>
  <c r="Z200" i="2"/>
  <c r="Z208" i="2"/>
  <c r="Z78" i="2"/>
  <c r="Z166" i="2"/>
  <c r="X65" i="2"/>
  <c r="Z42" i="2"/>
  <c r="Y107" i="2"/>
  <c r="X68" i="2"/>
  <c r="Z57" i="2"/>
  <c r="X91" i="2"/>
  <c r="Y156" i="2"/>
  <c r="X199" i="2"/>
  <c r="X88" i="2"/>
  <c r="Z163" i="2"/>
  <c r="Y32" i="2"/>
  <c r="Y94" i="2"/>
  <c r="X44" i="2"/>
  <c r="X197" i="2"/>
  <c r="Z41" i="2"/>
  <c r="Z137" i="2"/>
  <c r="X78" i="2"/>
  <c r="X52" i="2"/>
  <c r="Y129" i="2"/>
  <c r="X43" i="2"/>
  <c r="Y183" i="2"/>
  <c r="Z185" i="2"/>
  <c r="Y51" i="2"/>
  <c r="Y164" i="2"/>
  <c r="X183" i="2"/>
  <c r="Z139" i="2"/>
  <c r="Z39" i="2"/>
  <c r="X146" i="2"/>
  <c r="Y135" i="2"/>
  <c r="Z153" i="2"/>
  <c r="Z190" i="2"/>
  <c r="Y73" i="2"/>
  <c r="X66" i="2"/>
  <c r="Y66" i="2"/>
  <c r="Z88" i="2"/>
  <c r="Z58" i="2"/>
  <c r="Y60" i="2"/>
  <c r="Y122" i="2"/>
  <c r="Y92" i="2"/>
  <c r="Y130" i="2"/>
  <c r="Y50" i="2"/>
  <c r="Y40" i="2"/>
  <c r="Z59" i="2"/>
  <c r="X39" i="2"/>
  <c r="Z195" i="2"/>
  <c r="Y83" i="2"/>
  <c r="X26" i="2"/>
  <c r="Z26" i="2"/>
  <c r="X148" i="2"/>
  <c r="X114" i="2"/>
  <c r="Z60" i="2"/>
  <c r="X140" i="2"/>
  <c r="Y110" i="2"/>
  <c r="Y177" i="2"/>
  <c r="Z128" i="2"/>
  <c r="Y27" i="2"/>
  <c r="Z21" i="2"/>
  <c r="X142" i="2"/>
  <c r="Y187" i="2"/>
  <c r="X110" i="2"/>
  <c r="Z94" i="2"/>
  <c r="Z113" i="2"/>
  <c r="Y86" i="2"/>
  <c r="Z85" i="2"/>
  <c r="X104" i="2"/>
  <c r="X113" i="2"/>
  <c r="Z147" i="2"/>
  <c r="Y188" i="2"/>
  <c r="Y68" i="2"/>
  <c r="Z55" i="2"/>
  <c r="X95" i="2"/>
  <c r="Z91" i="2"/>
  <c r="Z152" i="2"/>
  <c r="X122" i="2"/>
  <c r="Z92" i="2"/>
  <c r="Z155" i="2"/>
  <c r="Y159" i="2"/>
  <c r="Z132" i="2"/>
  <c r="Z22" i="2"/>
  <c r="Z124" i="2"/>
  <c r="X126" i="2"/>
  <c r="Y136" i="2"/>
  <c r="X89" i="2"/>
  <c r="X179" i="2"/>
  <c r="Z115" i="2"/>
  <c r="Y132" i="2"/>
  <c r="Y124" i="2"/>
  <c r="X190" i="2"/>
  <c r="Z197" i="2"/>
  <c r="Y128" i="2"/>
  <c r="Y201" i="2"/>
  <c r="Z25" i="2"/>
  <c r="Z43" i="2"/>
  <c r="Y113" i="2"/>
  <c r="Y195" i="2"/>
  <c r="Z188" i="2"/>
  <c r="Y106" i="2"/>
  <c r="X156" i="2"/>
  <c r="X115" i="2"/>
  <c r="Z176" i="2"/>
  <c r="X21" i="2"/>
  <c r="Z46" i="2"/>
  <c r="Y167" i="2"/>
  <c r="X135" i="2"/>
  <c r="X25" i="2"/>
  <c r="Z140" i="2"/>
  <c r="Y120" i="2"/>
  <c r="Y22" i="2"/>
  <c r="X67" i="2"/>
  <c r="Y24" i="2"/>
  <c r="X129" i="2"/>
  <c r="Z83" i="2"/>
  <c r="X205" i="2"/>
  <c r="X82" i="2"/>
  <c r="Y56" i="2"/>
  <c r="X58" i="2"/>
  <c r="X30" i="2"/>
  <c r="X150" i="2"/>
  <c r="X79" i="2"/>
  <c r="Y38" i="2"/>
  <c r="Y119" i="2"/>
  <c r="Y82" i="2"/>
  <c r="X111" i="2"/>
  <c r="Z109" i="2"/>
  <c r="Y111" i="2"/>
  <c r="X22" i="2"/>
  <c r="X173" i="2"/>
  <c r="Z56" i="2"/>
  <c r="Z99" i="2"/>
  <c r="Z110" i="2"/>
  <c r="X57" i="2"/>
  <c r="X130" i="2"/>
  <c r="X198" i="2"/>
  <c r="Z80" i="2"/>
  <c r="Y61" i="2"/>
  <c r="X120" i="2"/>
  <c r="Z97" i="2"/>
  <c r="X201" i="2"/>
  <c r="Y93" i="2"/>
  <c r="X105" i="2"/>
  <c r="Y31" i="2"/>
  <c r="Y181" i="2"/>
  <c r="Y81" i="2"/>
  <c r="Y71" i="2"/>
  <c r="Z206" i="2"/>
  <c r="X195" i="2"/>
  <c r="Z106" i="2"/>
  <c r="Z87" i="2"/>
  <c r="Z63" i="2"/>
  <c r="Y203" i="2"/>
  <c r="Y42" i="2"/>
  <c r="Z73" i="2"/>
  <c r="Y185" i="2"/>
  <c r="Y99" i="2"/>
  <c r="Z189" i="2"/>
  <c r="Y114" i="2"/>
  <c r="X163" i="2"/>
  <c r="X118" i="2"/>
  <c r="Z156" i="2"/>
  <c r="Y197" i="2"/>
  <c r="Z202" i="2"/>
  <c r="Z169" i="2"/>
  <c r="X170" i="2"/>
  <c r="Y26" i="2"/>
  <c r="X42" i="2"/>
  <c r="Z27" i="2"/>
  <c r="X28" i="2"/>
  <c r="Z86" i="2"/>
  <c r="Y91" i="2"/>
  <c r="X19" i="2"/>
  <c r="X192" i="2"/>
  <c r="Y87" i="2"/>
  <c r="Y166" i="2"/>
  <c r="Z114" i="2"/>
  <c r="Y30" i="2"/>
  <c r="Z157" i="2"/>
  <c r="Y127" i="2"/>
  <c r="Y89" i="2"/>
  <c r="Y74" i="2"/>
  <c r="Z117" i="2"/>
  <c r="Y178" i="2"/>
  <c r="Y102" i="2"/>
  <c r="Y35" i="2"/>
  <c r="X37" i="2"/>
  <c r="Z53" i="2"/>
  <c r="Z172" i="2"/>
  <c r="Z184" i="2"/>
  <c r="Y55" i="2"/>
  <c r="X47" i="2"/>
  <c r="Z177" i="2"/>
  <c r="Y53" i="2"/>
  <c r="Z181" i="2"/>
  <c r="X50" i="2"/>
  <c r="X143" i="2"/>
  <c r="Y209" i="2"/>
  <c r="X139" i="2"/>
  <c r="Z136" i="2"/>
  <c r="Y21" i="2"/>
  <c r="X90" i="2"/>
  <c r="Y191" i="2"/>
  <c r="Y148" i="2"/>
  <c r="X152" i="2"/>
  <c r="Z64" i="2"/>
  <c r="S32" i="19" l="1"/>
  <c r="T31" i="19"/>
  <c r="H129" i="2"/>
  <c r="J131" i="2"/>
  <c r="S105" i="19"/>
  <c r="T104" i="19"/>
  <c r="T13" i="19"/>
  <c r="S14" i="19"/>
  <c r="S88" i="19"/>
  <c r="T87" i="19"/>
  <c r="L31" i="19"/>
  <c r="K32" i="19"/>
  <c r="L47" i="19"/>
  <c r="K48" i="19"/>
  <c r="S68" i="19"/>
  <c r="T67" i="19"/>
  <c r="L14" i="19"/>
  <c r="K15" i="19"/>
  <c r="T49" i="19"/>
  <c r="S50" i="19"/>
  <c r="S124" i="2"/>
  <c r="P124" i="2"/>
  <c r="Q124" i="2"/>
  <c r="W147" i="2"/>
  <c r="S127" i="2"/>
  <c r="P127" i="2"/>
  <c r="Q127" i="2"/>
  <c r="U66" i="2"/>
  <c r="W144" i="2"/>
  <c r="S142" i="2"/>
  <c r="P142" i="2"/>
  <c r="Q142" i="2"/>
  <c r="W126" i="2"/>
  <c r="U38" i="2"/>
  <c r="U128" i="2"/>
  <c r="Q118" i="2"/>
  <c r="S118" i="2"/>
  <c r="P118" i="2"/>
  <c r="W190" i="2"/>
  <c r="P194" i="2"/>
  <c r="S194" i="2"/>
  <c r="Q194" i="2"/>
  <c r="U65" i="2"/>
  <c r="W201" i="2"/>
  <c r="P40" i="2"/>
  <c r="Q40" i="2"/>
  <c r="S40" i="2"/>
  <c r="U162" i="2"/>
  <c r="W32" i="2"/>
  <c r="S76" i="2"/>
  <c r="P76" i="2"/>
  <c r="Q76" i="2"/>
  <c r="S201" i="2"/>
  <c r="Q201" i="2"/>
  <c r="P201" i="2"/>
  <c r="U186" i="2"/>
  <c r="W135" i="2"/>
  <c r="U158" i="2"/>
  <c r="U168" i="2"/>
  <c r="W125" i="2"/>
  <c r="U127" i="2"/>
  <c r="Q39" i="2"/>
  <c r="S39" i="2"/>
  <c r="P39" i="2"/>
  <c r="W44" i="2"/>
  <c r="U189" i="2"/>
  <c r="W145" i="2"/>
  <c r="U125" i="2"/>
  <c r="U154" i="2"/>
  <c r="U82" i="2"/>
  <c r="W26" i="2"/>
  <c r="U124" i="2"/>
  <c r="U129" i="2"/>
  <c r="W198" i="2"/>
  <c r="Q81" i="2"/>
  <c r="P81" i="2"/>
  <c r="S81" i="2"/>
  <c r="U58" i="2"/>
  <c r="Q167" i="2"/>
  <c r="S167" i="2"/>
  <c r="P167" i="2"/>
  <c r="W136" i="2"/>
  <c r="S106" i="2"/>
  <c r="P106" i="2"/>
  <c r="Q106" i="2"/>
  <c r="S126" i="2"/>
  <c r="P126" i="2"/>
  <c r="Q126" i="2"/>
  <c r="W59" i="2"/>
  <c r="P183" i="2"/>
  <c r="S183" i="2"/>
  <c r="Q183" i="2"/>
  <c r="U166" i="2"/>
  <c r="S49" i="2"/>
  <c r="P49" i="2"/>
  <c r="Q49" i="2"/>
  <c r="U63" i="2"/>
  <c r="Q207" i="2"/>
  <c r="P207" i="2"/>
  <c r="S207" i="2"/>
  <c r="W24" i="2"/>
  <c r="W36" i="2"/>
  <c r="W124" i="2"/>
  <c r="U76" i="2"/>
  <c r="P181" i="2"/>
  <c r="Q181" i="2"/>
  <c r="S181" i="2"/>
  <c r="W33" i="2"/>
  <c r="Q75" i="2"/>
  <c r="S75" i="2"/>
  <c r="P75" i="2"/>
  <c r="W166" i="2"/>
  <c r="W185" i="2"/>
  <c r="S70" i="2"/>
  <c r="P70" i="2"/>
  <c r="Q70" i="2"/>
  <c r="U182" i="2"/>
  <c r="S168" i="2"/>
  <c r="Q168" i="2"/>
  <c r="P168" i="2"/>
  <c r="S23" i="2"/>
  <c r="P23" i="2"/>
  <c r="Q23" i="2"/>
  <c r="U93" i="2"/>
  <c r="U23" i="2"/>
  <c r="Q119" i="2"/>
  <c r="P119" i="2"/>
  <c r="S119" i="2"/>
  <c r="W189" i="2"/>
  <c r="W48" i="2"/>
  <c r="U151" i="2"/>
  <c r="Q152" i="2"/>
  <c r="P152" i="2"/>
  <c r="S152" i="2"/>
  <c r="U83" i="2"/>
  <c r="W184" i="2"/>
  <c r="U157" i="2"/>
  <c r="W28" i="2"/>
  <c r="W41" i="2"/>
  <c r="Q192" i="2"/>
  <c r="P192" i="2"/>
  <c r="S192" i="2"/>
  <c r="W114" i="2"/>
  <c r="W178" i="2"/>
  <c r="U97" i="2"/>
  <c r="Q160" i="2"/>
  <c r="S160" i="2"/>
  <c r="P160" i="2"/>
  <c r="P179" i="2"/>
  <c r="S179" i="2"/>
  <c r="Q179" i="2"/>
  <c r="U142" i="2"/>
  <c r="S92" i="2"/>
  <c r="P92" i="2"/>
  <c r="Q92" i="2"/>
  <c r="U115" i="2"/>
  <c r="U44" i="2"/>
  <c r="S141" i="2"/>
  <c r="Q141" i="2"/>
  <c r="P141" i="2"/>
  <c r="Q185" i="2"/>
  <c r="P185" i="2"/>
  <c r="S185" i="2"/>
  <c r="P85" i="2"/>
  <c r="Q85" i="2"/>
  <c r="S85" i="2"/>
  <c r="W179" i="2"/>
  <c r="W62" i="2"/>
  <c r="S138" i="2"/>
  <c r="Q138" i="2"/>
  <c r="P138" i="2"/>
  <c r="U185" i="2"/>
  <c r="S206" i="2"/>
  <c r="P206" i="2"/>
  <c r="Q206" i="2"/>
  <c r="U132" i="2"/>
  <c r="W73" i="2"/>
  <c r="U187" i="2"/>
  <c r="S191" i="2"/>
  <c r="Q191" i="2"/>
  <c r="P191" i="2"/>
  <c r="W53" i="2"/>
  <c r="W55" i="2"/>
  <c r="W96" i="2"/>
  <c r="Q163" i="2"/>
  <c r="P163" i="2"/>
  <c r="S163" i="2"/>
  <c r="W139" i="2"/>
  <c r="P37" i="2"/>
  <c r="Q37" i="2"/>
  <c r="S37" i="2"/>
  <c r="P140" i="2"/>
  <c r="Q140" i="2"/>
  <c r="S140" i="2"/>
  <c r="U26" i="2"/>
  <c r="W148" i="2"/>
  <c r="U32" i="2"/>
  <c r="U35" i="2"/>
  <c r="W37" i="2"/>
  <c r="W143" i="2"/>
  <c r="W104" i="2"/>
  <c r="Q144" i="2"/>
  <c r="S144" i="2"/>
  <c r="P144" i="2"/>
  <c r="W109" i="2"/>
  <c r="P69" i="2"/>
  <c r="Q69" i="2"/>
  <c r="S69" i="2"/>
  <c r="W118" i="2"/>
  <c r="U134" i="2"/>
  <c r="Q33" i="2"/>
  <c r="P33" i="2"/>
  <c r="S33" i="2"/>
  <c r="P103" i="2"/>
  <c r="Q103" i="2"/>
  <c r="S103" i="2"/>
  <c r="W105" i="2"/>
  <c r="U52" i="2"/>
  <c r="U71" i="2"/>
  <c r="U28" i="2"/>
  <c r="W113" i="2"/>
  <c r="W76" i="2"/>
  <c r="W150" i="2"/>
  <c r="W71" i="2"/>
  <c r="Q55" i="2"/>
  <c r="S55" i="2"/>
  <c r="P55" i="2"/>
  <c r="Q113" i="2"/>
  <c r="P113" i="2"/>
  <c r="S113" i="2"/>
  <c r="S26" i="2"/>
  <c r="Q26" i="2"/>
  <c r="P26" i="2"/>
  <c r="S83" i="2"/>
  <c r="Q83" i="2"/>
  <c r="P83" i="2"/>
  <c r="Q161" i="2"/>
  <c r="S161" i="2"/>
  <c r="P161" i="2"/>
  <c r="W156" i="2"/>
  <c r="W194" i="2"/>
  <c r="W137" i="2"/>
  <c r="W77" i="2"/>
  <c r="W40" i="2"/>
  <c r="W132" i="2"/>
  <c r="W151" i="2"/>
  <c r="U102" i="2"/>
  <c r="U143" i="2"/>
  <c r="P71" i="2"/>
  <c r="Q71" i="2"/>
  <c r="S71" i="2"/>
  <c r="U51" i="2"/>
  <c r="S101" i="2"/>
  <c r="P101" i="2"/>
  <c r="Q101" i="2"/>
  <c r="W167" i="2"/>
  <c r="S79" i="2"/>
  <c r="P79" i="2"/>
  <c r="Q79" i="2"/>
  <c r="W152" i="2"/>
  <c r="U179" i="2"/>
  <c r="S208" i="2"/>
  <c r="Q208" i="2"/>
  <c r="P208" i="2"/>
  <c r="Q182" i="2"/>
  <c r="S182" i="2"/>
  <c r="P182" i="2"/>
  <c r="W203" i="2"/>
  <c r="S53" i="2"/>
  <c r="P53" i="2"/>
  <c r="Q53" i="2"/>
  <c r="P156" i="2"/>
  <c r="S156" i="2"/>
  <c r="Q156" i="2"/>
  <c r="W188" i="2"/>
  <c r="U109" i="2"/>
  <c r="W155" i="2"/>
  <c r="U161" i="2"/>
  <c r="Q56" i="2"/>
  <c r="S56" i="2"/>
  <c r="P56" i="2"/>
  <c r="P153" i="2"/>
  <c r="Q153" i="2"/>
  <c r="S153" i="2"/>
  <c r="W206" i="2"/>
  <c r="U70" i="2"/>
  <c r="S44" i="2"/>
  <c r="Q44" i="2"/>
  <c r="P44" i="2"/>
  <c r="S99" i="2"/>
  <c r="Q99" i="2"/>
  <c r="P99" i="2"/>
  <c r="W101" i="2"/>
  <c r="U199" i="2"/>
  <c r="S123" i="2"/>
  <c r="Q123" i="2"/>
  <c r="P123" i="2"/>
  <c r="U152" i="2"/>
  <c r="U60" i="2"/>
  <c r="W93" i="2"/>
  <c r="S29" i="2"/>
  <c r="Q29" i="2"/>
  <c r="P29" i="2"/>
  <c r="W97" i="2"/>
  <c r="S50" i="2"/>
  <c r="Q50" i="2"/>
  <c r="P50" i="2"/>
  <c r="U106" i="2"/>
  <c r="P98" i="2"/>
  <c r="S98" i="2"/>
  <c r="Q98" i="2"/>
  <c r="U74" i="2"/>
  <c r="W74" i="2"/>
  <c r="W111" i="2"/>
  <c r="Q89" i="2"/>
  <c r="S89" i="2"/>
  <c r="P89" i="2"/>
  <c r="U122" i="2"/>
  <c r="P60" i="2"/>
  <c r="S60" i="2"/>
  <c r="Q60" i="2"/>
  <c r="U111" i="2"/>
  <c r="W99" i="2"/>
  <c r="Q128" i="2"/>
  <c r="P128" i="2"/>
  <c r="S128" i="2"/>
  <c r="S197" i="2"/>
  <c r="P197" i="2"/>
  <c r="Q197" i="2"/>
  <c r="U62" i="2"/>
  <c r="W49" i="2"/>
  <c r="S196" i="2"/>
  <c r="Q196" i="2"/>
  <c r="P196" i="2"/>
  <c r="U43" i="2"/>
  <c r="P41" i="2"/>
  <c r="S41" i="2"/>
  <c r="Q41" i="2"/>
  <c r="W172" i="2"/>
  <c r="U103" i="2"/>
  <c r="U123" i="2"/>
  <c r="S134" i="2"/>
  <c r="P134" i="2"/>
  <c r="Q134" i="2"/>
  <c r="W164" i="2"/>
  <c r="U45" i="2"/>
  <c r="P190" i="2"/>
  <c r="S190" i="2"/>
  <c r="Q190" i="2"/>
  <c r="Q187" i="2"/>
  <c r="P187" i="2"/>
  <c r="S187" i="2"/>
  <c r="W95" i="2"/>
  <c r="U27" i="2"/>
  <c r="S143" i="2"/>
  <c r="Q143" i="2"/>
  <c r="P143" i="2"/>
  <c r="Q147" i="2"/>
  <c r="S147" i="2"/>
  <c r="P147" i="2"/>
  <c r="W119" i="2"/>
  <c r="S176" i="2"/>
  <c r="P176" i="2"/>
  <c r="Q176" i="2"/>
  <c r="W176" i="2"/>
  <c r="P111" i="2"/>
  <c r="S111" i="2"/>
  <c r="Q111" i="2"/>
  <c r="U81" i="2"/>
  <c r="S109" i="2"/>
  <c r="Q109" i="2"/>
  <c r="P109" i="2"/>
  <c r="W81" i="2"/>
  <c r="Q166" i="2"/>
  <c r="S166" i="2"/>
  <c r="P166" i="2"/>
  <c r="U59" i="2"/>
  <c r="W161" i="2"/>
  <c r="P115" i="2"/>
  <c r="Q115" i="2"/>
  <c r="S115" i="2"/>
  <c r="W90" i="2"/>
  <c r="U104" i="2"/>
  <c r="W27" i="2"/>
  <c r="U80" i="2"/>
  <c r="U133" i="2"/>
  <c r="S159" i="2"/>
  <c r="P159" i="2"/>
  <c r="Q159" i="2"/>
  <c r="U85" i="2"/>
  <c r="U145" i="2"/>
  <c r="W197" i="2"/>
  <c r="W108" i="2"/>
  <c r="S172" i="2"/>
  <c r="P172" i="2"/>
  <c r="Q172" i="2"/>
  <c r="P151" i="2"/>
  <c r="Q151" i="2"/>
  <c r="S151" i="2"/>
  <c r="U117" i="2"/>
  <c r="P46" i="2"/>
  <c r="S46" i="2"/>
  <c r="Q46" i="2"/>
  <c r="W94" i="2"/>
  <c r="P97" i="2"/>
  <c r="S97" i="2"/>
  <c r="Q97" i="2"/>
  <c r="Q96" i="2"/>
  <c r="S96" i="2"/>
  <c r="P96" i="2"/>
  <c r="W72" i="2"/>
  <c r="S100" i="2"/>
  <c r="Q100" i="2"/>
  <c r="P100" i="2"/>
  <c r="U114" i="2"/>
  <c r="U49" i="2"/>
  <c r="P80" i="2"/>
  <c r="S80" i="2"/>
  <c r="Q80" i="2"/>
  <c r="W110" i="2"/>
  <c r="U138" i="2"/>
  <c r="S188" i="2"/>
  <c r="P188" i="2"/>
  <c r="Q188" i="2"/>
  <c r="U126" i="2"/>
  <c r="U165" i="2"/>
  <c r="W162" i="2"/>
  <c r="P59" i="2"/>
  <c r="Q59" i="2"/>
  <c r="S59" i="2"/>
  <c r="W193" i="2"/>
  <c r="U39" i="2"/>
  <c r="S169" i="2"/>
  <c r="P169" i="2"/>
  <c r="Q169" i="2"/>
  <c r="Q38" i="2"/>
  <c r="M38" i="2" s="1"/>
  <c r="S38" i="2"/>
  <c r="P38" i="2"/>
  <c r="L38" i="2" s="1"/>
  <c r="W83" i="2"/>
  <c r="U55" i="2"/>
  <c r="W102" i="2"/>
  <c r="U53" i="2"/>
  <c r="U136" i="2"/>
  <c r="W58" i="2"/>
  <c r="U180" i="2"/>
  <c r="W29" i="2"/>
  <c r="P149" i="2"/>
  <c r="Q149" i="2"/>
  <c r="S149" i="2"/>
  <c r="U147" i="2"/>
  <c r="P158" i="2"/>
  <c r="S158" i="2"/>
  <c r="Q158" i="2"/>
  <c r="W31" i="2"/>
  <c r="P170" i="2"/>
  <c r="Q170" i="2"/>
  <c r="S170" i="2"/>
  <c r="W133" i="2"/>
  <c r="U144" i="2"/>
  <c r="U108" i="2"/>
  <c r="U204" i="2"/>
  <c r="P178" i="2"/>
  <c r="S178" i="2"/>
  <c r="Q178" i="2"/>
  <c r="U205" i="2"/>
  <c r="W141" i="2"/>
  <c r="W121" i="2"/>
  <c r="W123" i="2"/>
  <c r="U30" i="2"/>
  <c r="W69" i="2"/>
  <c r="Q36" i="2"/>
  <c r="S36" i="2"/>
  <c r="P36" i="2"/>
  <c r="U201" i="2"/>
  <c r="W43" i="2"/>
  <c r="W120" i="2"/>
  <c r="W25" i="2"/>
  <c r="W180" i="2"/>
  <c r="U24" i="2"/>
  <c r="U29" i="2"/>
  <c r="S21" i="2"/>
  <c r="P21" i="2"/>
  <c r="Q21" i="2"/>
  <c r="W89" i="2"/>
  <c r="S180" i="2"/>
  <c r="Q180" i="2"/>
  <c r="P180" i="2"/>
  <c r="U167" i="2"/>
  <c r="S131" i="2"/>
  <c r="Q131" i="2"/>
  <c r="P131" i="2"/>
  <c r="U195" i="2"/>
  <c r="W54" i="2"/>
  <c r="P95" i="2"/>
  <c r="Q95" i="2"/>
  <c r="S95" i="2"/>
  <c r="U95" i="2"/>
  <c r="S177" i="2"/>
  <c r="P177" i="2"/>
  <c r="Q177" i="2"/>
  <c r="W177" i="2"/>
  <c r="W129" i="2"/>
  <c r="P28" i="2"/>
  <c r="Q28" i="2"/>
  <c r="S28" i="2"/>
  <c r="W87" i="2"/>
  <c r="U75" i="2"/>
  <c r="U100" i="2"/>
  <c r="P18" i="2"/>
  <c r="L18" i="2" s="1"/>
  <c r="S18" i="2"/>
  <c r="R18" i="2" s="1"/>
  <c r="Q18" i="2"/>
  <c r="M18" i="2" s="1"/>
  <c r="S203" i="2"/>
  <c r="P203" i="2"/>
  <c r="Q203" i="2"/>
  <c r="U34" i="2"/>
  <c r="U46" i="2"/>
  <c r="W57" i="2"/>
  <c r="W18" i="2"/>
  <c r="V18" i="2" s="1"/>
  <c r="W204" i="2"/>
  <c r="U191" i="2"/>
  <c r="Q68" i="2"/>
  <c r="S68" i="2"/>
  <c r="P68" i="2"/>
  <c r="W154" i="2"/>
  <c r="U202" i="2"/>
  <c r="W75" i="2"/>
  <c r="W170" i="2"/>
  <c r="W117" i="2"/>
  <c r="U68" i="2"/>
  <c r="U112" i="2"/>
  <c r="W112" i="2"/>
  <c r="Q78" i="2"/>
  <c r="S78" i="2"/>
  <c r="P78" i="2"/>
  <c r="W67" i="2"/>
  <c r="W200" i="2"/>
  <c r="U119" i="2"/>
  <c r="W183" i="2"/>
  <c r="Q174" i="2"/>
  <c r="P174" i="2"/>
  <c r="S174" i="2"/>
  <c r="U177" i="2"/>
  <c r="U96" i="2"/>
  <c r="U203" i="2"/>
  <c r="W61" i="2"/>
  <c r="W199" i="2"/>
  <c r="W173" i="2"/>
  <c r="P202" i="2"/>
  <c r="Q202" i="2"/>
  <c r="S202" i="2"/>
  <c r="U36" i="2"/>
  <c r="P195" i="2"/>
  <c r="Q195" i="2"/>
  <c r="S195" i="2"/>
  <c r="W47" i="2"/>
  <c r="P66" i="2"/>
  <c r="Q66" i="2"/>
  <c r="S66" i="2"/>
  <c r="W174" i="2"/>
  <c r="S189" i="2"/>
  <c r="P189" i="2"/>
  <c r="Q189" i="2"/>
  <c r="S24" i="2"/>
  <c r="P24" i="2"/>
  <c r="Q24" i="2"/>
  <c r="U69" i="2"/>
  <c r="W20" i="2"/>
  <c r="Q155" i="2"/>
  <c r="S155" i="2"/>
  <c r="P155" i="2"/>
  <c r="U164" i="2"/>
  <c r="S209" i="2"/>
  <c r="P209" i="2"/>
  <c r="Q209" i="2"/>
  <c r="W82" i="2"/>
  <c r="Q72" i="2"/>
  <c r="P72" i="2"/>
  <c r="S72" i="2"/>
  <c r="S31" i="2"/>
  <c r="P31" i="2"/>
  <c r="Q31" i="2"/>
  <c r="U190" i="2"/>
  <c r="S73" i="2"/>
  <c r="Q73" i="2"/>
  <c r="P73" i="2"/>
  <c r="W116" i="2"/>
  <c r="U174" i="2"/>
  <c r="U156" i="2"/>
  <c r="U178" i="2"/>
  <c r="W91" i="2"/>
  <c r="W92" i="2"/>
  <c r="S145" i="2"/>
  <c r="P145" i="2"/>
  <c r="Q145" i="2"/>
  <c r="Q137" i="2"/>
  <c r="P137" i="2"/>
  <c r="S137" i="2"/>
  <c r="U78" i="2"/>
  <c r="W168" i="2"/>
  <c r="W63" i="2"/>
  <c r="U184" i="2"/>
  <c r="W68" i="2"/>
  <c r="P135" i="2"/>
  <c r="S135" i="2"/>
  <c r="Q135" i="2"/>
  <c r="U19" i="2"/>
  <c r="Q105" i="2"/>
  <c r="S105" i="2"/>
  <c r="P105" i="2"/>
  <c r="W34" i="2"/>
  <c r="U169" i="2"/>
  <c r="P132" i="2"/>
  <c r="Q132" i="2"/>
  <c r="S132" i="2"/>
  <c r="U107" i="2"/>
  <c r="Q74" i="2"/>
  <c r="P74" i="2"/>
  <c r="S74" i="2"/>
  <c r="U194" i="2"/>
  <c r="Q42" i="2"/>
  <c r="P42" i="2"/>
  <c r="S42" i="2"/>
  <c r="P136" i="2"/>
  <c r="Q136" i="2"/>
  <c r="S136" i="2"/>
  <c r="U120" i="2"/>
  <c r="Q162" i="2"/>
  <c r="P162" i="2"/>
  <c r="S162" i="2"/>
  <c r="U131" i="2"/>
  <c r="P45" i="2"/>
  <c r="Q45" i="2"/>
  <c r="S45" i="2"/>
  <c r="W86" i="2"/>
  <c r="Q164" i="2"/>
  <c r="P164" i="2"/>
  <c r="S164" i="2"/>
  <c r="U153" i="2"/>
  <c r="Q110" i="2"/>
  <c r="P110" i="2"/>
  <c r="S110" i="2"/>
  <c r="U67" i="2"/>
  <c r="U37" i="2"/>
  <c r="W182" i="2"/>
  <c r="W127" i="2"/>
  <c r="Q51" i="2"/>
  <c r="P51" i="2"/>
  <c r="S51" i="2"/>
  <c r="U170" i="2"/>
  <c r="U90" i="2"/>
  <c r="U192" i="2"/>
  <c r="P43" i="2"/>
  <c r="S43" i="2"/>
  <c r="Q43" i="2"/>
  <c r="P52" i="2"/>
  <c r="S52" i="2"/>
  <c r="Q52" i="2"/>
  <c r="W149" i="2"/>
  <c r="Q94" i="2"/>
  <c r="P94" i="2"/>
  <c r="S94" i="2"/>
  <c r="S63" i="2"/>
  <c r="P63" i="2"/>
  <c r="Q63" i="2"/>
  <c r="W175" i="2"/>
  <c r="U91" i="2"/>
  <c r="W207" i="2"/>
  <c r="U47" i="2"/>
  <c r="W134" i="2"/>
  <c r="W195" i="2"/>
  <c r="W146" i="2"/>
  <c r="W60" i="2"/>
  <c r="W138" i="2"/>
  <c r="Q184" i="2"/>
  <c r="S184" i="2"/>
  <c r="P184" i="2"/>
  <c r="P122" i="2"/>
  <c r="S122" i="2"/>
  <c r="Q122" i="2"/>
  <c r="W158" i="2"/>
  <c r="W51" i="2"/>
  <c r="S57" i="2"/>
  <c r="P57" i="2"/>
  <c r="Q57" i="2"/>
  <c r="S32" i="2"/>
  <c r="Q32" i="2"/>
  <c r="P32" i="2"/>
  <c r="U31" i="2"/>
  <c r="W21" i="2"/>
  <c r="U89" i="2"/>
  <c r="U146" i="2"/>
  <c r="U209" i="2"/>
  <c r="W209" i="2"/>
  <c r="U86" i="2"/>
  <c r="W46" i="2"/>
  <c r="P88" i="2"/>
  <c r="S88" i="2"/>
  <c r="Q88" i="2"/>
  <c r="U196" i="2"/>
  <c r="W122" i="2"/>
  <c r="P47" i="2"/>
  <c r="S47" i="2"/>
  <c r="Q47" i="2"/>
  <c r="S90" i="2"/>
  <c r="Q90" i="2"/>
  <c r="P90" i="2"/>
  <c r="Q30" i="2"/>
  <c r="S30" i="2"/>
  <c r="P30" i="2"/>
  <c r="S125" i="2"/>
  <c r="P125" i="2"/>
  <c r="Q125" i="2"/>
  <c r="Q175" i="2"/>
  <c r="P175" i="2"/>
  <c r="S175" i="2"/>
  <c r="U72" i="2"/>
  <c r="U140" i="2"/>
  <c r="S93" i="2"/>
  <c r="P93" i="2"/>
  <c r="Q93" i="2"/>
  <c r="U137" i="2"/>
  <c r="W169" i="2"/>
  <c r="U20" i="2"/>
  <c r="W171" i="2"/>
  <c r="U149" i="2"/>
  <c r="W78" i="2"/>
  <c r="U121" i="2"/>
  <c r="Q86" i="2"/>
  <c r="P86" i="2"/>
  <c r="S86" i="2"/>
  <c r="U197" i="2"/>
  <c r="U181" i="2"/>
  <c r="W19" i="2"/>
  <c r="Q129" i="2"/>
  <c r="S129" i="2"/>
  <c r="P129" i="2"/>
  <c r="W64" i="2"/>
  <c r="W160" i="2"/>
  <c r="S130" i="2"/>
  <c r="Q130" i="2"/>
  <c r="P130" i="2"/>
  <c r="U135" i="2"/>
  <c r="U56" i="2"/>
  <c r="W128" i="2"/>
  <c r="W84" i="2"/>
  <c r="U50" i="2"/>
  <c r="W163" i="2"/>
  <c r="U25" i="2"/>
  <c r="U175" i="2"/>
  <c r="U200" i="2"/>
  <c r="Q25" i="2"/>
  <c r="S25" i="2"/>
  <c r="P25" i="2"/>
  <c r="U171" i="2"/>
  <c r="W100" i="2"/>
  <c r="P35" i="2"/>
  <c r="Q35" i="2"/>
  <c r="S35" i="2"/>
  <c r="Q84" i="2"/>
  <c r="P84" i="2"/>
  <c r="S84" i="2"/>
  <c r="U101" i="2"/>
  <c r="U130" i="2"/>
  <c r="W157" i="2"/>
  <c r="W208" i="2"/>
  <c r="S157" i="2"/>
  <c r="P157" i="2"/>
  <c r="Q157" i="2"/>
  <c r="W35" i="2"/>
  <c r="W79" i="2"/>
  <c r="U73" i="2"/>
  <c r="W115" i="2"/>
  <c r="U84" i="2"/>
  <c r="Q171" i="2"/>
  <c r="S171" i="2"/>
  <c r="P171" i="2"/>
  <c r="P77" i="2"/>
  <c r="Q77" i="2"/>
  <c r="S77" i="2"/>
  <c r="S133" i="2"/>
  <c r="P133" i="2"/>
  <c r="Q133" i="2"/>
  <c r="U54" i="2"/>
  <c r="W103" i="2"/>
  <c r="U48" i="2"/>
  <c r="U33" i="2"/>
  <c r="W131" i="2"/>
  <c r="Q173" i="2"/>
  <c r="S173" i="2"/>
  <c r="P173" i="2"/>
  <c r="U57" i="2"/>
  <c r="U139" i="2"/>
  <c r="U193" i="2"/>
  <c r="U42" i="2"/>
  <c r="Q54" i="2"/>
  <c r="P54" i="2"/>
  <c r="S54" i="2"/>
  <c r="P104" i="2"/>
  <c r="S104" i="2"/>
  <c r="Q104" i="2"/>
  <c r="P34" i="2"/>
  <c r="S34" i="2"/>
  <c r="Q34" i="2"/>
  <c r="W50" i="2"/>
  <c r="Q150" i="2"/>
  <c r="P150" i="2"/>
  <c r="S150" i="2"/>
  <c r="U173" i="2"/>
  <c r="S165" i="2"/>
  <c r="Q165" i="2"/>
  <c r="P165" i="2"/>
  <c r="S186" i="2"/>
  <c r="Q186" i="2"/>
  <c r="P186" i="2"/>
  <c r="W130" i="2"/>
  <c r="P48" i="2"/>
  <c r="Q48" i="2"/>
  <c r="S48" i="2"/>
  <c r="W181" i="2"/>
  <c r="W52" i="2"/>
  <c r="U105" i="2"/>
  <c r="W192" i="2"/>
  <c r="U77" i="2"/>
  <c r="W66" i="2"/>
  <c r="Q87" i="2"/>
  <c r="P87" i="2"/>
  <c r="S87" i="2"/>
  <c r="S112" i="2"/>
  <c r="P112" i="2"/>
  <c r="Q112" i="2"/>
  <c r="U64" i="2"/>
  <c r="W22" i="2"/>
  <c r="Q199" i="2"/>
  <c r="S199" i="2"/>
  <c r="P199" i="2"/>
  <c r="S22" i="2"/>
  <c r="P22" i="2"/>
  <c r="Q22" i="2"/>
  <c r="U79" i="2"/>
  <c r="U116" i="2"/>
  <c r="W187" i="2"/>
  <c r="U22" i="2"/>
  <c r="W65" i="2"/>
  <c r="U183" i="2"/>
  <c r="U92" i="2"/>
  <c r="P102" i="2"/>
  <c r="S102" i="2"/>
  <c r="Q102" i="2"/>
  <c r="W107" i="2"/>
  <c r="U94" i="2"/>
  <c r="U208" i="2"/>
  <c r="Q146" i="2"/>
  <c r="S146" i="2"/>
  <c r="P146" i="2"/>
  <c r="W88" i="2"/>
  <c r="U172" i="2"/>
  <c r="P200" i="2"/>
  <c r="S200" i="2"/>
  <c r="Q200" i="2"/>
  <c r="U18" i="2"/>
  <c r="W42" i="2"/>
  <c r="U163" i="2"/>
  <c r="Q62" i="2"/>
  <c r="S62" i="2"/>
  <c r="P62" i="2"/>
  <c r="Q67" i="2"/>
  <c r="P67" i="2"/>
  <c r="S67" i="2"/>
  <c r="W186" i="2"/>
  <c r="U40" i="2"/>
  <c r="W196" i="2"/>
  <c r="W159" i="2"/>
  <c r="W70" i="2"/>
  <c r="W205" i="2"/>
  <c r="S154" i="2"/>
  <c r="P154" i="2"/>
  <c r="Q154" i="2"/>
  <c r="W56" i="2"/>
  <c r="U207" i="2"/>
  <c r="U148" i="2"/>
  <c r="W38" i="2"/>
  <c r="O38" i="2" s="1"/>
  <c r="U155" i="2"/>
  <c r="S120" i="2"/>
  <c r="Q120" i="2"/>
  <c r="P120" i="2"/>
  <c r="U159" i="2"/>
  <c r="W153" i="2"/>
  <c r="W98" i="2"/>
  <c r="P82" i="2"/>
  <c r="Q82" i="2"/>
  <c r="S82" i="2"/>
  <c r="W202" i="2"/>
  <c r="S117" i="2"/>
  <c r="P117" i="2"/>
  <c r="Q117" i="2"/>
  <c r="U150" i="2"/>
  <c r="Q65" i="2"/>
  <c r="P65" i="2"/>
  <c r="S65" i="2"/>
  <c r="U198" i="2"/>
  <c r="U41" i="2"/>
  <c r="U87" i="2"/>
  <c r="Q139" i="2"/>
  <c r="P139" i="2"/>
  <c r="S139" i="2"/>
  <c r="U99" i="2"/>
  <c r="U113" i="2"/>
  <c r="U88" i="2"/>
  <c r="P114" i="2"/>
  <c r="Q114" i="2"/>
  <c r="S114" i="2"/>
  <c r="W39" i="2"/>
  <c r="W45" i="2"/>
  <c r="W30" i="2"/>
  <c r="Q148" i="2"/>
  <c r="P148" i="2"/>
  <c r="S148" i="2"/>
  <c r="W142" i="2"/>
  <c r="P61" i="2"/>
  <c r="Q61" i="2"/>
  <c r="S61" i="2"/>
  <c r="S58" i="2"/>
  <c r="P58" i="2"/>
  <c r="Q58" i="2"/>
  <c r="Q121" i="2"/>
  <c r="P121" i="2"/>
  <c r="S121" i="2"/>
  <c r="W191" i="2"/>
  <c r="W23" i="2"/>
  <c r="S193" i="2"/>
  <c r="Q193" i="2"/>
  <c r="P193" i="2"/>
  <c r="P27" i="2"/>
  <c r="S27" i="2"/>
  <c r="Q27" i="2"/>
  <c r="P64" i="2"/>
  <c r="Q64" i="2"/>
  <c r="S64" i="2"/>
  <c r="W85" i="2"/>
  <c r="U118" i="2"/>
  <c r="W106" i="2"/>
  <c r="U61" i="2"/>
  <c r="U206" i="2"/>
  <c r="W80" i="2"/>
  <c r="Q107" i="2"/>
  <c r="S107" i="2"/>
  <c r="P107" i="2"/>
  <c r="U141" i="2"/>
  <c r="P91" i="2"/>
  <c r="S91" i="2"/>
  <c r="Q91" i="2"/>
  <c r="Q204" i="2"/>
  <c r="S204" i="2"/>
  <c r="P204" i="2"/>
  <c r="P116" i="2"/>
  <c r="S116" i="2"/>
  <c r="Q116" i="2"/>
  <c r="U188" i="2"/>
  <c r="P205" i="2"/>
  <c r="S205" i="2"/>
  <c r="Q205" i="2"/>
  <c r="U110" i="2"/>
  <c r="U160" i="2"/>
  <c r="S108" i="2"/>
  <c r="Q108" i="2"/>
  <c r="P108" i="2"/>
  <c r="U176" i="2"/>
  <c r="W165" i="2"/>
  <c r="W140" i="2"/>
  <c r="U21" i="2"/>
  <c r="S198" i="2"/>
  <c r="P198" i="2"/>
  <c r="Q198" i="2"/>
  <c r="U98" i="2"/>
  <c r="S19" i="2"/>
  <c r="P19" i="2"/>
  <c r="Q19" i="2"/>
  <c r="A5" i="9"/>
  <c r="F11" i="9" s="1"/>
  <c r="F10" i="19"/>
  <c r="H10" i="1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H26" i="2"/>
  <c r="C25" i="2" s="1"/>
  <c r="D45" i="2"/>
  <c r="C77" i="2"/>
  <c r="H184" i="2"/>
  <c r="H62" i="2"/>
  <c r="C61" i="2" s="1"/>
  <c r="H166" i="2"/>
  <c r="H79" i="2"/>
  <c r="C37" i="2"/>
  <c r="N38" i="2"/>
  <c r="H112" i="2"/>
  <c r="C111" i="2" s="1"/>
  <c r="H202" i="2"/>
  <c r="C201" i="2" s="1"/>
  <c r="H9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E27" i="2" s="1"/>
  <c r="C36" i="2"/>
  <c r="J204" i="2"/>
  <c r="E203" i="2" s="1"/>
  <c r="B203" i="2"/>
  <c r="I203" i="2"/>
  <c r="D202" i="2" s="1"/>
  <c r="D201" i="2"/>
  <c r="J97" i="2"/>
  <c r="E96" i="2" s="1"/>
  <c r="B96" i="2"/>
  <c r="I96" i="2"/>
  <c r="D95" i="2" s="1"/>
  <c r="E184" i="2"/>
  <c r="D61" i="2"/>
  <c r="B63" i="2"/>
  <c r="J64" i="2"/>
  <c r="E63" i="2" s="1"/>
  <c r="I63" i="2"/>
  <c r="D78" i="2"/>
  <c r="S33" i="19" l="1"/>
  <c r="T32" i="19"/>
  <c r="O18" i="2"/>
  <c r="O19" i="2" s="1"/>
  <c r="O20" i="2" s="1"/>
  <c r="O21" i="2" s="1"/>
  <c r="O22" i="2" s="1"/>
  <c r="O23" i="2" s="1"/>
  <c r="O24" i="2" s="1"/>
  <c r="O25" i="2" s="1"/>
  <c r="O26" i="2" s="1"/>
  <c r="M29" i="2"/>
  <c r="M30" i="2" s="1"/>
  <c r="M31" i="2" s="1"/>
  <c r="M32" i="2" s="1"/>
  <c r="M33" i="2" s="1"/>
  <c r="M34" i="2" s="1"/>
  <c r="M35" i="2" s="1"/>
  <c r="M36" i="2" s="1"/>
  <c r="M37" i="2" s="1"/>
  <c r="T50" i="19"/>
  <c r="S51" i="19"/>
  <c r="L32" i="19"/>
  <c r="K33" i="19"/>
  <c r="L33" i="19" s="1"/>
  <c r="S15" i="19"/>
  <c r="T14" i="19"/>
  <c r="K16" i="19"/>
  <c r="L16" i="19" s="1"/>
  <c r="L15" i="19"/>
  <c r="L48" i="19"/>
  <c r="K49" i="19"/>
  <c r="T68" i="19"/>
  <c r="S69" i="19"/>
  <c r="L29" i="2"/>
  <c r="L30" i="2" s="1"/>
  <c r="L31" i="2" s="1"/>
  <c r="L32" i="2" s="1"/>
  <c r="L33" i="2" s="1"/>
  <c r="L34" i="2" s="1"/>
  <c r="L35" i="2" s="1"/>
  <c r="L36" i="2" s="1"/>
  <c r="L37" i="2" s="1"/>
  <c r="T88" i="19"/>
  <c r="S89" i="19"/>
  <c r="T89" i="19" s="1"/>
  <c r="T105" i="19"/>
  <c r="S106" i="19"/>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M39" i="2"/>
  <c r="M40" i="2" s="1"/>
  <c r="M41" i="2" s="1"/>
  <c r="M42" i="2" s="1"/>
  <c r="M43" i="2" s="1"/>
  <c r="M44" i="2" s="1"/>
  <c r="M45" i="2" s="1"/>
  <c r="M46" i="2" s="1"/>
  <c r="M47" i="2" s="1"/>
  <c r="M48" i="2" s="1"/>
  <c r="V19" i="2"/>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O39" i="2"/>
  <c r="O40" i="2" s="1"/>
  <c r="O41" i="2" s="1"/>
  <c r="O42" i="2" s="1"/>
  <c r="O43" i="2" s="1"/>
  <c r="O44" i="2" s="1"/>
  <c r="O45" i="2" s="1"/>
  <c r="O46" i="2" s="1"/>
  <c r="L19" i="2"/>
  <c r="L20" i="2" s="1"/>
  <c r="L21" i="2" s="1"/>
  <c r="L22" i="2" s="1"/>
  <c r="L23" i="2" s="1"/>
  <c r="L24" i="2" s="1"/>
  <c r="L25" i="2" s="1"/>
  <c r="L26" i="2" s="1"/>
  <c r="L27" i="2" s="1"/>
  <c r="L28" i="2" s="1"/>
  <c r="N39" i="2"/>
  <c r="N40" i="2" s="1"/>
  <c r="N41" i="2" s="1"/>
  <c r="N42" i="2" s="1"/>
  <c r="N43" i="2" s="1"/>
  <c r="N44" i="2" s="1"/>
  <c r="N45" i="2" s="1"/>
  <c r="N46" i="2" s="1"/>
  <c r="L39" i="2"/>
  <c r="L40" i="2" s="1"/>
  <c r="L41" i="2" s="1"/>
  <c r="L42" i="2" s="1"/>
  <c r="L43" i="2" s="1"/>
  <c r="L44" i="2" s="1"/>
  <c r="L45" i="2" s="1"/>
  <c r="L46" i="2" s="1"/>
  <c r="L47" i="2" s="1"/>
  <c r="L48" i="2" s="1"/>
  <c r="T18" i="2"/>
  <c r="T19" i="2" s="1"/>
  <c r="T20" i="2" s="1"/>
  <c r="T21" i="2" s="1"/>
  <c r="T22" i="2" s="1"/>
  <c r="T23" i="2" s="1"/>
  <c r="T24" i="2" s="1"/>
  <c r="T25" i="2" s="1"/>
  <c r="T26" i="2" s="1"/>
  <c r="T27" i="2" s="1"/>
  <c r="N18" i="2"/>
  <c r="N19" i="2" s="1"/>
  <c r="N20" i="2" s="1"/>
  <c r="N21" i="2" s="1"/>
  <c r="N22" i="2" s="1"/>
  <c r="N23" i="2" s="1"/>
  <c r="N24" i="2" s="1"/>
  <c r="N25" i="2" s="1"/>
  <c r="N26" i="2" s="1"/>
  <c r="M19" i="2"/>
  <c r="M20" i="2" s="1"/>
  <c r="M21" i="2" s="1"/>
  <c r="M22" i="2" s="1"/>
  <c r="M23" i="2" s="1"/>
  <c r="M24" i="2" s="1"/>
  <c r="M25" i="2" s="1"/>
  <c r="M26" i="2" s="1"/>
  <c r="M27" i="2" s="1"/>
  <c r="M28" i="2" s="1"/>
  <c r="E11" i="9"/>
  <c r="D11" i="9" s="1"/>
  <c r="F12" i="9"/>
  <c r="G11" i="9"/>
  <c r="B11" i="9"/>
  <c r="C11" i="9" s="1"/>
  <c r="I28" i="2"/>
  <c r="D27" i="2" s="1"/>
  <c r="E28" i="2"/>
  <c r="B28" i="2"/>
  <c r="G21" i="19" s="1"/>
  <c r="H27" i="2"/>
  <c r="C26" i="2" s="1"/>
  <c r="B81" i="2"/>
  <c r="J82" i="2"/>
  <c r="E81" i="2" s="1"/>
  <c r="I81" i="2"/>
  <c r="D80" i="2" s="1"/>
  <c r="B168" i="2"/>
  <c r="J169" i="2"/>
  <c r="E168" i="2" s="1"/>
  <c r="I168" i="2"/>
  <c r="D167" i="2" s="1"/>
  <c r="B150" i="2"/>
  <c r="J151" i="2"/>
  <c r="E150" i="2" s="1"/>
  <c r="I150" i="2"/>
  <c r="H63" i="2"/>
  <c r="C62" i="2" s="1"/>
  <c r="I97" i="2"/>
  <c r="B97" i="2"/>
  <c r="J98" i="2"/>
  <c r="E97" i="2" s="1"/>
  <c r="H80" i="2"/>
  <c r="C79" i="2" s="1"/>
  <c r="H167" i="2"/>
  <c r="B48" i="2"/>
  <c r="I48" i="2"/>
  <c r="J49" i="2"/>
  <c r="H149" i="2"/>
  <c r="B186" i="2"/>
  <c r="J187" i="2"/>
  <c r="E186" i="2" s="1"/>
  <c r="I186" i="2"/>
  <c r="D185" i="2" s="1"/>
  <c r="D62" i="2"/>
  <c r="J65" i="2"/>
  <c r="B64" i="2"/>
  <c r="I64" i="2"/>
  <c r="H96" i="2"/>
  <c r="C95" i="2" s="1"/>
  <c r="B204" i="2"/>
  <c r="J205" i="2"/>
  <c r="E204" i="2" s="1"/>
  <c r="I204" i="2"/>
  <c r="D203" i="2" s="1"/>
  <c r="N9" i="19"/>
  <c r="E11" i="19"/>
  <c r="G11" i="19"/>
  <c r="H11" i="19"/>
  <c r="F11" i="19"/>
  <c r="E80" i="2"/>
  <c r="E47" i="2"/>
  <c r="H185" i="2"/>
  <c r="D79" i="2"/>
  <c r="C78" i="2"/>
  <c r="H131" i="2"/>
  <c r="C130" i="2" s="1"/>
  <c r="C94" i="2"/>
  <c r="H203" i="2"/>
  <c r="C202" i="2" s="1"/>
  <c r="H47" i="2"/>
  <c r="C46" i="2" s="1"/>
  <c r="C165" i="2"/>
  <c r="J133" i="2"/>
  <c r="E132" i="2" s="1"/>
  <c r="I132" i="2"/>
  <c r="D131" i="2" s="1"/>
  <c r="B132" i="2"/>
  <c r="J115" i="2"/>
  <c r="E114" i="2" s="1"/>
  <c r="B114" i="2"/>
  <c r="I114" i="2"/>
  <c r="D113" i="2" s="1"/>
  <c r="H113" i="2"/>
  <c r="C112" i="2" s="1"/>
  <c r="C183" i="2"/>
  <c r="D26" i="2"/>
  <c r="D148" i="2"/>
  <c r="O5" i="19" l="1"/>
  <c r="P11" i="19"/>
  <c r="T33" i="19"/>
  <c r="S34" i="19"/>
  <c r="P7" i="19"/>
  <c r="H21" i="19"/>
  <c r="P4" i="19"/>
  <c r="K11" i="9"/>
  <c r="N3" i="19"/>
  <c r="H17" i="19"/>
  <c r="E12" i="9"/>
  <c r="D12" i="9" s="1"/>
  <c r="N10" i="19"/>
  <c r="N7" i="19"/>
  <c r="P3" i="19"/>
  <c r="F16" i="19"/>
  <c r="S107" i="19"/>
  <c r="T107" i="19" s="1"/>
  <c r="T106" i="19"/>
  <c r="H11" i="9"/>
  <c r="L49" i="19"/>
  <c r="K50" i="19"/>
  <c r="L50" i="19" s="1"/>
  <c r="S52" i="19"/>
  <c r="T51" i="19"/>
  <c r="I11" i="9"/>
  <c r="J11" i="9"/>
  <c r="T15" i="19"/>
  <c r="S16" i="19"/>
  <c r="S70" i="19"/>
  <c r="T69" i="19"/>
  <c r="T45" i="5"/>
  <c r="T28" i="5"/>
  <c r="T34" i="5"/>
  <c r="R51" i="5"/>
  <c r="R49" i="5"/>
  <c r="R16" i="5"/>
  <c r="R36" i="5"/>
  <c r="T10" i="5"/>
  <c r="T51" i="5"/>
  <c r="T22" i="5"/>
  <c r="R6" i="5"/>
  <c r="R44" i="5"/>
  <c r="R39" i="5"/>
  <c r="R15" i="5"/>
  <c r="R43" i="5"/>
  <c r="T12" i="5"/>
  <c r="T41" i="5"/>
  <c r="T27" i="5"/>
  <c r="R20" i="5"/>
  <c r="R45" i="5"/>
  <c r="R32" i="5"/>
  <c r="R25" i="5"/>
  <c r="R31" i="5"/>
  <c r="T31" i="5"/>
  <c r="T52" i="5"/>
  <c r="T48" i="5"/>
  <c r="R19" i="5"/>
  <c r="R42" i="5"/>
  <c r="R47" i="5"/>
  <c r="R23" i="5"/>
  <c r="R28" i="5"/>
  <c r="T35" i="5"/>
  <c r="T37" i="5"/>
  <c r="T5" i="5"/>
  <c r="T14" i="5"/>
  <c r="R10" i="5"/>
  <c r="R26" i="5"/>
  <c r="R37" i="5"/>
  <c r="R5" i="5"/>
  <c r="R41" i="5"/>
  <c r="R17" i="5"/>
  <c r="T43" i="5"/>
  <c r="T20" i="5"/>
  <c r="T30" i="5"/>
  <c r="T38" i="5"/>
  <c r="T44" i="5"/>
  <c r="T46" i="5"/>
  <c r="T18" i="5"/>
  <c r="T50" i="5"/>
  <c r="R13" i="5"/>
  <c r="R22" i="5"/>
  <c r="R11" i="5"/>
  <c r="R33" i="5"/>
  <c r="R29" i="5"/>
  <c r="R52" i="5"/>
  <c r="R8" i="5"/>
  <c r="R14" i="5"/>
  <c r="R30" i="5"/>
  <c r="R40" i="5"/>
  <c r="R53" i="5"/>
  <c r="R9" i="5"/>
  <c r="T26" i="5"/>
  <c r="T17" i="5"/>
  <c r="T7" i="5"/>
  <c r="T19" i="5"/>
  <c r="T33" i="5"/>
  <c r="T13" i="5"/>
  <c r="T11" i="5"/>
  <c r="T9" i="5"/>
  <c r="R27" i="5"/>
  <c r="R21" i="5"/>
  <c r="R34" i="5"/>
  <c r="R35" i="5"/>
  <c r="R7" i="5"/>
  <c r="R46" i="5"/>
  <c r="R48" i="5"/>
  <c r="R4" i="5"/>
  <c r="Q4" i="6" s="1"/>
  <c r="R18" i="5"/>
  <c r="R12" i="5"/>
  <c r="R24" i="5"/>
  <c r="R38" i="5"/>
  <c r="L49" i="2"/>
  <c r="T16" i="5"/>
  <c r="T53" i="5"/>
  <c r="T29" i="5"/>
  <c r="T42" i="5"/>
  <c r="T23" i="5"/>
  <c r="T49" i="5"/>
  <c r="T8" i="5"/>
  <c r="T36" i="5"/>
  <c r="T4" i="5"/>
  <c r="T24" i="5"/>
  <c r="T25" i="5"/>
  <c r="T47" i="5"/>
  <c r="T39" i="5"/>
  <c r="T6" i="5"/>
  <c r="T32" i="5"/>
  <c r="T40" i="5"/>
  <c r="T21" i="5"/>
  <c r="M49" i="2"/>
  <c r="D7" i="15"/>
  <c r="T28" i="2"/>
  <c r="E19" i="19"/>
  <c r="F19" i="19"/>
  <c r="E20" i="19"/>
  <c r="E22" i="19"/>
  <c r="G20" i="19"/>
  <c r="G17" i="19"/>
  <c r="O7" i="19"/>
  <c r="N4" i="19"/>
  <c r="H18" i="19"/>
  <c r="M8" i="19"/>
  <c r="O9" i="19"/>
  <c r="H19" i="19"/>
  <c r="N5" i="19"/>
  <c r="E16" i="19"/>
  <c r="G19" i="19"/>
  <c r="M7" i="19"/>
  <c r="P8" i="19"/>
  <c r="H16" i="19"/>
  <c r="G16" i="19"/>
  <c r="G12" i="19"/>
  <c r="N8" i="19"/>
  <c r="F17" i="19"/>
  <c r="O4" i="19"/>
  <c r="N6" i="19"/>
  <c r="H23" i="19"/>
  <c r="M3" i="19"/>
  <c r="F21" i="19"/>
  <c r="O27" i="2"/>
  <c r="G12" i="9"/>
  <c r="F13" i="9"/>
  <c r="B12" i="9"/>
  <c r="C12" i="9" s="1"/>
  <c r="N47" i="2"/>
  <c r="I3" i="7"/>
  <c r="I4"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H132" i="2"/>
  <c r="C131" i="2" s="1"/>
  <c r="I115" i="2"/>
  <c r="D114" i="2" s="1"/>
  <c r="B115" i="2"/>
  <c r="J116" i="2"/>
  <c r="E115" i="2" s="1"/>
  <c r="J134" i="2"/>
  <c r="E133" i="2" s="1"/>
  <c r="I133" i="2"/>
  <c r="D132" i="2" s="1"/>
  <c r="B133" i="2"/>
  <c r="O47" i="2"/>
  <c r="H186" i="2"/>
  <c r="C185" i="2" s="1"/>
  <c r="H48" i="2"/>
  <c r="C47" i="2" s="1"/>
  <c r="H168" i="2"/>
  <c r="C148" i="2"/>
  <c r="T34" i="19" l="1"/>
  <c r="S35" i="19"/>
  <c r="T35" i="19" s="1"/>
  <c r="J12" i="9"/>
  <c r="K12" i="9"/>
  <c r="I12" i="9"/>
  <c r="E13" i="9"/>
  <c r="D13" i="9" s="1"/>
  <c r="I2" i="7"/>
  <c r="T70" i="19"/>
  <c r="S71" i="19"/>
  <c r="T71" i="19" s="1"/>
  <c r="T16" i="19"/>
  <c r="S17" i="19"/>
  <c r="T17" i="19" s="1"/>
  <c r="S53" i="19"/>
  <c r="T53" i="19" s="1"/>
  <c r="T52" i="19"/>
  <c r="Q5" i="5"/>
  <c r="Q6" i="5" s="1"/>
  <c r="Q7" i="5" s="1"/>
  <c r="Q8" i="5" s="1"/>
  <c r="Q9" i="5" s="1"/>
  <c r="Q10" i="5" s="1"/>
  <c r="Q11" i="5" s="1"/>
  <c r="I4" i="23"/>
  <c r="S4" i="6"/>
  <c r="G4" i="23"/>
  <c r="O5" i="5"/>
  <c r="O6" i="5" s="1"/>
  <c r="O7" i="5" s="1"/>
  <c r="O8" i="5" s="1"/>
  <c r="O9" i="5" s="1"/>
  <c r="O10" i="5" s="1"/>
  <c r="O11" i="5" s="1"/>
  <c r="M50" i="2"/>
  <c r="L50" i="2"/>
  <c r="H12" i="9"/>
  <c r="T29" i="2"/>
  <c r="N28" i="2"/>
  <c r="N29" i="2" s="1"/>
  <c r="N30" i="2" s="1"/>
  <c r="N31" i="2" s="1"/>
  <c r="N32" i="2" s="1"/>
  <c r="N33" i="2" s="1"/>
  <c r="N34" i="2" s="1"/>
  <c r="N35" i="2" s="1"/>
  <c r="N36" i="2" s="1"/>
  <c r="N37" i="2" s="1"/>
  <c r="J4" i="7"/>
  <c r="J3" i="7"/>
  <c r="G13" i="9"/>
  <c r="F14"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K13" i="9" l="1"/>
  <c r="E14" i="9"/>
  <c r="D14" i="9" s="1"/>
  <c r="J2" i="7"/>
  <c r="I13" i="9"/>
  <c r="J13" i="9"/>
  <c r="L51" i="2"/>
  <c r="M51" i="2"/>
  <c r="T30" i="2"/>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I84" i="2"/>
  <c r="B84" i="2"/>
  <c r="H116" i="2"/>
  <c r="C115" i="2" s="1"/>
  <c r="D115" i="2"/>
  <c r="B67" i="2"/>
  <c r="J68" i="2"/>
  <c r="E67" i="2" s="1"/>
  <c r="I67" i="2"/>
  <c r="D66" i="2" s="1"/>
  <c r="I51" i="2"/>
  <c r="D50" i="2" s="1"/>
  <c r="J52" i="2"/>
  <c r="E51" i="2" s="1"/>
  <c r="B51" i="2"/>
  <c r="J190" i="2"/>
  <c r="E189" i="2" s="1"/>
  <c r="B189" i="2"/>
  <c r="I189" i="2"/>
  <c r="D188" i="2" s="1"/>
  <c r="E66" i="2"/>
  <c r="H50" i="2"/>
  <c r="J101" i="2"/>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M52" i="2" l="1"/>
  <c r="E100" i="2"/>
  <c r="M102" i="2"/>
  <c r="M103" i="2" s="1"/>
  <c r="M104" i="2" s="1"/>
  <c r="M105" i="2" s="1"/>
  <c r="M106" i="2" s="1"/>
  <c r="M107" i="2" s="1"/>
  <c r="M108" i="2" s="1"/>
  <c r="M109" i="2" s="1"/>
  <c r="M110" i="2" s="1"/>
  <c r="M111" i="2" s="1"/>
  <c r="M112" i="2" s="1"/>
  <c r="M113" i="2" s="1"/>
  <c r="M114" i="2" s="1"/>
  <c r="M115" i="2" s="1"/>
  <c r="M116" i="2" s="1"/>
  <c r="M117" i="2" s="1"/>
  <c r="M118" i="2" s="1"/>
  <c r="L102" i="2"/>
  <c r="L103" i="2" s="1"/>
  <c r="L104" i="2" s="1"/>
  <c r="L105" i="2" s="1"/>
  <c r="L106" i="2" s="1"/>
  <c r="L107" i="2" s="1"/>
  <c r="L108" i="2" s="1"/>
  <c r="L109" i="2" s="1"/>
  <c r="L110" i="2" s="1"/>
  <c r="L111" i="2" s="1"/>
  <c r="L112" i="2" s="1"/>
  <c r="L113" i="2" s="1"/>
  <c r="L114" i="2" s="1"/>
  <c r="L115" i="2" s="1"/>
  <c r="L116" i="2" s="1"/>
  <c r="L117" i="2" s="1"/>
  <c r="L118" i="2" s="1"/>
  <c r="E84"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L52" i="2"/>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F16" i="9"/>
  <c r="J15" i="9"/>
  <c r="G15" i="9"/>
  <c r="K15" i="9"/>
  <c r="I15" i="9"/>
  <c r="E16" i="9"/>
  <c r="D16" i="9" s="1"/>
  <c r="B15" i="9"/>
  <c r="C15" i="9" s="1"/>
  <c r="N50" i="2"/>
  <c r="C49" i="2"/>
  <c r="H189" i="2"/>
  <c r="C188" i="2" s="1"/>
  <c r="B52" i="2"/>
  <c r="I52" i="2"/>
  <c r="J53" i="2"/>
  <c r="M53" i="2" s="1"/>
  <c r="I85" i="2"/>
  <c r="D84" i="2" s="1"/>
  <c r="E85" i="2"/>
  <c r="B85" i="2"/>
  <c r="H135" i="2"/>
  <c r="B136" i="2"/>
  <c r="I136" i="2"/>
  <c r="J137" i="2"/>
  <c r="B190" i="2"/>
  <c r="J191" i="2"/>
  <c r="I190" i="2"/>
  <c r="J69" i="2"/>
  <c r="I68" i="2"/>
  <c r="B68" i="2"/>
  <c r="H84" i="2"/>
  <c r="C83" i="2" s="1"/>
  <c r="H153" i="2"/>
  <c r="C152" i="2" s="1"/>
  <c r="B172" i="2"/>
  <c r="J173" i="2"/>
  <c r="I172" i="2"/>
  <c r="D171" i="2" s="1"/>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H15" i="9" l="1"/>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E68" i="2"/>
  <c r="M70" i="2"/>
  <c r="M71" i="2" s="1"/>
  <c r="M72" i="2" s="1"/>
  <c r="M73" i="2" s="1"/>
  <c r="M74" i="2" s="1"/>
  <c r="M75" i="2" s="1"/>
  <c r="M76" i="2" s="1"/>
  <c r="M77" i="2" s="1"/>
  <c r="M78" i="2" s="1"/>
  <c r="M79" i="2" s="1"/>
  <c r="M80" i="2" s="1"/>
  <c r="M81" i="2" s="1"/>
  <c r="M82" i="2" s="1"/>
  <c r="M83" i="2" s="1"/>
  <c r="M84" i="2" s="1"/>
  <c r="M85" i="2" s="1"/>
  <c r="L70" i="2"/>
  <c r="L71" i="2" s="1"/>
  <c r="L72" i="2" s="1"/>
  <c r="L73" i="2" s="1"/>
  <c r="L74" i="2" s="1"/>
  <c r="L75" i="2" s="1"/>
  <c r="L76" i="2" s="1"/>
  <c r="L77" i="2" s="1"/>
  <c r="L78" i="2" s="1"/>
  <c r="L79" i="2" s="1"/>
  <c r="L80" i="2" s="1"/>
  <c r="L81" i="2" s="1"/>
  <c r="L82" i="2" s="1"/>
  <c r="L83" i="2" s="1"/>
  <c r="L84" i="2" s="1"/>
  <c r="L85" i="2" s="1"/>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L53"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L119" i="2"/>
  <c r="E172"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M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L3" i="7"/>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4" i="7"/>
  <c r="M2"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C189" i="2" s="1"/>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H191" i="2"/>
  <c r="C191" i="2" s="1"/>
  <c r="D191" i="2"/>
  <c r="D172" i="2"/>
  <c r="C67" i="2"/>
  <c r="O4" i="3" a="1"/>
  <c r="O4" i="3" s="1"/>
  <c r="C135" i="2"/>
  <c r="E15" i="15"/>
  <c r="O52" i="2"/>
  <c r="O53" i="2" l="1"/>
  <c r="O54" i="2" s="1"/>
  <c r="O55" i="2" s="1"/>
  <c r="O56" i="2" s="1"/>
  <c r="O57" i="2" s="1"/>
  <c r="O58" i="2" s="1"/>
  <c r="O59" i="2" s="1"/>
  <c r="O60" i="2" s="1"/>
  <c r="O61" i="2" s="1"/>
  <c r="O62" i="2" s="1"/>
  <c r="O63" i="2" s="1"/>
  <c r="O64" i="2" s="1"/>
  <c r="O65" i="2" s="1"/>
  <c r="O66" i="2" s="1"/>
  <c r="O67" i="2" s="1"/>
  <c r="O68" i="2" s="1"/>
  <c r="C52" i="2"/>
  <c r="M126" i="2"/>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l="1"/>
  <c r="X2" i="7" s="1"/>
  <c r="F28" i="9"/>
  <c r="J27" i="9"/>
  <c r="I27" i="9"/>
  <c r="K27" i="9"/>
  <c r="G27" i="9"/>
  <c r="E28" i="9"/>
  <c r="D28" i="9" s="1"/>
  <c r="B27" i="9"/>
  <c r="C27" i="9" s="1"/>
  <c r="W4"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l="1"/>
  <c r="G91" i="9"/>
  <c r="J91" i="9"/>
  <c r="E92" i="9"/>
  <c r="D92" i="9" s="1"/>
  <c r="F92" i="9"/>
  <c r="K91" i="9"/>
  <c r="I91" i="9"/>
  <c r="B91" i="9"/>
  <c r="C91" i="9" s="1"/>
  <c r="H91" i="9" l="1"/>
  <c r="G92" i="9"/>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l="1"/>
  <c r="G104" i="9"/>
  <c r="F105" i="9"/>
  <c r="J104" i="9"/>
  <c r="E105" i="9"/>
  <c r="D105" i="9" s="1"/>
  <c r="I104" i="9"/>
  <c r="K104" i="9"/>
  <c r="B104" i="9"/>
  <c r="C104" i="9" s="1"/>
  <c r="H104" i="9" s="1"/>
  <c r="G105" i="9" l="1"/>
  <c r="E106" i="9"/>
  <c r="D106" i="9" s="1"/>
  <c r="J105" i="9"/>
  <c r="F106" i="9"/>
  <c r="K105" i="9"/>
  <c r="I105" i="9"/>
  <c r="B105" i="9"/>
  <c r="C105" i="9" s="1"/>
  <c r="H105" i="9" l="1"/>
  <c r="G106" i="9"/>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l="1"/>
  <c r="G112" i="9"/>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l="1"/>
  <c r="G148" i="9"/>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l="1"/>
  <c r="G174" i="9"/>
  <c r="F175" i="9"/>
  <c r="J174" i="9"/>
  <c r="I174" i="9"/>
  <c r="E175" i="9"/>
  <c r="D175" i="9" s="1"/>
  <c r="K174" i="9"/>
  <c r="B174" i="9"/>
  <c r="C174" i="9" s="1"/>
  <c r="H174" i="9" l="1"/>
  <c r="G175" i="9"/>
  <c r="E176" i="9"/>
  <c r="D176" i="9" s="1"/>
  <c r="I175" i="9"/>
  <c r="J175" i="9"/>
  <c r="F176" i="9"/>
  <c r="K175" i="9"/>
  <c r="B175" i="9"/>
  <c r="C175" i="9" s="1"/>
  <c r="H175" i="9" l="1"/>
  <c r="E177" i="9"/>
  <c r="D177" i="9" s="1"/>
  <c r="I176" i="9"/>
  <c r="K176" i="9"/>
  <c r="G176" i="9"/>
  <c r="F177" i="9"/>
  <c r="J176" i="9"/>
  <c r="B176" i="9"/>
  <c r="C176" i="9" s="1"/>
  <c r="H176" i="9" l="1"/>
  <c r="F178" i="9"/>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l="1"/>
  <c r="F194" i="9"/>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l="1"/>
  <c r="E213" i="9"/>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l="1"/>
  <c r="K226" i="9"/>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l="1"/>
  <c r="F250" i="9"/>
  <c r="J249" i="9"/>
  <c r="I249" i="9"/>
  <c r="E250" i="9"/>
  <c r="D250" i="9" s="1"/>
  <c r="G249" i="9"/>
  <c r="K249" i="9"/>
  <c r="B249" i="9"/>
  <c r="C249" i="9" s="1"/>
  <c r="H249" i="9" s="1"/>
  <c r="K250" i="9" l="1"/>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l="1"/>
  <c r="F254" i="9"/>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l="1"/>
  <c r="G287" i="9"/>
  <c r="E288" i="9"/>
  <c r="D288" i="9" s="1"/>
  <c r="F288" i="9"/>
  <c r="J287" i="9"/>
  <c r="I287" i="9"/>
  <c r="K287" i="9"/>
  <c r="B287" i="9"/>
  <c r="C287" i="9" s="1"/>
  <c r="H287" i="9" l="1"/>
  <c r="E289" i="9"/>
  <c r="D289" i="9" s="1"/>
  <c r="I288" i="9"/>
  <c r="K288" i="9"/>
  <c r="F289" i="9"/>
  <c r="J288" i="9"/>
  <c r="G288" i="9"/>
  <c r="B288" i="9"/>
  <c r="C288" i="9" s="1"/>
  <c r="H288" i="9" l="1"/>
  <c r="F290" i="9"/>
  <c r="J289" i="9"/>
  <c r="I289" i="9"/>
  <c r="E290" i="9"/>
  <c r="D290" i="9" s="1"/>
  <c r="K289" i="9"/>
  <c r="G289" i="9"/>
  <c r="B289" i="9"/>
  <c r="C289" i="9" s="1"/>
  <c r="H289" i="9" l="1"/>
  <c r="K290" i="9"/>
  <c r="E291" i="9"/>
  <c r="D291" i="9" s="1"/>
  <c r="G290" i="9"/>
  <c r="F291" i="9"/>
  <c r="J290" i="9"/>
  <c r="I290" i="9"/>
  <c r="B290" i="9"/>
  <c r="C290" i="9" s="1"/>
  <c r="H290" i="9" l="1"/>
  <c r="G291" i="9"/>
  <c r="K291" i="9"/>
  <c r="F292" i="9"/>
  <c r="J291" i="9"/>
  <c r="I291" i="9"/>
  <c r="E292" i="9"/>
  <c r="D292" i="9" s="1"/>
  <c r="B291" i="9"/>
  <c r="C291" i="9" s="1"/>
  <c r="H291" i="9" l="1"/>
  <c r="E293" i="9"/>
  <c r="D293" i="9" s="1"/>
  <c r="I292" i="9"/>
  <c r="J292" i="9"/>
  <c r="F293" i="9"/>
  <c r="K292" i="9"/>
  <c r="G292" i="9"/>
  <c r="B292" i="9"/>
  <c r="C292" i="9" s="1"/>
  <c r="H292" i="9" l="1"/>
  <c r="F294" i="9"/>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l="1"/>
  <c r="G303" i="9"/>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l="1"/>
  <c r="K306" i="9"/>
  <c r="E307" i="9"/>
  <c r="D307" i="9" s="1"/>
  <c r="G306" i="9"/>
  <c r="I306" i="9"/>
  <c r="J306" i="9"/>
  <c r="F307" i="9"/>
  <c r="B306" i="9"/>
  <c r="C306" i="9" s="1"/>
  <c r="H306" i="9" l="1"/>
  <c r="G307" i="9"/>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l="1"/>
  <c r="E316" i="9"/>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l="1"/>
  <c r="E324" i="9"/>
  <c r="D324" i="9" s="1"/>
  <c r="I323" i="9"/>
  <c r="K323" i="9"/>
  <c r="G323" i="9"/>
  <c r="J323" i="9"/>
  <c r="F324" i="9"/>
  <c r="B323" i="9"/>
  <c r="C323" i="9" s="1"/>
  <c r="H323" i="9" l="1"/>
  <c r="F325" i="9"/>
  <c r="J324" i="9"/>
  <c r="I324" i="9"/>
  <c r="G324" i="9"/>
  <c r="K324" i="9"/>
  <c r="E325" i="9"/>
  <c r="D325" i="9" s="1"/>
  <c r="B324" i="9"/>
  <c r="C324" i="9" s="1"/>
  <c r="H324" i="9" l="1"/>
  <c r="K325" i="9"/>
  <c r="E326" i="9"/>
  <c r="D326" i="9" s="1"/>
  <c r="G325" i="9"/>
  <c r="I325" i="9"/>
  <c r="F326" i="9"/>
  <c r="J325" i="9"/>
  <c r="B325" i="9"/>
  <c r="C325" i="9" s="1"/>
  <c r="H325" i="9" l="1"/>
  <c r="G326" i="9"/>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l="1"/>
  <c r="K333" i="9"/>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l="1"/>
  <c r="F337" i="9"/>
  <c r="J336" i="9"/>
  <c r="K336" i="9"/>
  <c r="I336" i="9"/>
  <c r="E337" i="9"/>
  <c r="D337" i="9" s="1"/>
  <c r="G336" i="9"/>
  <c r="B336" i="9"/>
  <c r="C336" i="9" s="1"/>
  <c r="H336" i="9" l="1"/>
  <c r="K337" i="9"/>
  <c r="F338" i="9"/>
  <c r="I337" i="9"/>
  <c r="J337" i="9"/>
  <c r="E338" i="9"/>
  <c r="D338" i="9" s="1"/>
  <c r="G337" i="9"/>
  <c r="B337" i="9"/>
  <c r="C337" i="9" s="1"/>
  <c r="H337" i="9" l="1"/>
  <c r="G338" i="9"/>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l="1"/>
  <c r="E356" i="9"/>
  <c r="D356" i="9" s="1"/>
  <c r="I355" i="9"/>
  <c r="K355" i="9"/>
  <c r="J355" i="9"/>
  <c r="F356" i="9"/>
  <c r="G355" i="9"/>
  <c r="B355" i="9"/>
  <c r="C355" i="9" s="1"/>
  <c r="H355" i="9" l="1"/>
  <c r="F357" i="9"/>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l="1"/>
  <c r="E360" i="9"/>
  <c r="D360" i="9" s="1"/>
  <c r="I359" i="9"/>
  <c r="J359" i="9"/>
  <c r="K359" i="9"/>
  <c r="F360" i="9"/>
  <c r="G359" i="9"/>
  <c r="B359" i="9"/>
  <c r="C359" i="9" s="1"/>
  <c r="H359" i="9" l="1"/>
  <c r="F361" i="9"/>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l="1"/>
  <c r="K369" i="9"/>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s="1"/>
  <c r="F373" i="9" l="1"/>
  <c r="J372" i="9"/>
  <c r="I372" i="9"/>
  <c r="E373" i="9"/>
  <c r="D373" i="9" s="1"/>
  <c r="K372" i="9"/>
  <c r="G372" i="9"/>
  <c r="B372" i="9"/>
  <c r="C372" i="9" s="1"/>
  <c r="H372" i="9" l="1"/>
  <c r="K373" i="9"/>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l="1"/>
  <c r="F377" i="9"/>
  <c r="J376" i="9"/>
  <c r="E377" i="9"/>
  <c r="D377" i="9" s="1"/>
  <c r="G376" i="9"/>
  <c r="K376" i="9"/>
  <c r="I376" i="9"/>
  <c r="B376" i="9"/>
  <c r="C376" i="9" s="1"/>
  <c r="H376" i="9" l="1"/>
  <c r="K377" i="9"/>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l="1"/>
  <c r="K381" i="9"/>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l="1"/>
  <c r="E388" i="9"/>
  <c r="D388" i="9" s="1"/>
  <c r="I387" i="9"/>
  <c r="K387" i="9"/>
  <c r="G387" i="9"/>
  <c r="F388" i="9"/>
  <c r="J387" i="9"/>
  <c r="B387" i="9"/>
  <c r="C387" i="9" s="1"/>
  <c r="H387" i="9" l="1"/>
  <c r="F389" i="9"/>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l="1"/>
  <c r="F393" i="9"/>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l="1"/>
  <c r="K397" i="9"/>
  <c r="J397" i="9"/>
  <c r="I397" i="9"/>
  <c r="F398" i="9"/>
  <c r="E398" i="9"/>
  <c r="D398" i="9" s="1"/>
  <c r="G397" i="9"/>
  <c r="B397" i="9"/>
  <c r="C397" i="9" s="1"/>
  <c r="H397" i="9" l="1"/>
  <c r="G398" i="9"/>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l="1"/>
  <c r="K401" i="9"/>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l="1"/>
  <c r="F409" i="9"/>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l="1"/>
  <c r="G418" i="9"/>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l="1"/>
  <c r="K433" i="9"/>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l="1"/>
  <c r="F437" i="9"/>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l="1"/>
  <c r="F465" i="9"/>
  <c r="J464" i="9"/>
  <c r="K464" i="9"/>
  <c r="I464" i="9"/>
  <c r="E465" i="9"/>
  <c r="D465" i="9" s="1"/>
  <c r="G464" i="9"/>
  <c r="B464" i="9"/>
  <c r="C464" i="9" s="1"/>
  <c r="H464" i="9" l="1"/>
  <c r="K465" i="9"/>
  <c r="F466" i="9"/>
  <c r="I465" i="9"/>
  <c r="J465" i="9"/>
  <c r="E466" i="9"/>
  <c r="D466" i="9" s="1"/>
  <c r="G465" i="9"/>
  <c r="B465" i="9"/>
  <c r="C465" i="9" s="1"/>
  <c r="H465" i="9" l="1"/>
  <c r="G466" i="9"/>
  <c r="E467" i="9"/>
  <c r="D467" i="9" s="1"/>
  <c r="J466" i="9"/>
  <c r="F467" i="9"/>
  <c r="K466" i="9"/>
  <c r="I466" i="9"/>
  <c r="B466" i="9"/>
  <c r="C466" i="9" s="1"/>
  <c r="H466" i="9" l="1"/>
  <c r="E468" i="9"/>
  <c r="D468" i="9" s="1"/>
  <c r="I467" i="9"/>
  <c r="K467" i="9"/>
  <c r="J467" i="9"/>
  <c r="F468" i="9"/>
  <c r="G467" i="9"/>
  <c r="B467" i="9"/>
  <c r="C467" i="9" s="1"/>
  <c r="H467" i="9" l="1"/>
  <c r="F469" i="9"/>
  <c r="J468" i="9"/>
  <c r="I468" i="9"/>
  <c r="K468" i="9"/>
  <c r="E469" i="9"/>
  <c r="D469" i="9" s="1"/>
  <c r="G468" i="9"/>
  <c r="B468" i="9"/>
  <c r="C468" i="9" s="1"/>
  <c r="H468" i="9" l="1"/>
  <c r="K469" i="9"/>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l="1"/>
  <c r="K473" i="9"/>
  <c r="J473" i="9"/>
  <c r="F474" i="9"/>
  <c r="G473" i="9"/>
  <c r="E474" i="9"/>
  <c r="D474" i="9" s="1"/>
  <c r="I473" i="9"/>
  <c r="B473" i="9"/>
  <c r="C473" i="9" s="1"/>
  <c r="H473" i="9" l="1"/>
  <c r="G474" i="9"/>
  <c r="J474" i="9"/>
  <c r="K474" i="9"/>
  <c r="F475" i="9"/>
  <c r="E475" i="9"/>
  <c r="D475" i="9" s="1"/>
  <c r="I474" i="9"/>
  <c r="B474" i="9"/>
  <c r="C474" i="9" s="1"/>
  <c r="H474" i="9" l="1"/>
  <c r="E476" i="9"/>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l="1"/>
  <c r="K481" i="9"/>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l="1"/>
  <c r="K485" i="9"/>
  <c r="E486" i="9"/>
  <c r="D486" i="9" s="1"/>
  <c r="G485" i="9"/>
  <c r="I485" i="9"/>
  <c r="F486" i="9"/>
  <c r="J485" i="9"/>
  <c r="B485" i="9"/>
  <c r="C485" i="9" s="1"/>
  <c r="H485" i="9" s="1"/>
  <c r="G486" i="9" l="1"/>
  <c r="K486" i="9"/>
  <c r="E487" i="9"/>
  <c r="D487" i="9" s="1"/>
  <c r="I486" i="9"/>
  <c r="F487" i="9"/>
  <c r="J486" i="9"/>
  <c r="B486" i="9"/>
  <c r="C486" i="9" s="1"/>
  <c r="H486" i="9" l="1"/>
  <c r="E488" i="9"/>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3" i="9"/>
  <c r="H494" i="9" l="1"/>
  <c r="E496" i="9"/>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l="1"/>
  <c r="G498" i="9"/>
  <c r="E499" i="9"/>
  <c r="D499" i="9" s="1"/>
  <c r="F499" i="9"/>
  <c r="J498" i="9"/>
  <c r="I498" i="9"/>
  <c r="K498" i="9"/>
  <c r="B498" i="9"/>
  <c r="C498" i="9" s="1"/>
  <c r="H498" i="9" l="1"/>
  <c r="E500" i="9"/>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<sst xmlns="http://schemas.openxmlformats.org/spreadsheetml/2006/main" count="5893" uniqueCount="1103">
  <si>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</si>
  <si>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</si>
  <si>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</si>
  <si>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</si>
  <si>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</si>
  <si>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</si>
  <si>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</si>
  <si>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</si>
  <si>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</si>
  <si>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</si>
  <si>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</si>
  <si>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</si>
  <si>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</si>
  <si>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</si>
  <si>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</si>
  <si>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</si>
  <si>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</si>
  <si>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</si>
  <si>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</si>
  <si>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</si>
  <si>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</si>
  <si>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</si>
  <si>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</si>
  <si>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</si>
  <si>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</si>
  <si>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</si>
  <si>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</si>
  <si>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</si>
  <si>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</si>
  <si>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</si>
  <si>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</si>
  <si>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</si>
  <si>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</si>
  <si>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</si>
  <si>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</si>
  <si>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</si>
  <si>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</si>
  <si>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</si>
  <si>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</si>
  <si>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</si>
  <si>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</si>
  <si>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</si>
  <si>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</si>
  <si>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</si>
  <si>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</si>
  <si>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</si>
  <si>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</si>
  <si>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</si>
  <si>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</si>
  <si>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</si>
  <si>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</si>
  <si>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</si>
  <si>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</si>
  <si>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</si>
  <si>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</si>
  <si>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</si>
  <si>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</si>
  <si>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</si>
  <si>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</si>
  <si>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</si>
  <si>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</si>
  <si>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</si>
  <si>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</si>
  <si>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</si>
  <si>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</si>
  <si>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</si>
  <si>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</si>
  <si>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</si>
  <si>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</si>
  <si>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</si>
  <si>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</si>
  <si>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</si>
  <si>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</si>
  <si>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</si>
  <si>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</si>
  <si>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</si>
  <si>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</si>
  <si>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</si>
  <si>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</si>
  <si>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</si>
  <si>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</si>
  <si>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</si>
  <si>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</si>
  <si>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</si>
  <si>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</si>
  <si>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</si>
  <si>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</si>
  <si>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</si>
  <si>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</si>
  <si>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</si>
  <si>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</si>
  <si>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</si>
  <si>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</si>
  <si>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</si>
  <si>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</si>
  <si>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</si>
  <si>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</si>
  <si>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</si>
  <si>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</si>
  <si>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</si>
  <si>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</si>
  <si>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</si>
  <si>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</si>
  <si>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</si>
  <si>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</si>
  <si>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</si>
  <si>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</si>
  <si>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</si>
  <si>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</si>
  <si>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</si>
  <si>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</si>
  <si>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</si>
  <si>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</si>
  <si>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</si>
  <si>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</si>
  <si>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</si>
  <si>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</si>
  <si>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</si>
  <si>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</si>
  <si>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</si>
  <si>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</si>
  <si>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</si>
  <si>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</si>
  <si>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</si>
  <si>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</si>
  <si>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</si>
  <si>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</si>
  <si>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</si>
  <si>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</si>
  <si>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</si>
  <si>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</si>
  <si>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</si>
  <si>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</si>
  <si>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</si>
  <si>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</si>
  <si>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</si>
  <si>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</si>
  <si>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</si>
  <si>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</si>
  <si>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</si>
  <si>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</si>
  <si>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</si>
  <si>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</si>
  <si>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</si>
  <si>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</si>
  <si>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</si>
  <si>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</si>
  <si>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</si>
  <si>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</si>
  <si>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</si>
  <si>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</si>
  <si>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</si>
  <si>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</si>
  <si>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</si>
  <si>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</si>
  <si>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</si>
  <si>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</si>
  <si>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</si>
  <si>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</si>
  <si>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</si>
  <si>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</si>
  <si>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</si>
  <si>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</si>
  <si>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</si>
  <si>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</si>
  <si>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</si>
  <si>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</si>
  <si>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</si>
  <si>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</si>
  <si>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</si>
  <si>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</si>
  <si>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</si>
  <si>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</si>
  <si>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</si>
  <si>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</si>
  <si>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</si>
  <si>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</si>
  <si>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</si>
  <si>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</si>
  <si>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</si>
  <si>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</si>
  <si>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</si>
  <si>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</si>
  <si>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</si>
  <si>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</si>
  <si>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</si>
  <si>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</si>
  <si>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</si>
  <si>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</si>
  <si>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</si>
  <si>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</si>
  <si>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</si>
  <si>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</si>
  <si>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</si>
  <si>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</si>
  <si>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</si>
  <si>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</si>
  <si>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</si>
  <si>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</si>
  <si>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</si>
  <si>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</si>
  <si>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</si>
  <si>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</si>
  <si>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</si>
  <si>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</si>
  <si>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</si>
  <si>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</si>
  <si>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</si>
  <si>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</si>
  <si>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</si>
  <si>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</si>
  <si>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</si>
  <si>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</si>
  <si>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</si>
  <si>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</si>
  <si>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</si>
  <si>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</si>
  <si>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</si>
  <si>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</si>
  <si>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</si>
  <si>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</si>
  <si>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</si>
  <si>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</si>
  <si>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</si>
  <si>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</si>
  <si>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</si>
  <si>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</si>
  <si>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</si>
  <si>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</si>
  <si>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</si>
  <si>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</si>
  <si>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</si>
  <si>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</si>
  <si>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</si>
  <si>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</si>
  <si>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</si>
  <si>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</si>
  <si>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</si>
  <si>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</si>
  <si>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</si>
  <si>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</si>
  <si>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</si>
  <si>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</si>
  <si>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</si>
  <si>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</si>
  <si>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</si>
  <si>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</si>
  <si>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</si>
  <si>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</si>
  <si>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</si>
  <si>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</si>
  <si>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</si>
  <si>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</si>
  <si>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</si>
  <si>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</si>
  <si>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</si>
  <si>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</si>
  <si>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</si>
  <si>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</si>
  <si>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</si>
  <si>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</si>
  <si>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</si>
  <si>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</si>
  <si>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</si>
  <si>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</si>
  <si>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</si>
  <si>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</si>
  <si>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</si>
  <si>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</si>
  <si>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</si>
  <si>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</si>
  <si>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</si>
  <si>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</si>
  <si>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</si>
  <si>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</si>
  <si>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</si>
  <si>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</si>
  <si>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</si>
  <si>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</si>
  <si>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</si>
  <si>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</si>
  <si>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</si>
  <si>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</si>
  <si>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</si>
  <si>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</si>
  <si>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</si>
  <si>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</si>
  <si>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</si>
  <si>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</si>
  <si>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</si>
  <si>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</si>
  <si>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</si>
  <si>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</si>
  <si>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</si>
  <si>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</si>
  <si>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</si>
  <si>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</si>
  <si>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</si>
  <si>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</si>
  <si>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</si>
  <si>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</si>
  <si>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</si>
  <si>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</si>
  <si>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</si>
  <si>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</si>
  <si>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</si>
  <si>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</si>
  <si>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</si>
  <si>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</si>
  <si>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</si>
  <si>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</si>
  <si>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</si>
  <si>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</si>
  <si>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</si>
  <si>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</si>
  <si>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</si>
  <si>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</si>
  <si>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</si>
  <si>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</si>
  <si>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</si>
  <si>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</si>
  <si>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</si>
  <si>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</si>
  <si>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</si>
  <si>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</si>
  <si>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</si>
  <si>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</si>
  <si>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</si>
  <si>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</si>
  <si>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</si>
  <si>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</si>
  <si>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</si>
  <si>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</si>
  <si>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</si>
  <si>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</si>
  <si>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</si>
  <si>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</si>
  <si>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</si>
  <si>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</si>
  <si>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</si>
  <si>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</si>
  <si>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</si>
  <si>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</si>
  <si>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</si>
  <si>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</si>
  <si>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</si>
  <si>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</si>
  <si>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</si>
  <si>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</si>
  <si>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</si>
  <si>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</si>
  <si>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</si>
  <si>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</si>
  <si>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</si>
  <si>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</si>
  <si>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</si>
  <si>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</si>
  <si>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</si>
  <si>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</si>
  <si>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</si>
  <si>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</si>
  <si>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</si>
  <si>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</si>
  <si>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</si>
  <si>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</si>
  <si>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</si>
  <si>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</si>
  <si>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</si>
  <si>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</si>
  <si>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</si>
  <si>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</si>
  <si>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</si>
  <si>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</si>
  <si>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</si>
  <si>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</si>
  <si>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</si>
  <si>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</si>
  <si>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</si>
  <si>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</si>
  <si>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</si>
  <si>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</si>
  <si>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</si>
  <si>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</si>
  <si>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</si>
  <si>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</si>
  <si>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</si>
  <si>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</si>
  <si>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</si>
  <si>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</si>
  <si>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</si>
  <si>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</si>
  <si>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</si>
  <si>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</si>
  <si>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</si>
  <si>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</si>
  <si>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</si>
  <si>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</si>
  <si>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</si>
  <si>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</si>
  <si>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</si>
  <si>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</si>
  <si>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</si>
  <si>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</si>
  <si>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</si>
  <si>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</si>
  <si>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</si>
  <si>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</si>
  <si>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</si>
  <si>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</si>
  <si>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</si>
  <si>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</si>
  <si>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</si>
  <si>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</si>
  <si>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</si>
  <si>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</si>
  <si>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</si>
  <si>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</si>
  <si>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</si>
  <si>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</si>
  <si>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</si>
  <si>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</si>
  <si>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</si>
  <si>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</si>
  <si>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</si>
  <si>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</si>
  <si>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</si>
  <si>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</si>
  <si>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</si>
  <si>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</si>
  <si>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</si>
  <si>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</si>
  <si>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</si>
  <si>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</si>
  <si>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</si>
  <si>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</si>
  <si>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</si>
  <si>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</si>
  <si>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</si>
  <si>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</si>
  <si>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</si>
  <si>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</si>
  <si>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</si>
  <si>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</si>
  <si>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</si>
  <si>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</si>
  <si>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</si>
  <si>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</si>
  <si>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</si>
  <si>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</si>
  <si>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</si>
  <si>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</si>
  <si>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</si>
  <si>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</si>
  <si>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</si>
  <si>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</si>
  <si>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</si>
  <si>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</si>
  <si>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</si>
  <si>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</si>
  <si>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</si>
  <si>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</si>
  <si>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</si>
  <si>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</si>
  <si>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</si>
  <si>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</si>
  <si>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</si>
  <si>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</si>
  <si>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</si>
  <si>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</si>
  <si>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</si>
  <si>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</si>
  <si>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</si>
  <si>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</si>
  <si>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</si>
  <si>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</si>
  <si>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</si>
  <si>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</si>
  <si>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</si>
  <si>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</si>
  <si>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</si>
  <si>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</si>
  <si>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</si>
  <si>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</si>
  <si>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</si>
  <si>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</si>
  <si>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</si>
  <si>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</si>
  <si>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</si>
  <si>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</si>
  <si>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</si>
  <si>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</si>
  <si>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</si>
  <si>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</si>
  <si>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</si>
  <si>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</si>
  <si>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</si>
  <si>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</si>
  <si>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</si>
  <si>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</si>
  <si>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</si>
  <si>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</si>
  <si>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</si>
  <si>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</si>
  <si>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</si>
  <si>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</si>
  <si>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</si>
  <si>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</si>
  <si>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</si>
  <si>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</si>
  <si>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</si>
  <si>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</si>
  <si>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</si>
  <si>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</si>
  <si>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</si>
  <si>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</si>
  <si>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</si>
  <si>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</si>
  <si>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</si>
  <si>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</si>
  <si>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</si>
  <si>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</si>
  <si>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</si>
  <si>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</si>
  <si>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</si>
  <si>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</si>
  <si>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</si>
  <si>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</si>
  <si>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</si>
  <si>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</si>
  <si>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</si>
  <si>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</si>
  <si>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</si>
  <si>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</si>
  <si>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</si>
  <si>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</si>
  <si>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</si>
  <si>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</si>
  <si>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</si>
  <si>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</si>
  <si>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</si>
  <si>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</si>
  <si>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</si>
  <si>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</si>
  <si>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</si>
  <si>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</si>
  <si>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</si>
  <si>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</si>
  <si>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</si>
  <si>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</si>
  <si>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</si>
  <si>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</si>
  <si>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</si>
  <si>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</si>
  <si>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</si>
  <si>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</si>
  <si>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</si>
  <si>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</si>
  <si>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</si>
  <si>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</si>
  <si>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</si>
  <si>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</si>
  <si>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</si>
  <si>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</si>
  <si>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</si>
  <si>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</si>
  <si>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</si>
  <si>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</si>
  <si>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</si>
  <si>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</si>
  <si>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</si>
  <si>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</si>
  <si>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</si>
  <si>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</si>
  <si>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</si>
  <si>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</si>
  <si>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</si>
  <si>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</si>
  <si>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</si>
  <si>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</si>
  <si>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</si>
  <si>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</si>
  <si>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</si>
  <si>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</si>
  <si>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</si>
  <si>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</si>
  <si>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</si>
  <si>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</si>
  <si>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</si>
  <si>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</si>
  <si>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</si>
  <si>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</si>
  <si>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</si>
  <si>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</si>
  <si>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</si>
  <si>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</si>
  <si>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</si>
  <si>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</si>
  <si>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</si>
  <si>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</si>
  <si>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</si>
  <si>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</si>
  <si>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</si>
  <si>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</si>
  <si>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</si>
  <si>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</si>
  <si>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</si>
  <si>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</si>
  <si>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</si>
  <si>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</si>
  <si>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</si>
  <si>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</si>
  <si>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</si>
  <si>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</si>
  <si>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</si>
  <si>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</si>
  <si>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</si>
  <si>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</si>
  <si>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</si>
  <si>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</si>
  <si>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</si>
  <si>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</si>
  <si>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</si>
  <si>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</si>
  <si>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</si>
  <si>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</si>
  <si>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</si>
  <si>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</si>
  <si>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</si>
  <si>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</si>
  <si>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</si>
  <si>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</si>
  <si>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</si>
  <si>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</si>
  <si>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</si>
  <si>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</si>
  <si>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</si>
  <si>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</si>
  <si>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</si>
  <si>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</si>
  <si>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</si>
  <si>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</si>
  <si>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</si>
  <si>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</si>
  <si>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</si>
  <si>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</si>
  <si>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</si>
  <si>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</si>
  <si>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</si>
  <si>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</si>
  <si>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</si>
  <si>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</si>
  <si>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</si>
  <si>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</si>
  <si>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</si>
  <si>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</si>
  <si>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</si>
  <si>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</si>
  <si>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</si>
  <si>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</si>
  <si>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</si>
  <si>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</si>
  <si>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</si>
  <si>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</si>
  <si>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</si>
  <si>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</si>
  <si>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</si>
  <si>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</si>
  <si>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</si>
  <si>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</si>
  <si>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</si>
  <si>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</si>
  <si>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</si>
  <si>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</si>
  <si>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</si>
  <si>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</si>
  <si>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</si>
  <si>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</si>
  <si>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</si>
  <si>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</si>
  <si>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</si>
  <si>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</si>
  <si>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</si>
  <si>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</si>
  <si>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</si>
  <si>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</si>
  <si>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</si>
  <si>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</si>
  <si>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</si>
  <si>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</si>
  <si>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</si>
  <si>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</si>
  <si>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</si>
  <si>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</si>
  <si>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</si>
  <si>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</si>
  <si>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</si>
  <si>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</si>
  <si>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</si>
  <si>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</si>
  <si>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</si>
  <si>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</si>
  <si>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</si>
  <si>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</si>
  <si>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</si>
  <si>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</si>
  <si>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</si>
  <si>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</si>
  <si>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</si>
  <si>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</si>
  <si>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</si>
  <si>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</si>
  <si>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</si>
  <si>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</si>
  <si>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</si>
  <si>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</si>
  <si>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</si>
  <si>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</si>
  <si>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</si>
  <si>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</si>
  <si>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</si>
  <si>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</si>
  <si>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</si>
  <si>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</si>
  <si>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</si>
  <si>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</si>
  <si>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</si>
  <si>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</si>
  <si>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</si>
  <si>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</si>
  <si>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</si>
  <si>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</si>
  <si>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</si>
  <si>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</si>
  <si>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</si>
  <si>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</si>
  <si>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</si>
  <si>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</si>
  <si>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</si>
  <si>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</si>
  <si>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</si>
  <si>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</si>
  <si>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</si>
  <si>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</si>
  <si>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</si>
  <si>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</si>
  <si>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</si>
  <si>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</si>
  <si>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</si>
  <si>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</si>
  <si>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</si>
  <si>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</si>
  <si>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</si>
  <si>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</si>
  <si>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</si>
  <si>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</si>
  <si>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</si>
  <si>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</si>
  <si>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</si>
  <si>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</si>
  <si>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</si>
  <si>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</si>
  <si>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</si>
  <si>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</si>
  <si>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</si>
  <si>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</si>
  <si>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</si>
  <si>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</si>
  <si>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</si>
  <si>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</si>
  <si>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</si>
  <si>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</si>
  <si>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</si>
  <si>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</si>
  <si>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</si>
  <si>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</si>
  <si>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</si>
  <si>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</si>
  <si>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</si>
  <si>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</si>
  <si>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</si>
  <si>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</si>
  <si>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</si>
  <si>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</si>
  <si>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</si>
  <si>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</si>
  <si>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</si>
  <si>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</si>
  <si>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</si>
  <si>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</si>
  <si>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</si>
  <si>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</si>
  <si>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</si>
  <si>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</si>
  <si>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</si>
  <si>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</si>
  <si>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</si>
  <si>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</si>
  <si>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</si>
  <si>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</si>
  <si>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</si>
  <si>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</si>
  <si>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</si>
  <si>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</si>
  <si>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</si>
  <si>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</si>
  <si>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</si>
  <si>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</si>
  <si>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</si>
  <si>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</si>
  <si>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</si>
  <si>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</si>
  <si>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</si>
  <si>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</si>
  <si>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</si>
  <si>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</si>
  <si>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</si>
  <si>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</si>
  <si>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</si>
  <si>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</si>
  <si>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</si>
  <si>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</si>
  <si>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</si>
  <si>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</si>
  <si>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</si>
  <si>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</si>
  <si>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</si>
  <si>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</si>
  <si>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</si>
  <si>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</si>
  <si>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</si>
  <si>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</si>
  <si>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</si>
  <si>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</si>
  <si>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</si>
  <si>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</si>
  <si>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</si>
  <si>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</si>
  <si>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</si>
  <si>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</si>
  <si>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</si>
  <si>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</si>
  <si>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</si>
  <si>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</si>
  <si>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</si>
  <si>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</si>
  <si>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</si>
  <si>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</si>
  <si>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</si>
  <si>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</si>
  <si>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</si>
  <si>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</si>
  <si>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</si>
  <si>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</si>
  <si>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</si>
  <si>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</si>
  <si>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</si>
  <si>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</si>
  <si>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</si>
  <si>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</si>
  <si>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</si>
  <si>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</si>
  <si>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</si>
  <si>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</si>
  <si>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</si>
  <si>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</si>
  <si>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</si>
  <si>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</si>
  <si>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</si>
  <si>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</si>
  <si>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</si>
  <si>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</si>
  <si>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</si>
  <si>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</si>
  <si>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</si>
  <si>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</si>
  <si>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</si>
  <si>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</si>
  <si>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</si>
  <si>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</si>
  <si>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</si>
  <si>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</si>
  <si>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</si>
  <si>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</si>
  <si>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</si>
  <si>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</si>
  <si>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</si>
  <si>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</si>
  <si>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</si>
  <si>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</si>
  <si>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</si>
  <si>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</si>
  <si>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</si>
  <si>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</si>
  <si>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</si>
  <si>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</si>
  <si>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</si>
  <si>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</si>
  <si>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</si>
  <si>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</si>
  <si>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</si>
  <si>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</si>
  <si>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</si>
  <si>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</si>
  <si>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</si>
  <si>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</si>
  <si>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</si>
  <si>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</si>
  <si>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</si>
  <si>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</si>
  <si>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</si>
  <si>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</si>
  <si>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</si>
  <si>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</si>
  <si>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</si>
  <si>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</si>
  <si>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</si>
  <si>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</si>
  <si>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</si>
  <si>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</si>
  <si>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</si>
  <si>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</si>
  <si>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</si>
  <si>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</si>
  <si>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</si>
  <si>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</si>
  <si>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</si>
  <si>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</si>
  <si>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</si>
  <si>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</si>
  <si>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</si>
  <si>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</si>
  <si>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</si>
  <si>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</si>
  <si>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</si>
  <si>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</si>
  <si>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</si>
  <si>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</si>
  <si>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</si>
  <si>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</si>
  <si>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</si>
  <si>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</si>
  <si>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</si>
  <si>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</si>
  <si>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</si>
  <si>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</si>
  <si>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</si>
  <si>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</si>
  <si>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</si>
  <si>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</si>
  <si>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</si>
  <si>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</si>
  <si>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</si>
  <si>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</si>
  <si>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</si>
  <si>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</si>
  <si>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</si>
  <si>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</si>
  <si>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</si>
  <si>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</si>
  <si>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</si>
  <si>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</si>
  <si>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</si>
  <si>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</si>
  <si>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</si>
  <si>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</si>
  <si>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</si>
  <si>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</si>
  <si>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</si>
  <si>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</si>
  <si>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</si>
  <si>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</si>
  <si>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</si>
  <si>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</si>
  <si>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</si>
  <si>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</si>
  <si>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</si>
  <si>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</si>
  <si>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</si>
  <si>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</si>
  <si>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</si>
  <si>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</si>
  <si>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</si>
  <si>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</si>
  <si>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</si>
  <si>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</si>
  <si>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</si>
  <si>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</si>
  <si>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</si>
  <si>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</si>
  <si>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</si>
  <si>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</si>
  <si>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</si>
  <si>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</si>
  <si>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</si>
  <si>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</si>
  <si>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</si>
  <si>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</si>
  <si>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</si>
  <si>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</si>
  <si>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</si>
  <si>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</si>
  <si>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</si>
  <si>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</si>
  <si>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</si>
  <si>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</si>
  <si>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</si>
  <si>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</si>
  <si>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</si>
  <si>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</si>
  <si>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</si>
  <si>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</si>
  <si>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</si>
  <si>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</si>
  <si>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</si>
  <si>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</si>
  <si>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</si>
  <si>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</si>
  <si>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</si>
  <si>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</si>
  <si>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</si>
  <si>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</si>
  <si>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</si>
  <si>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</si>
  <si>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</si>
  <si>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</si>
  <si>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</si>
  <si>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</si>
  <si>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</si>
  <si>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</si>
  <si>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</si>
  <si>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</si>
  <si>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</si>
  <si>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</si>
  <si>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</si>
  <si>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</si>
  <si>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</si>
  <si>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</si>
  <si>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</si>
  <si>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</si>
  <si>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</si>
  <si>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</si>
  <si>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</si>
  <si>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</si>
  <si>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</si>
  <si>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</si>
  <si>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</si>
  <si>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</si>
  <si>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</si>
  <si>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</si>
  <si>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</si>
  <si>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</si>
  <si>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</si>
  <si>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</si>
  <si>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</si>
  <si>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</si>
  <si>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</si>
  <si>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</si>
  <si>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</si>
  <si>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</si>
  <si>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</si>
  <si>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</si>
  <si>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</si>
  <si>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</si>
  <si>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</si>
  <si>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</si>
  <si>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</si>
  <si>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</si>
  <si>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</si>
  <si>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</si>
  <si>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</si>
  <si>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</si>
  <si>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</si>
  <si>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</si>
  <si>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</si>
  <si>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</si>
  <si>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</si>
  <si>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</si>
  <si>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</si>
  <si>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</si>
  <si>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</si>
  <si>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</si>
  <si>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</si>
  <si>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</si>
  <si>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</si>
  <si>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</si>
  <si>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</si>
  <si>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</si>
  <si>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</si>
  <si>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</si>
  <si>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</si>
  <si>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</si>
  <si>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</si>
  <si>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</si>
  <si>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</si>
  <si>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</si>
  <si>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</si>
  <si>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</si>
  <si>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</si>
  <si>
    <t>Life Transitions</t>
  </si>
  <si>
    <t>Evergreen Family Counseling</t>
  </si>
  <si>
    <t>CaroleCounseling</t>
  </si>
  <si>
    <t>Beautiful Instant Psychotherapy</t>
  </si>
  <si>
    <t>Camille Marie Coaching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</si>
</sst>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6" fillId="16" borderId="0" xfId="0" applyFont="1" applyFill="1" applyAlignment="1">
      <alignment wrapText="1"/>
    </xf>
    <xf numFmtId="0" fontId="23" fillId="0" borderId="0" xfId="0" applyFont="1" applyFill="1" applyAlignment="1">
      <alignment vertical="center" wrapText="1"/>
    </xf>
    <xf numFmtId="0" fontId="23" fillId="0" borderId="0" xfId="0" applyFont="1" applyFill="1" applyAlignment="1" applyProtection="1">
      <alignment vertical="center" wrapText="1"/>
    </xf>
    <xf numFmtId="0" fontId="26" fillId="16" borderId="0" xfId="0" applyFont="1" applyFill="1" applyAlignment="1" applyProtection="1">
      <alignment wrapText="1"/>
    </xf>
    <xf numFmtId="0" fontId="23" fillId="0" borderId="0" xfId="0" applyFont="1" applyAlignment="1" applyProtection="1">
      <alignment wrapText="1"/>
      <protection locked="0"/>
    </xf>
    <xf numFmtId="0" fontId="30" fillId="15" borderId="0" xfId="0" applyFont="1" applyFill="1" applyAlignment="1" applyProtection="1">
      <alignment wrapText="1"/>
    </xf>
    <xf numFmtId="0" fontId="26" fillId="17" borderId="0" xfId="0" applyFont="1" applyFill="1" applyAlignment="1" applyProtection="1">
      <alignment wrapText="1"/>
      <protection locked="0"/>
    </xf>
    <xf numFmtId="0" fontId="23" fillId="0" borderId="0" xfId="0" applyFont="1" applyFill="1" applyAlignment="1" applyProtection="1">
      <alignment wrapText="1"/>
      <protection locked="0"/>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590689136"/>
        <c:axId val="590666736"/>
      </c:barChart>
      <c:catAx>
        <c:axId val="590689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66736"/>
        <c:crosses val="autoZero"/>
        <c:auto val="1"/>
        <c:lblAlgn val="ctr"/>
        <c:lblOffset val="100"/>
        <c:noMultiLvlLbl val="0"/>
      </c:catAx>
      <c:valAx>
        <c:axId val="5906667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8913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590663936"/>
        <c:axId val="590684096"/>
      </c:barChart>
      <c:catAx>
        <c:axId val="590663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84096"/>
        <c:crosses val="autoZero"/>
        <c:auto val="1"/>
        <c:lblAlgn val="ctr"/>
        <c:lblOffset val="100"/>
        <c:noMultiLvlLbl val="0"/>
      </c:catAx>
      <c:valAx>
        <c:axId val="5906840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6393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590662816"/>
        <c:axId val="590662256"/>
      </c:barChart>
      <c:catAx>
        <c:axId val="59066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90662256"/>
        <c:crosses val="autoZero"/>
        <c:auto val="1"/>
        <c:lblAlgn val="ctr"/>
        <c:lblOffset val="100"/>
        <c:noMultiLvlLbl val="0"/>
      </c:catAx>
      <c:valAx>
        <c:axId val="5906622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6281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590684656"/>
        <c:axId val="590685216"/>
      </c:barChart>
      <c:catAx>
        <c:axId val="590684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85216"/>
        <c:crosses val="autoZero"/>
        <c:auto val="1"/>
        <c:lblAlgn val="ctr"/>
        <c:lblOffset val="100"/>
        <c:noMultiLvlLbl val="0"/>
      </c:catAx>
      <c:valAx>
        <c:axId val="5906852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8465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590676816"/>
        <c:axId val="590677936"/>
      </c:barChart>
      <c:catAx>
        <c:axId val="59067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77936"/>
        <c:crosses val="autoZero"/>
        <c:auto val="1"/>
        <c:lblAlgn val="ctr"/>
        <c:lblOffset val="100"/>
        <c:noMultiLvlLbl val="0"/>
      </c:catAx>
      <c:valAx>
        <c:axId val="5906779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7681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590672896"/>
        <c:axId val="590672336"/>
      </c:barChart>
      <c:catAx>
        <c:axId val="590672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72336"/>
        <c:crosses val="autoZero"/>
        <c:auto val="1"/>
        <c:lblAlgn val="ctr"/>
        <c:lblOffset val="100"/>
        <c:noMultiLvlLbl val="0"/>
      </c:catAx>
      <c:valAx>
        <c:axId val="5906723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7289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590671776"/>
        <c:axId val="590668976"/>
      </c:barChart>
      <c:catAx>
        <c:axId val="590671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90668976"/>
        <c:crosses val="autoZero"/>
        <c:auto val="1"/>
        <c:lblAlgn val="ctr"/>
        <c:lblOffset val="100"/>
        <c:noMultiLvlLbl val="0"/>
      </c:catAx>
      <c:valAx>
        <c:axId val="5906689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67177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59526368"/>
        <c:axId val="659531968"/>
      </c:barChart>
      <c:catAx>
        <c:axId val="659526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59531968"/>
        <c:crosses val="autoZero"/>
        <c:auto val="1"/>
        <c:lblAlgn val="ctr"/>
        <c:lblOffset val="100"/>
        <c:noMultiLvlLbl val="0"/>
      </c:catAx>
      <c:valAx>
        <c:axId val="6595319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952636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59517408"/>
        <c:axId val="659547648"/>
      </c:barChart>
      <c:catAx>
        <c:axId val="65951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59547648"/>
        <c:crosses val="autoZero"/>
        <c:auto val="1"/>
        <c:lblAlgn val="ctr"/>
        <c:lblOffset val="100"/>
        <c:noMultiLvlLbl val="0"/>
      </c:catAx>
      <c:valAx>
        <c:axId val="65954764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951740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59519088"/>
        <c:axId val="659542048"/>
      </c:barChart>
      <c:catAx>
        <c:axId val="659519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59542048"/>
        <c:crosses val="autoZero"/>
        <c:auto val="1"/>
        <c:lblAlgn val="ctr"/>
        <c:lblOffset val="100"/>
        <c:noMultiLvlLbl val="0"/>
      </c:catAx>
      <c:valAx>
        <c:axId val="65954204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95190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42621296"/>
        <c:axId val="642629696"/>
      </c:barChart>
      <c:catAx>
        <c:axId val="64262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42629696"/>
        <c:crosses val="autoZero"/>
        <c:auto val="1"/>
        <c:lblAlgn val="ctr"/>
        <c:lblOffset val="100"/>
        <c:noMultiLvlLbl val="0"/>
      </c:catAx>
      <c:valAx>
        <c:axId val="6426296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62129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42620736"/>
        <c:axId val="642620176"/>
      </c:barChart>
      <c:catAx>
        <c:axId val="642620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42620176"/>
        <c:crosses val="autoZero"/>
        <c:auto val="1"/>
        <c:lblAlgn val="ctr"/>
        <c:lblOffset val="100"/>
        <c:noMultiLvlLbl val="0"/>
      </c:catAx>
      <c:valAx>
        <c:axId val="6426201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62073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9525</xdr:rowOff>
        </xdr:from>
        <xdr:to>
          <xdr:col>3</xdr:col>
          <xdr:colOff>619125</xdr:colOff>
          <xdr:row>19</xdr:row>
          <xdr:rowOff>123825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3</xdr:col>
          <xdr:colOff>609600</xdr:colOff>
          <xdr:row>27</xdr:row>
          <xdr:rowOff>219075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28575</xdr:rowOff>
        </xdr:from>
        <xdr:to>
          <xdr:col>3</xdr:col>
          <xdr:colOff>619125</xdr:colOff>
          <xdr:row>35</xdr:row>
          <xdr:rowOff>133350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28575</xdr:rowOff>
        </xdr:from>
        <xdr:to>
          <xdr:col>3</xdr:col>
          <xdr:colOff>619125</xdr:colOff>
          <xdr:row>43</xdr:row>
          <xdr:rowOff>142875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9525</xdr:rowOff>
        </xdr:from>
        <xdr:to>
          <xdr:col>3</xdr:col>
          <xdr:colOff>619125</xdr:colOff>
          <xdr:row>51</xdr:row>
          <xdr:rowOff>219075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19050</xdr:rowOff>
        </xdr:from>
        <xdr:to>
          <xdr:col>3</xdr:col>
          <xdr:colOff>609600</xdr:colOff>
          <xdr:row>59</xdr:row>
          <xdr:rowOff>219075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9525</xdr:rowOff>
        </xdr:from>
        <xdr:to>
          <xdr:col>3</xdr:col>
          <xdr:colOff>619125</xdr:colOff>
          <xdr:row>67</xdr:row>
          <xdr:rowOff>228600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C4" sqref="C4"/>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17" activePane="bottomRight" state="frozen"/>
      <selection pane="topRight" activeCell="AF1" sqref="AF1"/>
      <selection pane="bottomLeft" activeCell="A17" sqref="A17"/>
      <selection pane="bottomRight" activeCell="AN14" sqref="AN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1090</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1091</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1092</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1093</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1094</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1095</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str">
        <f>J17&amp;"_"&amp;G17</f>
        <v>0_0</v>
      </c>
      <c r="C17" s="23"/>
      <c r="D17" s="23"/>
      <c r="E17" s="23"/>
      <c r="F17" s="82">
        <f>IF(K17=0, IF(ISNUMBER(F15), F15+1, 1), F15)</f>
        <v>1</v>
      </c>
      <c r="G17" s="23">
        <f>IF(K17=0, 0, IF(K17=1, G15+1, G15))</f>
        <v>0</v>
      </c>
      <c r="H17" s="23" t="str">
        <f>IF(OR(I17="FF", I17="CGA"), "FF/CGA", I17)</f>
        <v/>
      </c>
      <c r="I17" s="23" t="str">
        <f>IF(NOT(ISERROR(SEARCH("Family Functioning", J17))), "FF", IF(NOT(ISERROR(SEARCH("Caregiver Advocacy", J17))), "CGA", IF(NOT(ISERROR(SEARCH("Caregiver Functioning", J17))), "CGF", IF(NOT(ISERROR(SEARCH("Child Functioning", J17))), "CF", ""))))</f>
        <v/>
      </c>
      <c r="J17" s="23">
        <f>IFERROR(IF(K17=0, AC17, J15), "")</f>
        <v>0</v>
      </c>
      <c r="K17" s="23">
        <f>Indents(AC17)</f>
        <v>0</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2</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9">IF(H19&lt;&gt;H20, H19, "")</f>
        <v/>
      </c>
      <c r="D19" s="23" t="str">
        <f t="shared" si="1"/>
        <v/>
      </c>
      <c r="E19" s="23" t="str">
        <f t="shared" si="1"/>
        <v/>
      </c>
      <c r="F19" s="82">
        <f t="shared" si="2"/>
        <v>2</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9"/>
        <v/>
      </c>
      <c r="D20" s="23" t="str">
        <f t="shared" si="1"/>
        <v/>
      </c>
      <c r="E20" s="23" t="str">
        <f t="shared" si="1"/>
        <v/>
      </c>
      <c r="F20" s="82">
        <f t="shared" si="2"/>
        <v>2</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9"/>
        <v/>
      </c>
      <c r="D21" s="23" t="str">
        <f t="shared" si="1"/>
        <v/>
      </c>
      <c r="E21" s="23" t="str">
        <f t="shared" si="1"/>
        <v/>
      </c>
      <c r="F21" s="82">
        <f t="shared" si="2"/>
        <v>2</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9"/>
        <v/>
      </c>
      <c r="D22" s="23" t="str">
        <f t="shared" si="1"/>
        <v/>
      </c>
      <c r="E22" s="23" t="str">
        <f t="shared" si="1"/>
        <v/>
      </c>
      <c r="F22" s="82">
        <f t="shared" si="2"/>
        <v>2</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9"/>
        <v/>
      </c>
      <c r="D23" s="23" t="str">
        <f t="shared" si="1"/>
        <v/>
      </c>
      <c r="E23" s="23" t="str">
        <f t="shared" si="1"/>
        <v/>
      </c>
      <c r="F23" s="82">
        <f t="shared" si="2"/>
        <v>2</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9"/>
        <v/>
      </c>
      <c r="D24" s="23" t="str">
        <f t="shared" si="1"/>
        <v/>
      </c>
      <c r="E24" s="23" t="str">
        <f t="shared" si="1"/>
        <v/>
      </c>
      <c r="F24" s="82">
        <f t="shared" si="2"/>
        <v>2</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9"/>
        <v/>
      </c>
      <c r="D25" s="23" t="str">
        <f t="shared" si="1"/>
        <v/>
      </c>
      <c r="E25" s="23" t="str">
        <f t="shared" si="1"/>
        <v/>
      </c>
      <c r="F25" s="82">
        <f t="shared" si="2"/>
        <v>2</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9"/>
        <v/>
      </c>
      <c r="D26" s="23" t="str">
        <f t="shared" si="1"/>
        <v/>
      </c>
      <c r="E26" s="23" t="str">
        <f t="shared" si="1"/>
        <v/>
      </c>
      <c r="F26" s="82">
        <f t="shared" si="2"/>
        <v>2</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9"/>
        <v/>
      </c>
      <c r="D27" s="23" t="str">
        <f t="shared" si="1"/>
        <v/>
      </c>
      <c r="E27" s="23" t="str">
        <f t="shared" si="1"/>
        <v/>
      </c>
      <c r="F27" s="82">
        <f t="shared" si="2"/>
        <v>2</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9"/>
        <v/>
      </c>
      <c r="D28" s="23" t="str">
        <f t="shared" si="1"/>
        <v>FF</v>
      </c>
      <c r="E28" s="23" t="str">
        <f t="shared" si="1"/>
        <v>Family Functioning</v>
      </c>
      <c r="F28" s="82">
        <f t="shared" si="2"/>
        <v>2</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9"/>
        <v/>
      </c>
      <c r="D29" s="23" t="str">
        <f t="shared" si="1"/>
        <v/>
      </c>
      <c r="E29" s="23" t="str">
        <f t="shared" si="1"/>
        <v/>
      </c>
      <c r="F29" s="82">
        <f t="shared" ref="F29:F92" si="19">IF(K29=0, IF(ISNUMBER(F28), F28+1, 1), F28)</f>
        <v>3</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9"/>
        <v/>
      </c>
      <c r="D30" s="23" t="str">
        <f t="shared" si="1"/>
        <v/>
      </c>
      <c r="E30" s="23" t="str">
        <f t="shared" si="1"/>
        <v/>
      </c>
      <c r="F30" s="82">
        <f t="shared" si="19"/>
        <v>3</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9"/>
        <v/>
      </c>
      <c r="D31" s="23" t="str">
        <f t="shared" si="1"/>
        <v/>
      </c>
      <c r="E31" s="23" t="str">
        <f t="shared" si="1"/>
        <v/>
      </c>
      <c r="F31" s="82">
        <f t="shared" si="19"/>
        <v>3</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9"/>
        <v/>
      </c>
      <c r="D32" s="23" t="str">
        <f t="shared" si="1"/>
        <v/>
      </c>
      <c r="E32" s="23" t="str">
        <f t="shared" si="1"/>
        <v/>
      </c>
      <c r="F32" s="82">
        <f t="shared" si="19"/>
        <v>3</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9"/>
        <v/>
      </c>
      <c r="D33" s="23" t="str">
        <f t="shared" si="1"/>
        <v/>
      </c>
      <c r="E33" s="23" t="str">
        <f t="shared" si="1"/>
        <v/>
      </c>
      <c r="F33" s="82">
        <f t="shared" si="19"/>
        <v>3</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9"/>
        <v/>
      </c>
      <c r="D34" s="23" t="str">
        <f t="shared" si="1"/>
        <v/>
      </c>
      <c r="E34" s="23" t="str">
        <f t="shared" si="1"/>
        <v/>
      </c>
      <c r="F34" s="82">
        <f t="shared" si="19"/>
        <v>3</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9"/>
        <v/>
      </c>
      <c r="D35" s="23" t="str">
        <f t="shared" si="1"/>
        <v/>
      </c>
      <c r="E35" s="23" t="str">
        <f t="shared" si="1"/>
        <v/>
      </c>
      <c r="F35" s="82">
        <f t="shared" si="19"/>
        <v>3</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9"/>
        <v/>
      </c>
      <c r="D36" s="23" t="str">
        <f t="shared" si="1"/>
        <v/>
      </c>
      <c r="E36" s="23" t="str">
        <f t="shared" si="1"/>
        <v/>
      </c>
      <c r="F36" s="82">
        <f t="shared" si="19"/>
        <v>3</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9"/>
        <v>FF/CGA</v>
      </c>
      <c r="D37" s="23" t="str">
        <f t="shared" si="1"/>
        <v>CGA</v>
      </c>
      <c r="E37" s="23" t="str">
        <f t="shared" si="1"/>
        <v>Caregiver Advocacy</v>
      </c>
      <c r="F37" s="82">
        <f t="shared" si="19"/>
        <v>3</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9"/>
        <v/>
      </c>
      <c r="D38" s="23" t="str">
        <f t="shared" si="1"/>
        <v/>
      </c>
      <c r="E38" s="23" t="str">
        <f t="shared" si="1"/>
        <v/>
      </c>
      <c r="F38" s="82">
        <f t="shared" si="19"/>
        <v>4</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9"/>
        <v/>
      </c>
      <c r="D39" s="23" t="str">
        <f t="shared" si="1"/>
        <v/>
      </c>
      <c r="E39" s="23" t="str">
        <f t="shared" si="1"/>
        <v/>
      </c>
      <c r="F39" s="82">
        <f t="shared" si="19"/>
        <v>4</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9"/>
        <v/>
      </c>
      <c r="D40" s="23" t="str">
        <f t="shared" si="1"/>
        <v/>
      </c>
      <c r="E40" s="23" t="str">
        <f t="shared" si="1"/>
        <v/>
      </c>
      <c r="F40" s="82">
        <f t="shared" si="19"/>
        <v>4</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9"/>
        <v/>
      </c>
      <c r="D41" s="23" t="str">
        <f t="shared" si="1"/>
        <v/>
      </c>
      <c r="E41" s="23" t="str">
        <f t="shared" si="1"/>
        <v/>
      </c>
      <c r="F41" s="82">
        <f t="shared" si="19"/>
        <v>4</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9"/>
        <v/>
      </c>
      <c r="D42" s="23" t="str">
        <f t="shared" si="1"/>
        <v/>
      </c>
      <c r="E42" s="23" t="str">
        <f t="shared" si="1"/>
        <v/>
      </c>
      <c r="F42" s="82">
        <f t="shared" si="19"/>
        <v>4</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9"/>
        <v/>
      </c>
      <c r="D43" s="23" t="str">
        <f t="shared" si="1"/>
        <v/>
      </c>
      <c r="E43" s="23" t="str">
        <f t="shared" si="1"/>
        <v/>
      </c>
      <c r="F43" s="82">
        <f t="shared" si="19"/>
        <v>4</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9"/>
        <v/>
      </c>
      <c r="D44" s="23" t="str">
        <f t="shared" si="1"/>
        <v/>
      </c>
      <c r="E44" s="23" t="str">
        <f t="shared" si="1"/>
        <v/>
      </c>
      <c r="F44" s="82">
        <f t="shared" si="19"/>
        <v>4</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9"/>
        <v/>
      </c>
      <c r="D45" s="23" t="str">
        <f t="shared" si="1"/>
        <v/>
      </c>
      <c r="E45" s="23" t="str">
        <f t="shared" si="1"/>
        <v/>
      </c>
      <c r="F45" s="82">
        <f t="shared" si="19"/>
        <v>4</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9"/>
        <v/>
      </c>
      <c r="D46" s="23" t="str">
        <f t="shared" si="1"/>
        <v/>
      </c>
      <c r="E46" s="23" t="str">
        <f t="shared" si="1"/>
        <v/>
      </c>
      <c r="F46" s="82">
        <f t="shared" si="19"/>
        <v>4</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9"/>
        <v/>
      </c>
      <c r="D47" s="23" t="str">
        <f t="shared" si="1"/>
        <v/>
      </c>
      <c r="E47" s="23" t="str">
        <f t="shared" si="1"/>
        <v/>
      </c>
      <c r="F47" s="82">
        <f t="shared" si="19"/>
        <v>4</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9"/>
        <v/>
      </c>
      <c r="D48" s="23" t="str">
        <f t="shared" si="1"/>
        <v/>
      </c>
      <c r="E48" s="23" t="str">
        <f t="shared" si="1"/>
        <v/>
      </c>
      <c r="F48" s="82">
        <f t="shared" si="19"/>
        <v>4</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9"/>
        <v/>
      </c>
      <c r="D49" s="23" t="str">
        <f t="shared" si="1"/>
        <v/>
      </c>
      <c r="E49" s="23" t="str">
        <f t="shared" si="1"/>
        <v/>
      </c>
      <c r="F49" s="82">
        <f t="shared" si="19"/>
        <v>4</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9"/>
        <v/>
      </c>
      <c r="D50" s="23" t="str">
        <f t="shared" si="1"/>
        <v/>
      </c>
      <c r="E50" s="23" t="str">
        <f t="shared" si="1"/>
        <v/>
      </c>
      <c r="F50" s="82">
        <f t="shared" si="19"/>
        <v>4</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9"/>
        <v/>
      </c>
      <c r="D51" s="23" t="str">
        <f t="shared" si="1"/>
        <v/>
      </c>
      <c r="E51" s="23" t="str">
        <f t="shared" si="1"/>
        <v/>
      </c>
      <c r="F51" s="82">
        <f t="shared" si="19"/>
        <v>4</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9"/>
        <v/>
      </c>
      <c r="D52" s="23" t="str">
        <f t="shared" si="1"/>
        <v/>
      </c>
      <c r="E52" s="23" t="str">
        <f t="shared" si="1"/>
        <v/>
      </c>
      <c r="F52" s="82">
        <f t="shared" si="19"/>
        <v>4</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9"/>
        <v/>
      </c>
      <c r="D53" s="23" t="str">
        <f t="shared" si="1"/>
        <v/>
      </c>
      <c r="E53" s="23" t="str">
        <f t="shared" si="1"/>
        <v>Caregiver Functioning - Caregiver #1</v>
      </c>
      <c r="F53" s="82">
        <f t="shared" si="19"/>
        <v>4</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9"/>
        <v/>
      </c>
      <c r="D54" s="23" t="str">
        <f t="shared" si="1"/>
        <v/>
      </c>
      <c r="E54" s="23" t="str">
        <f t="shared" si="1"/>
        <v/>
      </c>
      <c r="F54" s="82">
        <f t="shared" si="19"/>
        <v>5</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9"/>
        <v/>
      </c>
      <c r="D55" s="23" t="str">
        <f t="shared" si="1"/>
        <v/>
      </c>
      <c r="E55" s="23" t="str">
        <f t="shared" si="1"/>
        <v/>
      </c>
      <c r="F55" s="82">
        <f t="shared" si="19"/>
        <v>5</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9"/>
        <v/>
      </c>
      <c r="D56" s="23" t="str">
        <f t="shared" si="1"/>
        <v/>
      </c>
      <c r="E56" s="23" t="str">
        <f t="shared" si="1"/>
        <v/>
      </c>
      <c r="F56" s="82">
        <f t="shared" si="19"/>
        <v>5</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9"/>
        <v/>
      </c>
      <c r="D57" s="23" t="str">
        <f t="shared" si="1"/>
        <v/>
      </c>
      <c r="E57" s="23" t="str">
        <f t="shared" si="1"/>
        <v/>
      </c>
      <c r="F57" s="82">
        <f t="shared" si="19"/>
        <v>5</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9"/>
        <v/>
      </c>
      <c r="D58" s="23" t="str">
        <f t="shared" si="1"/>
        <v/>
      </c>
      <c r="E58" s="23" t="str">
        <f t="shared" si="1"/>
        <v/>
      </c>
      <c r="F58" s="82">
        <f t="shared" si="19"/>
        <v>5</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9"/>
        <v/>
      </c>
      <c r="D59" s="23" t="str">
        <f t="shared" si="1"/>
        <v/>
      </c>
      <c r="E59" s="23" t="str">
        <f t="shared" si="1"/>
        <v/>
      </c>
      <c r="F59" s="82">
        <f t="shared" si="19"/>
        <v>5</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9"/>
        <v/>
      </c>
      <c r="D60" s="23" t="str">
        <f t="shared" si="1"/>
        <v/>
      </c>
      <c r="E60" s="23" t="str">
        <f t="shared" si="1"/>
        <v/>
      </c>
      <c r="F60" s="82">
        <f t="shared" si="19"/>
        <v>5</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9"/>
        <v/>
      </c>
      <c r="D61" s="23" t="str">
        <f t="shared" si="1"/>
        <v/>
      </c>
      <c r="E61" s="23" t="str">
        <f t="shared" si="1"/>
        <v/>
      </c>
      <c r="F61" s="82">
        <f t="shared" si="19"/>
        <v>5</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9"/>
        <v/>
      </c>
      <c r="D62" s="23" t="str">
        <f t="shared" si="1"/>
        <v/>
      </c>
      <c r="E62" s="23" t="str">
        <f t="shared" si="1"/>
        <v/>
      </c>
      <c r="F62" s="82">
        <f t="shared" si="19"/>
        <v>5</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9"/>
        <v/>
      </c>
      <c r="D63" s="23" t="str">
        <f t="shared" si="1"/>
        <v/>
      </c>
      <c r="E63" s="23" t="str">
        <f t="shared" si="1"/>
        <v/>
      </c>
      <c r="F63" s="82">
        <f t="shared" si="19"/>
        <v>5</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9"/>
        <v/>
      </c>
      <c r="D64" s="23" t="str">
        <f t="shared" si="1"/>
        <v/>
      </c>
      <c r="E64" s="23" t="str">
        <f t="shared" si="1"/>
        <v/>
      </c>
      <c r="F64" s="82">
        <f t="shared" si="19"/>
        <v>5</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9"/>
        <v/>
      </c>
      <c r="D65" s="23" t="str">
        <f t="shared" si="1"/>
        <v/>
      </c>
      <c r="E65" s="23" t="str">
        <f t="shared" si="1"/>
        <v/>
      </c>
      <c r="F65" s="82">
        <f t="shared" si="19"/>
        <v>5</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9"/>
        <v/>
      </c>
      <c r="D66" s="23" t="str">
        <f t="shared" si="1"/>
        <v/>
      </c>
      <c r="E66" s="23" t="str">
        <f t="shared" si="1"/>
        <v/>
      </c>
      <c r="F66" s="82">
        <f t="shared" si="19"/>
        <v>5</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9"/>
        <v/>
      </c>
      <c r="D67" s="23" t="str">
        <f t="shared" si="1"/>
        <v/>
      </c>
      <c r="E67" s="23" t="str">
        <f t="shared" si="1"/>
        <v/>
      </c>
      <c r="F67" s="82">
        <f t="shared" si="19"/>
        <v>5</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9"/>
        <v/>
      </c>
      <c r="D68" s="23" t="str">
        <f t="shared" si="1"/>
        <v/>
      </c>
      <c r="E68" s="23" t="str">
        <f t="shared" si="1"/>
        <v/>
      </c>
      <c r="F68" s="82">
        <f t="shared" si="19"/>
        <v>5</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9"/>
        <v/>
      </c>
      <c r="D69" s="23" t="str">
        <f t="shared" si="1"/>
        <v/>
      </c>
      <c r="E69" s="23" t="str">
        <f t="shared" si="1"/>
        <v>Caregiver Functioning - Caregiver #2</v>
      </c>
      <c r="F69" s="82">
        <f t="shared" si="19"/>
        <v>5</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9"/>
        <v/>
      </c>
      <c r="D70" s="23" t="str">
        <f t="shared" si="1"/>
        <v/>
      </c>
      <c r="E70" s="23" t="str">
        <f t="shared" si="1"/>
        <v/>
      </c>
      <c r="F70" s="82">
        <f t="shared" si="19"/>
        <v>6</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9"/>
        <v/>
      </c>
      <c r="D71" s="23" t="str">
        <f t="shared" si="1"/>
        <v/>
      </c>
      <c r="E71" s="23" t="str">
        <f t="shared" si="1"/>
        <v/>
      </c>
      <c r="F71" s="82">
        <f t="shared" si="19"/>
        <v>6</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9"/>
        <v/>
      </c>
      <c r="D72" s="23" t="str">
        <f t="shared" si="1"/>
        <v/>
      </c>
      <c r="E72" s="23" t="str">
        <f t="shared" si="1"/>
        <v/>
      </c>
      <c r="F72" s="82">
        <f t="shared" si="19"/>
        <v>6</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9"/>
        <v/>
      </c>
      <c r="D73" s="23" t="str">
        <f t="shared" si="1"/>
        <v/>
      </c>
      <c r="E73" s="23" t="str">
        <f t="shared" si="1"/>
        <v/>
      </c>
      <c r="F73" s="82">
        <f t="shared" si="19"/>
        <v>6</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9"/>
        <v/>
      </c>
      <c r="D74" s="23" t="str">
        <f t="shared" si="1"/>
        <v/>
      </c>
      <c r="E74" s="23" t="str">
        <f t="shared" si="1"/>
        <v/>
      </c>
      <c r="F74" s="82">
        <f t="shared" si="19"/>
        <v>6</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9"/>
        <v/>
      </c>
      <c r="D75" s="23" t="str">
        <f t="shared" si="1"/>
        <v/>
      </c>
      <c r="E75" s="23" t="str">
        <f t="shared" si="1"/>
        <v/>
      </c>
      <c r="F75" s="82">
        <f t="shared" si="19"/>
        <v>6</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9"/>
        <v/>
      </c>
      <c r="D76" s="23" t="str">
        <f t="shared" si="1"/>
        <v/>
      </c>
      <c r="E76" s="23" t="str">
        <f t="shared" si="1"/>
        <v/>
      </c>
      <c r="F76" s="82">
        <f t="shared" si="19"/>
        <v>6</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9"/>
        <v/>
      </c>
      <c r="D77" s="23" t="str">
        <f t="shared" si="1"/>
        <v/>
      </c>
      <c r="E77" s="23" t="str">
        <f t="shared" si="1"/>
        <v/>
      </c>
      <c r="F77" s="82">
        <f t="shared" si="19"/>
        <v>6</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9"/>
        <v/>
      </c>
      <c r="D78" s="23" t="str">
        <f t="shared" si="1"/>
        <v/>
      </c>
      <c r="E78" s="23" t="str">
        <f t="shared" si="1"/>
        <v/>
      </c>
      <c r="F78" s="82">
        <f t="shared" si="19"/>
        <v>6</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9"/>
        <v/>
      </c>
      <c r="D79" s="23" t="str">
        <f t="shared" si="1"/>
        <v/>
      </c>
      <c r="E79" s="23" t="str">
        <f t="shared" si="1"/>
        <v/>
      </c>
      <c r="F79" s="82">
        <f t="shared" si="19"/>
        <v>6</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9"/>
        <v/>
      </c>
      <c r="D80" s="23" t="str">
        <f t="shared" si="1"/>
        <v/>
      </c>
      <c r="E80" s="23" t="str">
        <f t="shared" si="1"/>
        <v/>
      </c>
      <c r="F80" s="82">
        <f t="shared" si="19"/>
        <v>6</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9"/>
        <v/>
      </c>
      <c r="D81" s="23" t="str">
        <f t="shared" si="1"/>
        <v/>
      </c>
      <c r="E81" s="23" t="str">
        <f t="shared" si="1"/>
        <v/>
      </c>
      <c r="F81" s="82">
        <f t="shared" si="19"/>
        <v>6</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9"/>
        <v/>
      </c>
      <c r="D82" s="23" t="str">
        <f t="shared" ref="D82:E148" si="26">IF(I82&lt;&gt;I83, I82, "")</f>
        <v/>
      </c>
      <c r="E82" s="23" t="str">
        <f t="shared" si="26"/>
        <v/>
      </c>
      <c r="F82" s="82">
        <f t="shared" si="19"/>
        <v>6</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1">IF(H83&lt;&gt;H84, H83, "")</f>
        <v/>
      </c>
      <c r="D83" s="23" t="str">
        <f t="shared" si="26"/>
        <v/>
      </c>
      <c r="E83" s="23" t="str">
        <f t="shared" si="26"/>
        <v/>
      </c>
      <c r="F83" s="82">
        <f t="shared" si="19"/>
        <v>6</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1"/>
        <v/>
      </c>
      <c r="D84" s="23" t="str">
        <f t="shared" si="26"/>
        <v/>
      </c>
      <c r="E84" s="23" t="str">
        <f t="shared" si="26"/>
        <v/>
      </c>
      <c r="F84" s="82">
        <f t="shared" si="19"/>
        <v>6</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1"/>
        <v/>
      </c>
      <c r="D85" s="23" t="str">
        <f t="shared" si="26"/>
        <v/>
      </c>
      <c r="E85" s="23" t="str">
        <f t="shared" si="26"/>
        <v>Caregiver Functioning - Caregiver #3</v>
      </c>
      <c r="F85" s="82">
        <f t="shared" si="19"/>
        <v>6</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1"/>
        <v/>
      </c>
      <c r="D86" s="23" t="str">
        <f t="shared" si="26"/>
        <v/>
      </c>
      <c r="E86" s="23" t="str">
        <f t="shared" si="26"/>
        <v/>
      </c>
      <c r="F86" s="82">
        <f t="shared" si="19"/>
        <v>7</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1"/>
        <v/>
      </c>
      <c r="D87" s="23" t="str">
        <f t="shared" si="26"/>
        <v/>
      </c>
      <c r="E87" s="23" t="str">
        <f t="shared" si="26"/>
        <v/>
      </c>
      <c r="F87" s="82">
        <f t="shared" si="19"/>
        <v>7</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1"/>
        <v/>
      </c>
      <c r="D88" s="23" t="str">
        <f t="shared" si="26"/>
        <v/>
      </c>
      <c r="E88" s="23" t="str">
        <f t="shared" si="26"/>
        <v/>
      </c>
      <c r="F88" s="82">
        <f t="shared" si="19"/>
        <v>7</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1"/>
        <v/>
      </c>
      <c r="D89" s="23" t="str">
        <f t="shared" si="26"/>
        <v/>
      </c>
      <c r="E89" s="23" t="str">
        <f t="shared" si="26"/>
        <v/>
      </c>
      <c r="F89" s="82">
        <f t="shared" si="19"/>
        <v>7</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1"/>
        <v/>
      </c>
      <c r="D90" s="23" t="str">
        <f t="shared" si="26"/>
        <v/>
      </c>
      <c r="E90" s="23" t="str">
        <f t="shared" si="26"/>
        <v/>
      </c>
      <c r="F90" s="82">
        <f t="shared" si="19"/>
        <v>7</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1"/>
        <v/>
      </c>
      <c r="D91" s="23" t="str">
        <f t="shared" si="26"/>
        <v/>
      </c>
      <c r="E91" s="23" t="str">
        <f t="shared" si="26"/>
        <v/>
      </c>
      <c r="F91" s="82">
        <f t="shared" si="19"/>
        <v>7</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1"/>
        <v/>
      </c>
      <c r="D92" s="23" t="str">
        <f t="shared" si="26"/>
        <v/>
      </c>
      <c r="E92" s="23" t="str">
        <f t="shared" si="26"/>
        <v/>
      </c>
      <c r="F92" s="82">
        <f t="shared" si="19"/>
        <v>7</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1"/>
        <v/>
      </c>
      <c r="D93" s="23" t="str">
        <f t="shared" si="26"/>
        <v/>
      </c>
      <c r="E93" s="23" t="str">
        <f t="shared" si="26"/>
        <v/>
      </c>
      <c r="F93" s="82">
        <f t="shared" ref="F93:F160" si="41">IF(K93=0, IF(ISNUMBER(F92), F92+1, 1), F92)</f>
        <v>7</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1"/>
        <v/>
      </c>
      <c r="D94" s="23" t="str">
        <f t="shared" si="26"/>
        <v/>
      </c>
      <c r="E94" s="23" t="str">
        <f t="shared" si="26"/>
        <v/>
      </c>
      <c r="F94" s="82">
        <f t="shared" si="41"/>
        <v>7</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1"/>
        <v/>
      </c>
      <c r="D95" s="23" t="str">
        <f t="shared" si="26"/>
        <v/>
      </c>
      <c r="E95" s="23" t="str">
        <f t="shared" si="26"/>
        <v/>
      </c>
      <c r="F95" s="82">
        <f t="shared" si="41"/>
        <v>7</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1"/>
        <v/>
      </c>
      <c r="D96" s="23" t="str">
        <f t="shared" si="26"/>
        <v/>
      </c>
      <c r="E96" s="23" t="str">
        <f t="shared" si="26"/>
        <v/>
      </c>
      <c r="F96" s="82">
        <f t="shared" si="41"/>
        <v>7</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1"/>
        <v/>
      </c>
      <c r="D97" s="23" t="str">
        <f t="shared" si="26"/>
        <v/>
      </c>
      <c r="E97" s="23" t="str">
        <f t="shared" si="26"/>
        <v/>
      </c>
      <c r="F97" s="82">
        <f t="shared" si="41"/>
        <v>7</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1"/>
        <v/>
      </c>
      <c r="D98" s="23" t="str">
        <f t="shared" si="26"/>
        <v/>
      </c>
      <c r="E98" s="23" t="str">
        <f t="shared" si="26"/>
        <v/>
      </c>
      <c r="F98" s="82">
        <f t="shared" si="41"/>
        <v>7</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1"/>
        <v/>
      </c>
      <c r="D99" s="23" t="str">
        <f t="shared" si="26"/>
        <v/>
      </c>
      <c r="E99" s="23" t="str">
        <f t="shared" si="26"/>
        <v/>
      </c>
      <c r="F99" s="82">
        <f t="shared" si="41"/>
        <v>7</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1"/>
        <v/>
      </c>
      <c r="D100" s="23" t="str">
        <f t="shared" si="26"/>
        <v/>
      </c>
      <c r="E100" s="23" t="str">
        <f t="shared" si="26"/>
        <v/>
      </c>
      <c r="F100" s="82">
        <f t="shared" si="41"/>
        <v>7</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1"/>
        <v>CGF</v>
      </c>
      <c r="D101" s="23" t="str">
        <f t="shared" si="26"/>
        <v>CGF</v>
      </c>
      <c r="E101" s="23" t="str">
        <f t="shared" si="26"/>
        <v>Caregiver Functioning - Caregiver #4</v>
      </c>
      <c r="F101" s="82">
        <f t="shared" si="41"/>
        <v>7</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1"/>
        <v/>
      </c>
      <c r="D102" s="23" t="str">
        <f t="shared" si="26"/>
        <v/>
      </c>
      <c r="E102" s="23" t="str">
        <f t="shared" si="26"/>
        <v/>
      </c>
      <c r="F102" s="82">
        <f t="shared" si="41"/>
        <v>8</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8</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8</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1"/>
        <v/>
      </c>
      <c r="D105" s="23" t="str">
        <f t="shared" si="26"/>
        <v/>
      </c>
      <c r="E105" s="23" t="str">
        <f t="shared" si="26"/>
        <v/>
      </c>
      <c r="F105" s="82">
        <f>IF(K105=0, IF(ISNUMBER(F103), F103+1, 1), F103)</f>
        <v>8</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1"/>
        <v/>
      </c>
      <c r="D106" s="23" t="str">
        <f t="shared" si="26"/>
        <v/>
      </c>
      <c r="E106" s="23" t="str">
        <f t="shared" si="26"/>
        <v/>
      </c>
      <c r="F106" s="82">
        <f t="shared" si="41"/>
        <v>8</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1"/>
        <v/>
      </c>
      <c r="D107" s="23" t="str">
        <f t="shared" si="26"/>
        <v/>
      </c>
      <c r="E107" s="23" t="str">
        <f t="shared" si="26"/>
        <v/>
      </c>
      <c r="F107" s="82">
        <f t="shared" si="41"/>
        <v>8</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1"/>
        <v/>
      </c>
      <c r="D108" s="23" t="str">
        <f t="shared" si="26"/>
        <v/>
      </c>
      <c r="E108" s="23" t="str">
        <f t="shared" si="26"/>
        <v/>
      </c>
      <c r="F108" s="82">
        <f t="shared" si="41"/>
        <v>8</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1"/>
        <v/>
      </c>
      <c r="D109" s="23" t="str">
        <f t="shared" si="26"/>
        <v/>
      </c>
      <c r="E109" s="23" t="str">
        <f t="shared" si="26"/>
        <v/>
      </c>
      <c r="F109" s="82">
        <f t="shared" si="41"/>
        <v>8</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1"/>
        <v/>
      </c>
      <c r="D110" s="23" t="str">
        <f t="shared" si="26"/>
        <v/>
      </c>
      <c r="E110" s="23" t="str">
        <f t="shared" si="26"/>
        <v/>
      </c>
      <c r="F110" s="82">
        <f t="shared" si="41"/>
        <v>8</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1"/>
        <v/>
      </c>
      <c r="D111" s="23" t="str">
        <f t="shared" si="26"/>
        <v/>
      </c>
      <c r="E111" s="23" t="str">
        <f t="shared" si="26"/>
        <v/>
      </c>
      <c r="F111" s="82">
        <f t="shared" si="41"/>
        <v>8</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1"/>
        <v/>
      </c>
      <c r="D112" s="23" t="str">
        <f t="shared" si="26"/>
        <v/>
      </c>
      <c r="E112" s="23" t="str">
        <f t="shared" si="26"/>
        <v/>
      </c>
      <c r="F112" s="82">
        <f t="shared" si="41"/>
        <v>8</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1"/>
        <v/>
      </c>
      <c r="D113" s="23" t="str">
        <f t="shared" si="26"/>
        <v/>
      </c>
      <c r="E113" s="23" t="str">
        <f t="shared" si="26"/>
        <v/>
      </c>
      <c r="F113" s="82">
        <f t="shared" si="41"/>
        <v>8</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1"/>
        <v/>
      </c>
      <c r="D114" s="23" t="str">
        <f t="shared" si="26"/>
        <v/>
      </c>
      <c r="E114" s="23" t="str">
        <f t="shared" si="26"/>
        <v/>
      </c>
      <c r="F114" s="82">
        <f t="shared" si="41"/>
        <v>8</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1"/>
        <v/>
      </c>
      <c r="D115" s="23" t="str">
        <f t="shared" si="26"/>
        <v/>
      </c>
      <c r="E115" s="23" t="str">
        <f t="shared" si="26"/>
        <v/>
      </c>
      <c r="F115" s="82">
        <f t="shared" si="41"/>
        <v>8</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1"/>
        <v/>
      </c>
      <c r="D116" s="23" t="str">
        <f t="shared" si="26"/>
        <v/>
      </c>
      <c r="E116" s="23" t="str">
        <f t="shared" si="26"/>
        <v/>
      </c>
      <c r="F116" s="82">
        <f t="shared" si="41"/>
        <v>8</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1"/>
        <v/>
      </c>
      <c r="D117" s="23" t="str">
        <f t="shared" si="26"/>
        <v/>
      </c>
      <c r="E117" s="23" t="str">
        <f t="shared" si="26"/>
        <v/>
      </c>
      <c r="F117" s="82">
        <f t="shared" si="41"/>
        <v>8</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1"/>
        <v/>
      </c>
      <c r="D118" s="23" t="str">
        <f t="shared" si="26"/>
        <v/>
      </c>
      <c r="E118" s="23" t="str">
        <f t="shared" si="26"/>
        <v/>
      </c>
      <c r="F118" s="82">
        <f t="shared" si="41"/>
        <v>8</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1"/>
        <v/>
      </c>
      <c r="D119" s="23" t="str">
        <f t="shared" si="26"/>
        <v/>
      </c>
      <c r="E119" s="23" t="str">
        <f t="shared" si="26"/>
        <v>Child Functioning -- Child #1</v>
      </c>
      <c r="F119" s="82">
        <f t="shared" si="41"/>
        <v>8</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1"/>
        <v/>
      </c>
      <c r="D120" s="23" t="str">
        <f t="shared" si="26"/>
        <v/>
      </c>
      <c r="E120" s="23" t="str">
        <f t="shared" si="26"/>
        <v/>
      </c>
      <c r="F120" s="82">
        <f t="shared" si="41"/>
        <v>9</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9</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9</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1"/>
        <v/>
      </c>
      <c r="D123" s="23" t="str">
        <f t="shared" si="26"/>
        <v/>
      </c>
      <c r="E123" s="23" t="str">
        <f t="shared" si="26"/>
        <v/>
      </c>
      <c r="F123" s="82">
        <f>IF(K123=0, IF(ISNUMBER(F121), F121+1, 1), F121)</f>
        <v>9</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1"/>
        <v/>
      </c>
      <c r="D124" s="23" t="str">
        <f t="shared" si="26"/>
        <v/>
      </c>
      <c r="E124" s="23" t="str">
        <f t="shared" si="26"/>
        <v/>
      </c>
      <c r="F124" s="82">
        <f t="shared" si="41"/>
        <v>9</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1"/>
        <v/>
      </c>
      <c r="D125" s="23" t="str">
        <f t="shared" si="26"/>
        <v/>
      </c>
      <c r="E125" s="23" t="str">
        <f t="shared" si="26"/>
        <v/>
      </c>
      <c r="F125" s="82">
        <f t="shared" si="41"/>
        <v>9</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1"/>
        <v/>
      </c>
      <c r="D126" s="23" t="str">
        <f t="shared" si="26"/>
        <v/>
      </c>
      <c r="E126" s="23" t="str">
        <f t="shared" si="26"/>
        <v/>
      </c>
      <c r="F126" s="82">
        <f t="shared" si="41"/>
        <v>9</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1"/>
        <v/>
      </c>
      <c r="D127" s="23" t="str">
        <f t="shared" si="26"/>
        <v/>
      </c>
      <c r="E127" s="23" t="str">
        <f t="shared" si="26"/>
        <v/>
      </c>
      <c r="F127" s="82">
        <f t="shared" si="41"/>
        <v>9</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1"/>
        <v/>
      </c>
      <c r="D128" s="23" t="str">
        <f t="shared" si="26"/>
        <v/>
      </c>
      <c r="E128" s="23" t="str">
        <f t="shared" si="26"/>
        <v/>
      </c>
      <c r="F128" s="82">
        <f t="shared" si="41"/>
        <v>9</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1"/>
        <v/>
      </c>
      <c r="D129" s="23" t="str">
        <f t="shared" si="26"/>
        <v/>
      </c>
      <c r="E129" s="23" t="str">
        <f t="shared" si="26"/>
        <v/>
      </c>
      <c r="F129" s="82">
        <f t="shared" si="41"/>
        <v>9</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1"/>
        <v/>
      </c>
      <c r="D130" s="23" t="str">
        <f t="shared" si="26"/>
        <v/>
      </c>
      <c r="E130" s="23" t="str">
        <f t="shared" si="26"/>
        <v/>
      </c>
      <c r="F130" s="82">
        <f t="shared" si="41"/>
        <v>9</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1"/>
        <v/>
      </c>
      <c r="D131" s="23" t="str">
        <f t="shared" si="26"/>
        <v/>
      </c>
      <c r="E131" s="23" t="str">
        <f t="shared" si="26"/>
        <v/>
      </c>
      <c r="F131" s="82">
        <f t="shared" si="41"/>
        <v>9</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1"/>
        <v/>
      </c>
      <c r="D132" s="23" t="str">
        <f t="shared" si="26"/>
        <v/>
      </c>
      <c r="E132" s="23" t="str">
        <f t="shared" si="26"/>
        <v/>
      </c>
      <c r="F132" s="82">
        <f t="shared" si="41"/>
        <v>9</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1"/>
        <v/>
      </c>
      <c r="D133" s="23" t="str">
        <f t="shared" si="26"/>
        <v/>
      </c>
      <c r="E133" s="23" t="str">
        <f t="shared" si="26"/>
        <v/>
      </c>
      <c r="F133" s="82">
        <f t="shared" si="41"/>
        <v>9</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1"/>
        <v/>
      </c>
      <c r="D134" s="23" t="str">
        <f t="shared" si="26"/>
        <v/>
      </c>
      <c r="E134" s="23" t="str">
        <f t="shared" si="26"/>
        <v/>
      </c>
      <c r="F134" s="82">
        <f t="shared" si="41"/>
        <v>9</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1"/>
        <v/>
      </c>
      <c r="D135" s="23" t="str">
        <f t="shared" si="26"/>
        <v/>
      </c>
      <c r="E135" s="23" t="str">
        <f t="shared" si="26"/>
        <v/>
      </c>
      <c r="F135" s="82">
        <f t="shared" si="41"/>
        <v>9</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1"/>
        <v/>
      </c>
      <c r="D136" s="23" t="str">
        <f t="shared" si="26"/>
        <v/>
      </c>
      <c r="E136" s="23" t="str">
        <f t="shared" si="26"/>
        <v/>
      </c>
      <c r="F136" s="82">
        <f t="shared" si="41"/>
        <v>9</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1"/>
        <v/>
      </c>
      <c r="D137" s="23" t="str">
        <f t="shared" si="26"/>
        <v/>
      </c>
      <c r="E137" s="23" t="str">
        <f t="shared" si="26"/>
        <v>Child Functioning -- Child #2</v>
      </c>
      <c r="F137" s="82">
        <f t="shared" si="41"/>
        <v>9</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1"/>
        <v/>
      </c>
      <c r="D138" s="23" t="str">
        <f t="shared" si="26"/>
        <v/>
      </c>
      <c r="E138" s="23" t="str">
        <f t="shared" si="26"/>
        <v/>
      </c>
      <c r="F138" s="82">
        <f t="shared" si="41"/>
        <v>10</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3">IF(H139&lt;&gt;H141, H139, "")</f>
        <v/>
      </c>
      <c r="D139" s="23" t="str">
        <f t="shared" si="53"/>
        <v/>
      </c>
      <c r="E139" s="23" t="str">
        <f t="shared" si="53"/>
        <v/>
      </c>
      <c r="F139" s="82">
        <f t="shared" si="41"/>
        <v>10</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3"/>
        <v/>
      </c>
      <c r="D140" s="23" t="str">
        <f t="shared" si="53"/>
        <v/>
      </c>
      <c r="E140" s="23" t="str">
        <f t="shared" si="53"/>
        <v/>
      </c>
      <c r="F140" s="82">
        <f>IF(K140=0, IF(ISNUMBER(F139), F139+1, 1), F139)</f>
        <v>10</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1"/>
        <v/>
      </c>
      <c r="D141" s="23" t="str">
        <f t="shared" si="26"/>
        <v/>
      </c>
      <c r="E141" s="23" t="str">
        <f t="shared" si="26"/>
        <v/>
      </c>
      <c r="F141" s="82">
        <f>IF(K141=0, IF(ISNUMBER(F139), F139+1, 1), F139)</f>
        <v>10</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1"/>
        <v/>
      </c>
      <c r="D142" s="23" t="str">
        <f t="shared" si="26"/>
        <v/>
      </c>
      <c r="E142" s="23" t="str">
        <f t="shared" si="26"/>
        <v/>
      </c>
      <c r="F142" s="82">
        <f t="shared" si="41"/>
        <v>10</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1"/>
        <v/>
      </c>
      <c r="D143" s="23" t="str">
        <f t="shared" si="26"/>
        <v/>
      </c>
      <c r="E143" s="23" t="str">
        <f t="shared" si="26"/>
        <v/>
      </c>
      <c r="F143" s="82">
        <f t="shared" si="41"/>
        <v>10</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1"/>
        <v/>
      </c>
      <c r="D144" s="23" t="str">
        <f t="shared" si="26"/>
        <v/>
      </c>
      <c r="E144" s="23" t="str">
        <f t="shared" si="26"/>
        <v/>
      </c>
      <c r="F144" s="82">
        <f t="shared" si="41"/>
        <v>10</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1"/>
        <v/>
      </c>
      <c r="D145" s="23" t="str">
        <f t="shared" si="26"/>
        <v/>
      </c>
      <c r="E145" s="23" t="str">
        <f t="shared" si="26"/>
        <v/>
      </c>
      <c r="F145" s="82">
        <f t="shared" si="41"/>
        <v>10</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1"/>
        <v/>
      </c>
      <c r="D146" s="23" t="str">
        <f t="shared" si="26"/>
        <v/>
      </c>
      <c r="E146" s="23" t="str">
        <f t="shared" si="26"/>
        <v/>
      </c>
      <c r="F146" s="82">
        <f t="shared" si="41"/>
        <v>10</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1"/>
        <v/>
      </c>
      <c r="D147" s="23" t="str">
        <f t="shared" si="26"/>
        <v/>
      </c>
      <c r="E147" s="23" t="str">
        <f t="shared" si="26"/>
        <v/>
      </c>
      <c r="F147" s="82">
        <f t="shared" si="41"/>
        <v>10</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1"/>
        <v/>
      </c>
      <c r="D148" s="23" t="str">
        <f t="shared" si="26"/>
        <v/>
      </c>
      <c r="E148" s="23" t="str">
        <f t="shared" si="26"/>
        <v/>
      </c>
      <c r="F148" s="82">
        <f t="shared" si="41"/>
        <v>10</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1"/>
        <v/>
      </c>
      <c r="D149" s="23" t="str">
        <f t="shared" ref="D149:E209" si="63">IF(I149&lt;&gt;I150, I149, "")</f>
        <v/>
      </c>
      <c r="E149" s="23" t="str">
        <f t="shared" si="63"/>
        <v/>
      </c>
      <c r="F149" s="82">
        <f t="shared" si="41"/>
        <v>10</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10</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10</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10</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10</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10</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10</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11</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11</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11</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11</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11</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11</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11</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11</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11</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11</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11</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11</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11</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11</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11</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11</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11</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11</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12</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12</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12</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12</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12</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12</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12</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12</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12</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12</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12</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12</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12</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12</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12</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12</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12</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12</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13</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1">IF(H193&lt;&gt;H195, H193, "")</f>
        <v/>
      </c>
      <c r="D193" s="23" t="str">
        <f t="shared" si="81"/>
        <v/>
      </c>
      <c r="E193" s="23" t="str">
        <f t="shared" si="81"/>
        <v/>
      </c>
      <c r="F193" s="82">
        <f t="shared" si="72"/>
        <v>13</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1"/>
        <v/>
      </c>
      <c r="D194" s="23" t="str">
        <f t="shared" si="81"/>
        <v/>
      </c>
      <c r="E194" s="23" t="str">
        <f t="shared" si="81"/>
        <v/>
      </c>
      <c r="F194" s="82">
        <f>IF(K194=0, IF(ISNUMBER(F193), F193+1, 1), F193)</f>
        <v>13</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13</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13</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13</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13</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13</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13</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13</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13</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13</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13</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13</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13</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13</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13</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13</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2" sqref="C12"/>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sheetPr>
  <dimension ref="A1:AC98"/>
  <sheetViews>
    <sheetView topLeftCell="C1" zoomScale="85" zoomScaleNormal="85" workbookViewId="0">
      <pane ySplit="1" topLeftCell="A2" activePane="bottomLeft" state="frozen"/>
      <selection activeCell="C10" sqref="C10"/>
      <selection pane="bottomLeft" activeCell="D5" sqref="D5:D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c r="J13" s="241"/>
      <c r="K13" s="239"/>
      <c r="L13" s="242"/>
      <c r="M13" s="241"/>
      <c r="N13" s="242"/>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c r="J14" s="241"/>
      <c r="K14" s="239"/>
      <c r="L14" s="242"/>
      <c r="M14" s="241"/>
      <c r="N14" s="242"/>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c r="J15" s="241"/>
      <c r="K15" s="239"/>
      <c r="L15" s="242"/>
      <c r="M15" s="241"/>
      <c r="N15" s="242"/>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c r="J16" s="241"/>
      <c r="K16" s="239"/>
      <c r="L16" s="242"/>
      <c r="M16" s="241"/>
      <c r="N16" s="242"/>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c r="J17" s="241"/>
      <c r="K17" s="239"/>
      <c r="L17" s="242"/>
      <c r="M17" s="241"/>
      <c r="N17" s="242"/>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c r="J18" s="246"/>
      <c r="K18" s="244"/>
      <c r="L18" s="245"/>
      <c r="M18" s="246"/>
      <c r="N18" s="245"/>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fitToHeight="8" orientation="landscape" r:id="rId1"/>
  <headerFooter>
    <oddFooter>Page &amp;P of &amp;N</oddFooter>
  </headerFooter>
  <rowBreaks count="1" manualBreakCount="1">
    <brk id="43" min="2"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0</xdr:col>
                    <xdr:colOff>0</xdr:colOff>
                    <xdr:row>19</xdr:row>
                    <xdr:rowOff>9525</xdr:rowOff>
                  </from>
                  <to>
                    <xdr:col>3</xdr:col>
                    <xdr:colOff>619125</xdr:colOff>
                    <xdr:row>19</xdr:row>
                    <xdr:rowOff>123825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0</xdr:col>
                    <xdr:colOff>0</xdr:colOff>
                    <xdr:row>27</xdr:row>
                    <xdr:rowOff>0</xdr:rowOff>
                  </from>
                  <to>
                    <xdr:col>3</xdr:col>
                    <xdr:colOff>609600</xdr:colOff>
                    <xdr:row>27</xdr:row>
                    <xdr:rowOff>219075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0</xdr:col>
                    <xdr:colOff>0</xdr:colOff>
                    <xdr:row>35</xdr:row>
                    <xdr:rowOff>28575</xdr:rowOff>
                  </from>
                  <to>
                    <xdr:col>3</xdr:col>
                    <xdr:colOff>619125</xdr:colOff>
                    <xdr:row>35</xdr:row>
                    <xdr:rowOff>133350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0</xdr:col>
                    <xdr:colOff>0</xdr:colOff>
                    <xdr:row>43</xdr:row>
                    <xdr:rowOff>28575</xdr:rowOff>
                  </from>
                  <to>
                    <xdr:col>3</xdr:col>
                    <xdr:colOff>619125</xdr:colOff>
                    <xdr:row>43</xdr:row>
                    <xdr:rowOff>142875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0</xdr:col>
                    <xdr:colOff>0</xdr:colOff>
                    <xdr:row>51</xdr:row>
                    <xdr:rowOff>9525</xdr:rowOff>
                  </from>
                  <to>
                    <xdr:col>3</xdr:col>
                    <xdr:colOff>619125</xdr:colOff>
                    <xdr:row>51</xdr:row>
                    <xdr:rowOff>219075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0</xdr:col>
                    <xdr:colOff>0</xdr:colOff>
                    <xdr:row>59</xdr:row>
                    <xdr:rowOff>19050</xdr:rowOff>
                  </from>
                  <to>
                    <xdr:col>3</xdr:col>
                    <xdr:colOff>609600</xdr:colOff>
                    <xdr:row>59</xdr:row>
                    <xdr:rowOff>219075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0</xdr:col>
                    <xdr:colOff>0</xdr:colOff>
                    <xdr:row>67</xdr:row>
                    <xdr:rowOff>9525</xdr:rowOff>
                  </from>
                  <to>
                    <xdr:col>3</xdr:col>
                    <xdr:colOff>619125</xdr:colOff>
                    <xdr:row>67</xdr:row>
                    <xdr:rowOff>228600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10" sqref="C10"/>
      <selection pane="bottomLeft" activeCell="D22" sqref="D22:H22"/>
    </sheetView>
  </sheetViews>
  <sheetFormatPr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300" t="s">
        <v>944</v>
      </c>
      <c r="E3" s="300"/>
      <c r="F3" s="300"/>
      <c r="G3" s="300"/>
      <c r="H3" s="300"/>
      <c r="I3" s="117"/>
    </row>
    <row r="4" spans="1:9" x14ac:dyDescent="0.25">
      <c r="A4" s="116"/>
      <c r="B4" s="177">
        <f>D4</f>
        <v>0</v>
      </c>
      <c r="C4" s="177"/>
      <c r="D4" s="299"/>
      <c r="E4" s="299"/>
      <c r="F4" s="299"/>
      <c r="G4" s="299"/>
      <c r="H4" s="299"/>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300" t="s">
        <v>935</v>
      </c>
      <c r="E6" s="300"/>
      <c r="F6" s="300"/>
      <c r="G6" s="300"/>
      <c r="H6" s="300"/>
      <c r="I6" s="117"/>
    </row>
    <row r="7" spans="1:9" x14ac:dyDescent="0.25">
      <c r="A7" s="116"/>
      <c r="B7" s="177">
        <f>D7</f>
        <v>0</v>
      </c>
      <c r="C7" s="177"/>
      <c r="D7" s="299"/>
      <c r="E7" s="299"/>
      <c r="F7" s="299"/>
      <c r="G7" s="299"/>
      <c r="H7" s="299"/>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300" t="s">
        <v>936</v>
      </c>
      <c r="E9" s="300"/>
      <c r="F9" s="300"/>
      <c r="G9" s="300"/>
      <c r="H9" s="300"/>
      <c r="I9" s="117"/>
    </row>
    <row r="10" spans="1:9" ht="45" x14ac:dyDescent="0.25">
      <c r="A10" s="116"/>
      <c r="B10" s="177" t="str">
        <f>D10</f>
        <v>1.
2.
3.</v>
      </c>
      <c r="C10" s="177"/>
      <c r="D10" s="299" t="s">
        <v>937</v>
      </c>
      <c r="E10" s="299"/>
      <c r="F10" s="299"/>
      <c r="G10" s="299"/>
      <c r="H10" s="299"/>
      <c r="I10" s="117"/>
    </row>
    <row r="11" spans="1:9" x14ac:dyDescent="0.25">
      <c r="A11" s="116"/>
      <c r="B11" s="177"/>
      <c r="C11" s="177"/>
      <c r="D11" s="172"/>
      <c r="E11" s="172"/>
      <c r="F11" s="172"/>
      <c r="G11" s="172"/>
      <c r="H11" s="172"/>
      <c r="I11" s="117"/>
    </row>
    <row r="12" spans="1:9" ht="30" x14ac:dyDescent="0.25">
      <c r="A12" s="116"/>
      <c r="B12" s="177" t="str">
        <f>D12</f>
        <v>Identify natural (church, family, school, friends, etc.) and community (mental health, CSO, YWCA, etc.) resources that the family has  identified to help address the child safety issues and their progress in utilizing these services:</v>
      </c>
      <c r="C12" s="177"/>
      <c r="D12" s="300" t="s">
        <v>938</v>
      </c>
      <c r="E12" s="300"/>
      <c r="F12" s="300"/>
      <c r="G12" s="300"/>
      <c r="H12" s="300"/>
      <c r="I12" s="117"/>
    </row>
    <row r="13" spans="1:9" ht="45" x14ac:dyDescent="0.25">
      <c r="A13" s="116"/>
      <c r="B13" s="177" t="str">
        <f>D13</f>
        <v>1.
2.
3.</v>
      </c>
      <c r="C13" s="177"/>
      <c r="D13" s="299" t="s">
        <v>937</v>
      </c>
      <c r="E13" s="299"/>
      <c r="F13" s="299"/>
      <c r="G13" s="299"/>
      <c r="H13" s="299"/>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300" t="s">
        <v>939</v>
      </c>
      <c r="E15" s="300"/>
      <c r="F15" s="300"/>
      <c r="G15" s="300"/>
      <c r="H15" s="300"/>
      <c r="I15" s="117"/>
    </row>
    <row r="16" spans="1:9" ht="45" x14ac:dyDescent="0.25">
      <c r="A16" s="116"/>
      <c r="B16" s="177" t="str">
        <f>D16</f>
        <v>1.
2.
3.</v>
      </c>
      <c r="C16" s="177"/>
      <c r="D16" s="299" t="s">
        <v>937</v>
      </c>
      <c r="E16" s="299"/>
      <c r="F16" s="299"/>
      <c r="G16" s="299"/>
      <c r="H16" s="299"/>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300" t="s">
        <v>943</v>
      </c>
      <c r="E18" s="300"/>
      <c r="F18" s="300"/>
      <c r="G18" s="300"/>
      <c r="H18" s="300"/>
      <c r="I18" s="117"/>
    </row>
    <row r="19" spans="1:12" ht="45" x14ac:dyDescent="0.25">
      <c r="A19" s="116"/>
      <c r="B19" s="177" t="str">
        <f>D19</f>
        <v>1.
2.
3.</v>
      </c>
      <c r="C19" s="177"/>
      <c r="D19" s="299" t="s">
        <v>937</v>
      </c>
      <c r="E19" s="299"/>
      <c r="F19" s="299"/>
      <c r="G19" s="299"/>
      <c r="H19" s="299"/>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300" t="s">
        <v>940</v>
      </c>
      <c r="E21" s="300"/>
      <c r="F21" s="300"/>
      <c r="G21" s="300"/>
      <c r="H21" s="300"/>
      <c r="I21" s="117"/>
    </row>
    <row r="22" spans="1:12" x14ac:dyDescent="0.25">
      <c r="A22" s="116"/>
      <c r="B22" s="177">
        <f>D22</f>
        <v>0</v>
      </c>
      <c r="C22" s="177"/>
      <c r="D22" s="299"/>
      <c r="E22" s="299"/>
      <c r="F22" s="299"/>
      <c r="G22" s="299"/>
      <c r="H22" s="299"/>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300" t="s">
        <v>945</v>
      </c>
      <c r="E24" s="300"/>
      <c r="F24" s="300"/>
      <c r="G24" s="300"/>
      <c r="H24" s="300"/>
      <c r="I24" s="117"/>
    </row>
    <row r="25" spans="1:12" x14ac:dyDescent="0.25">
      <c r="A25" s="116"/>
      <c r="B25" s="177">
        <f>D25</f>
        <v>0</v>
      </c>
      <c r="C25" s="177"/>
      <c r="D25" s="299"/>
      <c r="E25" s="299"/>
      <c r="F25" s="299"/>
      <c r="G25" s="299"/>
      <c r="H25" s="299"/>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300" t="s">
        <v>941</v>
      </c>
      <c r="E27" s="300"/>
      <c r="F27" s="300"/>
      <c r="G27" s="300"/>
      <c r="H27" s="300"/>
      <c r="I27" s="117"/>
    </row>
    <row r="28" spans="1:12" ht="45" x14ac:dyDescent="0.25">
      <c r="A28" s="116"/>
      <c r="B28" s="177" t="str">
        <f>D28</f>
        <v>1.
2.
3.</v>
      </c>
      <c r="C28" s="177"/>
      <c r="D28" s="299" t="s">
        <v>937</v>
      </c>
      <c r="E28" s="299"/>
      <c r="F28" s="299"/>
      <c r="G28" s="299"/>
      <c r="H28" s="299"/>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300" t="s">
        <v>942</v>
      </c>
      <c r="E30" s="300"/>
      <c r="F30" s="300"/>
      <c r="G30" s="300"/>
      <c r="H30" s="300"/>
      <c r="I30" s="117"/>
    </row>
    <row r="31" spans="1:12" ht="45" x14ac:dyDescent="0.25">
      <c r="A31" s="116"/>
      <c r="B31" s="177" t="str">
        <f>D31</f>
        <v>1.
2.
3.</v>
      </c>
      <c r="C31" s="177"/>
      <c r="D31" s="299" t="s">
        <v>937</v>
      </c>
      <c r="E31" s="299"/>
      <c r="F31" s="299"/>
      <c r="G31" s="299"/>
      <c r="H31" s="299"/>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8" t="s">
        <v>954</v>
      </c>
      <c r="H33" s="298"/>
      <c r="I33" s="117"/>
    </row>
    <row r="34" spans="1:9" x14ac:dyDescent="0.25">
      <c r="A34" s="116"/>
      <c r="B34" s="176"/>
      <c r="C34" s="176"/>
      <c r="D34" s="297" t="str">
        <f>IF(CGName1="", "", CGName1)</f>
        <v/>
      </c>
      <c r="E34" s="297"/>
      <c r="F34" s="185"/>
      <c r="G34" s="302" t="s">
        <v>956</v>
      </c>
      <c r="H34" s="302"/>
      <c r="I34" s="117"/>
    </row>
    <row r="35" spans="1:9" x14ac:dyDescent="0.25">
      <c r="A35" s="116"/>
      <c r="B35" s="176"/>
      <c r="C35" s="176"/>
      <c r="D35" s="297" t="str">
        <f>IF(CGName2="", "", CGName2)</f>
        <v/>
      </c>
      <c r="E35" s="297"/>
      <c r="F35" s="185"/>
      <c r="G35" s="302" t="s">
        <v>956</v>
      </c>
      <c r="H35" s="302"/>
      <c r="I35" s="117"/>
    </row>
    <row r="36" spans="1:9" x14ac:dyDescent="0.25">
      <c r="A36" s="116"/>
      <c r="B36" s="176"/>
      <c r="C36" s="176"/>
      <c r="D36" s="297" t="str">
        <f>IF(CGName3="", "", CGName3)</f>
        <v/>
      </c>
      <c r="E36" s="297"/>
      <c r="F36" s="185"/>
      <c r="G36" s="302" t="s">
        <v>956</v>
      </c>
      <c r="H36" s="302"/>
      <c r="I36" s="117"/>
    </row>
    <row r="37" spans="1:9" x14ac:dyDescent="0.25">
      <c r="A37" s="116"/>
      <c r="B37" s="176"/>
      <c r="C37" s="176"/>
      <c r="D37" s="297" t="str">
        <f>IF(CGName4="", "", CGName4)</f>
        <v/>
      </c>
      <c r="E37" s="297"/>
      <c r="F37" s="185"/>
      <c r="G37" s="302" t="s">
        <v>956</v>
      </c>
      <c r="H37" s="302"/>
      <c r="I37" s="117"/>
    </row>
    <row r="38" spans="1:9" x14ac:dyDescent="0.25">
      <c r="A38" s="116"/>
      <c r="B38" s="176"/>
      <c r="C38" s="176"/>
      <c r="D38" s="117"/>
      <c r="E38" s="117"/>
      <c r="F38" s="117"/>
      <c r="G38" s="117"/>
      <c r="H38" s="117"/>
      <c r="I38" s="117"/>
    </row>
    <row r="39" spans="1:9" x14ac:dyDescent="0.25">
      <c r="A39" s="116"/>
      <c r="B39" s="176"/>
      <c r="C39" s="176"/>
      <c r="D39" s="298" t="s">
        <v>1088</v>
      </c>
      <c r="E39" s="298"/>
      <c r="F39" s="298"/>
      <c r="G39" s="301" t="s">
        <v>956</v>
      </c>
      <c r="H39" s="301"/>
      <c r="I39" s="117"/>
    </row>
    <row r="40" spans="1:9" x14ac:dyDescent="0.25">
      <c r="A40" s="116"/>
      <c r="B40" s="178"/>
      <c r="C40" s="178"/>
      <c r="D40" s="183" t="s">
        <v>969</v>
      </c>
      <c r="E40" s="295" t="s">
        <v>63</v>
      </c>
      <c r="F40" s="295"/>
      <c r="G40" s="295"/>
      <c r="H40" s="183" t="s">
        <v>968</v>
      </c>
      <c r="I40" s="117"/>
    </row>
    <row r="41" spans="1:9" x14ac:dyDescent="0.25">
      <c r="A41" s="116"/>
      <c r="B41" s="178"/>
      <c r="C41" s="187" t="str">
        <f>catrange(ActionSteps1)</f>
        <v/>
      </c>
      <c r="D41" s="188" t="str">
        <f>IF(IntGoal1="", "", IntGoal1)</f>
        <v/>
      </c>
      <c r="E41" s="296" t="str">
        <f>catrange(ActionSteps1)</f>
        <v/>
      </c>
      <c r="F41" s="296"/>
      <c r="G41" s="296"/>
      <c r="H41" s="186" t="s">
        <v>963</v>
      </c>
      <c r="I41" s="117"/>
    </row>
    <row r="42" spans="1:9" x14ac:dyDescent="0.25">
      <c r="A42" s="116"/>
      <c r="B42" s="178"/>
      <c r="C42" s="187" t="str">
        <f>catrange(ActionSteps2)</f>
        <v/>
      </c>
      <c r="D42" s="188" t="str">
        <f>IF(IntGoal2="", "", IntGoal2)</f>
        <v/>
      </c>
      <c r="E42" s="296" t="str">
        <f>catrange(ActionSteps2)</f>
        <v/>
      </c>
      <c r="F42" s="296"/>
      <c r="G42" s="296"/>
      <c r="H42" s="186" t="s">
        <v>963</v>
      </c>
      <c r="I42" s="117"/>
    </row>
    <row r="43" spans="1:9" x14ac:dyDescent="0.25">
      <c r="A43" s="116"/>
      <c r="B43" s="178"/>
      <c r="C43" s="187" t="str">
        <f>catrange(ActionSteps3)</f>
        <v/>
      </c>
      <c r="D43" s="188" t="str">
        <f>IF(IntGoal3="", "", IntGoal3)</f>
        <v/>
      </c>
      <c r="E43" s="296" t="str">
        <f>catrange(ActionSteps3)</f>
        <v/>
      </c>
      <c r="F43" s="296"/>
      <c r="G43" s="296"/>
      <c r="H43" s="186" t="s">
        <v>963</v>
      </c>
      <c r="I43" s="117"/>
    </row>
    <row r="44" spans="1:9" x14ac:dyDescent="0.25">
      <c r="A44" s="116"/>
      <c r="B44" s="178"/>
      <c r="C44" s="187" t="str">
        <f>catrange(ActionSteps4)</f>
        <v/>
      </c>
      <c r="D44" s="188" t="str">
        <f>IF(IntGoal4="", "", IntGoal4)</f>
        <v/>
      </c>
      <c r="E44" s="296" t="str">
        <f>catrange(ActionSteps4)</f>
        <v/>
      </c>
      <c r="F44" s="296"/>
      <c r="G44" s="296"/>
      <c r="H44" s="186" t="s">
        <v>963</v>
      </c>
      <c r="I44" s="117"/>
    </row>
    <row r="45" spans="1:9" x14ac:dyDescent="0.25">
      <c r="A45" s="116"/>
      <c r="B45" s="178"/>
      <c r="C45" s="187" t="str">
        <f>catrange(ActionSteps5)</f>
        <v/>
      </c>
      <c r="D45" s="188" t="str">
        <f>IF(IntGoal5="", "", IntGoal5)</f>
        <v/>
      </c>
      <c r="E45" s="296" t="str">
        <f>catrange(ActionSteps5)</f>
        <v/>
      </c>
      <c r="F45" s="296"/>
      <c r="G45" s="296"/>
      <c r="H45" s="186" t="s">
        <v>963</v>
      </c>
      <c r="I45" s="117"/>
    </row>
    <row r="46" spans="1:9" x14ac:dyDescent="0.25">
      <c r="A46" s="116"/>
      <c r="B46" s="178"/>
      <c r="C46" s="187" t="str">
        <f>catrange(ActionSteps6)</f>
        <v/>
      </c>
      <c r="D46" s="188" t="str">
        <f>IF(IntGoal6="", "", IntGoal6)</f>
        <v/>
      </c>
      <c r="E46" s="296" t="str">
        <f>catrange(ActionSteps6)</f>
        <v/>
      </c>
      <c r="F46" s="296"/>
      <c r="G46" s="296"/>
      <c r="H46" s="186" t="s">
        <v>963</v>
      </c>
      <c r="I46" s="117"/>
    </row>
    <row r="47" spans="1:9" x14ac:dyDescent="0.25">
      <c r="A47" s="116"/>
      <c r="B47" s="178"/>
      <c r="C47" s="187" t="str">
        <f>catrange(ActionSteps7)</f>
        <v/>
      </c>
      <c r="D47" s="188" t="str">
        <f>IF(IntGoal7="", "", IntGoal7)</f>
        <v/>
      </c>
      <c r="E47" s="296" t="str">
        <f>catrange(ActionSteps7)</f>
        <v/>
      </c>
      <c r="F47" s="296"/>
      <c r="G47" s="296"/>
      <c r="H47" s="186" t="s">
        <v>963</v>
      </c>
      <c r="I47" s="117"/>
    </row>
    <row r="48" spans="1:9" x14ac:dyDescent="0.25">
      <c r="A48" s="116"/>
      <c r="B48" s="178"/>
      <c r="C48" s="187" t="str">
        <f>catrange(ActionSteps8)</f>
        <v/>
      </c>
      <c r="D48" s="188" t="str">
        <f>IF(IntGoal8="", "", IntGoal8)</f>
        <v/>
      </c>
      <c r="E48" s="296" t="str">
        <f>catrange(ActionSteps8)</f>
        <v/>
      </c>
      <c r="F48" s="296"/>
      <c r="G48" s="296"/>
      <c r="H48" s="186" t="s">
        <v>963</v>
      </c>
      <c r="I48" s="117"/>
    </row>
    <row r="49" spans="1:9" x14ac:dyDescent="0.25">
      <c r="A49" s="116"/>
      <c r="B49" s="178"/>
      <c r="C49" s="187" t="str">
        <f>catrange(ActionSteps9)</f>
        <v/>
      </c>
      <c r="D49" s="188" t="str">
        <f>IF(IntGoal9="", "", IntGoal9)</f>
        <v/>
      </c>
      <c r="E49" s="296" t="str">
        <f>catrange(ActionSteps9)</f>
        <v/>
      </c>
      <c r="F49" s="296"/>
      <c r="G49" s="296"/>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4"/>
  <sheetViews>
    <sheetView workbookViewId="0">
      <selection activeCell="C17" sqref="C17"/>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1089</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1101</v>
      </c>
      <c r="F10" s="14">
        <f t="array" ref="F10">MAX(IF(ItemNum=MAX(ItemNum), ROW(ItemNum), 0))</f>
        <v>209</v>
      </c>
      <c r="G10" t="s">
        <v>262</v>
      </c>
      <c r="S10" t="s">
        <v>139</v>
      </c>
      <c r="T10" t="e">
        <f t="shared" si="0"/>
        <v>#N/A</v>
      </c>
      <c r="U10" t="str">
        <f t="shared" si="1"/>
        <v/>
      </c>
    </row>
    <row r="11" spans="1:21" x14ac:dyDescent="0.25">
      <c r="B11" t="s">
        <v>876</v>
      </c>
      <c r="C11" t="s">
        <v>980</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981</v>
      </c>
      <c r="S12" t="s">
        <v>141</v>
      </c>
      <c r="T12" t="e">
        <f t="shared" si="0"/>
        <v>#N/A</v>
      </c>
      <c r="U12" t="str">
        <f t="shared" si="1"/>
        <v/>
      </c>
    </row>
    <row r="13" spans="1:21" x14ac:dyDescent="0.25">
      <c r="B13" t="s">
        <v>878</v>
      </c>
      <c r="C13" t="s">
        <v>982</v>
      </c>
      <c r="F13" s="233" t="b">
        <v>1</v>
      </c>
      <c r="G13" s="233" t="s">
        <v>1096</v>
      </c>
      <c r="S13" t="s">
        <v>142</v>
      </c>
      <c r="T13" t="e">
        <f t="shared" si="0"/>
        <v>#N/A</v>
      </c>
      <c r="U13" t="str">
        <f t="shared" si="1"/>
        <v/>
      </c>
    </row>
    <row r="14" spans="1:21" x14ac:dyDescent="0.25">
      <c r="B14" t="s">
        <v>879</v>
      </c>
      <c r="C14" t="s">
        <v>983</v>
      </c>
      <c r="S14" t="s">
        <v>143</v>
      </c>
      <c r="T14" t="e">
        <f t="shared" si="0"/>
        <v>#N/A</v>
      </c>
      <c r="U14" t="str">
        <f t="shared" si="1"/>
        <v/>
      </c>
    </row>
    <row r="15" spans="1:21" x14ac:dyDescent="0.25">
      <c r="B15" t="s">
        <v>880</v>
      </c>
      <c r="C15" t="s">
        <v>984</v>
      </c>
      <c r="S15" t="s">
        <v>144</v>
      </c>
      <c r="T15" t="e">
        <f t="shared" si="0"/>
        <v>#N/A</v>
      </c>
      <c r="U15" t="str">
        <f t="shared" si="1"/>
        <v/>
      </c>
    </row>
    <row r="16" spans="1:21" x14ac:dyDescent="0.25">
      <c r="B16" t="s">
        <v>881</v>
      </c>
      <c r="C16" t="s">
        <v>985</v>
      </c>
    </row>
    <row r="17" spans="2:3" x14ac:dyDescent="0.25">
      <c r="B17" t="s">
        <v>882</v>
      </c>
      <c r="C17" t="s">
        <v>1102</v>
      </c>
    </row>
    <row r="18" spans="2:3" x14ac:dyDescent="0.25">
      <c r="B18" t="s">
        <v>883</v>
      </c>
      <c r="C18" t="s">
        <v>986</v>
      </c>
    </row>
    <row r="19" spans="2:3" x14ac:dyDescent="0.25">
      <c r="B19" t="s">
        <v>884</v>
      </c>
      <c r="C19" t="s">
        <v>987</v>
      </c>
    </row>
    <row r="20" spans="2:3" x14ac:dyDescent="0.25">
      <c r="B20" t="s">
        <v>885</v>
      </c>
      <c r="C20" t="s">
        <v>1100</v>
      </c>
    </row>
    <row r="21" spans="2:3" x14ac:dyDescent="0.25">
      <c r="B21" t="s">
        <v>886</v>
      </c>
      <c r="C21" t="s">
        <v>988</v>
      </c>
    </row>
    <row r="22" spans="2:3" x14ac:dyDescent="0.25">
      <c r="B22" t="s">
        <v>887</v>
      </c>
      <c r="C22" t="s">
        <v>989</v>
      </c>
    </row>
    <row r="23" spans="2:3" x14ac:dyDescent="0.25">
      <c r="B23" t="s">
        <v>888</v>
      </c>
      <c r="C23" t="s">
        <v>990</v>
      </c>
    </row>
    <row r="24" spans="2:3" x14ac:dyDescent="0.25">
      <c r="B24" t="s">
        <v>889</v>
      </c>
      <c r="C24" t="s">
        <v>991</v>
      </c>
    </row>
    <row r="25" spans="2:3" x14ac:dyDescent="0.25">
      <c r="B25" t="s">
        <v>890</v>
      </c>
      <c r="C25" t="s">
        <v>992</v>
      </c>
    </row>
    <row r="26" spans="2:3" x14ac:dyDescent="0.25">
      <c r="B26" t="s">
        <v>891</v>
      </c>
      <c r="C26" t="s">
        <v>993</v>
      </c>
    </row>
    <row r="27" spans="2:3" x14ac:dyDescent="0.25">
      <c r="B27" t="s">
        <v>892</v>
      </c>
      <c r="C27" t="s">
        <v>994</v>
      </c>
    </row>
    <row r="28" spans="2:3" x14ac:dyDescent="0.25">
      <c r="B28" t="s">
        <v>893</v>
      </c>
      <c r="C28" t="s">
        <v>995</v>
      </c>
    </row>
    <row r="29" spans="2:3" ht="15.75" customHeight="1" x14ac:dyDescent="0.25">
      <c r="B29" t="s">
        <v>894</v>
      </c>
      <c r="C29" t="s">
        <v>996</v>
      </c>
    </row>
    <row r="30" spans="2:3" x14ac:dyDescent="0.25">
      <c r="B30" t="s">
        <v>895</v>
      </c>
      <c r="C30" t="s">
        <v>997</v>
      </c>
    </row>
    <row r="31" spans="2:3" x14ac:dyDescent="0.25">
      <c r="B31" t="s">
        <v>896</v>
      </c>
      <c r="C31" t="s">
        <v>998</v>
      </c>
    </row>
    <row r="32" spans="2:3" x14ac:dyDescent="0.25">
      <c r="B32" t="s">
        <v>897</v>
      </c>
      <c r="C32" t="s">
        <v>999</v>
      </c>
    </row>
    <row r="33" spans="2:3" x14ac:dyDescent="0.25">
      <c r="B33" t="s">
        <v>898</v>
      </c>
      <c r="C33" t="s">
        <v>1000</v>
      </c>
    </row>
    <row r="34" spans="2:3" x14ac:dyDescent="0.25">
      <c r="B34" t="s">
        <v>899</v>
      </c>
      <c r="C34" t="s">
        <v>1001</v>
      </c>
    </row>
    <row r="35" spans="2:3" x14ac:dyDescent="0.25">
      <c r="B35" t="s">
        <v>900</v>
      </c>
      <c r="C35" t="s">
        <v>1002</v>
      </c>
    </row>
    <row r="36" spans="2:3" x14ac:dyDescent="0.25">
      <c r="B36" t="s">
        <v>901</v>
      </c>
      <c r="C36" t="s">
        <v>1003</v>
      </c>
    </row>
    <row r="37" spans="2:3" x14ac:dyDescent="0.25">
      <c r="B37" t="s">
        <v>902</v>
      </c>
      <c r="C37" t="s">
        <v>1086</v>
      </c>
    </row>
    <row r="38" spans="2:3" x14ac:dyDescent="0.25">
      <c r="B38" t="s">
        <v>903</v>
      </c>
      <c r="C38" t="s">
        <v>1004</v>
      </c>
    </row>
    <row r="39" spans="2:3" x14ac:dyDescent="0.25">
      <c r="B39" t="s">
        <v>904</v>
      </c>
      <c r="C39" t="s">
        <v>1005</v>
      </c>
    </row>
    <row r="40" spans="2:3" x14ac:dyDescent="0.25">
      <c r="B40" t="s">
        <v>905</v>
      </c>
      <c r="C40" t="s">
        <v>1006</v>
      </c>
    </row>
    <row r="41" spans="2:3" x14ac:dyDescent="0.25">
      <c r="B41" t="s">
        <v>906</v>
      </c>
      <c r="C41" t="s">
        <v>1007</v>
      </c>
    </row>
    <row r="42" spans="2:3" x14ac:dyDescent="0.25">
      <c r="B42" t="s">
        <v>907</v>
      </c>
      <c r="C42" t="s">
        <v>1008</v>
      </c>
    </row>
    <row r="43" spans="2:3" x14ac:dyDescent="0.25">
      <c r="B43" t="s">
        <v>908</v>
      </c>
      <c r="C43" t="s">
        <v>1009</v>
      </c>
    </row>
    <row r="44" spans="2:3" x14ac:dyDescent="0.25">
      <c r="B44" t="s">
        <v>909</v>
      </c>
      <c r="C44" t="s">
        <v>1099</v>
      </c>
    </row>
    <row r="45" spans="2:3" x14ac:dyDescent="0.25">
      <c r="B45" t="s">
        <v>910</v>
      </c>
      <c r="C45" t="s">
        <v>1010</v>
      </c>
    </row>
    <row r="46" spans="2:3" ht="15.75" customHeight="1" x14ac:dyDescent="0.25">
      <c r="B46" t="s">
        <v>911</v>
      </c>
      <c r="C46" t="s">
        <v>1011</v>
      </c>
    </row>
    <row r="47" spans="2:3" x14ac:dyDescent="0.25">
      <c r="B47" t="s">
        <v>912</v>
      </c>
      <c r="C47" t="s">
        <v>1012</v>
      </c>
    </row>
    <row r="48" spans="2:3" x14ac:dyDescent="0.25">
      <c r="B48" t="s">
        <v>913</v>
      </c>
      <c r="C48" t="s">
        <v>1013</v>
      </c>
    </row>
    <row r="49" spans="2:3" x14ac:dyDescent="0.25">
      <c r="B49" t="s">
        <v>914</v>
      </c>
      <c r="C49" t="s">
        <v>1014</v>
      </c>
    </row>
    <row r="50" spans="2:3" x14ac:dyDescent="0.25">
      <c r="B50" t="s">
        <v>915</v>
      </c>
      <c r="C50" t="s">
        <v>1015</v>
      </c>
    </row>
    <row r="51" spans="2:3" x14ac:dyDescent="0.25">
      <c r="C51" t="s">
        <v>1016</v>
      </c>
    </row>
    <row r="52" spans="2:3" x14ac:dyDescent="0.25">
      <c r="C52" t="s">
        <v>1084</v>
      </c>
    </row>
    <row r="53" spans="2:3" x14ac:dyDescent="0.25">
      <c r="C53" t="s">
        <v>1017</v>
      </c>
    </row>
    <row r="54" spans="2:3" x14ac:dyDescent="0.25">
      <c r="C54" t="s">
        <v>1018</v>
      </c>
    </row>
    <row r="55" spans="2:3" x14ac:dyDescent="0.25">
      <c r="C55" t="s">
        <v>1019</v>
      </c>
    </row>
    <row r="56" spans="2:3" x14ac:dyDescent="0.25">
      <c r="C56" t="s">
        <v>1020</v>
      </c>
    </row>
    <row r="57" spans="2:3" x14ac:dyDescent="0.25">
      <c r="C57" t="s">
        <v>1021</v>
      </c>
    </row>
    <row r="58" spans="2:3" x14ac:dyDescent="0.25">
      <c r="C58" t="s">
        <v>1022</v>
      </c>
    </row>
    <row r="59" spans="2:3" x14ac:dyDescent="0.25">
      <c r="C59" t="s">
        <v>1023</v>
      </c>
    </row>
    <row r="60" spans="2:3" x14ac:dyDescent="0.25">
      <c r="C60" t="s">
        <v>1024</v>
      </c>
    </row>
    <row r="61" spans="2:3" x14ac:dyDescent="0.25">
      <c r="C61" t="s">
        <v>1025</v>
      </c>
    </row>
    <row r="62" spans="2:3" x14ac:dyDescent="0.25">
      <c r="C62" t="s">
        <v>1026</v>
      </c>
    </row>
    <row r="63" spans="2:3" x14ac:dyDescent="0.25">
      <c r="C63" t="s">
        <v>1027</v>
      </c>
    </row>
    <row r="64" spans="2:3" x14ac:dyDescent="0.25">
      <c r="C64" t="s">
        <v>1028</v>
      </c>
    </row>
    <row r="65" spans="3:3" x14ac:dyDescent="0.25">
      <c r="C65" t="s">
        <v>1098</v>
      </c>
    </row>
    <row r="66" spans="3:3" x14ac:dyDescent="0.25">
      <c r="C66" t="s">
        <v>1029</v>
      </c>
    </row>
    <row r="67" spans="3:3" x14ac:dyDescent="0.25">
      <c r="C67" t="s">
        <v>1085</v>
      </c>
    </row>
    <row r="68" spans="3:3" x14ac:dyDescent="0.25">
      <c r="C68" t="s">
        <v>1030</v>
      </c>
    </row>
    <row r="69" spans="3:3" x14ac:dyDescent="0.25">
      <c r="C69" t="s">
        <v>1031</v>
      </c>
    </row>
    <row r="70" spans="3:3" x14ac:dyDescent="0.25">
      <c r="C70" t="s">
        <v>1032</v>
      </c>
    </row>
    <row r="71" spans="3:3" x14ac:dyDescent="0.25">
      <c r="C71" t="s">
        <v>1033</v>
      </c>
    </row>
    <row r="72" spans="3:3" x14ac:dyDescent="0.25">
      <c r="C72" t="s">
        <v>1034</v>
      </c>
    </row>
    <row r="73" spans="3:3" x14ac:dyDescent="0.25">
      <c r="C73" t="s">
        <v>1035</v>
      </c>
    </row>
    <row r="74" spans="3:3" x14ac:dyDescent="0.25">
      <c r="C74" t="s">
        <v>1036</v>
      </c>
    </row>
    <row r="75" spans="3:3" x14ac:dyDescent="0.25">
      <c r="C75" t="s">
        <v>1037</v>
      </c>
    </row>
    <row r="76" spans="3:3" x14ac:dyDescent="0.25">
      <c r="C76" t="s">
        <v>1082</v>
      </c>
    </row>
    <row r="77" spans="3:3" x14ac:dyDescent="0.25">
      <c r="C77" t="s">
        <v>970</v>
      </c>
    </row>
    <row r="78" spans="3:3" x14ac:dyDescent="0.25">
      <c r="C78" t="s">
        <v>1038</v>
      </c>
    </row>
    <row r="79" spans="3:3" x14ac:dyDescent="0.25">
      <c r="C79" t="s">
        <v>1039</v>
      </c>
    </row>
    <row r="80" spans="3:3" x14ac:dyDescent="0.25">
      <c r="C80" t="s">
        <v>1040</v>
      </c>
    </row>
    <row r="81" spans="3:3" x14ac:dyDescent="0.25">
      <c r="C81" t="s">
        <v>1041</v>
      </c>
    </row>
    <row r="82" spans="3:3" x14ac:dyDescent="0.25">
      <c r="C82" t="s">
        <v>1042</v>
      </c>
    </row>
    <row r="83" spans="3:3" x14ac:dyDescent="0.25">
      <c r="C83" t="s">
        <v>1043</v>
      </c>
    </row>
    <row r="84" spans="3:3" x14ac:dyDescent="0.25">
      <c r="C84" t="s">
        <v>1044</v>
      </c>
    </row>
    <row r="85" spans="3:3" x14ac:dyDescent="0.25">
      <c r="C85" s="270" t="s">
        <v>1097</v>
      </c>
    </row>
    <row r="86" spans="3:3" x14ac:dyDescent="0.25">
      <c r="C86" t="s">
        <v>1045</v>
      </c>
    </row>
    <row r="87" spans="3:3" x14ac:dyDescent="0.25">
      <c r="C87" t="s">
        <v>1046</v>
      </c>
    </row>
    <row r="88" spans="3:3" x14ac:dyDescent="0.25">
      <c r="C88" t="s">
        <v>1047</v>
      </c>
    </row>
    <row r="89" spans="3:3" x14ac:dyDescent="0.25">
      <c r="C89" t="s">
        <v>1048</v>
      </c>
    </row>
    <row r="90" spans="3:3" x14ac:dyDescent="0.25">
      <c r="C90" t="s">
        <v>1049</v>
      </c>
    </row>
    <row r="91" spans="3:3" x14ac:dyDescent="0.25">
      <c r="C91" t="s">
        <v>1050</v>
      </c>
    </row>
    <row r="92" spans="3:3" x14ac:dyDescent="0.25">
      <c r="C92" t="s">
        <v>1051</v>
      </c>
    </row>
    <row r="93" spans="3:3" x14ac:dyDescent="0.25">
      <c r="C93" t="s">
        <v>1052</v>
      </c>
    </row>
    <row r="94" spans="3:3" x14ac:dyDescent="0.25">
      <c r="C94" t="s">
        <v>1053</v>
      </c>
    </row>
    <row r="95" spans="3:3" x14ac:dyDescent="0.25">
      <c r="C95" t="s">
        <v>1054</v>
      </c>
    </row>
    <row r="96" spans="3:3" x14ac:dyDescent="0.25">
      <c r="C96" t="s">
        <v>1055</v>
      </c>
    </row>
    <row r="97" spans="3:3" x14ac:dyDescent="0.25">
      <c r="C97" t="s">
        <v>1056</v>
      </c>
    </row>
    <row r="98" spans="3:3" x14ac:dyDescent="0.25">
      <c r="C98" t="s">
        <v>1057</v>
      </c>
    </row>
    <row r="99" spans="3:3" x14ac:dyDescent="0.25">
      <c r="C99" t="s">
        <v>1058</v>
      </c>
    </row>
    <row r="100" spans="3:3" x14ac:dyDescent="0.25">
      <c r="C100" t="s">
        <v>1059</v>
      </c>
    </row>
    <row r="101" spans="3:3" x14ac:dyDescent="0.25">
      <c r="C101" t="s">
        <v>1060</v>
      </c>
    </row>
    <row r="102" spans="3:3" x14ac:dyDescent="0.25">
      <c r="C102" t="s">
        <v>1061</v>
      </c>
    </row>
    <row r="103" spans="3:3" x14ac:dyDescent="0.25">
      <c r="C103" t="s">
        <v>1062</v>
      </c>
    </row>
    <row r="104" spans="3:3" x14ac:dyDescent="0.25">
      <c r="C104" t="s">
        <v>1063</v>
      </c>
    </row>
    <row r="105" spans="3:3" x14ac:dyDescent="0.25">
      <c r="C105" t="s">
        <v>1064</v>
      </c>
    </row>
    <row r="106" spans="3:3" x14ac:dyDescent="0.25">
      <c r="C106" t="s">
        <v>1065</v>
      </c>
    </row>
    <row r="107" spans="3:3" x14ac:dyDescent="0.25">
      <c r="C107" t="s">
        <v>1066</v>
      </c>
    </row>
    <row r="108" spans="3:3" x14ac:dyDescent="0.25">
      <c r="C108" t="s">
        <v>1067</v>
      </c>
    </row>
    <row r="109" spans="3:3" x14ac:dyDescent="0.25">
      <c r="C109" t="s">
        <v>1068</v>
      </c>
    </row>
    <row r="110" spans="3:3" x14ac:dyDescent="0.25">
      <c r="C110" t="s">
        <v>1069</v>
      </c>
    </row>
    <row r="111" spans="3:3" x14ac:dyDescent="0.25">
      <c r="C111" t="s">
        <v>1070</v>
      </c>
    </row>
    <row r="112" spans="3:3" x14ac:dyDescent="0.25">
      <c r="C112" t="s">
        <v>1071</v>
      </c>
    </row>
    <row r="113" spans="3:3" x14ac:dyDescent="0.25">
      <c r="C113" t="s">
        <v>1083</v>
      </c>
    </row>
    <row r="114" spans="3:3" x14ac:dyDescent="0.25">
      <c r="C114" t="s">
        <v>1072</v>
      </c>
    </row>
    <row r="115" spans="3:3" x14ac:dyDescent="0.25">
      <c r="C115" t="s">
        <v>1073</v>
      </c>
    </row>
    <row r="116" spans="3:3" x14ac:dyDescent="0.25">
      <c r="C116" t="s">
        <v>1074</v>
      </c>
    </row>
    <row r="117" spans="3:3" x14ac:dyDescent="0.25">
      <c r="C117" t="s">
        <v>1075</v>
      </c>
    </row>
    <row r="118" spans="3:3" x14ac:dyDescent="0.25">
      <c r="C118" t="s">
        <v>1076</v>
      </c>
    </row>
    <row r="119" spans="3:3" x14ac:dyDescent="0.25">
      <c r="C119" t="s">
        <v>1077</v>
      </c>
    </row>
    <row r="120" spans="3:3" x14ac:dyDescent="0.25">
      <c r="C120" t="s">
        <v>1078</v>
      </c>
    </row>
    <row r="121" spans="3:3" x14ac:dyDescent="0.25">
      <c r="C121" t="s">
        <v>1087</v>
      </c>
    </row>
    <row r="122" spans="3:3" x14ac:dyDescent="0.25">
      <c r="C122" t="s">
        <v>1079</v>
      </c>
    </row>
    <row r="123" spans="3:3" x14ac:dyDescent="0.25">
      <c r="C123" t="s">
        <v>1080</v>
      </c>
    </row>
    <row r="124" spans="3:3" x14ac:dyDescent="0.25">
      <c r="C124" t="s">
        <v>1081</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973c48c4069b6b944e1a8d73e5f345d7">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684fc15e0a11950475db7f791252ae6a"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E0905A6-0F9B-4EC5-B88C-9F24DC482E49}">
  <ds:schemaRefs>
    <ds:schemaRef ds:uri="http://schemas.microsoft.com/PowerBIAddIn"/>
  </ds:schemaRefs>
</ds:datastoreItem>
</file>

<file path=customXml/itemProps2.xml><?xml version="1.0" encoding="utf-8"?>
<ds:datastoreItem xmlns:ds="http://schemas.openxmlformats.org/officeDocument/2006/customXml" ds:itemID="{D8ED79D0-5CC2-4691-A98A-4D7D79EB1C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4.xml><?xml version="1.0" encoding="utf-8"?>
<ds:datastoreItem xmlns:ds="http://schemas.openxmlformats.org/officeDocument/2006/customXml" ds:itemID="{9260E2A2-458A-4131-974D-90B8E3F0314B}">
  <ds:schemaRefs>
    <ds:schemaRef ds:uri="http://purl.org/dc/terms/"/>
    <ds:schemaRef ds:uri="http://schemas.microsoft.com/office/2006/metadata/properties"/>
    <ds:schemaRef ds:uri="http://www.w3.org/XML/1998/namespace"/>
    <ds:schemaRef ds:uri="http://purl.org/dc/elements/1.1/"/>
    <ds:schemaRef ds:uri="http://schemas.microsoft.com/office/2006/documentManagement/types"/>
    <ds:schemaRef ds:uri="http://schemas.microsoft.com/office/infopath/2007/PartnerControls"/>
    <ds:schemaRef ds:uri="0744c089-3c8b-41d7-9a15-aa5041886147"/>
    <ds:schemaRef ds:uri="http://schemas.openxmlformats.org/package/2006/metadata/core-properties"/>
    <ds:schemaRef ds:uri="68a064a4-a90a-4333-83be-93c6a56d91fc"/>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Voit, Michaela</cp:lastModifiedBy>
  <cp:lastPrinted>2019-01-23T05:37:45Z</cp:lastPrinted>
  <dcterms:created xsi:type="dcterms:W3CDTF">2017-09-29T17:34:34Z</dcterms:created>
  <dcterms:modified xsi:type="dcterms:W3CDTF">2019-02-04T20:42:01Z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