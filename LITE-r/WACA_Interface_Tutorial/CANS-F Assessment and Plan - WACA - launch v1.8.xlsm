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Documents\GitHub\tcom-chic\LITE-r\WACA_Interface_Tutorial\"/>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Meta!$C$2:$C$123</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24" l="1"/>
  <c r="B30" i="24" l="1"/>
  <c r="B27" i="24"/>
  <c r="B24" i="24"/>
  <c r="B21" i="24"/>
  <c r="B18" i="24"/>
  <c r="B15" i="24"/>
  <c r="B9" i="24"/>
  <c r="B6" i="24"/>
  <c r="B3" i="24"/>
  <c r="T15" i="3" l="1"/>
  <c r="U15" i="3" s="1"/>
  <c r="F1039" i="5" s="1"/>
  <c r="T14" i="3"/>
  <c r="U14" i="3" s="1"/>
  <c r="F963" i="5" s="1"/>
  <c r="T13" i="3"/>
  <c r="U13" i="3" s="1"/>
  <c r="F869" i="5" s="1"/>
  <c r="T12" i="3"/>
  <c r="U12" i="3" s="1"/>
  <c r="T11" i="3"/>
  <c r="U11" i="3" s="1"/>
  <c r="F722" i="5" s="1"/>
  <c r="F11" i="3"/>
  <c r="C3" i="15" s="1"/>
  <c r="T10" i="3"/>
  <c r="U10" i="3" s="1"/>
  <c r="F601" i="5" s="1"/>
  <c r="T9" i="3"/>
  <c r="U9" i="3" s="1"/>
  <c r="T8" i="3"/>
  <c r="U8" i="3" s="1"/>
  <c r="F477" i="5" s="1"/>
  <c r="T7" i="3"/>
  <c r="U7" i="3" s="1"/>
  <c r="T6" i="3"/>
  <c r="U6" i="3" s="1"/>
  <c r="F317"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a="1"/>
  <c r="B3" i="23" s="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S94" i="19"/>
  <c r="S95" i="19" s="1"/>
  <c r="T93" i="19"/>
  <c r="X92" i="19"/>
  <c r="W92" i="19"/>
  <c r="V92" i="19"/>
  <c r="R91" i="19"/>
  <c r="S77" i="19"/>
  <c r="S78" i="19" s="1"/>
  <c r="T76" i="19"/>
  <c r="S76" i="19"/>
  <c r="T75" i="19"/>
  <c r="X74" i="19"/>
  <c r="W74" i="19"/>
  <c r="V74" i="19"/>
  <c r="R73" i="19"/>
  <c r="S58" i="19"/>
  <c r="T58" i="19" s="1"/>
  <c r="T57" i="19"/>
  <c r="X56" i="19"/>
  <c r="W56" i="19"/>
  <c r="V56" i="19"/>
  <c r="K56" i="19"/>
  <c r="K57" i="19" s="1"/>
  <c r="K58" i="19" s="1"/>
  <c r="R55" i="19"/>
  <c r="K55" i="19"/>
  <c r="L55" i="19" s="1"/>
  <c r="L54" i="19"/>
  <c r="P53" i="19"/>
  <c r="O53" i="19"/>
  <c r="N53" i="19"/>
  <c r="J52" i="19"/>
  <c r="S40" i="19"/>
  <c r="T40" i="19" s="1"/>
  <c r="T39" i="19"/>
  <c r="X38" i="19"/>
  <c r="W38" i="19"/>
  <c r="V38" i="19"/>
  <c r="K38" i="19"/>
  <c r="R37" i="19"/>
  <c r="L37" i="19"/>
  <c r="P36" i="19"/>
  <c r="O36" i="19"/>
  <c r="N36" i="19"/>
  <c r="J35" i="19"/>
  <c r="S23" i="19"/>
  <c r="T23" i="19" s="1"/>
  <c r="S22" i="19"/>
  <c r="T22" i="19" s="1"/>
  <c r="T21" i="19"/>
  <c r="L21" i="19"/>
  <c r="K21" i="19"/>
  <c r="K22" i="19" s="1"/>
  <c r="X20" i="19"/>
  <c r="W20" i="19"/>
  <c r="V20" i="19"/>
  <c r="L20" i="19"/>
  <c r="R19" i="19"/>
  <c r="P19" i="19"/>
  <c r="O19" i="19"/>
  <c r="N19" i="19"/>
  <c r="J18" i="19"/>
  <c r="C17" i="19"/>
  <c r="D17" i="19" s="1"/>
  <c r="D16" i="19"/>
  <c r="H15" i="19"/>
  <c r="G15" i="19"/>
  <c r="F15" i="19"/>
  <c r="S4" i="19"/>
  <c r="K4" i="19"/>
  <c r="L4" i="19" s="1"/>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F1043" i="5"/>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K1012" i="5"/>
  <c r="L1012" i="5" s="1"/>
  <c r="K1011" i="5"/>
  <c r="L1011" i="5" s="1"/>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K996" i="5"/>
  <c r="L996" i="5" s="1"/>
  <c r="K995" i="5"/>
  <c r="L995" i="5" s="1"/>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F981" i="5"/>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K721" i="5"/>
  <c r="L721" i="5" s="1"/>
  <c r="K720" i="5"/>
  <c r="L720" i="5" s="1"/>
  <c r="K719" i="5"/>
  <c r="L719" i="5" s="1"/>
  <c r="K718" i="5"/>
  <c r="L718" i="5" s="1"/>
  <c r="K717" i="5"/>
  <c r="L717" i="5" s="1"/>
  <c r="K716" i="5"/>
  <c r="L716" i="5" s="1"/>
  <c r="K715" i="5"/>
  <c r="L715" i="5" s="1"/>
  <c r="F715" i="5"/>
  <c r="K714" i="5"/>
  <c r="L714" i="5" s="1"/>
  <c r="K713" i="5"/>
  <c r="L713" i="5" s="1"/>
  <c r="F713" i="5"/>
  <c r="K712" i="5"/>
  <c r="L712" i="5" s="1"/>
  <c r="K711" i="5"/>
  <c r="L711" i="5" s="1"/>
  <c r="K710" i="5"/>
  <c r="L710" i="5" s="1"/>
  <c r="K709" i="5"/>
  <c r="L709" i="5" s="1"/>
  <c r="K708" i="5"/>
  <c r="L708" i="5" s="1"/>
  <c r="K707" i="5"/>
  <c r="L707" i="5" s="1"/>
  <c r="F707" i="5"/>
  <c r="K706" i="5"/>
  <c r="L706" i="5" s="1"/>
  <c r="K705" i="5"/>
  <c r="L705" i="5" s="1"/>
  <c r="K704" i="5"/>
  <c r="L704" i="5" s="1"/>
  <c r="K703" i="5"/>
  <c r="L703" i="5" s="1"/>
  <c r="K702" i="5"/>
  <c r="L702" i="5" s="1"/>
  <c r="K701" i="5"/>
  <c r="L701" i="5" s="1"/>
  <c r="K700" i="5"/>
  <c r="L700" i="5" s="1"/>
  <c r="K699" i="5"/>
  <c r="L699" i="5" s="1"/>
  <c r="F699" i="5"/>
  <c r="K698" i="5"/>
  <c r="L698" i="5" s="1"/>
  <c r="K697" i="5"/>
  <c r="L697" i="5" s="1"/>
  <c r="F697" i="5"/>
  <c r="K696" i="5"/>
  <c r="L696" i="5" s="1"/>
  <c r="K695" i="5"/>
  <c r="L695" i="5" s="1"/>
  <c r="K694" i="5"/>
  <c r="L694" i="5" s="1"/>
  <c r="K693" i="5"/>
  <c r="L693" i="5" s="1"/>
  <c r="K692" i="5"/>
  <c r="L692" i="5" s="1"/>
  <c r="K691" i="5"/>
  <c r="L691" i="5" s="1"/>
  <c r="F691" i="5"/>
  <c r="K690" i="5"/>
  <c r="L690" i="5" s="1"/>
  <c r="K689" i="5"/>
  <c r="L689" i="5" s="1"/>
  <c r="K688" i="5"/>
  <c r="L688" i="5" s="1"/>
  <c r="K687" i="5"/>
  <c r="L687" i="5" s="1"/>
  <c r="K686" i="5"/>
  <c r="L686" i="5" s="1"/>
  <c r="K685" i="5"/>
  <c r="L685" i="5" s="1"/>
  <c r="K684" i="5"/>
  <c r="L684" i="5" s="1"/>
  <c r="K683" i="5"/>
  <c r="L683" i="5" s="1"/>
  <c r="F683" i="5"/>
  <c r="K682" i="5"/>
  <c r="L682" i="5" s="1"/>
  <c r="K681" i="5"/>
  <c r="L681" i="5" s="1"/>
  <c r="F681" i="5"/>
  <c r="K680" i="5"/>
  <c r="L680" i="5" s="1"/>
  <c r="K679" i="5"/>
  <c r="L679" i="5" s="1"/>
  <c r="K678" i="5"/>
  <c r="L678" i="5" s="1"/>
  <c r="F678" i="5"/>
  <c r="K677" i="5"/>
  <c r="L677" i="5" s="1"/>
  <c r="K676" i="5"/>
  <c r="L676" i="5" s="1"/>
  <c r="F676" i="5"/>
  <c r="K675" i="5"/>
  <c r="L675" i="5" s="1"/>
  <c r="K674" i="5"/>
  <c r="L674" i="5" s="1"/>
  <c r="K673" i="5"/>
  <c r="L673" i="5" s="1"/>
  <c r="K672" i="5"/>
  <c r="L672" i="5" s="1"/>
  <c r="F672" i="5"/>
  <c r="K671" i="5"/>
  <c r="L671" i="5" s="1"/>
  <c r="K670" i="5"/>
  <c r="L670" i="5" s="1"/>
  <c r="F670" i="5"/>
  <c r="K669" i="5"/>
  <c r="L669" i="5" s="1"/>
  <c r="K668" i="5"/>
  <c r="L668" i="5" s="1"/>
  <c r="F668" i="5"/>
  <c r="K667" i="5"/>
  <c r="L667" i="5" s="1"/>
  <c r="K666" i="5"/>
  <c r="L666" i="5" s="1"/>
  <c r="K665" i="5"/>
  <c r="L665" i="5" s="1"/>
  <c r="K664" i="5"/>
  <c r="L664" i="5" s="1"/>
  <c r="F664" i="5"/>
  <c r="K663" i="5"/>
  <c r="L663" i="5" s="1"/>
  <c r="K662" i="5"/>
  <c r="L662" i="5" s="1"/>
  <c r="F662" i="5"/>
  <c r="K661" i="5"/>
  <c r="L661" i="5" s="1"/>
  <c r="K660" i="5"/>
  <c r="L660" i="5" s="1"/>
  <c r="F660" i="5"/>
  <c r="K659" i="5"/>
  <c r="L659" i="5" s="1"/>
  <c r="K658" i="5"/>
  <c r="L658" i="5" s="1"/>
  <c r="K657" i="5"/>
  <c r="L657" i="5" s="1"/>
  <c r="K656" i="5"/>
  <c r="L656" i="5" s="1"/>
  <c r="F656" i="5"/>
  <c r="K655" i="5"/>
  <c r="L655" i="5" s="1"/>
  <c r="K654" i="5"/>
  <c r="L654" i="5" s="1"/>
  <c r="F654" i="5"/>
  <c r="K653" i="5"/>
  <c r="L653" i="5" s="1"/>
  <c r="K652" i="5"/>
  <c r="L652" i="5" s="1"/>
  <c r="F652" i="5"/>
  <c r="K651" i="5"/>
  <c r="L651" i="5" s="1"/>
  <c r="K650" i="5"/>
  <c r="L650" i="5" s="1"/>
  <c r="K649" i="5"/>
  <c r="L649" i="5" s="1"/>
  <c r="K648" i="5"/>
  <c r="L648" i="5" s="1"/>
  <c r="F648" i="5"/>
  <c r="K647" i="5"/>
  <c r="L647" i="5" s="1"/>
  <c r="K646" i="5"/>
  <c r="L646" i="5" s="1"/>
  <c r="F646" i="5"/>
  <c r="K645" i="5"/>
  <c r="L645" i="5" s="1"/>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K452" i="5"/>
  <c r="L452" i="5" s="1"/>
  <c r="K451" i="5"/>
  <c r="L451" i="5" s="1"/>
  <c r="K450" i="5"/>
  <c r="L450" i="5" s="1"/>
  <c r="K449" i="5"/>
  <c r="L449" i="5" s="1"/>
  <c r="F449" i="5"/>
  <c r="K448" i="5"/>
  <c r="L448" i="5" s="1"/>
  <c r="K447" i="5"/>
  <c r="L447" i="5" s="1"/>
  <c r="K446" i="5"/>
  <c r="L446" i="5" s="1"/>
  <c r="K445" i="5"/>
  <c r="L445" i="5" s="1"/>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D10" i="9"/>
  <c r="K9" i="9"/>
  <c r="J9" i="9"/>
  <c r="I9" i="9"/>
  <c r="K8" i="9"/>
  <c r="J8" i="9"/>
  <c r="I8" i="9"/>
  <c r="K7" i="9"/>
  <c r="J7" i="9"/>
  <c r="I7" i="9"/>
  <c r="K6" i="9"/>
  <c r="J6" i="9"/>
  <c r="I6" i="9"/>
  <c r="K5" i="9"/>
  <c r="J5" i="9"/>
  <c r="I5" i="9"/>
  <c r="K4" i="9"/>
  <c r="J4" i="9"/>
  <c r="I4" i="9"/>
  <c r="K3" i="9"/>
  <c r="J3" i="9"/>
  <c r="I3" i="9"/>
  <c r="J2" i="9"/>
  <c r="I2" i="9"/>
  <c r="K1" i="9"/>
  <c r="K2" i="9" s="1"/>
  <c r="J1" i="9"/>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T3" i="3" s="1"/>
  <c r="U3" i="3" s="1"/>
  <c r="F79" i="5" s="1"/>
  <c r="AN13" i="2"/>
  <c r="AJ13" i="2"/>
  <c r="AF13" i="2"/>
  <c r="M11" i="2"/>
  <c r="S5" i="2"/>
  <c r="MP13" i="7" s="1"/>
  <c r="H17" i="16"/>
  <c r="H15" i="16"/>
  <c r="E45" i="24"/>
  <c r="C49" i="24"/>
  <c r="C41" i="24"/>
  <c r="E49" i="24"/>
  <c r="E41" i="24"/>
  <c r="C45" i="24"/>
  <c r="C46" i="24"/>
  <c r="C44" i="24"/>
  <c r="C43" i="24"/>
  <c r="C48" i="24"/>
  <c r="E44" i="24"/>
  <c r="K17" i="2"/>
  <c r="E43" i="24"/>
  <c r="E42" i="24"/>
  <c r="E48" i="24"/>
  <c r="C42" i="24"/>
  <c r="C47" i="24"/>
  <c r="E47" i="24"/>
  <c r="E46" i="24"/>
  <c r="S24" i="19" l="1"/>
  <c r="T24" i="19" s="1"/>
  <c r="K5" i="19"/>
  <c r="K6" i="19" s="1"/>
  <c r="S59" i="19"/>
  <c r="T95" i="19"/>
  <c r="S96" i="19"/>
  <c r="S5" i="19"/>
  <c r="T4" i="19"/>
  <c r="K23" i="19"/>
  <c r="L22" i="19"/>
  <c r="K39" i="19"/>
  <c r="L38" i="19"/>
  <c r="L58" i="19"/>
  <c r="K59" i="19"/>
  <c r="L57" i="19"/>
  <c r="T78" i="19"/>
  <c r="S79" i="19"/>
  <c r="C5" i="19"/>
  <c r="D4" i="19"/>
  <c r="T94" i="19"/>
  <c r="C18" i="19"/>
  <c r="S41" i="19"/>
  <c r="T77" i="19"/>
  <c r="L56" i="19"/>
  <c r="DF5" i="7"/>
  <c r="KX6" i="7"/>
  <c r="F650" i="5"/>
  <c r="F658" i="5"/>
  <c r="F666" i="5"/>
  <c r="F674" i="5"/>
  <c r="F689" i="5"/>
  <c r="F705" i="5"/>
  <c r="F721" i="5"/>
  <c r="F979" i="5"/>
  <c r="F645" i="5"/>
  <c r="F647" i="5"/>
  <c r="F649" i="5"/>
  <c r="F651" i="5"/>
  <c r="F653" i="5"/>
  <c r="F655" i="5"/>
  <c r="F657" i="5"/>
  <c r="F659" i="5"/>
  <c r="F661" i="5"/>
  <c r="F663" i="5"/>
  <c r="F665" i="5"/>
  <c r="F667" i="5"/>
  <c r="F669" i="5"/>
  <c r="F671" i="5"/>
  <c r="F673" i="5"/>
  <c r="F675" i="5"/>
  <c r="F677" i="5"/>
  <c r="F679" i="5"/>
  <c r="F687" i="5"/>
  <c r="F695" i="5"/>
  <c r="F703" i="5"/>
  <c r="F711" i="5"/>
  <c r="F719" i="5"/>
  <c r="F1013" i="5"/>
  <c r="F409" i="5"/>
  <c r="F433" i="5"/>
  <c r="F453" i="5"/>
  <c r="F473" i="5"/>
  <c r="F685" i="5"/>
  <c r="F693" i="5"/>
  <c r="F701" i="5"/>
  <c r="F709" i="5"/>
  <c r="F717" i="5"/>
  <c r="F1011" i="5"/>
  <c r="F57" i="5"/>
  <c r="F965" i="5"/>
  <c r="F997" i="5"/>
  <c r="F1029" i="5"/>
  <c r="F895" i="5"/>
  <c r="F995" i="5"/>
  <c r="F1027" i="5"/>
  <c r="F941" i="5"/>
  <c r="F905" i="5"/>
  <c r="F959" i="5"/>
  <c r="F885" i="5"/>
  <c r="F889" i="5"/>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X20" i="2"/>
  <c r="S25" i="19" l="1"/>
  <c r="L5" i="19"/>
  <c r="L39" i="19"/>
  <c r="K40" i="19"/>
  <c r="T5" i="19"/>
  <c r="S6" i="19"/>
  <c r="T25" i="19"/>
  <c r="S26" i="19"/>
  <c r="L59" i="19"/>
  <c r="K60" i="19"/>
  <c r="S97" i="19"/>
  <c r="T96" i="19"/>
  <c r="T41" i="19"/>
  <c r="S42" i="19"/>
  <c r="D5" i="19"/>
  <c r="C6" i="19"/>
  <c r="L23" i="19"/>
  <c r="K24" i="19"/>
  <c r="D18" i="19"/>
  <c r="C19" i="19"/>
  <c r="S80" i="19"/>
  <c r="T79" i="19"/>
  <c r="L6" i="19"/>
  <c r="K7" i="19"/>
  <c r="T59" i="19"/>
  <c r="S60" i="19"/>
  <c r="B121" i="2"/>
  <c r="J31" i="2"/>
  <c r="I31" i="2" s="1"/>
  <c r="J177" i="2"/>
  <c r="J178" i="2" s="1"/>
  <c r="E177" i="2" s="1"/>
  <c r="D156" i="2"/>
  <c r="I139" i="2"/>
  <c r="D138" i="2" s="1"/>
  <c r="I193" i="2"/>
  <c r="H193" i="2" s="1"/>
  <c r="C192" i="2" s="1"/>
  <c r="B122"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T26" i="19" l="1"/>
  <c r="S27" i="19"/>
  <c r="T60" i="19"/>
  <c r="S61" i="19"/>
  <c r="L24" i="19"/>
  <c r="K25" i="19"/>
  <c r="T42" i="19"/>
  <c r="S43" i="19"/>
  <c r="L60" i="19"/>
  <c r="K61" i="19"/>
  <c r="S7" i="19"/>
  <c r="T6" i="19"/>
  <c r="B31" i="2"/>
  <c r="T80" i="19"/>
  <c r="S81" i="19"/>
  <c r="K8" i="19"/>
  <c r="L7" i="19"/>
  <c r="C20" i="19"/>
  <c r="D19" i="19"/>
  <c r="C7" i="19"/>
  <c r="D6" i="19"/>
  <c r="L40" i="19"/>
  <c r="K41" i="19"/>
  <c r="T97" i="19"/>
  <c r="S98" i="19"/>
  <c r="E30" i="2"/>
  <c r="J32" i="2"/>
  <c r="E31" i="2" s="1"/>
  <c r="J196" i="2"/>
  <c r="E195" i="2" s="1"/>
  <c r="H139" i="2"/>
  <c r="C138" i="2" s="1"/>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H140" i="2"/>
  <c r="B20" i="2"/>
  <c r="G4" i="19" s="1"/>
  <c r="I20" i="2"/>
  <c r="J21" i="2"/>
  <c r="E20" i="2" s="1"/>
  <c r="C70" i="2"/>
  <c r="B178" i="2"/>
  <c r="J179" i="2"/>
  <c r="I178" i="2"/>
  <c r="E176"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J57" i="2"/>
  <c r="B56" i="2"/>
  <c r="I56" i="2"/>
  <c r="H72" i="2"/>
  <c r="E194" i="2" l="1"/>
  <c r="B32" i="2"/>
  <c r="J33" i="2"/>
  <c r="J34" i="2" s="1"/>
  <c r="E33" i="2" s="1"/>
  <c r="I196" i="2"/>
  <c r="D195" i="2" s="1"/>
  <c r="J197" i="2"/>
  <c r="E196" i="2" s="1"/>
  <c r="B196" i="2"/>
  <c r="D7" i="19"/>
  <c r="C8" i="19"/>
  <c r="L8" i="19"/>
  <c r="K9" i="19"/>
  <c r="T43" i="19"/>
  <c r="S44" i="19"/>
  <c r="T61" i="19"/>
  <c r="S62" i="19"/>
  <c r="L41" i="19"/>
  <c r="K42" i="19"/>
  <c r="S82" i="19"/>
  <c r="T81" i="19"/>
  <c r="T7" i="19"/>
  <c r="S8" i="19"/>
  <c r="C21" i="19"/>
  <c r="D20" i="19"/>
  <c r="L61" i="19"/>
  <c r="K62" i="19"/>
  <c r="L25" i="19"/>
  <c r="K26" i="19"/>
  <c r="T27" i="19"/>
  <c r="S28" i="19"/>
  <c r="S99" i="19"/>
  <c r="T98" i="19"/>
  <c r="I32" i="2"/>
  <c r="D31"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J180" i="2"/>
  <c r="E179" i="2" s="1"/>
  <c r="B179" i="2"/>
  <c r="I179" i="2"/>
  <c r="D178" i="2" s="1"/>
  <c r="E178" i="2"/>
  <c r="H20" i="2"/>
  <c r="D19" i="2"/>
  <c r="J198" i="2"/>
  <c r="E197" i="2" s="1"/>
  <c r="B197" i="2"/>
  <c r="I197" i="2"/>
  <c r="H89" i="2"/>
  <c r="I41" i="2"/>
  <c r="D40" i="2" s="1"/>
  <c r="J42" i="2"/>
  <c r="E41" i="2" s="1"/>
  <c r="B41" i="2"/>
  <c r="D105" i="2"/>
  <c r="E4" i="19"/>
  <c r="J162" i="2"/>
  <c r="E161" i="2" s="1"/>
  <c r="B161" i="2"/>
  <c r="I161" i="2"/>
  <c r="D160" i="2" s="1"/>
  <c r="C38" i="2"/>
  <c r="H73" i="2"/>
  <c r="H124" i="2"/>
  <c r="C123" i="2" s="1"/>
  <c r="D122" i="2"/>
  <c r="C175"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H32" i="2"/>
  <c r="C31" i="2" s="1"/>
  <c r="I21" i="2"/>
  <c r="J22" i="2"/>
  <c r="B21" i="2"/>
  <c r="E5" i="19" s="1"/>
  <c r="C87" i="2"/>
  <c r="C30" i="2"/>
  <c r="H160" i="2"/>
  <c r="D158" i="2"/>
  <c r="C157" i="2"/>
  <c r="D123" i="2"/>
  <c r="C54" i="2"/>
  <c r="I33" i="2" l="1"/>
  <c r="H33" i="2" s="1"/>
  <c r="C32" i="2" s="1"/>
  <c r="E32" i="2"/>
  <c r="D194" i="2"/>
  <c r="D196" i="2"/>
  <c r="H196" i="2"/>
  <c r="B33" i="2"/>
  <c r="L26" i="19"/>
  <c r="K27" i="19"/>
  <c r="T62" i="19"/>
  <c r="S63" i="19"/>
  <c r="K10" i="19"/>
  <c r="L9" i="19"/>
  <c r="T99" i="19"/>
  <c r="S100" i="19"/>
  <c r="C22" i="19"/>
  <c r="D21" i="19"/>
  <c r="T82" i="19"/>
  <c r="S83" i="19"/>
  <c r="T28" i="19"/>
  <c r="S29" i="19"/>
  <c r="L62" i="19"/>
  <c r="K63" i="19"/>
  <c r="S9" i="19"/>
  <c r="T8" i="19"/>
  <c r="L42" i="19"/>
  <c r="K43" i="19"/>
  <c r="T44" i="19"/>
  <c r="S45" i="19"/>
  <c r="C9" i="19"/>
  <c r="D8" i="19"/>
  <c r="H142" i="2"/>
  <c r="C140" i="2" s="1"/>
  <c r="E142" i="2"/>
  <c r="J144" i="2"/>
  <c r="E143" i="2" s="1"/>
  <c r="B143" i="2"/>
  <c r="D141" i="2"/>
  <c r="I125" i="2"/>
  <c r="D124" i="2" s="1"/>
  <c r="B125" i="2"/>
  <c r="J126" i="2"/>
  <c r="E125" i="2" s="1"/>
  <c r="C141" i="2"/>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H179" i="2"/>
  <c r="C178" i="2" s="1"/>
  <c r="B180" i="2"/>
  <c r="J181" i="2"/>
  <c r="E180" i="2" s="1"/>
  <c r="I180" i="2"/>
  <c r="D179" i="2" s="1"/>
  <c r="B34" i="2"/>
  <c r="I34" i="2"/>
  <c r="D33" i="2" s="1"/>
  <c r="J35" i="2"/>
  <c r="E34" i="2" s="1"/>
  <c r="D106" i="2"/>
  <c r="C176" i="2"/>
  <c r="C159" i="2"/>
  <c r="G5" i="19"/>
  <c r="F5" i="19"/>
  <c r="H5" i="19"/>
  <c r="H21" i="2"/>
  <c r="E74" i="2"/>
  <c r="E107" i="2"/>
  <c r="C195" i="2"/>
  <c r="C88" i="2"/>
  <c r="D73" i="2"/>
  <c r="H161" i="2"/>
  <c r="B162" i="2"/>
  <c r="J163" i="2"/>
  <c r="E162" i="2" s="1"/>
  <c r="I162" i="2"/>
  <c r="D161" i="2" s="1"/>
  <c r="B42" i="2"/>
  <c r="I42" i="2"/>
  <c r="J43" i="2"/>
  <c r="E42" i="2" s="1"/>
  <c r="H197" i="2"/>
  <c r="B198" i="2"/>
  <c r="J199" i="2"/>
  <c r="E198" i="2" s="1"/>
  <c r="I198" i="2"/>
  <c r="D20" i="2"/>
  <c r="C104" i="2"/>
  <c r="C72" i="2"/>
  <c r="H90" i="2"/>
  <c r="C89" i="2" s="1"/>
  <c r="H57" i="2"/>
  <c r="C56" i="2" s="1"/>
  <c r="D56" i="2"/>
  <c r="I91" i="2"/>
  <c r="B91" i="2"/>
  <c r="J92" i="2"/>
  <c r="E91" i="2" s="1"/>
  <c r="J59" i="2"/>
  <c r="E58" i="2" s="1"/>
  <c r="I58" i="2"/>
  <c r="B58" i="2"/>
  <c r="D32" i="2" l="1"/>
  <c r="C196" i="2"/>
  <c r="C142" i="2"/>
  <c r="E6" i="19"/>
  <c r="L43" i="19"/>
  <c r="K44" i="19"/>
  <c r="L63" i="19"/>
  <c r="K64" i="19"/>
  <c r="S84" i="19"/>
  <c r="T83" i="19"/>
  <c r="S101" i="19"/>
  <c r="T100" i="19"/>
  <c r="T63" i="19"/>
  <c r="S64" i="19"/>
  <c r="D9" i="19"/>
  <c r="C10" i="19"/>
  <c r="T45" i="19"/>
  <c r="S46" i="19"/>
  <c r="T29" i="19"/>
  <c r="S30" i="19"/>
  <c r="L27" i="19"/>
  <c r="K28" i="19"/>
  <c r="T9" i="19"/>
  <c r="S10" i="19"/>
  <c r="D22" i="19"/>
  <c r="C23" i="19"/>
  <c r="D23" i="19" s="1"/>
  <c r="L10" i="19"/>
  <c r="K11" i="19"/>
  <c r="H125" i="2"/>
  <c r="C124" i="2" s="1"/>
  <c r="I144" i="2"/>
  <c r="H144" i="2" s="1"/>
  <c r="B144" i="2"/>
  <c r="J145" i="2"/>
  <c r="J146" i="2" s="1"/>
  <c r="E145" i="2" s="1"/>
  <c r="B126" i="2"/>
  <c r="I126" i="2"/>
  <c r="H126"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C90" i="2" s="1"/>
  <c r="D57" i="2"/>
  <c r="I43" i="2"/>
  <c r="D42" i="2" s="1"/>
  <c r="J44" i="2"/>
  <c r="E43" i="2" s="1"/>
  <c r="B43" i="2"/>
  <c r="C160" i="2"/>
  <c r="C20" i="2"/>
  <c r="J182" i="2"/>
  <c r="E181" i="2" s="1"/>
  <c r="B181" i="2"/>
  <c r="I181" i="2"/>
  <c r="D180" i="2" s="1"/>
  <c r="B59" i="2"/>
  <c r="J60" i="2"/>
  <c r="I59" i="2"/>
  <c r="H198" i="2"/>
  <c r="B145" i="2"/>
  <c r="E144" i="2"/>
  <c r="D90" i="2"/>
  <c r="J200" i="2"/>
  <c r="E199" i="2" s="1"/>
  <c r="B199" i="2"/>
  <c r="I199" i="2"/>
  <c r="D197" i="2"/>
  <c r="H42" i="2"/>
  <c r="C41" i="2" s="1"/>
  <c r="D41" i="2"/>
  <c r="H162" i="2"/>
  <c r="C161" i="2" s="1"/>
  <c r="J164" i="2"/>
  <c r="E163" i="2" s="1"/>
  <c r="B163" i="2"/>
  <c r="I16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C125" i="2" l="1"/>
  <c r="K12" i="19"/>
  <c r="L11" i="19"/>
  <c r="S11" i="19"/>
  <c r="T10" i="19"/>
  <c r="T30" i="19"/>
  <c r="S31" i="19"/>
  <c r="C11" i="19"/>
  <c r="D10" i="19"/>
  <c r="L64" i="19"/>
  <c r="K65" i="19"/>
  <c r="T101" i="19"/>
  <c r="S102" i="19"/>
  <c r="L28" i="19"/>
  <c r="K29" i="19"/>
  <c r="T46" i="19"/>
  <c r="S47" i="19"/>
  <c r="T64" i="19"/>
  <c r="S65" i="19"/>
  <c r="L44" i="19"/>
  <c r="K45" i="19"/>
  <c r="T84" i="19"/>
  <c r="S85" i="19"/>
  <c r="D143" i="2"/>
  <c r="I145" i="2"/>
  <c r="D144" i="2" s="1"/>
  <c r="Q20" i="2"/>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J61" i="2"/>
  <c r="E60" i="2" s="1"/>
  <c r="B60" i="2"/>
  <c r="I60" i="2"/>
  <c r="D59" i="2" s="1"/>
  <c r="B182" i="2"/>
  <c r="J183" i="2"/>
  <c r="E182" i="2" s="1"/>
  <c r="I182" i="2"/>
  <c r="D181" i="2" s="1"/>
  <c r="H43" i="2"/>
  <c r="C42" i="2" s="1"/>
  <c r="C107" i="2"/>
  <c r="B77" i="2"/>
  <c r="J78" i="2"/>
  <c r="E77" i="2" s="1"/>
  <c r="I77" i="2"/>
  <c r="D76" i="2" s="1"/>
  <c r="H23" i="2"/>
  <c r="C22" i="2" s="1"/>
  <c r="D75" i="2"/>
  <c r="H35" i="2"/>
  <c r="H163" i="2"/>
  <c r="C162" i="2" s="1"/>
  <c r="D162" i="2"/>
  <c r="H199" i="2"/>
  <c r="C198" i="2" s="1"/>
  <c r="H181" i="2"/>
  <c r="C21" i="2"/>
  <c r="D91" i="2"/>
  <c r="I93" i="2"/>
  <c r="B93" i="2"/>
  <c r="J94" i="2"/>
  <c r="D58" i="2"/>
  <c r="D22" i="2"/>
  <c r="D34" i="2"/>
  <c r="E109" i="2"/>
  <c r="G7" i="19"/>
  <c r="E7" i="19"/>
  <c r="F7" i="19"/>
  <c r="D108" i="2"/>
  <c r="F194" i="2"/>
  <c r="F195" i="2"/>
  <c r="F196" i="2" s="1"/>
  <c r="F197" i="2" s="1"/>
  <c r="F198" i="2" s="1"/>
  <c r="F199" i="2" s="1"/>
  <c r="F200" i="2" s="1"/>
  <c r="F201" i="2" s="1"/>
  <c r="F202" i="2" s="1"/>
  <c r="F203" i="2" s="1"/>
  <c r="F204" i="2" s="1"/>
  <c r="F205" i="2" s="1"/>
  <c r="F206" i="2" s="1"/>
  <c r="F207" i="2" s="1"/>
  <c r="F208" i="2" s="1"/>
  <c r="F209" i="2" s="1"/>
  <c r="D198" i="2"/>
  <c r="E59" i="2"/>
  <c r="C33" i="2"/>
  <c r="B44" i="2"/>
  <c r="I44" i="2"/>
  <c r="J45" i="2"/>
  <c r="E92" i="2"/>
  <c r="H145" i="2" l="1"/>
  <c r="C144" i="2" s="1"/>
  <c r="F8" i="19"/>
  <c r="E127" i="2"/>
  <c r="L45" i="19"/>
  <c r="K46" i="19"/>
  <c r="T47" i="19"/>
  <c r="S48" i="19"/>
  <c r="S103" i="19"/>
  <c r="T102" i="19"/>
  <c r="D11" i="19"/>
  <c r="C12" i="19"/>
  <c r="D12" i="19" s="1"/>
  <c r="T11" i="19"/>
  <c r="S12" i="19"/>
  <c r="S86" i="19"/>
  <c r="T85" i="19"/>
  <c r="T65" i="19"/>
  <c r="S66" i="19"/>
  <c r="L29" i="19"/>
  <c r="K30" i="19"/>
  <c r="L65" i="19"/>
  <c r="K66" i="19"/>
  <c r="T31" i="19"/>
  <c r="S32" i="19"/>
  <c r="L12" i="19"/>
  <c r="K13" i="19"/>
  <c r="D145" i="2"/>
  <c r="P20" i="2"/>
  <c r="S20" i="2"/>
  <c r="J129" i="2"/>
  <c r="E128" i="2" s="1"/>
  <c r="H127" i="2"/>
  <c r="C126" i="2" s="1"/>
  <c r="D127" i="2"/>
  <c r="B128" i="2"/>
  <c r="E8" i="19"/>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H36" i="2"/>
  <c r="C35" i="2" s="1"/>
  <c r="H24" i="2"/>
  <c r="C23" i="2" s="1"/>
  <c r="C34" i="2"/>
  <c r="B129" i="2" l="1"/>
  <c r="J130" i="2"/>
  <c r="E129" i="2" s="1"/>
  <c r="T32" i="19"/>
  <c r="S33" i="19"/>
  <c r="L30" i="19"/>
  <c r="K31" i="19"/>
  <c r="T48" i="19"/>
  <c r="S49" i="19"/>
  <c r="T86" i="19"/>
  <c r="S87" i="19"/>
  <c r="L13" i="19"/>
  <c r="K14" i="19"/>
  <c r="L66" i="19"/>
  <c r="K67" i="19"/>
  <c r="L67" i="19" s="1"/>
  <c r="T66" i="19"/>
  <c r="S67" i="19"/>
  <c r="T12" i="19"/>
  <c r="S13" i="19"/>
  <c r="L46" i="19"/>
  <c r="K47" i="19"/>
  <c r="T103" i="19"/>
  <c r="S104" i="19"/>
  <c r="I129" i="2"/>
  <c r="D128" i="2" s="1"/>
  <c r="AA194" i="2"/>
  <c r="AA195" i="2"/>
  <c r="AA196" i="2" s="1"/>
  <c r="AA197" i="2" s="1"/>
  <c r="AA198" i="2" s="1"/>
  <c r="AA199" i="2" s="1"/>
  <c r="AA200" i="2" s="1"/>
  <c r="AA201" i="2" s="1"/>
  <c r="AA202" i="2" s="1"/>
  <c r="AA203" i="2" s="1"/>
  <c r="AA204" i="2" s="1"/>
  <c r="AA205" i="2" s="1"/>
  <c r="AA206" i="2" s="1"/>
  <c r="AA207" i="2" s="1"/>
  <c r="AA208" i="2" s="1"/>
  <c r="AA209" i="2" s="1"/>
  <c r="H78" i="2"/>
  <c r="J63" i="2"/>
  <c r="E62" i="2" s="1"/>
  <c r="I62" i="2"/>
  <c r="B62" i="2"/>
  <c r="H61" i="2"/>
  <c r="B184" i="2"/>
  <c r="J185" i="2"/>
  <c r="I184" i="2"/>
  <c r="D183" i="2" s="1"/>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B26" i="2"/>
  <c r="G10" i="19" s="1"/>
  <c r="H25" i="2"/>
  <c r="C24" i="2" s="1"/>
  <c r="H37" i="2"/>
  <c r="D37" i="2"/>
  <c r="B79" i="2"/>
  <c r="J80" i="2"/>
  <c r="E79" i="2" s="1"/>
  <c r="I79" i="2"/>
  <c r="H165" i="2"/>
  <c r="C164" i="2" s="1"/>
  <c r="B166" i="2"/>
  <c r="J167" i="2"/>
  <c r="E166" i="2" s="1"/>
  <c r="I166" i="2"/>
  <c r="C199" i="2"/>
  <c r="H9" i="19"/>
  <c r="F9" i="19"/>
  <c r="G9" i="19"/>
  <c r="H129" i="2"/>
  <c r="E201" i="2"/>
  <c r="B46" i="2"/>
  <c r="I46" i="2"/>
  <c r="J47" i="2"/>
  <c r="E165" i="2"/>
  <c r="B148" i="2"/>
  <c r="J149" i="2"/>
  <c r="I148" i="2"/>
  <c r="C181" i="2"/>
  <c r="E61" i="2"/>
  <c r="D60" i="2"/>
  <c r="D77" i="2"/>
  <c r="E94" i="2"/>
  <c r="J131" i="2" l="1"/>
  <c r="I130" i="2"/>
  <c r="B130" i="2"/>
  <c r="S105" i="19"/>
  <c r="T104" i="19"/>
  <c r="T13" i="19"/>
  <c r="S14" i="19"/>
  <c r="S88" i="19"/>
  <c r="T87" i="19"/>
  <c r="L31" i="19"/>
  <c r="K32" i="19"/>
  <c r="L47" i="19"/>
  <c r="K48" i="19"/>
  <c r="S68" i="19"/>
  <c r="T67" i="19"/>
  <c r="L14" i="19"/>
  <c r="K15" i="19"/>
  <c r="T49" i="19"/>
  <c r="S50" i="19"/>
  <c r="S34" i="19"/>
  <c r="T33" i="19"/>
  <c r="A5" i="9"/>
  <c r="F11" i="9" s="1"/>
  <c r="F10" i="19"/>
  <c r="H10" i="1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E46" i="2"/>
  <c r="E10" i="19"/>
  <c r="C182" i="2"/>
  <c r="I113" i="2"/>
  <c r="D112" i="2" s="1"/>
  <c r="B113" i="2"/>
  <c r="J114" i="2"/>
  <c r="E113" i="2" s="1"/>
  <c r="E112" i="2"/>
  <c r="H148" i="2"/>
  <c r="C147" i="2" s="1"/>
  <c r="D147" i="2"/>
  <c r="H46" i="2"/>
  <c r="C45" i="2" s="1"/>
  <c r="J132" i="2"/>
  <c r="E131" i="2" s="1"/>
  <c r="I131" i="2"/>
  <c r="D130" i="2" s="1"/>
  <c r="B131" i="2"/>
  <c r="E130" i="2"/>
  <c r="C128" i="2"/>
  <c r="H130" i="2"/>
  <c r="C129" i="2" s="1"/>
  <c r="D129" i="2"/>
  <c r="H26" i="2"/>
  <c r="C25" i="2" s="1"/>
  <c r="D45" i="2"/>
  <c r="C77" i="2"/>
  <c r="H184" i="2"/>
  <c r="H62" i="2"/>
  <c r="C61" i="2" s="1"/>
  <c r="H166" i="2"/>
  <c r="H79" i="2"/>
  <c r="C37" i="2"/>
  <c r="H112" i="2"/>
  <c r="C111" i="2" s="1"/>
  <c r="H202" i="2"/>
  <c r="C201" i="2" s="1"/>
  <c r="H9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I27" i="2"/>
  <c r="B27" i="2"/>
  <c r="J28" i="2"/>
  <c r="E27" i="2" s="1"/>
  <c r="C36" i="2"/>
  <c r="J204" i="2"/>
  <c r="E203" i="2" s="1"/>
  <c r="B203" i="2"/>
  <c r="I203" i="2"/>
  <c r="D202" i="2" s="1"/>
  <c r="D201" i="2"/>
  <c r="J97" i="2"/>
  <c r="E96" i="2" s="1"/>
  <c r="B96" i="2"/>
  <c r="I96" i="2"/>
  <c r="D95" i="2" s="1"/>
  <c r="E184" i="2"/>
  <c r="D61" i="2"/>
  <c r="B63" i="2"/>
  <c r="J64" i="2"/>
  <c r="E63" i="2" s="1"/>
  <c r="I63" i="2"/>
  <c r="D78" i="2"/>
  <c r="Y21" i="2"/>
  <c r="Y61" i="2"/>
  <c r="Z39" i="2"/>
  <c r="Y159" i="2"/>
  <c r="Y163" i="2"/>
  <c r="Y116" i="2"/>
  <c r="X186" i="2"/>
  <c r="Z103" i="2"/>
  <c r="X35" i="2"/>
  <c r="X129" i="2"/>
  <c r="X125" i="2"/>
  <c r="X57" i="2"/>
  <c r="Z149" i="2"/>
  <c r="Y131" i="2"/>
  <c r="Z63" i="2"/>
  <c r="X209" i="2"/>
  <c r="Y203" i="2"/>
  <c r="Z154" i="2"/>
  <c r="X177" i="2"/>
  <c r="Y201" i="2"/>
  <c r="Y147" i="2"/>
  <c r="Y165" i="2"/>
  <c r="X172" i="2"/>
  <c r="X109" i="2"/>
  <c r="Y103" i="2"/>
  <c r="Y74" i="2"/>
  <c r="X153" i="2"/>
  <c r="Y51" i="2"/>
  <c r="Z71" i="2"/>
  <c r="Z143" i="2"/>
  <c r="Y132" i="2"/>
  <c r="Z178" i="2"/>
  <c r="Y160" i="2"/>
  <c r="X27" i="2"/>
  <c r="X139" i="2"/>
  <c r="Y207" i="2"/>
  <c r="Z88" i="2"/>
  <c r="Y64" i="2"/>
  <c r="X34" i="2"/>
  <c r="Y84" i="2"/>
  <c r="Y175" i="2"/>
  <c r="Y121" i="2"/>
  <c r="Y196" i="2"/>
  <c r="Z138" i="2"/>
  <c r="Y170" i="2"/>
  <c r="Y194" i="2"/>
  <c r="Z92" i="2"/>
  <c r="X24" i="2"/>
  <c r="Y119" i="2"/>
  <c r="X193" i="2"/>
  <c r="Z56" i="2"/>
  <c r="X112" i="2"/>
  <c r="Z115" i="2"/>
  <c r="Z78" i="2"/>
  <c r="Z60" i="2"/>
  <c r="X74" i="2"/>
  <c r="X189" i="2"/>
  <c r="X68" i="2"/>
  <c r="Y167" i="2"/>
  <c r="Y144" i="2"/>
  <c r="Y126" i="2"/>
  <c r="Y133" i="2"/>
  <c r="X190" i="2"/>
  <c r="X98" i="2"/>
  <c r="X156" i="2"/>
  <c r="X161" i="2"/>
  <c r="Z37" i="2"/>
  <c r="X85" i="2"/>
  <c r="Z48" i="2"/>
  <c r="Z36" i="2"/>
  <c r="Y124" i="2"/>
  <c r="X76" i="2"/>
  <c r="Z147" i="2"/>
  <c r="X108" i="2"/>
  <c r="Y188" i="2"/>
  <c r="Z191" i="2"/>
  <c r="Y198" i="2"/>
  <c r="Z205" i="2"/>
  <c r="Y94" i="2"/>
  <c r="Z66" i="2"/>
  <c r="Y42" i="2"/>
  <c r="Z79" i="2"/>
  <c r="Y50" i="2"/>
  <c r="Z171" i="2"/>
  <c r="Y86" i="2"/>
  <c r="Z195" i="2"/>
  <c r="Z182" i="2"/>
  <c r="X132" i="2"/>
  <c r="Y156" i="2"/>
  <c r="X66" i="2"/>
  <c r="X78" i="2"/>
  <c r="X203" i="2"/>
  <c r="Z89" i="2"/>
  <c r="X178" i="2"/>
  <c r="Y55" i="2"/>
  <c r="X100" i="2"/>
  <c r="Z27" i="2"/>
  <c r="Y27" i="2"/>
  <c r="X128" i="2"/>
  <c r="Y152" i="2"/>
  <c r="Z203" i="2"/>
  <c r="Z137" i="2"/>
  <c r="X103" i="2"/>
  <c r="Z139" i="2"/>
  <c r="X141" i="2"/>
  <c r="X19" i="2"/>
  <c r="X107" i="2"/>
  <c r="X148" i="2"/>
  <c r="X82" i="2"/>
  <c r="Z186" i="2"/>
  <c r="Z65" i="2"/>
  <c r="Z181" i="2"/>
  <c r="Z131" i="2"/>
  <c r="Y130" i="2"/>
  <c r="X130" i="2"/>
  <c r="Y140" i="2"/>
  <c r="Z21" i="2"/>
  <c r="Z175" i="2"/>
  <c r="X164" i="2"/>
  <c r="X135" i="2"/>
  <c r="X31" i="2"/>
  <c r="Z173" i="2"/>
  <c r="Y110" i="2"/>
  <c r="Y87" i="2"/>
  <c r="X146" i="2"/>
  <c r="X104" i="2"/>
  <c r="Y25" i="2"/>
  <c r="X88" i="2"/>
  <c r="X51" i="2"/>
  <c r="Z91" i="2"/>
  <c r="Z200" i="2"/>
  <c r="Y75" i="2"/>
  <c r="X36" i="2"/>
  <c r="Y53" i="2"/>
  <c r="X97" i="2"/>
  <c r="Y81" i="2"/>
  <c r="Y62" i="2"/>
  <c r="Z101" i="2"/>
  <c r="X71" i="2"/>
  <c r="Y52" i="2"/>
  <c r="Z55" i="2"/>
  <c r="Z114" i="2"/>
  <c r="X70" i="2"/>
  <c r="X126" i="2"/>
  <c r="X39" i="2"/>
  <c r="X118" i="2"/>
  <c r="Y128" i="2"/>
  <c r="X182" i="2"/>
  <c r="X119" i="2"/>
  <c r="X198" i="2"/>
  <c r="Z45" i="2"/>
  <c r="X62" i="2"/>
  <c r="Z130" i="2"/>
  <c r="X84" i="2"/>
  <c r="X175" i="2"/>
  <c r="X94" i="2"/>
  <c r="Y184" i="2"/>
  <c r="Z61" i="2"/>
  <c r="Y34" i="2"/>
  <c r="Z25" i="2"/>
  <c r="Z29" i="2"/>
  <c r="Y114" i="2"/>
  <c r="Y59" i="2"/>
  <c r="X41" i="2"/>
  <c r="Y60" i="2"/>
  <c r="X79" i="2"/>
  <c r="Z76" i="2"/>
  <c r="X37" i="2"/>
  <c r="X179" i="2"/>
  <c r="X23" i="2"/>
  <c r="Y166" i="2"/>
  <c r="Z145" i="2"/>
  <c r="Z144" i="2"/>
  <c r="Y155" i="2"/>
  <c r="Y139" i="2"/>
  <c r="Z158" i="2"/>
  <c r="X195" i="2"/>
  <c r="Y30" i="2"/>
  <c r="X134" i="2"/>
  <c r="X144" i="2"/>
  <c r="Z136" i="2"/>
  <c r="Y118" i="2"/>
  <c r="Y173" i="2"/>
  <c r="Y209" i="2"/>
  <c r="Y177" i="2"/>
  <c r="X59" i="2"/>
  <c r="X123" i="2"/>
  <c r="X160" i="2"/>
  <c r="X194" i="2"/>
  <c r="X61" i="2"/>
  <c r="Z196" i="2"/>
  <c r="Y105" i="2"/>
  <c r="Z208" i="2"/>
  <c r="Y137" i="2"/>
  <c r="Z207" i="2"/>
  <c r="X105" i="2"/>
  <c r="Y36" i="2"/>
  <c r="Z57" i="2"/>
  <c r="Y29" i="2"/>
  <c r="X158" i="2"/>
  <c r="X80" i="2"/>
  <c r="Y141" i="2"/>
  <c r="X64" i="2"/>
  <c r="Y148" i="2"/>
  <c r="Z22" i="2"/>
  <c r="X171" i="2"/>
  <c r="X86" i="2"/>
  <c r="X184" i="2"/>
  <c r="X42" i="2"/>
  <c r="Y69" i="2"/>
  <c r="Z18" i="2"/>
  <c r="Z123" i="2"/>
  <c r="Z110" i="2"/>
  <c r="X176" i="2"/>
  <c r="Z97" i="2"/>
  <c r="Z151" i="2"/>
  <c r="Z148" i="2"/>
  <c r="Z28" i="2"/>
  <c r="X121" i="2"/>
  <c r="Z70" i="2"/>
  <c r="Y77" i="2"/>
  <c r="Z35" i="2"/>
  <c r="Y20" i="2"/>
  <c r="Z134" i="2"/>
  <c r="Y169" i="2"/>
  <c r="Z47" i="2"/>
  <c r="Z30" i="2"/>
  <c r="X48" i="2"/>
  <c r="Y72" i="2"/>
  <c r="Z68" i="2"/>
  <c r="Y46" i="2"/>
  <c r="X149" i="2"/>
  <c r="X115" i="2"/>
  <c r="Z93" i="2"/>
  <c r="Z150" i="2"/>
  <c r="X92" i="2"/>
  <c r="X49" i="2"/>
  <c r="Z201" i="2"/>
  <c r="Y145" i="2"/>
  <c r="Y44" i="2"/>
  <c r="X205" i="2"/>
  <c r="Z153" i="2"/>
  <c r="X87" i="2"/>
  <c r="Z163" i="2"/>
  <c r="X32" i="2"/>
  <c r="Y107" i="2"/>
  <c r="Z67" i="2"/>
  <c r="X95" i="2"/>
  <c r="X170" i="2"/>
  <c r="X46" i="2"/>
  <c r="X143" i="2"/>
  <c r="Y106" i="2"/>
  <c r="Y143" i="2"/>
  <c r="Z109" i="2"/>
  <c r="X185" i="2"/>
  <c r="Z185" i="2"/>
  <c r="X81" i="2"/>
  <c r="Y65" i="2"/>
  <c r="Y18" i="2"/>
  <c r="Z128" i="2"/>
  <c r="Y78" i="2"/>
  <c r="Y180" i="2"/>
  <c r="Z155" i="2"/>
  <c r="Z166" i="2"/>
  <c r="Y150" i="2"/>
  <c r="Y171" i="2"/>
  <c r="Z116" i="2"/>
  <c r="Y117" i="2"/>
  <c r="Z113" i="2"/>
  <c r="Y189" i="2"/>
  <c r="Y113" i="2"/>
  <c r="Y92" i="2"/>
  <c r="X77" i="2"/>
  <c r="X47" i="2"/>
  <c r="X110" i="2"/>
  <c r="Z20" i="2"/>
  <c r="Y100" i="2"/>
  <c r="Z121" i="2"/>
  <c r="Z162" i="2"/>
  <c r="Z90" i="2"/>
  <c r="Y123" i="2"/>
  <c r="X29" i="2"/>
  <c r="X208" i="2"/>
  <c r="X55" i="2"/>
  <c r="Y26" i="2"/>
  <c r="Y115" i="2"/>
  <c r="Y23" i="2"/>
  <c r="Y63" i="2"/>
  <c r="Y154" i="2"/>
  <c r="X40" i="2"/>
  <c r="X90" i="2"/>
  <c r="X18" i="2"/>
  <c r="Z72" i="2"/>
  <c r="Y70" i="2"/>
  <c r="Z41" i="2"/>
  <c r="Y66" i="2"/>
  <c r="Z96" i="2"/>
  <c r="Y182" i="2"/>
  <c r="Z59" i="2"/>
  <c r="Z190" i="2"/>
  <c r="Z34" i="2"/>
  <c r="X166" i="2"/>
  <c r="Y102" i="2"/>
  <c r="Y99" i="2"/>
  <c r="Z50" i="2"/>
  <c r="Z122" i="2"/>
  <c r="Z183" i="2"/>
  <c r="Z58" i="2"/>
  <c r="X196" i="2"/>
  <c r="Z62" i="2"/>
  <c r="Z107" i="2"/>
  <c r="Z209" i="2"/>
  <c r="Y37" i="2"/>
  <c r="X67" i="2"/>
  <c r="Y101" i="2"/>
  <c r="Y24" i="2"/>
  <c r="Y179" i="2"/>
  <c r="X140" i="2"/>
  <c r="Z32" i="2"/>
  <c r="Z23" i="2"/>
  <c r="Y208" i="2"/>
  <c r="Z127" i="2"/>
  <c r="Z82" i="2"/>
  <c r="Z193" i="2"/>
  <c r="Y161" i="2"/>
  <c r="X26" i="2"/>
  <c r="Z24" i="2"/>
  <c r="X58" i="2"/>
  <c r="X43" i="2"/>
  <c r="Z142" i="2"/>
  <c r="Y40" i="2"/>
  <c r="Z52" i="2"/>
  <c r="Z157" i="2"/>
  <c r="X93" i="2"/>
  <c r="Y91" i="2"/>
  <c r="Y19" i="2"/>
  <c r="X202" i="2"/>
  <c r="Z87" i="2"/>
  <c r="Z133" i="2"/>
  <c r="Z94" i="2"/>
  <c r="Y45" i="2"/>
  <c r="X99" i="2"/>
  <c r="X83" i="2"/>
  <c r="Z53" i="2"/>
  <c r="Z140" i="2"/>
  <c r="X114" i="2"/>
  <c r="Z42" i="2"/>
  <c r="X165" i="2"/>
  <c r="Z100" i="2"/>
  <c r="X30" i="2"/>
  <c r="X52" i="2"/>
  <c r="Z168" i="2"/>
  <c r="Y96" i="2"/>
  <c r="Z98" i="2"/>
  <c r="Y33" i="2"/>
  <c r="Y31" i="2"/>
  <c r="X72" i="2"/>
  <c r="Y95" i="2"/>
  <c r="X169" i="2"/>
  <c r="X147" i="2"/>
  <c r="X56" i="2"/>
  <c r="Z118" i="2"/>
  <c r="Z184" i="2"/>
  <c r="Y58" i="2"/>
  <c r="X142" i="2"/>
  <c r="Z111" i="2"/>
  <c r="X207" i="2"/>
  <c r="Y206" i="2"/>
  <c r="X154" i="2"/>
  <c r="X54" i="2"/>
  <c r="Z64" i="2"/>
  <c r="Z146" i="2"/>
  <c r="Y178" i="2"/>
  <c r="Z170" i="2"/>
  <c r="X180" i="2"/>
  <c r="Z102" i="2"/>
  <c r="Z197" i="2"/>
  <c r="Z164" i="2"/>
  <c r="X44" i="2"/>
  <c r="Z77" i="2"/>
  <c r="Y35" i="2"/>
  <c r="X192" i="2"/>
  <c r="X181" i="2"/>
  <c r="Z26" i="2"/>
  <c r="X204" i="2"/>
  <c r="X102" i="2"/>
  <c r="Z169" i="2"/>
  <c r="Z75" i="2"/>
  <c r="Y138" i="2"/>
  <c r="Z194" i="2"/>
  <c r="Z125" i="2"/>
  <c r="Z159" i="2"/>
  <c r="Y181" i="2"/>
  <c r="Z204" i="2"/>
  <c r="Z176" i="2"/>
  <c r="X163" i="2"/>
  <c r="Y176" i="2"/>
  <c r="X117" i="2"/>
  <c r="X199" i="2"/>
  <c r="X25" i="2"/>
  <c r="Y146" i="2"/>
  <c r="X136" i="2"/>
  <c r="X174" i="2"/>
  <c r="Z177" i="2"/>
  <c r="Y108" i="2"/>
  <c r="X96" i="2"/>
  <c r="Z81" i="2"/>
  <c r="Z49" i="2"/>
  <c r="Y199" i="2"/>
  <c r="X101" i="2"/>
  <c r="Y71" i="2"/>
  <c r="Y97" i="2"/>
  <c r="Z44" i="2"/>
  <c r="Z54" i="2"/>
  <c r="Y76" i="2"/>
  <c r="Y172" i="2"/>
  <c r="Y200" i="2"/>
  <c r="Y90" i="2"/>
  <c r="Y195" i="2"/>
  <c r="Y85" i="2"/>
  <c r="Y28" i="2"/>
  <c r="X65" i="2"/>
  <c r="Z84" i="2"/>
  <c r="Y98" i="2"/>
  <c r="Z199" i="2"/>
  <c r="Z172" i="2"/>
  <c r="Y125" i="2"/>
  <c r="Y82" i="2"/>
  <c r="Y149" i="2"/>
  <c r="Z69" i="2"/>
  <c r="X197" i="2"/>
  <c r="Y83" i="2"/>
  <c r="Z192" i="2"/>
  <c r="Y104" i="2"/>
  <c r="Z202" i="2"/>
  <c r="Y183" i="2"/>
  <c r="X173" i="2"/>
  <c r="Y135" i="2"/>
  <c r="Y89" i="2"/>
  <c r="Y153" i="2"/>
  <c r="Y190" i="2"/>
  <c r="Z117" i="2"/>
  <c r="Z180" i="2"/>
  <c r="Y39" i="2"/>
  <c r="Z161" i="2"/>
  <c r="Y122" i="2"/>
  <c r="Z152" i="2"/>
  <c r="X69" i="2"/>
  <c r="Y142" i="2"/>
  <c r="Z106" i="2"/>
  <c r="X120" i="2"/>
  <c r="Y79" i="2"/>
  <c r="Y54" i="2"/>
  <c r="Z19" i="2"/>
  <c r="Z51" i="2"/>
  <c r="X162" i="2"/>
  <c r="Y164" i="2"/>
  <c r="Z80" i="2"/>
  <c r="Y22" i="2"/>
  <c r="Z160" i="2"/>
  <c r="Z86" i="2"/>
  <c r="Y68" i="2"/>
  <c r="Z141" i="2"/>
  <c r="Z108" i="2"/>
  <c r="X60" i="2"/>
  <c r="Z40" i="2"/>
  <c r="X206" i="2"/>
  <c r="Z33" i="2"/>
  <c r="Y158" i="2"/>
  <c r="X124" i="2"/>
  <c r="Y32" i="2"/>
  <c r="Y162" i="2"/>
  <c r="Y41" i="2"/>
  <c r="Z187" i="2"/>
  <c r="Y73" i="2"/>
  <c r="Z46" i="2"/>
  <c r="X45" i="2"/>
  <c r="Z174" i="2"/>
  <c r="X28" i="2"/>
  <c r="Y205" i="2"/>
  <c r="X188" i="2"/>
  <c r="X111" i="2"/>
  <c r="X89" i="2"/>
  <c r="X53" i="2"/>
  <c r="Z105" i="2"/>
  <c r="Y185" i="2"/>
  <c r="Z189" i="2"/>
  <c r="X106" i="2"/>
  <c r="Z135" i="2"/>
  <c r="Y88" i="2"/>
  <c r="X157" i="2"/>
  <c r="Y67" i="2"/>
  <c r="Z120" i="2"/>
  <c r="X50" i="2"/>
  <c r="X152" i="2"/>
  <c r="Z165" i="2"/>
  <c r="X133" i="2"/>
  <c r="Y120" i="2"/>
  <c r="Z31" i="2"/>
  <c r="Z167" i="2"/>
  <c r="X183" i="2"/>
  <c r="Z85" i="2"/>
  <c r="X200" i="2"/>
  <c r="Y57" i="2"/>
  <c r="Y197" i="2"/>
  <c r="Y192" i="2"/>
  <c r="X73" i="2"/>
  <c r="Y202" i="2"/>
  <c r="Z43" i="2"/>
  <c r="X38" i="2"/>
  <c r="X159" i="2"/>
  <c r="X187" i="2"/>
  <c r="Z74" i="2"/>
  <c r="Z188" i="2"/>
  <c r="Z156" i="2"/>
  <c r="Z104" i="2"/>
  <c r="Z179" i="2"/>
  <c r="Y151" i="2"/>
  <c r="Z124" i="2"/>
  <c r="Y129" i="2"/>
  <c r="X201" i="2"/>
  <c r="X127" i="2"/>
  <c r="Z112" i="2"/>
  <c r="Z83" i="2"/>
  <c r="Z99" i="2"/>
  <c r="Y187" i="2"/>
  <c r="Y186" i="2"/>
  <c r="X145" i="2"/>
  <c r="Y109" i="2"/>
  <c r="X116" i="2"/>
  <c r="Y193" i="2"/>
  <c r="Y174" i="2"/>
  <c r="X63" i="2"/>
  <c r="Y49" i="2"/>
  <c r="Y93" i="2"/>
  <c r="X113" i="2"/>
  <c r="Y48" i="2"/>
  <c r="Y191" i="2"/>
  <c r="Y80" i="2"/>
  <c r="X191" i="2"/>
  <c r="Y127" i="2"/>
  <c r="Z129" i="2"/>
  <c r="X138" i="2"/>
  <c r="Z38" i="2"/>
  <c r="X137" i="2"/>
  <c r="Z132" i="2"/>
  <c r="X155" i="2"/>
  <c r="Y111" i="2"/>
  <c r="Z95" i="2"/>
  <c r="Y38" i="2"/>
  <c r="Y43" i="2"/>
  <c r="X150" i="2"/>
  <c r="Y112" i="2"/>
  <c r="Z119" i="2"/>
  <c r="Y134" i="2"/>
  <c r="X167" i="2"/>
  <c r="Y204" i="2"/>
  <c r="X22" i="2"/>
  <c r="X168" i="2"/>
  <c r="Y56" i="2"/>
  <c r="X131" i="2"/>
  <c r="Z73" i="2"/>
  <c r="Y47" i="2"/>
  <c r="X91" i="2"/>
  <c r="X122" i="2"/>
  <c r="Y136" i="2"/>
  <c r="Z206" i="2"/>
  <c r="Y157" i="2"/>
  <c r="Z126" i="2"/>
  <c r="X33" i="2"/>
  <c r="X21" i="2"/>
  <c r="X151" i="2"/>
  <c r="X75" i="2"/>
  <c r="Z198" i="2"/>
  <c r="Y168" i="2"/>
  <c r="U168" i="2" l="1"/>
  <c r="W198" i="2"/>
  <c r="P75" i="2"/>
  <c r="Q75" i="2"/>
  <c r="S75" i="2"/>
  <c r="S151" i="2"/>
  <c r="P151" i="2"/>
  <c r="Q151" i="2"/>
  <c r="Q21" i="2"/>
  <c r="S21" i="2"/>
  <c r="P21" i="2"/>
  <c r="Q33" i="2"/>
  <c r="S33" i="2"/>
  <c r="P33" i="2"/>
  <c r="W126" i="2"/>
  <c r="U157" i="2"/>
  <c r="W206" i="2"/>
  <c r="U136" i="2"/>
  <c r="S122" i="2"/>
  <c r="Q122" i="2"/>
  <c r="P122" i="2"/>
  <c r="S91" i="2"/>
  <c r="P91" i="2"/>
  <c r="Q91" i="2"/>
  <c r="U47" i="2"/>
  <c r="W73" i="2"/>
  <c r="P131" i="2"/>
  <c r="S131" i="2"/>
  <c r="Q131" i="2"/>
  <c r="U56" i="2"/>
  <c r="Q168" i="2"/>
  <c r="S168" i="2"/>
  <c r="P168" i="2"/>
  <c r="Q22" i="2"/>
  <c r="S22" i="2"/>
  <c r="P22" i="2"/>
  <c r="U204" i="2"/>
  <c r="Q167" i="2"/>
  <c r="P167" i="2"/>
  <c r="S167" i="2"/>
  <c r="U134" i="2"/>
  <c r="W119" i="2"/>
  <c r="U112" i="2"/>
  <c r="P150" i="2"/>
  <c r="S150" i="2"/>
  <c r="Q150" i="2"/>
  <c r="U43" i="2"/>
  <c r="U38" i="2"/>
  <c r="N38" i="2" s="1"/>
  <c r="W95" i="2"/>
  <c r="U111" i="2"/>
  <c r="S155" i="2"/>
  <c r="P155" i="2"/>
  <c r="Q155" i="2"/>
  <c r="W132" i="2"/>
  <c r="P137" i="2"/>
  <c r="Q137" i="2"/>
  <c r="S137" i="2"/>
  <c r="W38" i="2"/>
  <c r="O38" i="2" s="1"/>
  <c r="P138" i="2"/>
  <c r="S138" i="2"/>
  <c r="Q138" i="2"/>
  <c r="W129" i="2"/>
  <c r="U127" i="2"/>
  <c r="S191" i="2"/>
  <c r="P191" i="2"/>
  <c r="Q191" i="2"/>
  <c r="U80" i="2"/>
  <c r="U191" i="2"/>
  <c r="U48" i="2"/>
  <c r="P113" i="2"/>
  <c r="S113" i="2"/>
  <c r="Q113" i="2"/>
  <c r="U93" i="2"/>
  <c r="U49" i="2"/>
  <c r="S63" i="2"/>
  <c r="Q63" i="2"/>
  <c r="P63" i="2"/>
  <c r="U174" i="2"/>
  <c r="U193" i="2"/>
  <c r="S116" i="2"/>
  <c r="Q116" i="2"/>
  <c r="P116" i="2"/>
  <c r="U109" i="2"/>
  <c r="Q145" i="2"/>
  <c r="S145" i="2"/>
  <c r="P145" i="2"/>
  <c r="U186" i="2"/>
  <c r="U187" i="2"/>
  <c r="W99" i="2"/>
  <c r="W83" i="2"/>
  <c r="W112" i="2"/>
  <c r="Q127" i="2"/>
  <c r="S127" i="2"/>
  <c r="P127" i="2"/>
  <c r="P201" i="2"/>
  <c r="S201" i="2"/>
  <c r="Q201" i="2"/>
  <c r="U129" i="2"/>
  <c r="W124" i="2"/>
  <c r="U151" i="2"/>
  <c r="W179" i="2"/>
  <c r="W104" i="2"/>
  <c r="W156" i="2"/>
  <c r="W188" i="2"/>
  <c r="W74" i="2"/>
  <c r="P187" i="2"/>
  <c r="Q187" i="2"/>
  <c r="S187" i="2"/>
  <c r="S159" i="2"/>
  <c r="Q159" i="2"/>
  <c r="P159" i="2"/>
  <c r="S38" i="2"/>
  <c r="Q38" i="2"/>
  <c r="M38" i="2" s="1"/>
  <c r="P38" i="2"/>
  <c r="L38" i="2" s="1"/>
  <c r="W43" i="2"/>
  <c r="U202" i="2"/>
  <c r="Q73" i="2"/>
  <c r="S73" i="2"/>
  <c r="P73" i="2"/>
  <c r="U192" i="2"/>
  <c r="U197" i="2"/>
  <c r="U57" i="2"/>
  <c r="S200" i="2"/>
  <c r="Q200" i="2"/>
  <c r="P200" i="2"/>
  <c r="W85" i="2"/>
  <c r="S183" i="2"/>
  <c r="P183" i="2"/>
  <c r="Q183" i="2"/>
  <c r="W167" i="2"/>
  <c r="W31" i="2"/>
  <c r="U120" i="2"/>
  <c r="Q133" i="2"/>
  <c r="S133" i="2"/>
  <c r="P133" i="2"/>
  <c r="W165" i="2"/>
  <c r="P152" i="2"/>
  <c r="S152" i="2"/>
  <c r="Q152" i="2"/>
  <c r="P50" i="2"/>
  <c r="S50" i="2"/>
  <c r="Q50" i="2"/>
  <c r="W120" i="2"/>
  <c r="U67" i="2"/>
  <c r="S157" i="2"/>
  <c r="P157" i="2"/>
  <c r="Q157" i="2"/>
  <c r="U88" i="2"/>
  <c r="W135" i="2"/>
  <c r="S106" i="2"/>
  <c r="Q106" i="2"/>
  <c r="P106" i="2"/>
  <c r="W189" i="2"/>
  <c r="U185" i="2"/>
  <c r="W105" i="2"/>
  <c r="Q53" i="2"/>
  <c r="S53" i="2"/>
  <c r="P53" i="2"/>
  <c r="Q89" i="2"/>
  <c r="P89" i="2"/>
  <c r="S89" i="2"/>
  <c r="S111" i="2"/>
  <c r="P111" i="2"/>
  <c r="Q111" i="2"/>
  <c r="P188" i="2"/>
  <c r="S188" i="2"/>
  <c r="Q188" i="2"/>
  <c r="U205" i="2"/>
  <c r="P28" i="2"/>
  <c r="S28" i="2"/>
  <c r="Q28" i="2"/>
  <c r="W174" i="2"/>
  <c r="Q45" i="2"/>
  <c r="P45" i="2"/>
  <c r="S45" i="2"/>
  <c r="W46" i="2"/>
  <c r="U73" i="2"/>
  <c r="W187" i="2"/>
  <c r="U41" i="2"/>
  <c r="U162" i="2"/>
  <c r="U32" i="2"/>
  <c r="Q124" i="2"/>
  <c r="S124" i="2"/>
  <c r="P124" i="2"/>
  <c r="U158" i="2"/>
  <c r="W33" i="2"/>
  <c r="Q206" i="2"/>
  <c r="S206" i="2"/>
  <c r="P206" i="2"/>
  <c r="W40" i="2"/>
  <c r="P60" i="2"/>
  <c r="Q60" i="2"/>
  <c r="S60" i="2"/>
  <c r="W108" i="2"/>
  <c r="W141" i="2"/>
  <c r="U68" i="2"/>
  <c r="W86" i="2"/>
  <c r="W160" i="2"/>
  <c r="U22" i="2"/>
  <c r="W80" i="2"/>
  <c r="U164" i="2"/>
  <c r="P162" i="2"/>
  <c r="Q162" i="2"/>
  <c r="S162" i="2"/>
  <c r="W51" i="2"/>
  <c r="W19" i="2"/>
  <c r="U54" i="2"/>
  <c r="U79" i="2"/>
  <c r="Q120" i="2"/>
  <c r="P120" i="2"/>
  <c r="S120" i="2"/>
  <c r="W106" i="2"/>
  <c r="U142" i="2"/>
  <c r="Q69" i="2"/>
  <c r="P69" i="2"/>
  <c r="S69" i="2"/>
  <c r="W152" i="2"/>
  <c r="U122" i="2"/>
  <c r="W161" i="2"/>
  <c r="U39" i="2"/>
  <c r="W180" i="2"/>
  <c r="W117" i="2"/>
  <c r="U190" i="2"/>
  <c r="U153" i="2"/>
  <c r="U89" i="2"/>
  <c r="U135" i="2"/>
  <c r="P173" i="2"/>
  <c r="Q173" i="2"/>
  <c r="S173" i="2"/>
  <c r="U183" i="2"/>
  <c r="W202" i="2"/>
  <c r="U104" i="2"/>
  <c r="W192" i="2"/>
  <c r="U83" i="2"/>
  <c r="S197" i="2"/>
  <c r="Q197" i="2"/>
  <c r="P197" i="2"/>
  <c r="W69" i="2"/>
  <c r="U149" i="2"/>
  <c r="U82" i="2"/>
  <c r="U125" i="2"/>
  <c r="W172" i="2"/>
  <c r="W199" i="2"/>
  <c r="U98" i="2"/>
  <c r="W84" i="2"/>
  <c r="P65" i="2"/>
  <c r="S65" i="2"/>
  <c r="Q65" i="2"/>
  <c r="U28" i="2"/>
  <c r="U85" i="2"/>
  <c r="U195" i="2"/>
  <c r="U90" i="2"/>
  <c r="U200" i="2"/>
  <c r="U172" i="2"/>
  <c r="U76" i="2"/>
  <c r="W54" i="2"/>
  <c r="W44" i="2"/>
  <c r="U97" i="2"/>
  <c r="U71" i="2"/>
  <c r="Q101" i="2"/>
  <c r="S101" i="2"/>
  <c r="P101" i="2"/>
  <c r="U199" i="2"/>
  <c r="W49" i="2"/>
  <c r="W81" i="2"/>
  <c r="S96" i="2"/>
  <c r="P96" i="2"/>
  <c r="Q96" i="2"/>
  <c r="U108" i="2"/>
  <c r="W177" i="2"/>
  <c r="Q174" i="2"/>
  <c r="S174" i="2"/>
  <c r="P174" i="2"/>
  <c r="Q136" i="2"/>
  <c r="P136" i="2"/>
  <c r="S136" i="2"/>
  <c r="U146" i="2"/>
  <c r="Q25" i="2"/>
  <c r="S25" i="2"/>
  <c r="P25" i="2"/>
  <c r="S199" i="2"/>
  <c r="Q199" i="2"/>
  <c r="P199" i="2"/>
  <c r="P117" i="2"/>
  <c r="S117" i="2"/>
  <c r="Q117" i="2"/>
  <c r="U176" i="2"/>
  <c r="S163" i="2"/>
  <c r="Q163" i="2"/>
  <c r="P163" i="2"/>
  <c r="W176" i="2"/>
  <c r="W204" i="2"/>
  <c r="U181" i="2"/>
  <c r="W159" i="2"/>
  <c r="W125" i="2"/>
  <c r="W194" i="2"/>
  <c r="U138" i="2"/>
  <c r="W75" i="2"/>
  <c r="W169" i="2"/>
  <c r="P102" i="2"/>
  <c r="S102" i="2"/>
  <c r="Q102" i="2"/>
  <c r="P204" i="2"/>
  <c r="Q204" i="2"/>
  <c r="S204" i="2"/>
  <c r="W26" i="2"/>
  <c r="S181" i="2"/>
  <c r="P181" i="2"/>
  <c r="Q181" i="2"/>
  <c r="P192" i="2"/>
  <c r="S192" i="2"/>
  <c r="Q192" i="2"/>
  <c r="U35" i="2"/>
  <c r="W77" i="2"/>
  <c r="S44" i="2"/>
  <c r="P44" i="2"/>
  <c r="Q44" i="2"/>
  <c r="W164" i="2"/>
  <c r="W197" i="2"/>
  <c r="W102" i="2"/>
  <c r="P180" i="2"/>
  <c r="S180" i="2"/>
  <c r="Q180" i="2"/>
  <c r="W170" i="2"/>
  <c r="U178" i="2"/>
  <c r="W146" i="2"/>
  <c r="W64" i="2"/>
  <c r="Q54" i="2"/>
  <c r="P54" i="2"/>
  <c r="S54" i="2"/>
  <c r="S154" i="2"/>
  <c r="P154" i="2"/>
  <c r="Q154" i="2"/>
  <c r="U206" i="2"/>
  <c r="P207" i="2"/>
  <c r="Q207" i="2"/>
  <c r="S207" i="2"/>
  <c r="W111" i="2"/>
  <c r="P142" i="2"/>
  <c r="S142" i="2"/>
  <c r="Q142" i="2"/>
  <c r="U58" i="2"/>
  <c r="W184" i="2"/>
  <c r="W118" i="2"/>
  <c r="Q56" i="2"/>
  <c r="P56" i="2"/>
  <c r="S56" i="2"/>
  <c r="S147" i="2"/>
  <c r="Q147" i="2"/>
  <c r="P147" i="2"/>
  <c r="Q169" i="2"/>
  <c r="S169" i="2"/>
  <c r="P169" i="2"/>
  <c r="U95" i="2"/>
  <c r="S72" i="2"/>
  <c r="Q72" i="2"/>
  <c r="P72" i="2"/>
  <c r="U31" i="2"/>
  <c r="U33" i="2"/>
  <c r="W98" i="2"/>
  <c r="U96" i="2"/>
  <c r="W168" i="2"/>
  <c r="S52" i="2"/>
  <c r="P52" i="2"/>
  <c r="Q52" i="2"/>
  <c r="S30" i="2"/>
  <c r="Q30" i="2"/>
  <c r="P30" i="2"/>
  <c r="W100" i="2"/>
  <c r="Q165" i="2"/>
  <c r="S165" i="2"/>
  <c r="P165" i="2"/>
  <c r="W42" i="2"/>
  <c r="Q114" i="2"/>
  <c r="P114" i="2"/>
  <c r="S114" i="2"/>
  <c r="W140" i="2"/>
  <c r="W53" i="2"/>
  <c r="Q83" i="2"/>
  <c r="S83" i="2"/>
  <c r="P83" i="2"/>
  <c r="Q99" i="2"/>
  <c r="S99" i="2"/>
  <c r="P99" i="2"/>
  <c r="U45" i="2"/>
  <c r="W94" i="2"/>
  <c r="W133" i="2"/>
  <c r="W87" i="2"/>
  <c r="Q202" i="2"/>
  <c r="P202" i="2"/>
  <c r="S202" i="2"/>
  <c r="U19" i="2"/>
  <c r="U91" i="2"/>
  <c r="S93" i="2"/>
  <c r="Q93" i="2"/>
  <c r="P93" i="2"/>
  <c r="W157" i="2"/>
  <c r="W52" i="2"/>
  <c r="U40" i="2"/>
  <c r="W142" i="2"/>
  <c r="Q43" i="2"/>
  <c r="P43" i="2"/>
  <c r="S43" i="2"/>
  <c r="S58" i="2"/>
  <c r="P58" i="2"/>
  <c r="Q58" i="2"/>
  <c r="W24" i="2"/>
  <c r="S26" i="2"/>
  <c r="P26" i="2"/>
  <c r="Q26" i="2"/>
  <c r="U161" i="2"/>
  <c r="W193" i="2"/>
  <c r="W82" i="2"/>
  <c r="W127" i="2"/>
  <c r="U208" i="2"/>
  <c r="W23" i="2"/>
  <c r="W32" i="2"/>
  <c r="Q140" i="2"/>
  <c r="S140" i="2"/>
  <c r="P140" i="2"/>
  <c r="U179" i="2"/>
  <c r="U24" i="2"/>
  <c r="U101" i="2"/>
  <c r="Q67" i="2"/>
  <c r="P67" i="2"/>
  <c r="S67" i="2"/>
  <c r="U37" i="2"/>
  <c r="W209" i="2"/>
  <c r="W107" i="2"/>
  <c r="W62" i="2"/>
  <c r="Q196" i="2"/>
  <c r="P196" i="2"/>
  <c r="S196" i="2"/>
  <c r="W58" i="2"/>
  <c r="W183" i="2"/>
  <c r="W122" i="2"/>
  <c r="W50" i="2"/>
  <c r="U99" i="2"/>
  <c r="U102" i="2"/>
  <c r="S166" i="2"/>
  <c r="Q166" i="2"/>
  <c r="P166" i="2"/>
  <c r="W34" i="2"/>
  <c r="W190" i="2"/>
  <c r="W59" i="2"/>
  <c r="U182" i="2"/>
  <c r="W96" i="2"/>
  <c r="U66" i="2"/>
  <c r="W41" i="2"/>
  <c r="U70" i="2"/>
  <c r="W72" i="2"/>
  <c r="Q18" i="2"/>
  <c r="M18" i="2" s="1"/>
  <c r="P18" i="2"/>
  <c r="L18" i="2" s="1"/>
  <c r="S18" i="2"/>
  <c r="R18" i="2" s="1"/>
  <c r="P90" i="2"/>
  <c r="S90" i="2"/>
  <c r="Q90" i="2"/>
  <c r="S40" i="2"/>
  <c r="P40" i="2"/>
  <c r="Q40" i="2"/>
  <c r="U154" i="2"/>
  <c r="U63" i="2"/>
  <c r="U23" i="2"/>
  <c r="U115" i="2"/>
  <c r="U26" i="2"/>
  <c r="P55" i="2"/>
  <c r="Q55" i="2"/>
  <c r="S55" i="2"/>
  <c r="Q208" i="2"/>
  <c r="S208" i="2"/>
  <c r="P208" i="2"/>
  <c r="P29" i="2"/>
  <c r="L29" i="2" s="1"/>
  <c r="L30" i="2" s="1"/>
  <c r="S29" i="2"/>
  <c r="Q29" i="2"/>
  <c r="U123" i="2"/>
  <c r="W90" i="2"/>
  <c r="W162" i="2"/>
  <c r="W121" i="2"/>
  <c r="U100" i="2"/>
  <c r="W20" i="2"/>
  <c r="P110" i="2"/>
  <c r="Q110" i="2"/>
  <c r="S110" i="2"/>
  <c r="S47" i="2"/>
  <c r="Q47" i="2"/>
  <c r="P47" i="2"/>
  <c r="Q77" i="2"/>
  <c r="S77" i="2"/>
  <c r="P77" i="2"/>
  <c r="U92" i="2"/>
  <c r="U113" i="2"/>
  <c r="U189" i="2"/>
  <c r="W113" i="2"/>
  <c r="U117" i="2"/>
  <c r="W116" i="2"/>
  <c r="U171" i="2"/>
  <c r="U150" i="2"/>
  <c r="W166" i="2"/>
  <c r="W155" i="2"/>
  <c r="U180" i="2"/>
  <c r="U78" i="2"/>
  <c r="W128" i="2"/>
  <c r="U18" i="2"/>
  <c r="T18" i="2" s="1"/>
  <c r="U65" i="2"/>
  <c r="Q81" i="2"/>
  <c r="S81" i="2"/>
  <c r="P81" i="2"/>
  <c r="W185" i="2"/>
  <c r="S185" i="2"/>
  <c r="Q185" i="2"/>
  <c r="P185" i="2"/>
  <c r="W109" i="2"/>
  <c r="U143" i="2"/>
  <c r="U106" i="2"/>
  <c r="S143" i="2"/>
  <c r="P143" i="2"/>
  <c r="Q143" i="2"/>
  <c r="Q46" i="2"/>
  <c r="P46" i="2"/>
  <c r="S46" i="2"/>
  <c r="P170" i="2"/>
  <c r="S170" i="2"/>
  <c r="Q170" i="2"/>
  <c r="Q95" i="2"/>
  <c r="P95" i="2"/>
  <c r="S95" i="2"/>
  <c r="W67" i="2"/>
  <c r="U107" i="2"/>
  <c r="Q32" i="2"/>
  <c r="P32" i="2"/>
  <c r="S32" i="2"/>
  <c r="W163" i="2"/>
  <c r="P87" i="2"/>
  <c r="Q87" i="2"/>
  <c r="S87" i="2"/>
  <c r="W153" i="2"/>
  <c r="P205" i="2"/>
  <c r="S205" i="2"/>
  <c r="Q205" i="2"/>
  <c r="U44" i="2"/>
  <c r="U145" i="2"/>
  <c r="W201" i="2"/>
  <c r="P49" i="2"/>
  <c r="S49" i="2"/>
  <c r="Q49" i="2"/>
  <c r="Q92" i="2"/>
  <c r="S92" i="2"/>
  <c r="P92" i="2"/>
  <c r="W150" i="2"/>
  <c r="W93" i="2"/>
  <c r="P115" i="2"/>
  <c r="S115" i="2"/>
  <c r="Q115" i="2"/>
  <c r="P149" i="2"/>
  <c r="S149" i="2"/>
  <c r="Q149" i="2"/>
  <c r="U46" i="2"/>
  <c r="W68" i="2"/>
  <c r="U72" i="2"/>
  <c r="S48" i="2"/>
  <c r="P48" i="2"/>
  <c r="Q48" i="2"/>
  <c r="W30" i="2"/>
  <c r="W47" i="2"/>
  <c r="U169" i="2"/>
  <c r="W134" i="2"/>
  <c r="U20" i="2"/>
  <c r="W35" i="2"/>
  <c r="U77" i="2"/>
  <c r="W70" i="2"/>
  <c r="P121" i="2"/>
  <c r="Q121" i="2"/>
  <c r="S121" i="2"/>
  <c r="W28" i="2"/>
  <c r="W148" i="2"/>
  <c r="W151" i="2"/>
  <c r="W97" i="2"/>
  <c r="P176" i="2"/>
  <c r="Q176" i="2"/>
  <c r="S176" i="2"/>
  <c r="W110" i="2"/>
  <c r="W123" i="2"/>
  <c r="W18" i="2"/>
  <c r="U69" i="2"/>
  <c r="S42" i="2"/>
  <c r="Q42" i="2"/>
  <c r="P42" i="2"/>
  <c r="Q184" i="2"/>
  <c r="P184" i="2"/>
  <c r="S184" i="2"/>
  <c r="S86" i="2"/>
  <c r="Q86" i="2"/>
  <c r="P86" i="2"/>
  <c r="Q171" i="2"/>
  <c r="S171" i="2"/>
  <c r="P171" i="2"/>
  <c r="W22" i="2"/>
  <c r="U148" i="2"/>
  <c r="S64" i="2"/>
  <c r="P64" i="2"/>
  <c r="Q64" i="2"/>
  <c r="U141" i="2"/>
  <c r="Q80" i="2"/>
  <c r="P80" i="2"/>
  <c r="S80" i="2"/>
  <c r="P158" i="2"/>
  <c r="Q158" i="2"/>
  <c r="S158" i="2"/>
  <c r="U29" i="2"/>
  <c r="W57" i="2"/>
  <c r="U36" i="2"/>
  <c r="S105" i="2"/>
  <c r="Q105" i="2"/>
  <c r="P105" i="2"/>
  <c r="W207" i="2"/>
  <c r="U137" i="2"/>
  <c r="W208" i="2"/>
  <c r="U105" i="2"/>
  <c r="W196" i="2"/>
  <c r="Q61" i="2"/>
  <c r="S61" i="2"/>
  <c r="P61" i="2"/>
  <c r="S194" i="2"/>
  <c r="Q194" i="2"/>
  <c r="P194" i="2"/>
  <c r="S160" i="2"/>
  <c r="Q160" i="2"/>
  <c r="P160" i="2"/>
  <c r="S123" i="2"/>
  <c r="P123" i="2"/>
  <c r="Q123" i="2"/>
  <c r="Q59" i="2"/>
  <c r="P59" i="2"/>
  <c r="S59" i="2"/>
  <c r="U177" i="2"/>
  <c r="U209" i="2"/>
  <c r="U173" i="2"/>
  <c r="U118" i="2"/>
  <c r="W136" i="2"/>
  <c r="S144" i="2"/>
  <c r="Q144" i="2"/>
  <c r="P144" i="2"/>
  <c r="P134" i="2"/>
  <c r="S134" i="2"/>
  <c r="Q134" i="2"/>
  <c r="U30" i="2"/>
  <c r="Q195" i="2"/>
  <c r="S195" i="2"/>
  <c r="P195" i="2"/>
  <c r="W158" i="2"/>
  <c r="U139" i="2"/>
  <c r="U155" i="2"/>
  <c r="W144" i="2"/>
  <c r="W145" i="2"/>
  <c r="U166" i="2"/>
  <c r="Q23" i="2"/>
  <c r="S23" i="2"/>
  <c r="P23" i="2"/>
  <c r="Q179" i="2"/>
  <c r="P179" i="2"/>
  <c r="S179" i="2"/>
  <c r="S37" i="2"/>
  <c r="P37" i="2"/>
  <c r="Q37" i="2"/>
  <c r="W76" i="2"/>
  <c r="Q79" i="2"/>
  <c r="S79" i="2"/>
  <c r="P79" i="2"/>
  <c r="U60" i="2"/>
  <c r="S41" i="2"/>
  <c r="Q41" i="2"/>
  <c r="P41" i="2"/>
  <c r="U59" i="2"/>
  <c r="U114" i="2"/>
  <c r="W29" i="2"/>
  <c r="W25" i="2"/>
  <c r="U34" i="2"/>
  <c r="W61" i="2"/>
  <c r="U184" i="2"/>
  <c r="P94" i="2"/>
  <c r="Q94" i="2"/>
  <c r="S94" i="2"/>
  <c r="P175" i="2"/>
  <c r="S175" i="2"/>
  <c r="Q175" i="2"/>
  <c r="Q84" i="2"/>
  <c r="P84" i="2"/>
  <c r="S84" i="2"/>
  <c r="W130" i="2"/>
  <c r="S62" i="2"/>
  <c r="P62" i="2"/>
  <c r="Q62" i="2"/>
  <c r="W45" i="2"/>
  <c r="P198" i="2"/>
  <c r="Q198" i="2"/>
  <c r="S198" i="2"/>
  <c r="P119" i="2"/>
  <c r="Q119" i="2"/>
  <c r="S119" i="2"/>
  <c r="P182" i="2"/>
  <c r="Q182" i="2"/>
  <c r="S182" i="2"/>
  <c r="U128" i="2"/>
  <c r="S118" i="2"/>
  <c r="P118" i="2"/>
  <c r="Q118" i="2"/>
  <c r="S39" i="2"/>
  <c r="Q39" i="2"/>
  <c r="P39" i="2"/>
  <c r="P126" i="2"/>
  <c r="S126" i="2"/>
  <c r="Q126" i="2"/>
  <c r="P70" i="2"/>
  <c r="S70" i="2"/>
  <c r="Q70" i="2"/>
  <c r="W114" i="2"/>
  <c r="W55" i="2"/>
  <c r="U52" i="2"/>
  <c r="S71" i="2"/>
  <c r="P71" i="2"/>
  <c r="Q71" i="2"/>
  <c r="W101" i="2"/>
  <c r="U62" i="2"/>
  <c r="U81" i="2"/>
  <c r="Q97" i="2"/>
  <c r="P97" i="2"/>
  <c r="S97" i="2"/>
  <c r="U53" i="2"/>
  <c r="Q36" i="2"/>
  <c r="P36" i="2"/>
  <c r="S36" i="2"/>
  <c r="U75" i="2"/>
  <c r="W200" i="2"/>
  <c r="W91" i="2"/>
  <c r="Q51" i="2"/>
  <c r="S51" i="2"/>
  <c r="P51" i="2"/>
  <c r="Q88" i="2"/>
  <c r="P88" i="2"/>
  <c r="S88" i="2"/>
  <c r="U25" i="2"/>
  <c r="P104" i="2"/>
  <c r="Q104" i="2"/>
  <c r="S104" i="2"/>
  <c r="P146" i="2"/>
  <c r="Q146" i="2"/>
  <c r="S146" i="2"/>
  <c r="U87" i="2"/>
  <c r="U110" i="2"/>
  <c r="W173" i="2"/>
  <c r="P31" i="2"/>
  <c r="S31" i="2"/>
  <c r="Q31" i="2"/>
  <c r="S135" i="2"/>
  <c r="P135" i="2"/>
  <c r="Q135" i="2"/>
  <c r="P164" i="2"/>
  <c r="Q164" i="2"/>
  <c r="S164" i="2"/>
  <c r="W175" i="2"/>
  <c r="W21" i="2"/>
  <c r="U140" i="2"/>
  <c r="S130" i="2"/>
  <c r="Q130" i="2"/>
  <c r="P130" i="2"/>
  <c r="U130" i="2"/>
  <c r="W131" i="2"/>
  <c r="W181" i="2"/>
  <c r="W65" i="2"/>
  <c r="W186" i="2"/>
  <c r="Q82" i="2"/>
  <c r="P82" i="2"/>
  <c r="S82" i="2"/>
  <c r="Q148" i="2"/>
  <c r="P148" i="2"/>
  <c r="S148" i="2"/>
  <c r="S107" i="2"/>
  <c r="P107" i="2"/>
  <c r="Q107" i="2"/>
  <c r="P19" i="2"/>
  <c r="Q19" i="2"/>
  <c r="S19" i="2"/>
  <c r="Q141" i="2"/>
  <c r="S141" i="2"/>
  <c r="P141" i="2"/>
  <c r="W139" i="2"/>
  <c r="Q103" i="2"/>
  <c r="P103" i="2"/>
  <c r="S103" i="2"/>
  <c r="W137" i="2"/>
  <c r="W203" i="2"/>
  <c r="U152" i="2"/>
  <c r="P128" i="2"/>
  <c r="S128" i="2"/>
  <c r="Q128" i="2"/>
  <c r="U27" i="2"/>
  <c r="W27" i="2"/>
  <c r="Q100" i="2"/>
  <c r="S100" i="2"/>
  <c r="P100" i="2"/>
  <c r="U55" i="2"/>
  <c r="S178" i="2"/>
  <c r="P178" i="2"/>
  <c r="Q178" i="2"/>
  <c r="W89" i="2"/>
  <c r="P203" i="2"/>
  <c r="Q203" i="2"/>
  <c r="S203" i="2"/>
  <c r="S78" i="2"/>
  <c r="Q78" i="2"/>
  <c r="P78" i="2"/>
  <c r="Q66" i="2"/>
  <c r="P66" i="2"/>
  <c r="S66" i="2"/>
  <c r="U156" i="2"/>
  <c r="S132" i="2"/>
  <c r="P132" i="2"/>
  <c r="Q132" i="2"/>
  <c r="W182" i="2"/>
  <c r="W195" i="2"/>
  <c r="U86" i="2"/>
  <c r="W171" i="2"/>
  <c r="U50" i="2"/>
  <c r="W79" i="2"/>
  <c r="U42" i="2"/>
  <c r="W66" i="2"/>
  <c r="U94" i="2"/>
  <c r="W205" i="2"/>
  <c r="U198" i="2"/>
  <c r="W191" i="2"/>
  <c r="U188" i="2"/>
  <c r="P108" i="2"/>
  <c r="S108" i="2"/>
  <c r="Q108" i="2"/>
  <c r="W147" i="2"/>
  <c r="P76" i="2"/>
  <c r="S76" i="2"/>
  <c r="Q76" i="2"/>
  <c r="U124" i="2"/>
  <c r="W36" i="2"/>
  <c r="W48" i="2"/>
  <c r="Q85" i="2"/>
  <c r="S85" i="2"/>
  <c r="P85" i="2"/>
  <c r="W37" i="2"/>
  <c r="P161" i="2"/>
  <c r="Q161" i="2"/>
  <c r="S161" i="2"/>
  <c r="S156" i="2"/>
  <c r="Q156" i="2"/>
  <c r="P156" i="2"/>
  <c r="Q98" i="2"/>
  <c r="P98" i="2"/>
  <c r="S98" i="2"/>
  <c r="P190" i="2"/>
  <c r="Q190" i="2"/>
  <c r="S190" i="2"/>
  <c r="U133" i="2"/>
  <c r="U126" i="2"/>
  <c r="U144" i="2"/>
  <c r="U167" i="2"/>
  <c r="P68" i="2"/>
  <c r="Q68" i="2"/>
  <c r="S68" i="2"/>
  <c r="P189" i="2"/>
  <c r="Q189" i="2"/>
  <c r="S189" i="2"/>
  <c r="S74" i="2"/>
  <c r="Q74" i="2"/>
  <c r="P74" i="2"/>
  <c r="W60" i="2"/>
  <c r="W78" i="2"/>
  <c r="W115" i="2"/>
  <c r="Q112" i="2"/>
  <c r="S112" i="2"/>
  <c r="P112" i="2"/>
  <c r="W56" i="2"/>
  <c r="S193" i="2"/>
  <c r="Q193" i="2"/>
  <c r="P193" i="2"/>
  <c r="U119" i="2"/>
  <c r="Q24" i="2"/>
  <c r="P24" i="2"/>
  <c r="S24" i="2"/>
  <c r="W92" i="2"/>
  <c r="U194" i="2"/>
  <c r="U170" i="2"/>
  <c r="W138" i="2"/>
  <c r="U196" i="2"/>
  <c r="U121" i="2"/>
  <c r="U175" i="2"/>
  <c r="U84" i="2"/>
  <c r="S34" i="2"/>
  <c r="P34" i="2"/>
  <c r="Q34" i="2"/>
  <c r="U64" i="2"/>
  <c r="W88" i="2"/>
  <c r="U207" i="2"/>
  <c r="P139" i="2"/>
  <c r="S139" i="2"/>
  <c r="Q139" i="2"/>
  <c r="S27" i="2"/>
  <c r="P27" i="2"/>
  <c r="Q27" i="2"/>
  <c r="U160" i="2"/>
  <c r="W178" i="2"/>
  <c r="U132" i="2"/>
  <c r="W143" i="2"/>
  <c r="W71" i="2"/>
  <c r="U51" i="2"/>
  <c r="Q153" i="2"/>
  <c r="P153" i="2"/>
  <c r="S153" i="2"/>
  <c r="U74" i="2"/>
  <c r="U103" i="2"/>
  <c r="Q109" i="2"/>
  <c r="P109" i="2"/>
  <c r="S109" i="2"/>
  <c r="P172" i="2"/>
  <c r="Q172" i="2"/>
  <c r="S172" i="2"/>
  <c r="U165" i="2"/>
  <c r="U147" i="2"/>
  <c r="U201" i="2"/>
  <c r="P177" i="2"/>
  <c r="Q177" i="2"/>
  <c r="S177" i="2"/>
  <c r="W154" i="2"/>
  <c r="U203" i="2"/>
  <c r="P209" i="2"/>
  <c r="Q209" i="2"/>
  <c r="S209" i="2"/>
  <c r="W63" i="2"/>
  <c r="U131" i="2"/>
  <c r="W149" i="2"/>
  <c r="S57" i="2"/>
  <c r="Q57" i="2"/>
  <c r="P57" i="2"/>
  <c r="S125" i="2"/>
  <c r="Q125" i="2"/>
  <c r="P125" i="2"/>
  <c r="Q129" i="2"/>
  <c r="P129" i="2"/>
  <c r="S129" i="2"/>
  <c r="S35" i="2"/>
  <c r="P35" i="2"/>
  <c r="Q35" i="2"/>
  <c r="W103" i="2"/>
  <c r="P186" i="2"/>
  <c r="S186" i="2"/>
  <c r="Q186" i="2"/>
  <c r="U116" i="2"/>
  <c r="U163" i="2"/>
  <c r="U159" i="2"/>
  <c r="W39" i="2"/>
  <c r="O39" i="2" s="1"/>
  <c r="O40" i="2" s="1"/>
  <c r="O41" i="2" s="1"/>
  <c r="O42" i="2" s="1"/>
  <c r="O43" i="2" s="1"/>
  <c r="O44" i="2" s="1"/>
  <c r="O45" i="2" s="1"/>
  <c r="U61" i="2"/>
  <c r="U21" i="2"/>
  <c r="M29" i="2"/>
  <c r="T50" i="19"/>
  <c r="S51" i="19"/>
  <c r="L32" i="19"/>
  <c r="K33" i="19"/>
  <c r="L33" i="19" s="1"/>
  <c r="S15" i="19"/>
  <c r="T14" i="19"/>
  <c r="K16" i="19"/>
  <c r="L16" i="19" s="1"/>
  <c r="L15" i="19"/>
  <c r="L48" i="19"/>
  <c r="K49" i="19"/>
  <c r="T68" i="19"/>
  <c r="S69" i="19"/>
  <c r="T34" i="19"/>
  <c r="S35" i="19"/>
  <c r="T35" i="19" s="1"/>
  <c r="T88" i="19"/>
  <c r="S89" i="19"/>
  <c r="T89" i="19" s="1"/>
  <c r="T105" i="19"/>
  <c r="S106" i="19"/>
  <c r="E11" i="9"/>
  <c r="D11" i="9" s="1"/>
  <c r="F12" i="9"/>
  <c r="G11" i="9"/>
  <c r="B11" i="9"/>
  <c r="C11" i="9" s="1"/>
  <c r="I28" i="2"/>
  <c r="D27" i="2" s="1"/>
  <c r="E28" i="2"/>
  <c r="B28" i="2"/>
  <c r="G21" i="19" s="1"/>
  <c r="H27" i="2"/>
  <c r="C26" i="2" s="1"/>
  <c r="B81" i="2"/>
  <c r="J82" i="2"/>
  <c r="E81" i="2" s="1"/>
  <c r="I81" i="2"/>
  <c r="D80" i="2" s="1"/>
  <c r="B168" i="2"/>
  <c r="J169" i="2"/>
  <c r="E168" i="2" s="1"/>
  <c r="I168" i="2"/>
  <c r="D167" i="2" s="1"/>
  <c r="B150" i="2"/>
  <c r="J151" i="2"/>
  <c r="E150" i="2" s="1"/>
  <c r="I150" i="2"/>
  <c r="H63" i="2"/>
  <c r="C62" i="2" s="1"/>
  <c r="I97" i="2"/>
  <c r="B97" i="2"/>
  <c r="J98" i="2"/>
  <c r="E97" i="2" s="1"/>
  <c r="H80" i="2"/>
  <c r="C79" i="2" s="1"/>
  <c r="H167" i="2"/>
  <c r="B48" i="2"/>
  <c r="P11" i="19" s="1"/>
  <c r="I48" i="2"/>
  <c r="J49" i="2"/>
  <c r="H149" i="2"/>
  <c r="B186" i="2"/>
  <c r="J187" i="2"/>
  <c r="E186" i="2" s="1"/>
  <c r="I186" i="2"/>
  <c r="D185" i="2" s="1"/>
  <c r="D62" i="2"/>
  <c r="J65" i="2"/>
  <c r="B64" i="2"/>
  <c r="I64" i="2"/>
  <c r="H96" i="2"/>
  <c r="C95" i="2" s="1"/>
  <c r="B204" i="2"/>
  <c r="J205" i="2"/>
  <c r="E204" i="2" s="1"/>
  <c r="I204" i="2"/>
  <c r="D203" i="2" s="1"/>
  <c r="N9" i="19"/>
  <c r="E11" i="19"/>
  <c r="G11" i="19"/>
  <c r="P4" i="19"/>
  <c r="H21" i="19"/>
  <c r="H11" i="19"/>
  <c r="F11" i="19"/>
  <c r="P7" i="19"/>
  <c r="O5" i="19"/>
  <c r="E80" i="2"/>
  <c r="E47" i="2"/>
  <c r="H185" i="2"/>
  <c r="D79" i="2"/>
  <c r="C78" i="2"/>
  <c r="H131" i="2"/>
  <c r="C130" i="2" s="1"/>
  <c r="C94" i="2"/>
  <c r="H203" i="2"/>
  <c r="C202" i="2" s="1"/>
  <c r="H47" i="2"/>
  <c r="C46" i="2" s="1"/>
  <c r="C165" i="2"/>
  <c r="J133" i="2"/>
  <c r="E132" i="2" s="1"/>
  <c r="I132" i="2"/>
  <c r="D131" i="2" s="1"/>
  <c r="B132" i="2"/>
  <c r="J115" i="2"/>
  <c r="E114" i="2" s="1"/>
  <c r="B114" i="2"/>
  <c r="I114" i="2"/>
  <c r="D113" i="2" s="1"/>
  <c r="H113" i="2"/>
  <c r="C112" i="2" s="1"/>
  <c r="C183" i="2"/>
  <c r="D26" i="2"/>
  <c r="D148" i="2"/>
  <c r="K11" i="9" l="1"/>
  <c r="T19" i="2"/>
  <c r="O46" i="2"/>
  <c r="M19" i="2"/>
  <c r="M20" i="2" s="1"/>
  <c r="M21" i="2" s="1"/>
  <c r="M22" i="2" s="1"/>
  <c r="M23" i="2" s="1"/>
  <c r="M24" i="2" s="1"/>
  <c r="M25" i="2" s="1"/>
  <c r="M26" i="2" s="1"/>
  <c r="M27" i="2" s="1"/>
  <c r="M28" i="2" s="1"/>
  <c r="D6" i="15" s="1"/>
  <c r="L19" i="2"/>
  <c r="L20" i="2" s="1"/>
  <c r="L21" i="2" s="1"/>
  <c r="L22" i="2" s="1"/>
  <c r="L23" i="2" s="1"/>
  <c r="L24" i="2" s="1"/>
  <c r="L25" i="2" s="1"/>
  <c r="L26" i="2" s="1"/>
  <c r="L27" i="2" s="1"/>
  <c r="L28" i="2" s="1"/>
  <c r="E6" i="15" s="1"/>
  <c r="M39" i="2"/>
  <c r="M40" i="2" s="1"/>
  <c r="M41" i="2" s="1"/>
  <c r="M42" i="2" s="1"/>
  <c r="M43" i="2" s="1"/>
  <c r="M44" i="2" s="1"/>
  <c r="M45" i="2" s="1"/>
  <c r="M46" i="2" s="1"/>
  <c r="M47" i="2" s="1"/>
  <c r="M48" i="2" s="1"/>
  <c r="L31" i="2"/>
  <c r="T20" i="2"/>
  <c r="T21" i="2" s="1"/>
  <c r="T22" i="2" s="1"/>
  <c r="T23" i="2" s="1"/>
  <c r="T24" i="2" s="1"/>
  <c r="T25" i="2" s="1"/>
  <c r="T26" i="2" s="1"/>
  <c r="T27" i="2" s="1"/>
  <c r="T28" i="2" s="1"/>
  <c r="N18" i="2"/>
  <c r="N19" i="2" s="1"/>
  <c r="N20" i="2" s="1"/>
  <c r="N21" i="2" s="1"/>
  <c r="N22" i="2" s="1"/>
  <c r="N23" i="2" s="1"/>
  <c r="N24" i="2" s="1"/>
  <c r="N25" i="2" s="1"/>
  <c r="N26" i="2" s="1"/>
  <c r="N27" i="2" s="1"/>
  <c r="N39" i="2"/>
  <c r="N40" i="2" s="1"/>
  <c r="N41" i="2" s="1"/>
  <c r="N42" i="2" s="1"/>
  <c r="N43" i="2" s="1"/>
  <c r="N44" i="2" s="1"/>
  <c r="N45" i="2" s="1"/>
  <c r="N46" i="2" s="1"/>
  <c r="M30" i="2"/>
  <c r="M31" i="2" s="1"/>
  <c r="M32" i="2" s="1"/>
  <c r="M33" i="2" s="1"/>
  <c r="M34" i="2" s="1"/>
  <c r="M35" i="2" s="1"/>
  <c r="M36" i="2" s="1"/>
  <c r="M37" i="2" s="1"/>
  <c r="D7" i="15" s="1"/>
  <c r="R19" i="2"/>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L32" i="2"/>
  <c r="L33" i="2" s="1"/>
  <c r="L34" i="2" s="1"/>
  <c r="L35" i="2" s="1"/>
  <c r="L36" i="2" s="1"/>
  <c r="L37" i="2" s="1"/>
  <c r="E7" i="15" s="1"/>
  <c r="L39" i="2"/>
  <c r="L40" i="2" s="1"/>
  <c r="L41" i="2" s="1"/>
  <c r="L42" i="2" s="1"/>
  <c r="L43" i="2" s="1"/>
  <c r="L44" i="2" s="1"/>
  <c r="L45" i="2" s="1"/>
  <c r="L46" i="2" s="1"/>
  <c r="L47" i="2" s="1"/>
  <c r="L48" i="2" s="1"/>
  <c r="L49" i="2" s="1"/>
  <c r="V18" i="2"/>
  <c r="V19" i="2" s="1"/>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O18" i="2"/>
  <c r="O19" i="2" s="1"/>
  <c r="O20" i="2" s="1"/>
  <c r="O21" i="2" s="1"/>
  <c r="O22" i="2" s="1"/>
  <c r="O23" i="2" s="1"/>
  <c r="O24" i="2" s="1"/>
  <c r="O25" i="2" s="1"/>
  <c r="O26" i="2" s="1"/>
  <c r="O27" i="2" s="1"/>
  <c r="N3" i="19"/>
  <c r="H17" i="19"/>
  <c r="E12" i="9"/>
  <c r="D12" i="9" s="1"/>
  <c r="N10" i="19"/>
  <c r="N7" i="19"/>
  <c r="P3" i="19"/>
  <c r="F16" i="19"/>
  <c r="S107" i="19"/>
  <c r="T107" i="19" s="1"/>
  <c r="T106" i="19"/>
  <c r="H11" i="9"/>
  <c r="L49" i="19"/>
  <c r="K50" i="19"/>
  <c r="L50" i="19" s="1"/>
  <c r="S52" i="19"/>
  <c r="T51" i="19"/>
  <c r="I11" i="9"/>
  <c r="J11" i="9"/>
  <c r="T15" i="19"/>
  <c r="S16" i="19"/>
  <c r="S70" i="19"/>
  <c r="T69" i="19"/>
  <c r="M49" i="2"/>
  <c r="E19" i="19"/>
  <c r="F19" i="19"/>
  <c r="E20" i="19"/>
  <c r="E22" i="19"/>
  <c r="G20" i="19"/>
  <c r="G17" i="19"/>
  <c r="O7" i="19"/>
  <c r="N4" i="19"/>
  <c r="H18" i="19"/>
  <c r="M8" i="19"/>
  <c r="O9" i="19"/>
  <c r="H19" i="19"/>
  <c r="N5" i="19"/>
  <c r="E16" i="19"/>
  <c r="G19" i="19"/>
  <c r="M7" i="19"/>
  <c r="P8" i="19"/>
  <c r="H16" i="19"/>
  <c r="G16" i="19"/>
  <c r="G12" i="19"/>
  <c r="N8" i="19"/>
  <c r="F17" i="19"/>
  <c r="O4" i="19"/>
  <c r="N6" i="19"/>
  <c r="H23" i="19"/>
  <c r="M3" i="19"/>
  <c r="F21" i="19"/>
  <c r="E13" i="9"/>
  <c r="D13" i="9" s="1"/>
  <c r="G12" i="9"/>
  <c r="F13" i="9"/>
  <c r="J12" i="9"/>
  <c r="B12" i="9"/>
  <c r="C12" i="9" s="1"/>
  <c r="N47" i="2"/>
  <c r="I3" i="7"/>
  <c r="I4" i="7"/>
  <c r="O11" i="19"/>
  <c r="O3" i="19"/>
  <c r="M11" i="19"/>
  <c r="E18" i="19"/>
  <c r="F18" i="19"/>
  <c r="P10" i="19"/>
  <c r="O6" i="19"/>
  <c r="G22" i="19"/>
  <c r="F23" i="19"/>
  <c r="M4" i="19"/>
  <c r="E23" i="19"/>
  <c r="O10" i="19"/>
  <c r="O8" i="19"/>
  <c r="E21" i="19"/>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H28" i="2"/>
  <c r="C28" i="2" s="1"/>
  <c r="D28" i="2"/>
  <c r="D47" i="2"/>
  <c r="E64" i="2"/>
  <c r="C184" i="2"/>
  <c r="J170" i="2"/>
  <c r="B169" i="2"/>
  <c r="I169" i="2"/>
  <c r="H81" i="2"/>
  <c r="C80" i="2" s="1"/>
  <c r="J206" i="2"/>
  <c r="E205" i="2" s="1"/>
  <c r="B205" i="2"/>
  <c r="I205" i="2"/>
  <c r="D96" i="2"/>
  <c r="J188" i="2"/>
  <c r="B187" i="2"/>
  <c r="I187" i="2"/>
  <c r="D186" i="2" s="1"/>
  <c r="D149" i="2"/>
  <c r="E48" i="2"/>
  <c r="C166" i="2"/>
  <c r="J152" i="2"/>
  <c r="E151" i="2" s="1"/>
  <c r="B151" i="2"/>
  <c r="I151" i="2"/>
  <c r="J83" i="2"/>
  <c r="I82" i="2"/>
  <c r="D81" i="2" s="1"/>
  <c r="B82" i="2"/>
  <c r="H132" i="2"/>
  <c r="C131" i="2" s="1"/>
  <c r="I115" i="2"/>
  <c r="D114" i="2" s="1"/>
  <c r="B115" i="2"/>
  <c r="J116" i="2"/>
  <c r="E115" i="2" s="1"/>
  <c r="J134" i="2"/>
  <c r="E133" i="2" s="1"/>
  <c r="I133" i="2"/>
  <c r="D132" i="2" s="1"/>
  <c r="B133" i="2"/>
  <c r="O47" i="2"/>
  <c r="H186" i="2"/>
  <c r="C185" i="2" s="1"/>
  <c r="H48" i="2"/>
  <c r="C47" i="2" s="1"/>
  <c r="H168" i="2"/>
  <c r="C148" i="2"/>
  <c r="I12" i="9" l="1"/>
  <c r="K12" i="9"/>
  <c r="I2" i="7"/>
  <c r="T8" i="5"/>
  <c r="T13" i="5"/>
  <c r="T38" i="5"/>
  <c r="T32" i="5"/>
  <c r="T23" i="5"/>
  <c r="T19" i="5"/>
  <c r="T14" i="5"/>
  <c r="T39" i="5"/>
  <c r="T29" i="5"/>
  <c r="T50" i="5"/>
  <c r="T34" i="5"/>
  <c r="T25" i="5"/>
  <c r="T9" i="5"/>
  <c r="T46" i="5"/>
  <c r="R38" i="5"/>
  <c r="R4" i="5"/>
  <c r="Q4" i="6" s="1"/>
  <c r="R35" i="5"/>
  <c r="R9" i="5"/>
  <c r="R14" i="5"/>
  <c r="R33" i="5"/>
  <c r="R17" i="5"/>
  <c r="R26" i="5"/>
  <c r="R23" i="5"/>
  <c r="R31" i="5"/>
  <c r="R20" i="5"/>
  <c r="R44" i="5"/>
  <c r="R49" i="5"/>
  <c r="R24" i="5"/>
  <c r="R48" i="5"/>
  <c r="R34" i="5"/>
  <c r="R53" i="5"/>
  <c r="R8" i="5"/>
  <c r="R11" i="5"/>
  <c r="R41" i="5"/>
  <c r="R10" i="5"/>
  <c r="R47" i="5"/>
  <c r="R25" i="5"/>
  <c r="R43" i="5"/>
  <c r="R6" i="5"/>
  <c r="R51" i="5"/>
  <c r="R12" i="5"/>
  <c r="R46" i="5"/>
  <c r="R21" i="5"/>
  <c r="R5" i="5"/>
  <c r="O5" i="5" s="1"/>
  <c r="O6" i="5" s="1"/>
  <c r="O7" i="5" s="1"/>
  <c r="O8" i="5" s="1"/>
  <c r="O9" i="5" s="1"/>
  <c r="O10" i="5" s="1"/>
  <c r="R32" i="5"/>
  <c r="R40" i="5"/>
  <c r="R52" i="5"/>
  <c r="R22" i="5"/>
  <c r="R42" i="5"/>
  <c r="R15" i="5"/>
  <c r="R36" i="5"/>
  <c r="T21" i="5"/>
  <c r="T4" i="5"/>
  <c r="S4" i="6" s="1"/>
  <c r="T16" i="5"/>
  <c r="R18" i="5"/>
  <c r="R7" i="5"/>
  <c r="R27" i="5"/>
  <c r="T17" i="5"/>
  <c r="R30" i="5"/>
  <c r="R29" i="5"/>
  <c r="R13" i="5"/>
  <c r="T20" i="5"/>
  <c r="R37" i="5"/>
  <c r="R28" i="5"/>
  <c r="R19" i="5"/>
  <c r="R45" i="5"/>
  <c r="R39" i="5"/>
  <c r="R16" i="5"/>
  <c r="T37" i="5"/>
  <c r="T52" i="5"/>
  <c r="T41" i="5"/>
  <c r="T51" i="5"/>
  <c r="T45" i="5"/>
  <c r="T6" i="5"/>
  <c r="T24" i="5"/>
  <c r="T49" i="5"/>
  <c r="T53" i="5"/>
  <c r="T11" i="5"/>
  <c r="T7" i="5"/>
  <c r="T18" i="5"/>
  <c r="T30" i="5"/>
  <c r="T35" i="5"/>
  <c r="T31" i="5"/>
  <c r="T12" i="5"/>
  <c r="T10" i="5"/>
  <c r="T40" i="5"/>
  <c r="T47" i="5"/>
  <c r="T36" i="5"/>
  <c r="T42" i="5"/>
  <c r="T33" i="5"/>
  <c r="T26" i="5"/>
  <c r="T44" i="5"/>
  <c r="T43" i="5"/>
  <c r="T5" i="5"/>
  <c r="T48" i="5"/>
  <c r="T27" i="5"/>
  <c r="T22" i="5"/>
  <c r="T28" i="5"/>
  <c r="T70" i="19"/>
  <c r="S71" i="19"/>
  <c r="T71" i="19" s="1"/>
  <c r="T16" i="19"/>
  <c r="S17" i="19"/>
  <c r="T17" i="19" s="1"/>
  <c r="S53" i="19"/>
  <c r="T53" i="19" s="1"/>
  <c r="T52" i="19"/>
  <c r="I4" i="23"/>
  <c r="M50" i="2"/>
  <c r="L50" i="2"/>
  <c r="H12" i="9"/>
  <c r="J2" i="7" s="1"/>
  <c r="T29" i="2"/>
  <c r="N28" i="2"/>
  <c r="N29" i="2" s="1"/>
  <c r="N30" i="2" s="1"/>
  <c r="N31" i="2" s="1"/>
  <c r="N32" i="2" s="1"/>
  <c r="N33" i="2" s="1"/>
  <c r="N34" i="2" s="1"/>
  <c r="N35" i="2" s="1"/>
  <c r="N36" i="2" s="1"/>
  <c r="N37" i="2" s="1"/>
  <c r="J4" i="7"/>
  <c r="J3" i="7"/>
  <c r="G13" i="9"/>
  <c r="F14" i="9"/>
  <c r="J13" i="9"/>
  <c r="I13" i="9"/>
  <c r="E14" i="9"/>
  <c r="D14" i="9" s="1"/>
  <c r="K13"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G4" i="23" l="1"/>
  <c r="Q5" i="5"/>
  <c r="Q6" i="5" s="1"/>
  <c r="Q7" i="5" s="1"/>
  <c r="Q8" i="5" s="1"/>
  <c r="Q9" i="5" s="1"/>
  <c r="Q10" i="5" s="1"/>
  <c r="Q11" i="5" s="1"/>
  <c r="Q12" i="5" s="1"/>
  <c r="O11" i="5"/>
  <c r="O12" i="5" s="1"/>
  <c r="L51" i="2"/>
  <c r="M51" i="2"/>
  <c r="T30" i="2"/>
  <c r="D19" i="1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I84" i="2"/>
  <c r="B84" i="2"/>
  <c r="H116" i="2"/>
  <c r="C115" i="2" s="1"/>
  <c r="D115" i="2"/>
  <c r="B67" i="2"/>
  <c r="J68" i="2"/>
  <c r="E67" i="2" s="1"/>
  <c r="I67" i="2"/>
  <c r="D66" i="2" s="1"/>
  <c r="I51" i="2"/>
  <c r="D50" i="2" s="1"/>
  <c r="J52" i="2"/>
  <c r="E51" i="2" s="1"/>
  <c r="B51" i="2"/>
  <c r="J190" i="2"/>
  <c r="E189" i="2" s="1"/>
  <c r="B189" i="2"/>
  <c r="I189" i="2"/>
  <c r="D188" i="2" s="1"/>
  <c r="E66" i="2"/>
  <c r="H50" i="2"/>
  <c r="J101" i="2"/>
  <c r="B100" i="2"/>
  <c r="I100" i="2"/>
  <c r="D99" i="2" s="1"/>
  <c r="E188" i="2"/>
  <c r="D49" i="2"/>
  <c r="H170" i="2"/>
  <c r="C169" i="2" s="1"/>
  <c r="H152" i="2"/>
  <c r="C151" i="2" s="1"/>
  <c r="H134" i="2"/>
  <c r="C133" i="2" s="1"/>
  <c r="H99" i="2"/>
  <c r="C98" i="2" s="1"/>
  <c r="H83" i="2"/>
  <c r="H206" i="2"/>
  <c r="C205" i="2" s="1"/>
  <c r="H66" i="2"/>
  <c r="C65" i="2" s="1"/>
  <c r="I117" i="2"/>
  <c r="D116" i="2" s="1"/>
  <c r="B117" i="2"/>
  <c r="J118" i="2"/>
  <c r="E117" i="2" s="1"/>
  <c r="J208" i="2"/>
  <c r="E207" i="2" s="1"/>
  <c r="B207" i="2"/>
  <c r="I207" i="2"/>
  <c r="D206" i="2" s="1"/>
  <c r="D205" i="2"/>
  <c r="H188" i="2"/>
  <c r="C187" i="2" s="1"/>
  <c r="D133" i="2"/>
  <c r="J172" i="2"/>
  <c r="E171" i="2" s="1"/>
  <c r="B171" i="2"/>
  <c r="I171" i="2"/>
  <c r="D169" i="2"/>
  <c r="C204" i="2"/>
  <c r="M52" i="2" l="1"/>
  <c r="E100" i="2"/>
  <c r="M102" i="2"/>
  <c r="M103" i="2" s="1"/>
  <c r="M104" i="2" s="1"/>
  <c r="M105" i="2" s="1"/>
  <c r="M106" i="2" s="1"/>
  <c r="M107" i="2" s="1"/>
  <c r="M108" i="2" s="1"/>
  <c r="M109" i="2" s="1"/>
  <c r="M110" i="2" s="1"/>
  <c r="M111" i="2" s="1"/>
  <c r="M112" i="2" s="1"/>
  <c r="M113" i="2" s="1"/>
  <c r="M114" i="2" s="1"/>
  <c r="M115" i="2" s="1"/>
  <c r="M116" i="2" s="1"/>
  <c r="M117" i="2" s="1"/>
  <c r="M118" i="2" s="1"/>
  <c r="L102" i="2"/>
  <c r="L103" i="2" s="1"/>
  <c r="L104" i="2" s="1"/>
  <c r="L105" i="2" s="1"/>
  <c r="L106" i="2" s="1"/>
  <c r="L107" i="2" s="1"/>
  <c r="L108" i="2" s="1"/>
  <c r="L109" i="2" s="1"/>
  <c r="L110" i="2" s="1"/>
  <c r="L111" i="2" s="1"/>
  <c r="L112" i="2" s="1"/>
  <c r="L113" i="2" s="1"/>
  <c r="L114" i="2" s="1"/>
  <c r="L115" i="2" s="1"/>
  <c r="L116" i="2" s="1"/>
  <c r="L117" i="2" s="1"/>
  <c r="L118" i="2" s="1"/>
  <c r="E84"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L52" i="2"/>
  <c r="T31" i="2"/>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F16" i="9"/>
  <c r="J15" i="9"/>
  <c r="G15" i="9"/>
  <c r="K15" i="9"/>
  <c r="I15" i="9"/>
  <c r="E16" i="9"/>
  <c r="D16" i="9" s="1"/>
  <c r="B15" i="9"/>
  <c r="C15" i="9" s="1"/>
  <c r="H15" i="9" s="1"/>
  <c r="N50" i="2"/>
  <c r="C49" i="2"/>
  <c r="H189" i="2"/>
  <c r="C188" i="2" s="1"/>
  <c r="B52" i="2"/>
  <c r="I52" i="2"/>
  <c r="J53" i="2"/>
  <c r="M53" i="2" s="1"/>
  <c r="I85" i="2"/>
  <c r="D84" i="2" s="1"/>
  <c r="E85" i="2"/>
  <c r="B85" i="2"/>
  <c r="H135" i="2"/>
  <c r="B136" i="2"/>
  <c r="I136" i="2"/>
  <c r="J137" i="2"/>
  <c r="B190" i="2"/>
  <c r="J191" i="2"/>
  <c r="I190" i="2"/>
  <c r="J69" i="2"/>
  <c r="I68" i="2"/>
  <c r="B68" i="2"/>
  <c r="H84" i="2"/>
  <c r="C83" i="2" s="1"/>
  <c r="H153" i="2"/>
  <c r="C152" i="2" s="1"/>
  <c r="B172" i="2"/>
  <c r="J173" i="2"/>
  <c r="I172" i="2"/>
  <c r="D171" i="2" s="1"/>
  <c r="H100" i="2"/>
  <c r="C99" i="2" s="1"/>
  <c r="H171" i="2"/>
  <c r="C170" i="2" s="1"/>
  <c r="H117" i="2"/>
  <c r="C116" i="2" s="1"/>
  <c r="D170" i="2"/>
  <c r="C82" i="2"/>
  <c r="B208" i="2"/>
  <c r="J209" i="2"/>
  <c r="E208" i="2" s="1"/>
  <c r="I208" i="2"/>
  <c r="D207" i="2" s="1"/>
  <c r="J119" i="2"/>
  <c r="B118" i="2"/>
  <c r="I118" i="2"/>
  <c r="D83" i="2"/>
  <c r="I101" i="2"/>
  <c r="E101" i="2"/>
  <c r="B101" i="2"/>
  <c r="H51" i="2"/>
  <c r="C50" i="2" s="1"/>
  <c r="H67" i="2"/>
  <c r="B154" i="2"/>
  <c r="J155" i="2"/>
  <c r="I154" i="2"/>
  <c r="O50" i="2"/>
  <c r="H207" i="2"/>
  <c r="C206" i="2" s="1"/>
  <c r="M54" i="2" l="1"/>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E68" i="2"/>
  <c r="M70" i="2"/>
  <c r="M71" i="2" s="1"/>
  <c r="M72" i="2" s="1"/>
  <c r="M73" i="2" s="1"/>
  <c r="M74" i="2" s="1"/>
  <c r="M75" i="2" s="1"/>
  <c r="M76" i="2" s="1"/>
  <c r="M77" i="2" s="1"/>
  <c r="M78" i="2" s="1"/>
  <c r="M79" i="2" s="1"/>
  <c r="M80" i="2" s="1"/>
  <c r="M81" i="2" s="1"/>
  <c r="M82" i="2" s="1"/>
  <c r="M83" i="2" s="1"/>
  <c r="M84" i="2" s="1"/>
  <c r="M85" i="2" s="1"/>
  <c r="L70" i="2"/>
  <c r="L71" i="2" s="1"/>
  <c r="L72" i="2" s="1"/>
  <c r="L73" i="2" s="1"/>
  <c r="L74" i="2" s="1"/>
  <c r="L75" i="2" s="1"/>
  <c r="L76" i="2" s="1"/>
  <c r="L77" i="2" s="1"/>
  <c r="L78" i="2" s="1"/>
  <c r="L79" i="2" s="1"/>
  <c r="L80" i="2" s="1"/>
  <c r="L81" i="2" s="1"/>
  <c r="L82" i="2" s="1"/>
  <c r="L83" i="2" s="1"/>
  <c r="L84" i="2" s="1"/>
  <c r="L85" i="2" s="1"/>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L53"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L119" i="2"/>
  <c r="E172"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M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L3" i="7"/>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4" i="7"/>
  <c r="M2" i="7"/>
  <c r="K16" i="9"/>
  <c r="F17" i="9"/>
  <c r="I16" i="9"/>
  <c r="E17" i="9"/>
  <c r="D17" i="9" s="1"/>
  <c r="J16" i="9"/>
  <c r="G16" i="9"/>
  <c r="B16" i="9"/>
  <c r="C16" i="9" s="1"/>
  <c r="M3" i="7"/>
  <c r="B155" i="2"/>
  <c r="E155" i="2"/>
  <c r="I155" i="2"/>
  <c r="D154" i="2" s="1"/>
  <c r="H118" i="2"/>
  <c r="C117" i="2" s="1"/>
  <c r="H172" i="2"/>
  <c r="C171" i="2" s="1"/>
  <c r="H68" i="2"/>
  <c r="B191" i="2"/>
  <c r="E191" i="2"/>
  <c r="I191" i="2"/>
  <c r="D190" i="2" s="1"/>
  <c r="I137" i="2"/>
  <c r="D136" i="2" s="1"/>
  <c r="B137" i="2"/>
  <c r="E137" i="2"/>
  <c r="H52" i="2"/>
  <c r="C51" i="2" s="1"/>
  <c r="D67" i="2"/>
  <c r="B209" i="2"/>
  <c r="E209" i="2"/>
  <c r="I209" i="2"/>
  <c r="D208" i="2" s="1"/>
  <c r="C66" i="2"/>
  <c r="H190" i="2"/>
  <c r="D189" i="2"/>
  <c r="H154" i="2"/>
  <c r="C153" i="2" s="1"/>
  <c r="D51" i="2"/>
  <c r="D101" i="2"/>
  <c r="H101" i="2"/>
  <c r="C100" i="2" s="1"/>
  <c r="I119" i="2"/>
  <c r="D118" i="2" s="1"/>
  <c r="E119" i="2"/>
  <c r="B119" i="2"/>
  <c r="D100" i="2"/>
  <c r="B173" i="2"/>
  <c r="E173" i="2"/>
  <c r="I173" i="2"/>
  <c r="D153" i="2"/>
  <c r="B69" i="2"/>
  <c r="E69" i="2"/>
  <c r="I69" i="2"/>
  <c r="D68" i="2" s="1"/>
  <c r="E190" i="2"/>
  <c r="H136" i="2"/>
  <c r="H85" i="2"/>
  <c r="C85" i="2" s="1"/>
  <c r="D85" i="2"/>
  <c r="I53" i="2"/>
  <c r="E53" i="2"/>
  <c r="B53" i="2"/>
  <c r="C189" i="2"/>
  <c r="E154" i="2"/>
  <c r="E118" i="2"/>
  <c r="H208" i="2"/>
  <c r="C207" i="2" s="1"/>
  <c r="C134" i="2"/>
  <c r="D117" i="2"/>
  <c r="E136" i="2"/>
  <c r="D135" i="2"/>
  <c r="E52" i="2"/>
  <c r="N51" i="2"/>
  <c r="M125" i="2" l="1"/>
  <c r="H16" i="9"/>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C52" i="2"/>
  <c r="H191" i="2"/>
  <c r="C191" i="2" s="1"/>
  <c r="D191" i="2"/>
  <c r="D172" i="2"/>
  <c r="C67" i="2"/>
  <c r="O4" i="3" a="1"/>
  <c r="O4" i="3" s="1"/>
  <c r="C135" i="2"/>
  <c r="E15" i="15"/>
  <c r="O52" i="2"/>
  <c r="O53" i="2" s="1"/>
  <c r="O54" i="2" s="1"/>
  <c r="O55" i="2" s="1"/>
  <c r="O56" i="2" s="1"/>
  <c r="O57" i="2" s="1"/>
  <c r="O58" i="2" s="1"/>
  <c r="O59" i="2" s="1"/>
  <c r="O60" i="2" s="1"/>
  <c r="O61" i="2" s="1"/>
  <c r="O62" i="2" s="1"/>
  <c r="O63" i="2" s="1"/>
  <c r="O64" i="2" s="1"/>
  <c r="O65" i="2" s="1"/>
  <c r="O66" i="2" s="1"/>
  <c r="O67" i="2" s="1"/>
  <c r="O68" i="2" s="1"/>
  <c r="M126" i="2" l="1"/>
  <c r="M127" i="2" s="1"/>
  <c r="M128" i="2" s="1"/>
  <c r="M129" i="2" s="1"/>
  <c r="M130" i="2" s="1"/>
  <c r="M131" i="2" s="1"/>
  <c r="M132" i="2" s="1"/>
  <c r="M133" i="2" s="1"/>
  <c r="M134" i="2" s="1"/>
  <c r="M135" i="2" s="1"/>
  <c r="M136" i="2" s="1"/>
  <c r="M137" i="2" s="1"/>
  <c r="D13" i="15" s="1"/>
  <c r="G31" i="23"/>
  <c r="Q6" i="6"/>
  <c r="H17" i="9"/>
  <c r="O2" i="7" s="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G26" i="23"/>
  <c r="G37" i="23"/>
  <c r="G44" i="23"/>
  <c r="G11" i="23"/>
  <c r="Q12" i="6"/>
  <c r="G21" i="23"/>
  <c r="Q8" i="6"/>
  <c r="Q18" i="6"/>
  <c r="Q29" i="6"/>
  <c r="Q28" i="6"/>
  <c r="O4" i="7"/>
  <c r="E19" i="9"/>
  <c r="D19" i="9" s="1"/>
  <c r="I18" i="9"/>
  <c r="F19" i="9"/>
  <c r="G18" i="9"/>
  <c r="K18" i="9"/>
  <c r="J18" i="9"/>
  <c r="B18" i="9"/>
  <c r="C18" i="9" s="1"/>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P2" i="7" s="1"/>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l="1"/>
  <c r="F28" i="9"/>
  <c r="J27" i="9"/>
  <c r="I27" i="9"/>
  <c r="K27" i="9"/>
  <c r="G27" i="9"/>
  <c r="E28" i="9"/>
  <c r="D28" i="9" s="1"/>
  <c r="B27" i="9"/>
  <c r="C27" i="9" s="1"/>
  <c r="W4" i="7"/>
  <c r="X2"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l="1"/>
  <c r="K36" i="9"/>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s="1"/>
  <c r="K40" i="9" l="1"/>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l="1"/>
  <c r="E63" i="9"/>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l="1"/>
  <c r="E71" i="9"/>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l="1"/>
  <c r="G84" i="9"/>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l="1"/>
  <c r="G91" i="9"/>
  <c r="J91" i="9"/>
  <c r="E92" i="9"/>
  <c r="D92" i="9" s="1"/>
  <c r="F92" i="9"/>
  <c r="K91" i="9"/>
  <c r="I91" i="9"/>
  <c r="B91" i="9"/>
  <c r="C91" i="9" s="1"/>
  <c r="H91" i="9" l="1"/>
  <c r="G92" i="9"/>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l="1"/>
  <c r="G98" i="9"/>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l="1"/>
  <c r="G102" i="9"/>
  <c r="F103" i="9"/>
  <c r="J102" i="9"/>
  <c r="I102" i="9"/>
  <c r="E103" i="9"/>
  <c r="D103" i="9" s="1"/>
  <c r="K102" i="9"/>
  <c r="B102" i="9"/>
  <c r="C102" i="9" s="1"/>
  <c r="H102" i="9" l="1"/>
  <c r="G103" i="9"/>
  <c r="F104" i="9"/>
  <c r="I103" i="9"/>
  <c r="K103" i="9"/>
  <c r="E104" i="9"/>
  <c r="D104" i="9" s="1"/>
  <c r="J103" i="9"/>
  <c r="B103" i="9"/>
  <c r="C103" i="9" s="1"/>
  <c r="H103" i="9" l="1"/>
  <c r="G104" i="9"/>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l="1"/>
  <c r="G108" i="9"/>
  <c r="F109" i="9"/>
  <c r="J108" i="9"/>
  <c r="K108" i="9"/>
  <c r="E109" i="9"/>
  <c r="D109" i="9" s="1"/>
  <c r="I108" i="9"/>
  <c r="B108" i="9"/>
  <c r="C108" i="9" s="1"/>
  <c r="H108" i="9" l="1"/>
  <c r="G109" i="9"/>
  <c r="J109" i="9"/>
  <c r="F110" i="9"/>
  <c r="K109" i="9"/>
  <c r="I109" i="9"/>
  <c r="E110" i="9"/>
  <c r="D110" i="9" s="1"/>
  <c r="B109" i="9"/>
  <c r="C109" i="9" s="1"/>
  <c r="H109" i="9" l="1"/>
  <c r="G110" i="9"/>
  <c r="F111" i="9"/>
  <c r="J110" i="9"/>
  <c r="I110" i="9"/>
  <c r="E111" i="9"/>
  <c r="D111" i="9" s="1"/>
  <c r="K110" i="9"/>
  <c r="B110" i="9"/>
  <c r="C110" i="9" s="1"/>
  <c r="H110" i="9" l="1"/>
  <c r="G111" i="9"/>
  <c r="F112" i="9"/>
  <c r="I111" i="9"/>
  <c r="J111" i="9"/>
  <c r="E112" i="9"/>
  <c r="D112" i="9" s="1"/>
  <c r="K111" i="9"/>
  <c r="B111" i="9"/>
  <c r="C111" i="9" s="1"/>
  <c r="H111" i="9" l="1"/>
  <c r="G112" i="9"/>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l="1"/>
  <c r="G116" i="9"/>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l="1"/>
  <c r="G123" i="9"/>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l="1"/>
  <c r="G133" i="9"/>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l="1"/>
  <c r="G140" i="9"/>
  <c r="F141" i="9"/>
  <c r="J140" i="9"/>
  <c r="K140" i="9"/>
  <c r="E141" i="9"/>
  <c r="D141" i="9" s="1"/>
  <c r="I140" i="9"/>
  <c r="B140" i="9"/>
  <c r="C140" i="9" s="1"/>
  <c r="H140" i="9" l="1"/>
  <c r="G141" i="9"/>
  <c r="J141" i="9"/>
  <c r="F142" i="9"/>
  <c r="K141" i="9"/>
  <c r="E142" i="9"/>
  <c r="D142" i="9" s="1"/>
  <c r="I141" i="9"/>
  <c r="B141" i="9"/>
  <c r="C141" i="9" s="1"/>
  <c r="H141" i="9" l="1"/>
  <c r="G142" i="9"/>
  <c r="F143" i="9"/>
  <c r="J142" i="9"/>
  <c r="I142" i="9"/>
  <c r="K142" i="9"/>
  <c r="E143" i="9"/>
  <c r="D143" i="9" s="1"/>
  <c r="B142" i="9"/>
  <c r="C142" i="9" s="1"/>
  <c r="H142" i="9" l="1"/>
  <c r="G143" i="9"/>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l="1"/>
  <c r="G148" i="9"/>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l="1"/>
  <c r="G155" i="9"/>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l="1"/>
  <c r="G166" i="9"/>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l="1"/>
  <c r="G174" i="9"/>
  <c r="F175" i="9"/>
  <c r="J174" i="9"/>
  <c r="I174" i="9"/>
  <c r="E175" i="9"/>
  <c r="D175" i="9" s="1"/>
  <c r="K174" i="9"/>
  <c r="B174" i="9"/>
  <c r="C174" i="9" s="1"/>
  <c r="H174" i="9" l="1"/>
  <c r="G175" i="9"/>
  <c r="E176" i="9"/>
  <c r="D176" i="9" s="1"/>
  <c r="I175" i="9"/>
  <c r="J175" i="9"/>
  <c r="F176" i="9"/>
  <c r="K175" i="9"/>
  <c r="B175" i="9"/>
  <c r="C175" i="9" s="1"/>
  <c r="H175" i="9" l="1"/>
  <c r="E177" i="9"/>
  <c r="D177" i="9" s="1"/>
  <c r="I176" i="9"/>
  <c r="K176" i="9"/>
  <c r="G176" i="9"/>
  <c r="F177" i="9"/>
  <c r="J176" i="9"/>
  <c r="B176" i="9"/>
  <c r="C176" i="9" s="1"/>
  <c r="H176" i="9" l="1"/>
  <c r="F178" i="9"/>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l="1"/>
  <c r="E189" i="9"/>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l="1"/>
  <c r="F194" i="9"/>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l="1"/>
  <c r="F198" i="9"/>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l="1"/>
  <c r="K226" i="9"/>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l="1"/>
  <c r="F250" i="9"/>
  <c r="J249" i="9"/>
  <c r="I249" i="9"/>
  <c r="E250" i="9"/>
  <c r="D250" i="9" s="1"/>
  <c r="G249" i="9"/>
  <c r="K249" i="9"/>
  <c r="B249" i="9"/>
  <c r="C249" i="9" s="1"/>
  <c r="H249" i="9" s="1"/>
  <c r="K250" i="9" l="1"/>
  <c r="J250" i="9"/>
  <c r="I250" i="9"/>
  <c r="F251" i="9"/>
  <c r="E251" i="9"/>
  <c r="D251" i="9" s="1"/>
  <c r="G250" i="9"/>
  <c r="B250" i="9"/>
  <c r="C250" i="9" s="1"/>
  <c r="H250" i="9" l="1"/>
  <c r="G251" i="9"/>
  <c r="F252" i="9"/>
  <c r="I251" i="9"/>
  <c r="J251" i="9"/>
  <c r="E252" i="9"/>
  <c r="D252" i="9" s="1"/>
  <c r="K251" i="9"/>
  <c r="B251" i="9"/>
  <c r="C251" i="9" s="1"/>
  <c r="H251" i="9" l="1"/>
  <c r="E253" i="9"/>
  <c r="D253" i="9" s="1"/>
  <c r="I252" i="9"/>
  <c r="J252" i="9"/>
  <c r="K252" i="9"/>
  <c r="F253" i="9"/>
  <c r="G252" i="9"/>
  <c r="B252" i="9"/>
  <c r="C252" i="9" s="1"/>
  <c r="H252" i="9" l="1"/>
  <c r="F254" i="9"/>
  <c r="J253" i="9"/>
  <c r="K253" i="9"/>
  <c r="I253" i="9"/>
  <c r="E254" i="9"/>
  <c r="D254" i="9" s="1"/>
  <c r="G253" i="9"/>
  <c r="B253" i="9"/>
  <c r="C253" i="9" s="1"/>
  <c r="H253" i="9" l="1"/>
  <c r="K254" i="9"/>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l="1"/>
  <c r="E273" i="9"/>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l="1"/>
  <c r="G279" i="9"/>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s="1"/>
  <c r="G287" i="9" l="1"/>
  <c r="E288" i="9"/>
  <c r="D288" i="9" s="1"/>
  <c r="F288" i="9"/>
  <c r="J287" i="9"/>
  <c r="I287" i="9"/>
  <c r="K287" i="9"/>
  <c r="B287" i="9"/>
  <c r="C287" i="9" s="1"/>
  <c r="H287" i="9" l="1"/>
  <c r="E289" i="9"/>
  <c r="D289" i="9" s="1"/>
  <c r="I288" i="9"/>
  <c r="K288" i="9"/>
  <c r="F289" i="9"/>
  <c r="J288" i="9"/>
  <c r="G288" i="9"/>
  <c r="B288" i="9"/>
  <c r="C288" i="9" s="1"/>
  <c r="H288" i="9" s="1"/>
  <c r="F290" i="9" l="1"/>
  <c r="J289" i="9"/>
  <c r="I289" i="9"/>
  <c r="E290" i="9"/>
  <c r="D290" i="9" s="1"/>
  <c r="K289" i="9"/>
  <c r="G289" i="9"/>
  <c r="B289" i="9"/>
  <c r="C289" i="9" s="1"/>
  <c r="H289" i="9" l="1"/>
  <c r="K290" i="9"/>
  <c r="E291" i="9"/>
  <c r="D291" i="9" s="1"/>
  <c r="G290" i="9"/>
  <c r="F291" i="9"/>
  <c r="J290" i="9"/>
  <c r="I290" i="9"/>
  <c r="B290" i="9"/>
  <c r="C290" i="9" s="1"/>
  <c r="H290" i="9" s="1"/>
  <c r="G291" i="9" l="1"/>
  <c r="K291" i="9"/>
  <c r="F292" i="9"/>
  <c r="J291" i="9"/>
  <c r="I291" i="9"/>
  <c r="E292" i="9"/>
  <c r="D292" i="9" s="1"/>
  <c r="B291" i="9"/>
  <c r="C291" i="9" s="1"/>
  <c r="H291" i="9" l="1"/>
  <c r="E293" i="9"/>
  <c r="D293" i="9" s="1"/>
  <c r="I292" i="9"/>
  <c r="J292" i="9"/>
  <c r="F293" i="9"/>
  <c r="K292" i="9"/>
  <c r="G292" i="9"/>
  <c r="B292" i="9"/>
  <c r="C292" i="9" s="1"/>
  <c r="H292" i="9" s="1"/>
  <c r="F294" i="9" l="1"/>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l="1"/>
  <c r="E297" i="9"/>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l="1"/>
  <c r="E301" i="9"/>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l="1"/>
  <c r="G303" i="9"/>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l="1"/>
  <c r="K306" i="9"/>
  <c r="E307" i="9"/>
  <c r="D307" i="9" s="1"/>
  <c r="G306" i="9"/>
  <c r="I306" i="9"/>
  <c r="J306" i="9"/>
  <c r="F307" i="9"/>
  <c r="B306" i="9"/>
  <c r="C306" i="9" s="1"/>
  <c r="H306" i="9" s="1"/>
  <c r="G307" i="9" l="1"/>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l="1"/>
  <c r="F313" i="9"/>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l="1"/>
  <c r="E316" i="9"/>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l="1"/>
  <c r="F325" i="9"/>
  <c r="J324" i="9"/>
  <c r="I324" i="9"/>
  <c r="G324" i="9"/>
  <c r="K324" i="9"/>
  <c r="E325" i="9"/>
  <c r="D325" i="9" s="1"/>
  <c r="B324" i="9"/>
  <c r="C324" i="9" s="1"/>
  <c r="H324" i="9" l="1"/>
  <c r="K325" i="9"/>
  <c r="E326" i="9"/>
  <c r="D326" i="9" s="1"/>
  <c r="G325" i="9"/>
  <c r="I325" i="9"/>
  <c r="F326" i="9"/>
  <c r="J325" i="9"/>
  <c r="B325" i="9"/>
  <c r="C325" i="9" s="1"/>
  <c r="H325" i="9" l="1"/>
  <c r="G326" i="9"/>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l="1"/>
  <c r="K329" i="9"/>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s="1"/>
  <c r="K333" i="9" l="1"/>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l="1"/>
  <c r="K337" i="9"/>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l="1"/>
  <c r="E356" i="9"/>
  <c r="D356" i="9" s="1"/>
  <c r="I355" i="9"/>
  <c r="K355" i="9"/>
  <c r="J355" i="9"/>
  <c r="F356" i="9"/>
  <c r="G355" i="9"/>
  <c r="B355" i="9"/>
  <c r="C355" i="9" s="1"/>
  <c r="H355" i="9" l="1"/>
  <c r="F357" i="9"/>
  <c r="J356" i="9"/>
  <c r="I356" i="9"/>
  <c r="E357" i="9"/>
  <c r="D357" i="9" s="1"/>
  <c r="G356" i="9"/>
  <c r="K356" i="9"/>
  <c r="B356" i="9"/>
  <c r="C356" i="9" s="1"/>
  <c r="H356" i="9" l="1"/>
  <c r="K357" i="9"/>
  <c r="E358" i="9"/>
  <c r="D358" i="9" s="1"/>
  <c r="G357" i="9"/>
  <c r="J357" i="9"/>
  <c r="I357" i="9"/>
  <c r="F358" i="9"/>
  <c r="B357" i="9"/>
  <c r="C357" i="9" s="1"/>
  <c r="H357" i="9" l="1"/>
  <c r="G358" i="9"/>
  <c r="K358" i="9"/>
  <c r="E359" i="9"/>
  <c r="D359" i="9" s="1"/>
  <c r="I358" i="9"/>
  <c r="F359" i="9"/>
  <c r="J358" i="9"/>
  <c r="B358" i="9"/>
  <c r="C358" i="9" s="1"/>
  <c r="H358" i="9" l="1"/>
  <c r="E360" i="9"/>
  <c r="D360" i="9" s="1"/>
  <c r="I359" i="9"/>
  <c r="J359" i="9"/>
  <c r="K359" i="9"/>
  <c r="F360" i="9"/>
  <c r="G359" i="9"/>
  <c r="B359" i="9"/>
  <c r="C359" i="9" s="1"/>
  <c r="H359" i="9" l="1"/>
  <c r="F361" i="9"/>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l="1"/>
  <c r="E364" i="9"/>
  <c r="D364" i="9" s="1"/>
  <c r="I363" i="9"/>
  <c r="F364" i="9"/>
  <c r="G363" i="9"/>
  <c r="K363" i="9"/>
  <c r="J363" i="9"/>
  <c r="B363" i="9"/>
  <c r="C363" i="9" s="1"/>
  <c r="H363" i="9" l="1"/>
  <c r="F365" i="9"/>
  <c r="J364" i="9"/>
  <c r="E365" i="9"/>
  <c r="D365" i="9" s="1"/>
  <c r="I364" i="9"/>
  <c r="G364" i="9"/>
  <c r="K364" i="9"/>
  <c r="B364" i="9"/>
  <c r="C364" i="9" s="1"/>
  <c r="H364" i="9" l="1"/>
  <c r="K365" i="9"/>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l="1"/>
  <c r="K369" i="9"/>
  <c r="F370" i="9"/>
  <c r="I369" i="9"/>
  <c r="E370" i="9"/>
  <c r="D370" i="9" s="1"/>
  <c r="G369" i="9"/>
  <c r="J369" i="9"/>
  <c r="B369" i="9"/>
  <c r="C369" i="9" s="1"/>
  <c r="H369" i="9" l="1"/>
  <c r="G370" i="9"/>
  <c r="E371" i="9"/>
  <c r="D371" i="9" s="1"/>
  <c r="F371" i="9"/>
  <c r="J370" i="9"/>
  <c r="K370" i="9"/>
  <c r="I370" i="9"/>
  <c r="B370" i="9"/>
  <c r="C370" i="9" s="1"/>
  <c r="H370" i="9" l="1"/>
  <c r="E372" i="9"/>
  <c r="D372" i="9" s="1"/>
  <c r="I371" i="9"/>
  <c r="K371" i="9"/>
  <c r="F372" i="9"/>
  <c r="G371" i="9"/>
  <c r="J371" i="9"/>
  <c r="B371" i="9"/>
  <c r="C371" i="9" s="1"/>
  <c r="H371" i="9" s="1"/>
  <c r="F373" i="9" l="1"/>
  <c r="J372" i="9"/>
  <c r="I372" i="9"/>
  <c r="E373" i="9"/>
  <c r="D373" i="9" s="1"/>
  <c r="K372" i="9"/>
  <c r="G372" i="9"/>
  <c r="B372" i="9"/>
  <c r="C372" i="9" s="1"/>
  <c r="H372" i="9" l="1"/>
  <c r="K373" i="9"/>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l="1"/>
  <c r="K377" i="9"/>
  <c r="F378" i="9"/>
  <c r="G377" i="9"/>
  <c r="I377" i="9"/>
  <c r="E378" i="9"/>
  <c r="D378" i="9" s="1"/>
  <c r="J377" i="9"/>
  <c r="B377" i="9"/>
  <c r="C377" i="9" s="1"/>
  <c r="H377" i="9" s="1"/>
  <c r="G378" i="9" l="1"/>
  <c r="J378" i="9"/>
  <c r="F379" i="9"/>
  <c r="K378" i="9"/>
  <c r="E379" i="9"/>
  <c r="D379" i="9" s="1"/>
  <c r="I378" i="9"/>
  <c r="B378" i="9"/>
  <c r="C378" i="9" s="1"/>
  <c r="H378" i="9" l="1"/>
  <c r="E380" i="9"/>
  <c r="D380" i="9" s="1"/>
  <c r="I379" i="9"/>
  <c r="F380" i="9"/>
  <c r="G379" i="9"/>
  <c r="J379" i="9"/>
  <c r="K379" i="9"/>
  <c r="B379" i="9"/>
  <c r="C379" i="9" s="1"/>
  <c r="H379" i="9" l="1"/>
  <c r="F381" i="9"/>
  <c r="J380" i="9"/>
  <c r="G380" i="9"/>
  <c r="K380" i="9"/>
  <c r="I380" i="9"/>
  <c r="E381" i="9"/>
  <c r="D381" i="9" s="1"/>
  <c r="B380" i="9"/>
  <c r="C380" i="9" s="1"/>
  <c r="H380" i="9" l="1"/>
  <c r="K381" i="9"/>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l="1"/>
  <c r="E388" i="9"/>
  <c r="D388" i="9" s="1"/>
  <c r="I387" i="9"/>
  <c r="K387" i="9"/>
  <c r="G387" i="9"/>
  <c r="F388" i="9"/>
  <c r="J387" i="9"/>
  <c r="B387" i="9"/>
  <c r="C387" i="9" s="1"/>
  <c r="H387" i="9" l="1"/>
  <c r="F389" i="9"/>
  <c r="J388" i="9"/>
  <c r="I388" i="9"/>
  <c r="G388" i="9"/>
  <c r="K388" i="9"/>
  <c r="E389" i="9"/>
  <c r="D389" i="9" s="1"/>
  <c r="B388" i="9"/>
  <c r="C388" i="9" s="1"/>
  <c r="H388" i="9" l="1"/>
  <c r="K389" i="9"/>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l="1"/>
  <c r="F393" i="9"/>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l="1"/>
  <c r="E396" i="9"/>
  <c r="D396" i="9" s="1"/>
  <c r="I395" i="9"/>
  <c r="F396" i="9"/>
  <c r="G395" i="9"/>
  <c r="J395" i="9"/>
  <c r="K395" i="9"/>
  <c r="B395" i="9"/>
  <c r="C395" i="9" s="1"/>
  <c r="H395" i="9" l="1"/>
  <c r="F397" i="9"/>
  <c r="J396" i="9"/>
  <c r="I396" i="9"/>
  <c r="G396" i="9"/>
  <c r="E397" i="9"/>
  <c r="D397" i="9" s="1"/>
  <c r="K396" i="9"/>
  <c r="B396" i="9"/>
  <c r="C396" i="9" s="1"/>
  <c r="H396" i="9" l="1"/>
  <c r="K397" i="9"/>
  <c r="J397" i="9"/>
  <c r="I397" i="9"/>
  <c r="F398" i="9"/>
  <c r="E398" i="9"/>
  <c r="D398" i="9" s="1"/>
  <c r="G397" i="9"/>
  <c r="B397" i="9"/>
  <c r="C397" i="9" s="1"/>
  <c r="H397" i="9" s="1"/>
  <c r="G398" i="9" l="1"/>
  <c r="F399" i="9"/>
  <c r="I398" i="9"/>
  <c r="J398" i="9"/>
  <c r="E399" i="9"/>
  <c r="D399" i="9" s="1"/>
  <c r="K398" i="9"/>
  <c r="B398" i="9"/>
  <c r="C398" i="9" s="1"/>
  <c r="H398" i="9" l="1"/>
  <c r="E400" i="9"/>
  <c r="D400" i="9" s="1"/>
  <c r="I399" i="9"/>
  <c r="J399" i="9"/>
  <c r="K399" i="9"/>
  <c r="G399" i="9"/>
  <c r="F400" i="9"/>
  <c r="B399" i="9"/>
  <c r="C399" i="9" s="1"/>
  <c r="H399" i="9" l="1"/>
  <c r="F401" i="9"/>
  <c r="J400" i="9"/>
  <c r="K400" i="9"/>
  <c r="I400" i="9"/>
  <c r="G400" i="9"/>
  <c r="E401" i="9"/>
  <c r="D401" i="9" s="1"/>
  <c r="B400" i="9"/>
  <c r="C400" i="9" s="1"/>
  <c r="H400" i="9" l="1"/>
  <c r="K401" i="9"/>
  <c r="F402" i="9"/>
  <c r="I401" i="9"/>
  <c r="J401" i="9"/>
  <c r="E402" i="9"/>
  <c r="D402" i="9" s="1"/>
  <c r="G401" i="9"/>
  <c r="B401" i="9"/>
  <c r="C401" i="9" s="1"/>
  <c r="H401" i="9" l="1"/>
  <c r="G402" i="9"/>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l="1"/>
  <c r="K405" i="9"/>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l="1"/>
  <c r="F409" i="9"/>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l="1"/>
  <c r="E416" i="9"/>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l="1"/>
  <c r="G418" i="9"/>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l="1"/>
  <c r="K421" i="9"/>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l="1"/>
  <c r="K429" i="9"/>
  <c r="J429" i="9"/>
  <c r="E430" i="9"/>
  <c r="D430" i="9" s="1"/>
  <c r="I429" i="9"/>
  <c r="G429" i="9"/>
  <c r="F430" i="9"/>
  <c r="B429" i="9"/>
  <c r="C429" i="9" s="1"/>
  <c r="H429" i="9" l="1"/>
  <c r="G430" i="9"/>
  <c r="F431" i="9"/>
  <c r="I430" i="9"/>
  <c r="E431" i="9"/>
  <c r="D431" i="9" s="1"/>
  <c r="J430" i="9"/>
  <c r="K430" i="9"/>
  <c r="B430" i="9"/>
  <c r="C430" i="9" s="1"/>
  <c r="H430" i="9" l="1"/>
  <c r="E432" i="9"/>
  <c r="D432" i="9" s="1"/>
  <c r="I431" i="9"/>
  <c r="F432" i="9"/>
  <c r="J431" i="9"/>
  <c r="G431" i="9"/>
  <c r="K431" i="9"/>
  <c r="B431" i="9"/>
  <c r="C431" i="9" s="1"/>
  <c r="H431" i="9" l="1"/>
  <c r="F433" i="9"/>
  <c r="J432" i="9"/>
  <c r="K432" i="9"/>
  <c r="E433" i="9"/>
  <c r="D433" i="9" s="1"/>
  <c r="I432" i="9"/>
  <c r="G432" i="9"/>
  <c r="B432" i="9"/>
  <c r="C432" i="9" s="1"/>
  <c r="H432" i="9" l="1"/>
  <c r="K433" i="9"/>
  <c r="F434" i="9"/>
  <c r="I433" i="9"/>
  <c r="E434" i="9"/>
  <c r="D434" i="9" s="1"/>
  <c r="J433" i="9"/>
  <c r="G433" i="9"/>
  <c r="B433" i="9"/>
  <c r="C433" i="9" s="1"/>
  <c r="H433" i="9" l="1"/>
  <c r="G434" i="9"/>
  <c r="E435" i="9"/>
  <c r="D435" i="9" s="1"/>
  <c r="F435" i="9"/>
  <c r="J434" i="9"/>
  <c r="I434" i="9"/>
  <c r="K434" i="9"/>
  <c r="B434" i="9"/>
  <c r="C434" i="9" s="1"/>
  <c r="H434" i="9" l="1"/>
  <c r="E436" i="9"/>
  <c r="D436" i="9" s="1"/>
  <c r="I435" i="9"/>
  <c r="K435" i="9"/>
  <c r="F436" i="9"/>
  <c r="J435" i="9"/>
  <c r="G435" i="9"/>
  <c r="B435" i="9"/>
  <c r="C435" i="9" s="1"/>
  <c r="H435" i="9" l="1"/>
  <c r="F437" i="9"/>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l="1"/>
  <c r="F441" i="9"/>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l="1"/>
  <c r="E448" i="9"/>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l="1"/>
  <c r="E456" i="9"/>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l="1"/>
  <c r="E460" i="9"/>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l="1"/>
  <c r="F465" i="9"/>
  <c r="J464" i="9"/>
  <c r="K464" i="9"/>
  <c r="I464" i="9"/>
  <c r="E465" i="9"/>
  <c r="D465" i="9" s="1"/>
  <c r="G464" i="9"/>
  <c r="B464" i="9"/>
  <c r="C464" i="9" s="1"/>
  <c r="H464" i="9" l="1"/>
  <c r="K465" i="9"/>
  <c r="F466" i="9"/>
  <c r="I465" i="9"/>
  <c r="J465" i="9"/>
  <c r="E466" i="9"/>
  <c r="D466" i="9" s="1"/>
  <c r="G465" i="9"/>
  <c r="B465" i="9"/>
  <c r="C465" i="9" s="1"/>
  <c r="H465" i="9" l="1"/>
  <c r="G466" i="9"/>
  <c r="E467" i="9"/>
  <c r="D467" i="9" s="1"/>
  <c r="J466" i="9"/>
  <c r="F467" i="9"/>
  <c r="K466" i="9"/>
  <c r="I466" i="9"/>
  <c r="B466" i="9"/>
  <c r="C466" i="9" s="1"/>
  <c r="H466" i="9" l="1"/>
  <c r="E468" i="9"/>
  <c r="D468" i="9" s="1"/>
  <c r="I467" i="9"/>
  <c r="K467" i="9"/>
  <c r="J467" i="9"/>
  <c r="F468" i="9"/>
  <c r="G467" i="9"/>
  <c r="B467" i="9"/>
  <c r="C467" i="9" s="1"/>
  <c r="H467" i="9" l="1"/>
  <c r="F469" i="9"/>
  <c r="J468" i="9"/>
  <c r="I468" i="9"/>
  <c r="K468" i="9"/>
  <c r="E469" i="9"/>
  <c r="D469" i="9" s="1"/>
  <c r="G468" i="9"/>
  <c r="B468" i="9"/>
  <c r="C468" i="9" s="1"/>
  <c r="H468" i="9" l="1"/>
  <c r="K469" i="9"/>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l="1"/>
  <c r="K473" i="9"/>
  <c r="J473" i="9"/>
  <c r="F474" i="9"/>
  <c r="G473" i="9"/>
  <c r="E474" i="9"/>
  <c r="D474" i="9" s="1"/>
  <c r="I473" i="9"/>
  <c r="B473" i="9"/>
  <c r="C473" i="9" s="1"/>
  <c r="H473" i="9" l="1"/>
  <c r="G474" i="9"/>
  <c r="J474" i="9"/>
  <c r="K474" i="9"/>
  <c r="F475" i="9"/>
  <c r="E475" i="9"/>
  <c r="D475" i="9" s="1"/>
  <c r="I474" i="9"/>
  <c r="B474" i="9"/>
  <c r="C474" i="9" s="1"/>
  <c r="H474" i="9" l="1"/>
  <c r="E476" i="9"/>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l="1"/>
  <c r="E480" i="9"/>
  <c r="D480" i="9" s="1"/>
  <c r="I479" i="9"/>
  <c r="K479" i="9"/>
  <c r="G479" i="9"/>
  <c r="F480" i="9"/>
  <c r="J479" i="9"/>
  <c r="B479" i="9"/>
  <c r="C479" i="9" s="1"/>
  <c r="H479" i="9" l="1"/>
  <c r="F481" i="9"/>
  <c r="J480" i="9"/>
  <c r="K480" i="9"/>
  <c r="G480" i="9"/>
  <c r="E481" i="9"/>
  <c r="D481" i="9" s="1"/>
  <c r="I480" i="9"/>
  <c r="B480" i="9"/>
  <c r="C480" i="9" s="1"/>
  <c r="H480" i="9" l="1"/>
  <c r="K481" i="9"/>
  <c r="F482" i="9"/>
  <c r="I481" i="9"/>
  <c r="G481" i="9"/>
  <c r="E482" i="9"/>
  <c r="D482" i="9" s="1"/>
  <c r="J481" i="9"/>
  <c r="B481" i="9"/>
  <c r="C481" i="9" s="1"/>
  <c r="H481" i="9" l="1"/>
  <c r="G482" i="9"/>
  <c r="E483" i="9"/>
  <c r="D483" i="9" s="1"/>
  <c r="K482" i="9"/>
  <c r="I482" i="9"/>
  <c r="F483" i="9"/>
  <c r="J482" i="9"/>
  <c r="B482" i="9"/>
  <c r="C482" i="9" s="1"/>
  <c r="H482" i="9" l="1"/>
  <c r="E484" i="9"/>
  <c r="D484" i="9" s="1"/>
  <c r="I483" i="9"/>
  <c r="K483" i="9"/>
  <c r="G483" i="9"/>
  <c r="F484" i="9"/>
  <c r="J483" i="9"/>
  <c r="B483" i="9"/>
  <c r="C483" i="9" s="1"/>
  <c r="H483" i="9" l="1"/>
  <c r="F485" i="9"/>
  <c r="J484" i="9"/>
  <c r="I484" i="9"/>
  <c r="G484" i="9"/>
  <c r="E485" i="9"/>
  <c r="D485" i="9" s="1"/>
  <c r="K484" i="9"/>
  <c r="B484" i="9"/>
  <c r="C484" i="9" s="1"/>
  <c r="H484" i="9" l="1"/>
  <c r="K485" i="9"/>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l="1"/>
  <c r="E492" i="9"/>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l="1"/>
  <c r="F497" i="9"/>
  <c r="J496" i="9"/>
  <c r="K496" i="9"/>
  <c r="E497" i="9"/>
  <c r="D497" i="9" s="1"/>
  <c r="I496" i="9"/>
  <c r="G496" i="9"/>
  <c r="B496" i="9"/>
  <c r="C496" i="9" s="1"/>
  <c r="H496" i="9" l="1"/>
  <c r="K497" i="9"/>
  <c r="F498" i="9"/>
  <c r="I497" i="9"/>
  <c r="E498" i="9"/>
  <c r="D498" i="9" s="1"/>
  <c r="J497" i="9"/>
  <c r="G497" i="9"/>
  <c r="B497" i="9"/>
  <c r="C497" i="9" s="1"/>
  <c r="H497" i="9" l="1"/>
  <c r="G498" i="9"/>
  <c r="E499" i="9"/>
  <c r="D499" i="9" s="1"/>
  <c r="F499" i="9"/>
  <c r="J498" i="9"/>
  <c r="I498" i="9"/>
  <c r="K498" i="9"/>
  <c r="B498" i="9"/>
  <c r="C498" i="9" s="1"/>
  <c r="H498" i="9" l="1"/>
  <c r="E500" i="9"/>
  <c r="D500" i="9" s="1"/>
  <c r="I499" i="9"/>
  <c r="K499" i="9"/>
  <c r="F500" i="9"/>
  <c r="J499" i="9"/>
  <c r="G499" i="9"/>
  <c r="B499" i="9"/>
  <c r="C499" i="9" s="1"/>
  <c r="H499" i="9" l="1"/>
  <c r="F501" i="9"/>
  <c r="J500" i="9"/>
  <c r="I500" i="9"/>
  <c r="E501" i="9"/>
  <c r="D501" i="9" s="1"/>
  <c r="K500" i="9"/>
  <c r="G500" i="9"/>
  <c r="B500" i="9"/>
  <c r="C500" i="9" s="1"/>
  <c r="H500" i="9" l="1"/>
  <c r="K501" i="9"/>
  <c r="G501" i="9"/>
  <c r="J501" i="9"/>
  <c r="I501" i="9"/>
  <c r="B501" i="9"/>
  <c r="C501" i="9" s="1"/>
  <c r="H501" i="9" l="1"/>
  <c r="X3" i="7"/>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<sst xmlns="http://schemas.openxmlformats.org/spreadsheetml/2006/main" count="5892" uniqueCount="1102">
  <si>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</si>
  <si>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</si>
  <si>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</si>
  <si>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</si>
  <si>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</si>
  <si>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</si>
  <si>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</si>
  <si>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</si>
  <si>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</si>
  <si>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</si>
  <si>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</si>
  <si>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</si>
  <si>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</si>
  <si>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</si>
  <si>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</si>
  <si>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</si>
  <si>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</si>
  <si>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</si>
  <si>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</si>
  <si>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</si>
  <si>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</si>
  <si>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</si>
  <si>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</si>
  <si>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</si>
  <si>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</si>
  <si>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</si>
  <si>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</si>
  <si>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</si>
  <si>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</si>
  <si>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</si>
  <si>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</si>
  <si>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</si>
  <si>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</si>
  <si>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</si>
  <si>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</si>
  <si>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</si>
  <si>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</si>
  <si>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</si>
  <si>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</si>
  <si>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</si>
  <si>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</si>
  <si>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</si>
  <si>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</si>
  <si>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</si>
  <si>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</si>
  <si>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</si>
  <si>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</si>
  <si>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</si>
  <si>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</si>
  <si>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</si>
  <si>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</si>
  <si>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</si>
  <si>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</si>
  <si>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</si>
  <si>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</si>
  <si>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</si>
  <si>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</si>
  <si>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</si>
  <si>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</si>
  <si>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</si>
  <si>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</si>
  <si>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</si>
  <si>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</si>
  <si>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</si>
  <si>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</si>
  <si>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</si>
  <si>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</si>
  <si>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</si>
  <si>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</si>
  <si>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</si>
  <si>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</si>
  <si>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</si>
  <si>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</si>
  <si>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</si>
  <si>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</si>
  <si>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</si>
  <si>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</si>
  <si>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</si>
  <si>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</si>
  <si>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</si>
  <si>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</si>
  <si>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</si>
  <si>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</si>
  <si>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</si>
  <si>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</si>
  <si>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</si>
  <si>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</si>
  <si>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</si>
  <si>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</si>
  <si>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</si>
  <si>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</si>
  <si>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</si>
  <si>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</si>
  <si>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</si>
  <si>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</si>
  <si>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</si>
  <si>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</si>
  <si>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</si>
  <si>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</si>
  <si>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</si>
  <si>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</si>
  <si>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</si>
  <si>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</si>
  <si>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</si>
  <si>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</si>
  <si>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</si>
  <si>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</si>
  <si>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</si>
  <si>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</si>
  <si>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</si>
  <si>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</si>
  <si>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</si>
  <si>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</si>
  <si>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</si>
  <si>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</si>
  <si>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</si>
  <si>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</si>
  <si>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</si>
  <si>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</si>
  <si>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</si>
  <si>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</si>
  <si>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</si>
  <si>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</si>
  <si>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</si>
  <si>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</si>
  <si>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</si>
  <si>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</si>
  <si>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</si>
  <si>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</si>
  <si>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</si>
  <si>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</si>
  <si>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</si>
  <si>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</si>
  <si>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</si>
  <si>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</si>
  <si>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</si>
  <si>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</si>
  <si>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</si>
  <si>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</si>
  <si>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</si>
  <si>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</si>
  <si>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</si>
  <si>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</si>
  <si>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</si>
  <si>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</si>
  <si>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</si>
  <si>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</si>
  <si>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</si>
  <si>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</si>
  <si>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</si>
  <si>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</si>
  <si>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</si>
  <si>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</si>
  <si>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</si>
  <si>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</si>
  <si>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</si>
  <si>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</si>
  <si>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</si>
  <si>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</si>
  <si>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</si>
  <si>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</si>
  <si>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</si>
  <si>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</si>
  <si>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</si>
  <si>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</si>
  <si>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</si>
  <si>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</si>
  <si>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</si>
  <si>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</si>
  <si>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</si>
  <si>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</si>
  <si>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</si>
  <si>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</si>
  <si>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</si>
  <si>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</si>
  <si>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</si>
  <si>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</si>
  <si>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</si>
  <si>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</si>
  <si>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</si>
  <si>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</si>
  <si>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</si>
  <si>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</si>
  <si>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</si>
  <si>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</si>
  <si>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</si>
  <si>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</si>
  <si>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</si>
  <si>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</si>
  <si>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</si>
  <si>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</si>
  <si>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</si>
  <si>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</si>
  <si>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</si>
  <si>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</si>
  <si>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</si>
  <si>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</si>
  <si>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</si>
  <si>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</si>
  <si>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</si>
  <si>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</si>
  <si>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</si>
  <si>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</si>
  <si>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</si>
  <si>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</si>
  <si>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</si>
  <si>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</si>
  <si>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</si>
  <si>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</si>
  <si>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</si>
  <si>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</si>
  <si>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</si>
  <si>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</si>
  <si>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</si>
  <si>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</si>
  <si>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</si>
  <si>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</si>
  <si>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</si>
  <si>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</si>
  <si>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</si>
  <si>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</si>
  <si>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</si>
  <si>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</si>
  <si>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</si>
  <si>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</si>
  <si>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</si>
  <si>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</si>
  <si>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</si>
  <si>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</si>
  <si>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</si>
  <si>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</si>
  <si>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</si>
  <si>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</si>
  <si>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</si>
  <si>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</si>
  <si>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</si>
  <si>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</si>
  <si>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</si>
  <si>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</si>
  <si>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</si>
  <si>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</si>
  <si>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</si>
  <si>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</si>
  <si>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</si>
  <si>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</si>
  <si>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</si>
  <si>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</si>
  <si>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</si>
  <si>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</si>
  <si>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</si>
  <si>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</si>
  <si>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</si>
  <si>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</si>
  <si>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</si>
  <si>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</si>
  <si>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</si>
  <si>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</si>
  <si>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</si>
  <si>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</si>
  <si>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</si>
  <si>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</si>
  <si>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</si>
  <si>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</si>
  <si>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</si>
  <si>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</si>
  <si>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</si>
  <si>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</si>
  <si>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</si>
  <si>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</si>
  <si>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</si>
  <si>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</si>
  <si>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</si>
  <si>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</si>
  <si>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</si>
  <si>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</si>
  <si>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</si>
  <si>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</si>
  <si>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</si>
  <si>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</si>
  <si>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</si>
  <si>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</si>
  <si>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</si>
  <si>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</si>
  <si>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</si>
  <si>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</si>
  <si>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</si>
  <si>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</si>
  <si>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</si>
  <si>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</si>
  <si>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</si>
  <si>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</si>
  <si>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</si>
  <si>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</si>
  <si>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</si>
  <si>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</si>
  <si>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</si>
  <si>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</si>
  <si>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</si>
  <si>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</si>
  <si>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</si>
  <si>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</si>
  <si>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</si>
  <si>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</si>
  <si>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</si>
  <si>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</si>
  <si>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</si>
  <si>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</si>
  <si>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</si>
  <si>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</si>
  <si>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</si>
  <si>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</si>
  <si>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</si>
  <si>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</si>
  <si>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</si>
  <si>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</si>
  <si>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</si>
  <si>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</si>
  <si>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</si>
  <si>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</si>
  <si>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</si>
  <si>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</si>
  <si>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</si>
  <si>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</si>
  <si>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</si>
  <si>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</si>
  <si>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</si>
  <si>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</si>
  <si>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</si>
  <si>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</si>
  <si>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</si>
  <si>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</si>
  <si>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</si>
  <si>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</si>
  <si>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</si>
  <si>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</si>
  <si>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</si>
  <si>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</si>
  <si>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</si>
  <si>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</si>
  <si>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</si>
  <si>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</si>
  <si>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</si>
  <si>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</si>
  <si>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</si>
  <si>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</si>
  <si>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</si>
  <si>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</si>
  <si>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</si>
  <si>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</si>
  <si>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</si>
  <si>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</si>
  <si>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</si>
  <si>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</si>
  <si>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</si>
  <si>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</si>
  <si>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</si>
  <si>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</si>
  <si>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</si>
  <si>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</si>
  <si>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</si>
  <si>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</si>
  <si>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</si>
  <si>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</si>
  <si>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</si>
  <si>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</si>
  <si>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</si>
  <si>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</si>
  <si>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</si>
  <si>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</si>
  <si>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</si>
  <si>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</si>
  <si>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</si>
  <si>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</si>
  <si>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</si>
  <si>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</si>
  <si>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</si>
  <si>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</si>
  <si>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</si>
  <si>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</si>
  <si>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</si>
  <si>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</si>
  <si>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</si>
  <si>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</si>
  <si>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</si>
  <si>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</si>
  <si>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</si>
  <si>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</si>
  <si>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</si>
  <si>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</si>
  <si>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</si>
  <si>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</si>
  <si>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</si>
  <si>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</si>
  <si>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</si>
  <si>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</si>
  <si>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</si>
  <si>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</si>
  <si>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</si>
  <si>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</si>
  <si>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</si>
  <si>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</si>
  <si>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</si>
  <si>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</si>
  <si>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</si>
  <si>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</si>
  <si>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</si>
  <si>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</si>
  <si>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</si>
  <si>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</si>
  <si>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</si>
  <si>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</si>
  <si>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</si>
  <si>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</si>
  <si>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</si>
  <si>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</si>
  <si>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</si>
  <si>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</si>
  <si>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</si>
  <si>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</si>
  <si>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</si>
  <si>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</si>
  <si>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</si>
  <si>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</si>
  <si>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</si>
  <si>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</si>
  <si>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</si>
  <si>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</si>
  <si>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</si>
  <si>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</si>
  <si>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</si>
  <si>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</si>
  <si>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</si>
  <si>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</si>
  <si>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</si>
  <si>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</si>
  <si>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</si>
  <si>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</si>
  <si>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</si>
  <si>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</si>
  <si>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</si>
  <si>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</si>
  <si>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</si>
  <si>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</si>
  <si>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</si>
  <si>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</si>
  <si>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</si>
  <si>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</si>
  <si>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</si>
  <si>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</si>
  <si>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</si>
  <si>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</si>
  <si>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</si>
  <si>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</si>
  <si>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</si>
  <si>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</si>
  <si>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</si>
  <si>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</si>
  <si>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</si>
  <si>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</si>
  <si>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</si>
  <si>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</si>
  <si>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</si>
  <si>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</si>
  <si>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</si>
  <si>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</si>
  <si>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</si>
  <si>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</si>
  <si>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</si>
  <si>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</si>
  <si>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</si>
  <si>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</si>
  <si>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</si>
  <si>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</si>
  <si>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</si>
  <si>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</si>
  <si>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</si>
  <si>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</si>
  <si>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</si>
  <si>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</si>
  <si>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</si>
  <si>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</si>
  <si>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</si>
  <si>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</si>
  <si>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</si>
  <si>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</si>
  <si>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</si>
  <si>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</si>
  <si>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</si>
  <si>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</si>
  <si>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</si>
  <si>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</si>
  <si>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</si>
  <si>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</si>
  <si>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</si>
  <si>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</si>
  <si>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</si>
  <si>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</si>
  <si>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</si>
  <si>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</si>
  <si>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</si>
  <si>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</si>
  <si>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</si>
  <si>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</si>
  <si>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</si>
  <si>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</si>
  <si>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</si>
  <si>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</si>
  <si>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</si>
  <si>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</si>
  <si>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</si>
  <si>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</si>
  <si>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</si>
  <si>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</si>
  <si>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</si>
  <si>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</si>
  <si>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</si>
  <si>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</si>
  <si>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</si>
  <si>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</si>
  <si>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</si>
  <si>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</si>
  <si>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</si>
  <si>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</si>
  <si>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</si>
  <si>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</si>
  <si>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</si>
  <si>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</si>
  <si>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</si>
  <si>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</si>
  <si>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</si>
  <si>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</si>
  <si>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</si>
  <si>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</si>
  <si>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</si>
  <si>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</si>
  <si>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</si>
  <si>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</si>
  <si>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</si>
  <si>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</si>
  <si>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</si>
  <si>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</si>
  <si>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</si>
  <si>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</si>
  <si>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</si>
  <si>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</si>
  <si>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</si>
  <si>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</si>
  <si>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</si>
  <si>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</si>
  <si>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</si>
  <si>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</si>
  <si>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</si>
  <si>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</si>
  <si>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</si>
  <si>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</si>
  <si>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</si>
  <si>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</si>
  <si>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</si>
  <si>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</si>
  <si>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</si>
  <si>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</si>
  <si>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</si>
  <si>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</si>
  <si>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</si>
  <si>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</si>
  <si>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</si>
  <si>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</si>
  <si>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</si>
  <si>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</si>
  <si>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</si>
  <si>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</si>
  <si>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</si>
  <si>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</si>
  <si>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</si>
  <si>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</si>
  <si>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</si>
  <si>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</si>
  <si>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</si>
  <si>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</si>
  <si>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</si>
  <si>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</si>
  <si>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</si>
  <si>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</si>
  <si>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</si>
  <si>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</si>
  <si>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</si>
  <si>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</si>
  <si>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</si>
  <si>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</si>
  <si>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</si>
  <si>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</si>
  <si>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</si>
  <si>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</si>
  <si>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</si>
  <si>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</si>
  <si>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</si>
  <si>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</si>
  <si>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</si>
  <si>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</si>
  <si>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</si>
  <si>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</si>
  <si>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</si>
  <si>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</si>
  <si>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</si>
  <si>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</si>
  <si>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</si>
  <si>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</si>
  <si>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</si>
  <si>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</si>
  <si>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</si>
  <si>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</si>
  <si>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</si>
  <si>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</si>
  <si>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</si>
  <si>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</si>
  <si>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</si>
  <si>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</si>
  <si>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</si>
  <si>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</si>
  <si>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</si>
  <si>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</si>
  <si>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</si>
  <si>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</si>
  <si>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</si>
  <si>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</si>
  <si>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</si>
  <si>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</si>
  <si>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</si>
  <si>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</si>
  <si>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</si>
  <si>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</si>
  <si>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</si>
  <si>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</si>
  <si>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</si>
  <si>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</si>
  <si>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</si>
  <si>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</si>
  <si>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</si>
  <si>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</si>
  <si>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</si>
  <si>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</si>
  <si>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</si>
  <si>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</si>
  <si>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</si>
  <si>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</si>
  <si>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</si>
  <si>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</si>
  <si>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</si>
  <si>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</si>
  <si>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</si>
  <si>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</si>
  <si>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</si>
  <si>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</si>
  <si>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</si>
  <si>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</si>
  <si>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</si>
  <si>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</si>
  <si>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</si>
  <si>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</si>
  <si>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</si>
  <si>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</si>
  <si>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</si>
  <si>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</si>
  <si>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</si>
  <si>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</si>
  <si>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</si>
  <si>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</si>
  <si>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</si>
  <si>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</si>
  <si>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</si>
  <si>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</si>
  <si>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</si>
  <si>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</si>
  <si>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</si>
  <si>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</si>
  <si>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</si>
  <si>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</si>
  <si>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</si>
  <si>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</si>
  <si>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</si>
  <si>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</si>
  <si>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</si>
  <si>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</si>
  <si>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</si>
  <si>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</si>
  <si>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</si>
  <si>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</si>
  <si>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</si>
  <si>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</si>
  <si>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</si>
  <si>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</si>
  <si>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</si>
  <si>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</si>
  <si>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</si>
  <si>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</si>
  <si>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</si>
  <si>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</si>
  <si>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</si>
  <si>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</si>
  <si>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</si>
  <si>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</si>
  <si>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</si>
  <si>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</si>
  <si>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</si>
  <si>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</si>
  <si>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</si>
  <si>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</si>
  <si>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</si>
  <si>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</si>
  <si>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</si>
  <si>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</si>
  <si>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</si>
  <si>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</si>
  <si>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</si>
  <si>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</si>
  <si>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</si>
  <si>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</si>
  <si>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</si>
  <si>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</si>
  <si>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</si>
  <si>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</si>
  <si>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</si>
  <si>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</si>
  <si>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</si>
  <si>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</si>
  <si>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</si>
  <si>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</si>
  <si>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</si>
  <si>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</si>
  <si>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</si>
  <si>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</si>
  <si>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</si>
  <si>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</si>
  <si>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</si>
  <si>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</si>
  <si>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</si>
  <si>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</si>
  <si>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</si>
  <si>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</si>
  <si>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</si>
  <si>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</si>
  <si>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</si>
  <si>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</si>
  <si>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</si>
  <si>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</si>
  <si>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</si>
  <si>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</si>
  <si>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</si>
  <si>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</si>
  <si>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</si>
  <si>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</si>
  <si>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</si>
  <si>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</si>
  <si>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</si>
  <si>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</si>
  <si>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</si>
  <si>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</si>
  <si>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</si>
  <si>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</si>
  <si>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</si>
  <si>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</si>
  <si>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</si>
  <si>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</si>
  <si>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</si>
  <si>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</si>
  <si>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</si>
  <si>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</si>
  <si>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</si>
  <si>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</si>
  <si>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</si>
  <si>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</si>
  <si>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</si>
  <si>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</si>
  <si>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</si>
  <si>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</si>
  <si>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</si>
  <si>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</si>
  <si>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</si>
  <si>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</si>
  <si>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</si>
  <si>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</si>
  <si>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</si>
  <si>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</si>
  <si>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</si>
  <si>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</si>
  <si>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</si>
  <si>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</si>
  <si>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</si>
  <si>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</si>
  <si>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</si>
  <si>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</si>
  <si>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</si>
  <si>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</si>
  <si>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</si>
  <si>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</si>
  <si>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</si>
  <si>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</si>
  <si>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</si>
  <si>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</si>
  <si>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</si>
  <si>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</si>
  <si>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</si>
  <si>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</si>
  <si>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</si>
  <si>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</si>
  <si>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</si>
  <si>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</si>
  <si>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</si>
  <si>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</si>
  <si>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</si>
  <si>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</si>
  <si>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</si>
  <si>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</si>
  <si>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</si>
  <si>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</si>
  <si>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</si>
  <si>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</si>
  <si>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</si>
  <si>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</si>
  <si>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</si>
  <si>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</si>
  <si>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</si>
  <si>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</si>
  <si>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</si>
  <si>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</si>
  <si>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</si>
  <si>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</si>
  <si>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</si>
  <si>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</si>
  <si>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</si>
  <si>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</si>
  <si>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</si>
  <si>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</si>
  <si>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</si>
  <si>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</si>
  <si>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</si>
  <si>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</si>
  <si>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</si>
  <si>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</si>
  <si>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</si>
  <si>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</si>
  <si>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</si>
  <si>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</si>
  <si>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</si>
  <si>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</si>
  <si>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</si>
  <si>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</si>
  <si>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</si>
  <si>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</si>
  <si>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</si>
  <si>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</si>
  <si>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</si>
  <si>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</si>
  <si>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</si>
  <si>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</si>
  <si>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</si>
  <si>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</si>
  <si>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</si>
  <si>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</si>
  <si>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</si>
  <si>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</si>
  <si>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</si>
  <si>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</si>
  <si>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</si>
  <si>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</si>
  <si>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</si>
  <si>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</si>
  <si>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</si>
  <si>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</si>
  <si>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</si>
  <si>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</si>
  <si>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</si>
  <si>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</si>
  <si>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</si>
  <si>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</si>
  <si>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</si>
  <si>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</si>
  <si>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</si>
  <si>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</si>
  <si>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</si>
  <si>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</si>
  <si>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</si>
  <si>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</si>
  <si>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</si>
  <si>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</si>
  <si>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</si>
  <si>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</si>
  <si>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</si>
  <si>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</si>
  <si>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</si>
  <si>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</si>
  <si>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</si>
  <si>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</si>
  <si>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</si>
  <si>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</si>
  <si>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</si>
  <si>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</si>
  <si>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</si>
  <si>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</si>
  <si>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</si>
  <si>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</si>
  <si>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</si>
  <si>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</si>
  <si>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</si>
  <si>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</si>
  <si>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</si>
  <si>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</si>
  <si>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</si>
  <si>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</si>
  <si>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</si>
  <si>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</si>
  <si>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</si>
  <si>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</si>
  <si>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</si>
  <si>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</si>
  <si>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</si>
  <si>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</si>
  <si>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</si>
  <si>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</si>
  <si>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</si>
  <si>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</si>
  <si>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</si>
  <si>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</si>
  <si>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</si>
  <si>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</si>
  <si>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</si>
  <si>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</si>
  <si>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</si>
  <si>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</si>
  <si>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</si>
  <si>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</si>
  <si>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</si>
  <si>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</si>
  <si>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</si>
  <si>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</si>
  <si>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</si>
  <si>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</si>
  <si>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</si>
  <si>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</si>
  <si>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</si>
  <si>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</si>
  <si>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</si>
  <si>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</si>
  <si>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</si>
  <si>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</si>
  <si>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</si>
  <si>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</si>
  <si>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</si>
  <si>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</si>
  <si>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</si>
  <si>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</si>
  <si>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</si>
  <si>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</si>
  <si>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</si>
  <si>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</si>
  <si>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</si>
  <si>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</si>
  <si>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</si>
  <si>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</si>
  <si>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</si>
  <si>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</si>
  <si>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</si>
  <si>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</si>
  <si>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</si>
  <si>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</si>
  <si>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</si>
  <si>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</si>
  <si>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</si>
  <si>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</si>
  <si>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</si>
  <si>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</si>
  <si>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</si>
  <si>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</si>
  <si>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</si>
  <si>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</si>
  <si>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</si>
  <si>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</si>
  <si>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</si>
  <si>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</si>
  <si>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</si>
  <si>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</si>
  <si>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</si>
  <si>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</si>
  <si>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</si>
  <si>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</si>
  <si>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</si>
  <si>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</si>
  <si>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</si>
  <si>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</si>
  <si>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</si>
  <si>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</si>
  <si>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</si>
  <si>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</si>
  <si>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</si>
  <si>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</si>
  <si>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</si>
  <si>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</si>
  <si>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</si>
  <si>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</si>
  <si>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</si>
  <si>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</si>
  <si>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</si>
  <si>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</si>
  <si>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</si>
  <si>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</si>
  <si>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</si>
  <si>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</si>
  <si>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</si>
  <si>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</si>
  <si>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</si>
  <si>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</si>
  <si>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</si>
  <si>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</si>
  <si>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</si>
  <si>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</si>
  <si>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</si>
  <si>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</si>
  <si>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</si>
  <si>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</si>
  <si>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</si>
  <si>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</si>
  <si>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</si>
  <si>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</si>
  <si>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</si>
  <si>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</si>
  <si>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</si>
  <si>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</si>
  <si>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</si>
  <si>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</si>
  <si>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</si>
  <si>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</si>
  <si>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</si>
  <si>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</si>
  <si>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</si>
  <si>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</si>
  <si>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</si>
  <si>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</si>
  <si>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</si>
  <si>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</si>
  <si>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</si>
  <si>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</si>
  <si>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</si>
  <si>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</si>
  <si>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</si>
  <si>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</si>
  <si>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</si>
  <si>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</si>
  <si>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</si>
  <si>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</si>
  <si>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</si>
  <si>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</si>
  <si>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</si>
  <si>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</si>
  <si>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</si>
  <si>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</si>
  <si>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</si>
  <si>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</si>
  <si>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</si>
  <si>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</si>
  <si>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</si>
  <si>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</si>
  <si>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</si>
  <si>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</si>
  <si>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</si>
  <si>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</si>
  <si>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</si>
  <si>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</si>
  <si>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</si>
  <si>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</si>
  <si>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</si>
  <si>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</si>
  <si>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</si>
  <si>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</si>
  <si>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</si>
  <si>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</si>
  <si>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</si>
  <si>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</si>
  <si>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</si>
  <si>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</si>
  <si>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</si>
  <si>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</si>
  <si>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</si>
  <si>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</si>
  <si>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</si>
  <si>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</si>
  <si>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</si>
  <si>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</si>
  <si>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</si>
  <si>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</si>
  <si>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</si>
  <si>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</si>
  <si>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</si>
  <si>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</si>
  <si>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</si>
  <si>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</si>
  <si>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</si>
  <si>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</si>
  <si>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</si>
  <si>
    <t>Life Transitions</t>
  </si>
  <si>
    <t>Evergreen Family Counseling</t>
  </si>
  <si>
    <t>CaroleCounseling</t>
  </si>
  <si>
    <t>Parent Child Therapy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</si>
</sst>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3">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6" fillId="16" borderId="0" xfId="0" applyFont="1" applyFill="1" applyAlignment="1">
      <alignment wrapText="1"/>
    </xf>
    <xf numFmtId="0" fontId="23" fillId="0" borderId="0" xfId="0" applyFont="1" applyFill="1" applyAlignment="1">
      <alignment vertical="center" wrapText="1"/>
    </xf>
    <xf numFmtId="0" fontId="23" fillId="0" borderId="0" xfId="0" applyFont="1" applyFill="1" applyAlignment="1" applyProtection="1">
      <alignment vertical="center" wrapText="1"/>
    </xf>
    <xf numFmtId="0" fontId="26" fillId="16" borderId="0" xfId="0" applyFont="1" applyFill="1" applyAlignment="1" applyProtection="1">
      <alignment wrapText="1"/>
    </xf>
    <xf numFmtId="0" fontId="23" fillId="0" borderId="0" xfId="0" applyFont="1" applyAlignment="1" applyProtection="1">
      <alignment wrapText="1"/>
      <protection locked="0"/>
    </xf>
    <xf numFmtId="0" fontId="30" fillId="15" borderId="0" xfId="0" applyFont="1" applyFill="1" applyAlignment="1" applyProtection="1">
      <alignment wrapText="1"/>
    </xf>
    <xf numFmtId="0" fontId="26" fillId="17" borderId="0" xfId="0" applyFont="1" applyFill="1" applyAlignment="1" applyProtection="1">
      <alignment wrapText="1"/>
      <protection locked="0"/>
    </xf>
    <xf numFmtId="0" fontId="23" fillId="0" borderId="0" xfId="0" applyFont="1" applyFill="1" applyAlignment="1" applyProtection="1">
      <alignment wrapText="1"/>
      <protection locked="0"/>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442484544"/>
        <c:axId val="442485104"/>
      </c:barChart>
      <c:catAx>
        <c:axId val="44248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485104"/>
        <c:crosses val="autoZero"/>
        <c:auto val="1"/>
        <c:lblAlgn val="ctr"/>
        <c:lblOffset val="100"/>
        <c:noMultiLvlLbl val="0"/>
      </c:catAx>
      <c:valAx>
        <c:axId val="44248510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48454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442489024"/>
        <c:axId val="442489584"/>
      </c:barChart>
      <c:catAx>
        <c:axId val="442489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489584"/>
        <c:crosses val="autoZero"/>
        <c:auto val="1"/>
        <c:lblAlgn val="ctr"/>
        <c:lblOffset val="100"/>
        <c:noMultiLvlLbl val="0"/>
      </c:catAx>
      <c:valAx>
        <c:axId val="44248958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489024"/>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44403440"/>
        <c:axId val="444404000"/>
      </c:barChart>
      <c:catAx>
        <c:axId val="444403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44404000"/>
        <c:crosses val="autoZero"/>
        <c:auto val="1"/>
        <c:lblAlgn val="ctr"/>
        <c:lblOffset val="100"/>
        <c:noMultiLvlLbl val="0"/>
      </c:catAx>
      <c:valAx>
        <c:axId val="44440400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40344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44407920"/>
        <c:axId val="444408480"/>
      </c:barChart>
      <c:catAx>
        <c:axId val="444407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408480"/>
        <c:crosses val="autoZero"/>
        <c:auto val="1"/>
        <c:lblAlgn val="ctr"/>
        <c:lblOffset val="100"/>
        <c:noMultiLvlLbl val="0"/>
      </c:catAx>
      <c:valAx>
        <c:axId val="4444084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40792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44280096"/>
        <c:axId val="444280656"/>
      </c:barChart>
      <c:catAx>
        <c:axId val="444280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80656"/>
        <c:crosses val="autoZero"/>
        <c:auto val="1"/>
        <c:lblAlgn val="ctr"/>
        <c:lblOffset val="100"/>
        <c:noMultiLvlLbl val="0"/>
      </c:catAx>
      <c:valAx>
        <c:axId val="44428065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8009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44284576"/>
        <c:axId val="444285136"/>
      </c:barChart>
      <c:catAx>
        <c:axId val="444284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85136"/>
        <c:crosses val="autoZero"/>
        <c:auto val="1"/>
        <c:lblAlgn val="ctr"/>
        <c:lblOffset val="100"/>
        <c:noMultiLvlLbl val="0"/>
      </c:catAx>
      <c:valAx>
        <c:axId val="4442851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8457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4289616"/>
        <c:axId val="444290176"/>
      </c:barChart>
      <c:catAx>
        <c:axId val="44428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4290176"/>
        <c:crosses val="autoZero"/>
        <c:auto val="1"/>
        <c:lblAlgn val="ctr"/>
        <c:lblOffset val="100"/>
        <c:noMultiLvlLbl val="0"/>
      </c:catAx>
      <c:valAx>
        <c:axId val="4442901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8961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4294096"/>
        <c:axId val="444294656"/>
      </c:barChart>
      <c:catAx>
        <c:axId val="444294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4294656"/>
        <c:crosses val="autoZero"/>
        <c:auto val="1"/>
        <c:lblAlgn val="ctr"/>
        <c:lblOffset val="100"/>
        <c:noMultiLvlLbl val="0"/>
      </c:catAx>
      <c:valAx>
        <c:axId val="44429465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9409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3549456"/>
        <c:axId val="443550016"/>
      </c:barChart>
      <c:catAx>
        <c:axId val="443549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3550016"/>
        <c:crosses val="autoZero"/>
        <c:auto val="1"/>
        <c:lblAlgn val="ctr"/>
        <c:lblOffset val="100"/>
        <c:noMultiLvlLbl val="0"/>
      </c:catAx>
      <c:valAx>
        <c:axId val="44355001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54945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3553936"/>
        <c:axId val="443554496"/>
      </c:barChart>
      <c:catAx>
        <c:axId val="443553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3554496"/>
        <c:crosses val="autoZero"/>
        <c:auto val="1"/>
        <c:lblAlgn val="ctr"/>
        <c:lblOffset val="100"/>
        <c:noMultiLvlLbl val="0"/>
      </c:catAx>
      <c:valAx>
        <c:axId val="44355449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55393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3558416"/>
        <c:axId val="443558976"/>
      </c:barChart>
      <c:catAx>
        <c:axId val="443558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3558976"/>
        <c:crosses val="autoZero"/>
        <c:auto val="1"/>
        <c:lblAlgn val="ctr"/>
        <c:lblOffset val="100"/>
        <c:noMultiLvlLbl val="0"/>
      </c:catAx>
      <c:valAx>
        <c:axId val="4435589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55841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45122960"/>
        <c:axId val="445123520"/>
      </c:barChart>
      <c:catAx>
        <c:axId val="44512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45123520"/>
        <c:crosses val="autoZero"/>
        <c:auto val="1"/>
        <c:lblAlgn val="ctr"/>
        <c:lblOffset val="100"/>
        <c:noMultiLvlLbl val="0"/>
      </c:catAx>
      <c:valAx>
        <c:axId val="44512352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122960"/>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9525</xdr:rowOff>
        </xdr:from>
        <xdr:to>
          <xdr:col>3</xdr:col>
          <xdr:colOff>619125</xdr:colOff>
          <xdr:row>19</xdr:row>
          <xdr:rowOff>123825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3</xdr:col>
          <xdr:colOff>609600</xdr:colOff>
          <xdr:row>27</xdr:row>
          <xdr:rowOff>219075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28575</xdr:rowOff>
        </xdr:from>
        <xdr:to>
          <xdr:col>3</xdr:col>
          <xdr:colOff>619125</xdr:colOff>
          <xdr:row>35</xdr:row>
          <xdr:rowOff>133350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28575</xdr:rowOff>
        </xdr:from>
        <xdr:to>
          <xdr:col>3</xdr:col>
          <xdr:colOff>619125</xdr:colOff>
          <xdr:row>43</xdr:row>
          <xdr:rowOff>142875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9525</xdr:rowOff>
        </xdr:from>
        <xdr:to>
          <xdr:col>3</xdr:col>
          <xdr:colOff>619125</xdr:colOff>
          <xdr:row>51</xdr:row>
          <xdr:rowOff>219075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19050</xdr:rowOff>
        </xdr:from>
        <xdr:to>
          <xdr:col>3</xdr:col>
          <xdr:colOff>609600</xdr:colOff>
          <xdr:row>59</xdr:row>
          <xdr:rowOff>219075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9525</xdr:rowOff>
        </xdr:from>
        <xdr:to>
          <xdr:col>3</xdr:col>
          <xdr:colOff>619125</xdr:colOff>
          <xdr:row>67</xdr:row>
          <xdr:rowOff>228600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C11" sqref="C11"/>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3" t="s">
        <v>312</v>
      </c>
      <c r="C1" s="283"/>
      <c r="D1" s="283"/>
      <c r="E1" s="283"/>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850</v>
      </c>
      <c r="C2" s="61"/>
      <c r="D2" s="62" t="s">
        <v>314</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851</v>
      </c>
      <c r="C3" s="66"/>
      <c r="D3" s="63" t="s">
        <v>315</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317</v>
      </c>
      <c r="C4" s="66"/>
      <c r="D4" s="63" t="s">
        <v>316</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319</v>
      </c>
      <c r="C5" s="68"/>
      <c r="D5" s="96" t="s">
        <v>946</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318</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852</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949</v>
      </c>
      <c r="C10" s="104">
        <v>43101</v>
      </c>
      <c r="D10" s="97" t="s">
        <v>947</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950</v>
      </c>
      <c r="C11" s="104"/>
      <c r="D11" s="97" t="s">
        <v>948</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951</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71" t="s">
        <v>320</v>
      </c>
      <c r="C14" s="272"/>
      <c r="D14" s="272"/>
      <c r="E14" s="273"/>
      <c r="F14" s="59"/>
      <c r="G14" s="58"/>
      <c r="H14" s="163" t="s">
        <v>933</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7" t="s">
        <v>321</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90" zoomScaleNormal="90" zoomScaleSheetLayoutView="75" zoomScalePageLayoutView="75" workbookViewId="0">
      <pane xSplit="31" ySplit="16" topLeftCell="AF17" activePane="bottomRight" state="frozen"/>
      <selection pane="topRight" activeCell="AF1" sqref="AF1"/>
      <selection pane="bottomLeft" activeCell="A17" sqref="A17"/>
      <selection pane="bottomRight" activeCell="AN14" sqref="AN14"/>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853</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6" t="s">
        <v>298</v>
      </c>
      <c r="AD3" s="286"/>
      <c r="AE3" s="286"/>
      <c r="AF3" s="286"/>
      <c r="AG3" s="286"/>
      <c r="AH3" s="286"/>
      <c r="AI3" s="286"/>
      <c r="AJ3" s="286"/>
      <c r="AK3" s="286"/>
      <c r="AL3" s="286"/>
      <c r="AM3" s="286"/>
      <c r="AN3" s="286"/>
      <c r="AO3" s="286"/>
      <c r="AP3" s="286"/>
      <c r="AQ3" s="28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299</v>
      </c>
      <c r="AD5" s="285"/>
      <c r="AE5" s="285"/>
      <c r="AF5" s="285"/>
      <c r="AG5" s="285"/>
      <c r="AH5" s="285"/>
      <c r="AI5" s="285"/>
      <c r="AJ5" s="285"/>
      <c r="AK5" s="285"/>
      <c r="AL5" s="285"/>
      <c r="AM5" s="285"/>
      <c r="AN5" s="285"/>
      <c r="AO5" s="285"/>
      <c r="AP5" s="285"/>
      <c r="AQ5" s="28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1090</v>
      </c>
      <c r="AD6" s="284"/>
      <c r="AE6" s="284"/>
      <c r="AF6" s="284"/>
      <c r="AG6" s="284"/>
      <c r="AH6" s="284"/>
      <c r="AI6" s="284"/>
      <c r="AJ6" s="284"/>
      <c r="AK6" s="284"/>
      <c r="AL6" s="284"/>
      <c r="AM6" s="284"/>
      <c r="AN6" s="284"/>
      <c r="AO6" s="284"/>
      <c r="AP6" s="284"/>
      <c r="AQ6" s="28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1091</v>
      </c>
      <c r="AD7" s="284"/>
      <c r="AE7" s="284"/>
      <c r="AF7" s="284"/>
      <c r="AG7" s="284"/>
      <c r="AH7" s="284"/>
      <c r="AI7" s="284"/>
      <c r="AJ7" s="284"/>
      <c r="AK7" s="284"/>
      <c r="AL7" s="284"/>
      <c r="AM7" s="284"/>
      <c r="AN7" s="284"/>
      <c r="AO7" s="284"/>
      <c r="AP7" s="284"/>
      <c r="AQ7" s="28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1092</v>
      </c>
      <c r="AD8" s="284"/>
      <c r="AE8" s="284"/>
      <c r="AF8" s="284"/>
      <c r="AG8" s="284"/>
      <c r="AH8" s="284"/>
      <c r="AI8" s="284"/>
      <c r="AJ8" s="284"/>
      <c r="AK8" s="284"/>
      <c r="AL8" s="284"/>
      <c r="AM8" s="284"/>
      <c r="AN8" s="284"/>
      <c r="AO8" s="284"/>
      <c r="AP8" s="284"/>
      <c r="AQ8" s="28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1093</v>
      </c>
      <c r="AD9" s="284"/>
      <c r="AE9" s="284"/>
      <c r="AF9" s="284"/>
      <c r="AG9" s="284"/>
      <c r="AH9" s="284"/>
      <c r="AI9" s="284"/>
      <c r="AJ9" s="284"/>
      <c r="AK9" s="284"/>
      <c r="AL9" s="284"/>
      <c r="AM9" s="284"/>
      <c r="AN9" s="284"/>
      <c r="AO9" s="284"/>
      <c r="AP9" s="284"/>
      <c r="AQ9" s="28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1094</v>
      </c>
      <c r="AD10" s="284"/>
      <c r="AE10" s="284"/>
      <c r="AF10" s="284"/>
      <c r="AG10" s="284"/>
      <c r="AH10" s="284"/>
      <c r="AI10" s="284"/>
      <c r="AJ10" s="284"/>
      <c r="AK10" s="284"/>
      <c r="AL10" s="284"/>
      <c r="AM10" s="284"/>
      <c r="AN10" s="284"/>
      <c r="AO10" s="284"/>
      <c r="AP10" s="284"/>
      <c r="AQ10" s="284"/>
      <c r="AR10" s="6"/>
    </row>
    <row r="11" spans="1:44" ht="15.75" x14ac:dyDescent="0.25">
      <c r="A11" s="37"/>
      <c r="L11" s="34" t="s">
        <v>148</v>
      </c>
      <c r="M11" s="36">
        <f>IF(dateAssess3&lt;&gt;"",dateAssess3,IF(dateAssess2&lt;&gt;"",dateAssess2,IF(dateAssess1&lt;&gt;"",dateAssess1,"")))</f>
        <v>43101</v>
      </c>
      <c r="T11" s="36"/>
      <c r="AC11" s="284" t="s">
        <v>1095</v>
      </c>
      <c r="AD11" s="284"/>
      <c r="AE11" s="284"/>
      <c r="AF11" s="284"/>
      <c r="AG11" s="284"/>
      <c r="AH11" s="284"/>
      <c r="AI11" s="284"/>
      <c r="AJ11" s="284"/>
      <c r="AK11" s="284"/>
      <c r="AL11" s="284"/>
      <c r="AM11" s="284"/>
      <c r="AN11" s="284"/>
      <c r="AO11" s="284"/>
      <c r="AP11" s="284"/>
      <c r="AQ11" s="28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848</v>
      </c>
      <c r="D13" s="43"/>
      <c r="E13" s="43"/>
      <c r="F13" s="94" t="s">
        <v>684</v>
      </c>
      <c r="G13" s="43"/>
      <c r="H13" s="43"/>
      <c r="I13" s="43"/>
      <c r="J13" s="43"/>
      <c r="K13" s="83"/>
      <c r="L13" s="84" t="s">
        <v>674</v>
      </c>
      <c r="M13" s="44"/>
      <c r="N13" s="44"/>
      <c r="O13" s="44"/>
      <c r="P13" s="43" t="s">
        <v>673</v>
      </c>
      <c r="Q13" s="40"/>
      <c r="R13" s="40"/>
      <c r="S13" s="40"/>
      <c r="T13" s="40"/>
      <c r="U13" s="40"/>
      <c r="V13" s="40"/>
      <c r="W13" s="40"/>
      <c r="X13" s="45" t="s">
        <v>672</v>
      </c>
      <c r="Y13" s="44"/>
      <c r="Z13" s="44"/>
      <c r="AA13" s="44"/>
      <c r="AB13" s="45" t="s">
        <v>669</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691</v>
      </c>
      <c r="C14" s="151" t="s">
        <v>849</v>
      </c>
      <c r="D14" s="151" t="s">
        <v>162</v>
      </c>
      <c r="E14" s="151" t="s">
        <v>51</v>
      </c>
      <c r="F14" s="152" t="s">
        <v>54</v>
      </c>
      <c r="G14" s="151" t="s">
        <v>164</v>
      </c>
      <c r="H14" s="151" t="s">
        <v>681</v>
      </c>
      <c r="I14" s="151" t="s">
        <v>162</v>
      </c>
      <c r="J14" s="151" t="s">
        <v>51</v>
      </c>
      <c r="K14" s="153" t="s">
        <v>53</v>
      </c>
      <c r="L14" s="154" t="s">
        <v>847</v>
      </c>
      <c r="M14" s="153" t="s">
        <v>261</v>
      </c>
      <c r="N14" s="153" t="s">
        <v>678</v>
      </c>
      <c r="O14" s="153" t="s">
        <v>679</v>
      </c>
      <c r="P14" s="155" t="s">
        <v>926</v>
      </c>
      <c r="Q14" s="156" t="s">
        <v>925</v>
      </c>
      <c r="R14" s="153" t="s">
        <v>147</v>
      </c>
      <c r="S14" s="156" t="s">
        <v>145</v>
      </c>
      <c r="T14" s="156" t="s">
        <v>675</v>
      </c>
      <c r="U14" s="156" t="s">
        <v>924</v>
      </c>
      <c r="V14" s="156" t="s">
        <v>676</v>
      </c>
      <c r="W14" s="156" t="s">
        <v>923</v>
      </c>
      <c r="X14" s="154" t="s">
        <v>260</v>
      </c>
      <c r="Y14" s="153" t="s">
        <v>670</v>
      </c>
      <c r="Z14" s="153" t="s">
        <v>671</v>
      </c>
      <c r="AA14" s="154" t="s">
        <v>52</v>
      </c>
      <c r="AB14" s="157" t="s">
        <v>163</v>
      </c>
      <c r="AC14" s="41" t="s">
        <v>1</v>
      </c>
      <c r="AD14" s="41"/>
      <c r="AE14" s="42"/>
      <c r="AF14" s="229" t="s">
        <v>50</v>
      </c>
      <c r="AG14" s="230" t="s">
        <v>46</v>
      </c>
      <c r="AH14" s="230" t="s">
        <v>295</v>
      </c>
      <c r="AI14" s="231" t="s">
        <v>296</v>
      </c>
      <c r="AJ14" s="229" t="s">
        <v>50</v>
      </c>
      <c r="AK14" s="230" t="s">
        <v>46</v>
      </c>
      <c r="AL14" s="230" t="s">
        <v>295</v>
      </c>
      <c r="AM14" s="230" t="s">
        <v>296</v>
      </c>
      <c r="AN14" s="229" t="s">
        <v>50</v>
      </c>
      <c r="AO14" s="230" t="s">
        <v>46</v>
      </c>
      <c r="AP14" s="232" t="s">
        <v>295</v>
      </c>
      <c r="AQ14" s="232" t="s">
        <v>296</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str">
        <f>J17&amp;"_"&amp;G17</f>
        <v>0_0</v>
      </c>
      <c r="C17" s="23"/>
      <c r="D17" s="23"/>
      <c r="E17" s="23"/>
      <c r="F17" s="82">
        <f>IF(K17=0, IF(ISNUMBER(F15), F15+1, 1), F15)</f>
        <v>1</v>
      </c>
      <c r="G17" s="23">
        <f>IF(K17=0, 0, IF(K17=1, G15+1, G15))</f>
        <v>0</v>
      </c>
      <c r="H17" s="23" t="str">
        <f>IF(OR(I17="FF", I17="CGA"), "FF/CGA", I17)</f>
        <v/>
      </c>
      <c r="I17" s="23" t="str">
        <f>IF(NOT(ISERROR(SEARCH("Family Functioning", J17))), "FF", IF(NOT(ISERROR(SEARCH("Caregiver Advocacy", J17))), "CGA", IF(NOT(ISERROR(SEARCH("Caregiver Functioning", J17))), "CGF", IF(NOT(ISERROR(SEARCH("Child Functioning", J17))), "CF", ""))))</f>
        <v/>
      </c>
      <c r="J17" s="23">
        <f>IFERROR(IF(K17=0, AC17, J15), "")</f>
        <v>0</v>
      </c>
      <c r="K17" s="23">
        <f>Indents(AC17)</f>
        <v>0</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2</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"")&amp;IF(P18&lt;&gt;"-", IF(L17="",  "", ", ")&amp;$AC18, "")</f>
        <v/>
      </c>
      <c r="M18" s="23" t="str">
        <f t="shared" ref="M18:M81" ca="1" si="5">IF($J18=$J17, M17, "")&amp;IF(Q18&lt;&gt;"-",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6">INDIRECT(ADDRESS(ROW(), lastAssessCol))</f>
        <v>0</v>
      </c>
      <c r="Y18" s="24" t="str">
        <f t="shared" ref="Y18:Y49" ca="1" si="7">T(INDIRECT(ADDRESS(ROW(), lastAssessCol+2)))</f>
        <v/>
      </c>
      <c r="Z18" s="24" t="str">
        <f t="shared" ref="Z18:Z49" ca="1" si="8">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9">IF(H19&lt;&gt;H20, H19, "")</f>
        <v/>
      </c>
      <c r="D19" s="23" t="str">
        <f t="shared" si="1"/>
        <v/>
      </c>
      <c r="E19" s="23" t="str">
        <f t="shared" si="1"/>
        <v/>
      </c>
      <c r="F19" s="82">
        <f t="shared" si="2"/>
        <v>2</v>
      </c>
      <c r="G19" s="23">
        <f t="shared" si="3"/>
        <v>1</v>
      </c>
      <c r="H19" s="23" t="str">
        <f t="shared" ref="H19:H82" si="10">IF(OR(I19="FF", I19="CGA"), "FF/CGA", I19)</f>
        <v>FF/CGA</v>
      </c>
      <c r="I19" s="23" t="str">
        <f t="shared" ref="I19:I82" si="11">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2">IF($J19=$J18, L18, "")&amp;IF(P19&lt;&gt;"-", IF(L18="",  "", ", ")&amp;$AC19, "")</f>
        <v/>
      </c>
      <c r="M19" s="23" t="str">
        <f t="shared" ca="1" si="5"/>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6"/>
        <v>0</v>
      </c>
      <c r="Y19" s="24" t="str">
        <f t="shared" ca="1" si="7"/>
        <v/>
      </c>
      <c r="Z19" s="24" t="str">
        <f t="shared" ca="1" si="8"/>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9"/>
        <v/>
      </c>
      <c r="D20" s="23" t="str">
        <f t="shared" si="1"/>
        <v/>
      </c>
      <c r="E20" s="23" t="str">
        <f t="shared" si="1"/>
        <v/>
      </c>
      <c r="F20" s="82">
        <f t="shared" si="2"/>
        <v>2</v>
      </c>
      <c r="G20" s="23">
        <f t="shared" si="3"/>
        <v>2</v>
      </c>
      <c r="H20" s="23" t="str">
        <f t="shared" si="10"/>
        <v>FF/CGA</v>
      </c>
      <c r="I20" s="23" t="str">
        <f t="shared" si="11"/>
        <v>FF</v>
      </c>
      <c r="J20" s="23" t="str">
        <f t="shared" si="4"/>
        <v>Family Functioning</v>
      </c>
      <c r="K20" s="93">
        <v>1</v>
      </c>
      <c r="L20" s="82" t="str">
        <f t="shared" ca="1" si="12"/>
        <v/>
      </c>
      <c r="M20" s="23" t="str">
        <f t="shared" ca="1" si="5"/>
        <v/>
      </c>
      <c r="N20" s="23" t="str">
        <f t="shared" ca="1" si="13"/>
        <v/>
      </c>
      <c r="O20" s="23" t="str">
        <f t="shared" ca="1" si="14"/>
        <v/>
      </c>
      <c r="P20" s="80" t="str">
        <f ca="1">IFERROR(IF(AND($X20=3, ISNUMBER($X20)), COUNTIFS(X$18:X20, "=3", $AC$18:$AC20, $AC20), "-"), "err")</f>
        <v>-</v>
      </c>
      <c r="Q20" s="24" t="str">
        <f ca="1">IFERROR(IF(AND($X20=2, ISNUMBER($X20)), COUNTIFS(X$18:X20, "=2", $AC$18:$AC20, $AC20), "-"), "err")</f>
        <v>-</v>
      </c>
      <c r="R20" s="23">
        <f t="shared" ca="1" si="15"/>
        <v>0</v>
      </c>
      <c r="S20" s="24" t="str">
        <f ca="1">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f t="shared" ca="1" si="6"/>
        <v>0</v>
      </c>
      <c r="Y20" s="24" t="str">
        <f t="shared" ca="1" si="7"/>
        <v/>
      </c>
      <c r="Z20" s="24" t="str">
        <f t="shared" ca="1" si="8"/>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9"/>
        <v/>
      </c>
      <c r="D21" s="23" t="str">
        <f t="shared" si="1"/>
        <v/>
      </c>
      <c r="E21" s="23" t="str">
        <f t="shared" si="1"/>
        <v/>
      </c>
      <c r="F21" s="82">
        <f t="shared" si="2"/>
        <v>2</v>
      </c>
      <c r="G21" s="23">
        <f t="shared" si="3"/>
        <v>3</v>
      </c>
      <c r="H21" s="23" t="str">
        <f t="shared" si="10"/>
        <v>FF/CGA</v>
      </c>
      <c r="I21" s="23" t="str">
        <f t="shared" si="11"/>
        <v>FF</v>
      </c>
      <c r="J21" s="23" t="str">
        <f t="shared" si="4"/>
        <v>Family Functioning</v>
      </c>
      <c r="K21" s="93">
        <v>1</v>
      </c>
      <c r="L21" s="82" t="str">
        <f t="shared" ca="1" si="12"/>
        <v/>
      </c>
      <c r="M21" s="23" t="str">
        <f t="shared" ca="1" si="5"/>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6"/>
        <v>0</v>
      </c>
      <c r="Y21" s="24" t="str">
        <f t="shared" ca="1" si="7"/>
        <v/>
      </c>
      <c r="Z21" s="24" t="str">
        <f t="shared" ca="1" si="8"/>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9"/>
        <v/>
      </c>
      <c r="D22" s="23" t="str">
        <f t="shared" si="1"/>
        <v/>
      </c>
      <c r="E22" s="23" t="str">
        <f t="shared" si="1"/>
        <v/>
      </c>
      <c r="F22" s="82">
        <f t="shared" si="2"/>
        <v>2</v>
      </c>
      <c r="G22" s="23">
        <f t="shared" si="3"/>
        <v>4</v>
      </c>
      <c r="H22" s="23" t="str">
        <f t="shared" si="10"/>
        <v>FF/CGA</v>
      </c>
      <c r="I22" s="23" t="str">
        <f t="shared" si="11"/>
        <v>FF</v>
      </c>
      <c r="J22" s="23" t="str">
        <f t="shared" si="4"/>
        <v>Family Functioning</v>
      </c>
      <c r="K22" s="93">
        <v>1</v>
      </c>
      <c r="L22" s="82" t="str">
        <f t="shared" ca="1" si="12"/>
        <v/>
      </c>
      <c r="M22" s="23" t="str">
        <f t="shared" ca="1" si="5"/>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6"/>
        <v>0</v>
      </c>
      <c r="Y22" s="24" t="str">
        <f t="shared" ca="1" si="7"/>
        <v/>
      </c>
      <c r="Z22" s="24" t="str">
        <f t="shared" ca="1" si="8"/>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9"/>
        <v/>
      </c>
      <c r="D23" s="23" t="str">
        <f t="shared" si="1"/>
        <v/>
      </c>
      <c r="E23" s="23" t="str">
        <f t="shared" si="1"/>
        <v/>
      </c>
      <c r="F23" s="82">
        <f t="shared" si="2"/>
        <v>2</v>
      </c>
      <c r="G23" s="23">
        <f t="shared" si="3"/>
        <v>5</v>
      </c>
      <c r="H23" s="23" t="str">
        <f t="shared" si="10"/>
        <v>FF/CGA</v>
      </c>
      <c r="I23" s="23" t="str">
        <f t="shared" si="11"/>
        <v>FF</v>
      </c>
      <c r="J23" s="23" t="str">
        <f t="shared" si="4"/>
        <v>Family Functioning</v>
      </c>
      <c r="K23" s="93">
        <v>1</v>
      </c>
      <c r="L23" s="82" t="str">
        <f t="shared" ca="1" si="12"/>
        <v/>
      </c>
      <c r="M23" s="23" t="str">
        <f t="shared" ca="1" si="5"/>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6"/>
        <v>0</v>
      </c>
      <c r="Y23" s="24" t="str">
        <f t="shared" ca="1" si="7"/>
        <v/>
      </c>
      <c r="Z23" s="24" t="str">
        <f t="shared" ca="1" si="8"/>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9"/>
        <v/>
      </c>
      <c r="D24" s="23" t="str">
        <f t="shared" si="1"/>
        <v/>
      </c>
      <c r="E24" s="23" t="str">
        <f t="shared" si="1"/>
        <v/>
      </c>
      <c r="F24" s="82">
        <f t="shared" si="2"/>
        <v>2</v>
      </c>
      <c r="G24" s="23">
        <f t="shared" si="3"/>
        <v>6</v>
      </c>
      <c r="H24" s="23" t="str">
        <f t="shared" si="10"/>
        <v>FF/CGA</v>
      </c>
      <c r="I24" s="23" t="str">
        <f t="shared" si="11"/>
        <v>FF</v>
      </c>
      <c r="J24" s="23" t="str">
        <f t="shared" si="4"/>
        <v>Family Functioning</v>
      </c>
      <c r="K24" s="93">
        <v>1</v>
      </c>
      <c r="L24" s="82" t="str">
        <f t="shared" ca="1" si="12"/>
        <v/>
      </c>
      <c r="M24" s="23" t="str">
        <f t="shared" ca="1" si="5"/>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6"/>
        <v>0</v>
      </c>
      <c r="Y24" s="24" t="str">
        <f t="shared" ca="1" si="7"/>
        <v/>
      </c>
      <c r="Z24" s="24" t="str">
        <f t="shared" ca="1" si="8"/>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9"/>
        <v/>
      </c>
      <c r="D25" s="23" t="str">
        <f t="shared" si="1"/>
        <v/>
      </c>
      <c r="E25" s="23" t="str">
        <f t="shared" si="1"/>
        <v/>
      </c>
      <c r="F25" s="82">
        <f t="shared" si="2"/>
        <v>2</v>
      </c>
      <c r="G25" s="23">
        <f t="shared" si="3"/>
        <v>7</v>
      </c>
      <c r="H25" s="23" t="str">
        <f t="shared" si="10"/>
        <v>FF/CGA</v>
      </c>
      <c r="I25" s="23" t="str">
        <f t="shared" si="11"/>
        <v>FF</v>
      </c>
      <c r="J25" s="23" t="str">
        <f t="shared" si="4"/>
        <v>Family Functioning</v>
      </c>
      <c r="K25" s="93">
        <v>1</v>
      </c>
      <c r="L25" s="82" t="str">
        <f t="shared" ca="1" si="12"/>
        <v/>
      </c>
      <c r="M25" s="23" t="str">
        <f t="shared" ca="1" si="5"/>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6"/>
        <v>0</v>
      </c>
      <c r="Y25" s="24" t="str">
        <f t="shared" ca="1" si="7"/>
        <v/>
      </c>
      <c r="Z25" s="24" t="str">
        <f t="shared" ca="1" si="8"/>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9"/>
        <v/>
      </c>
      <c r="D26" s="23" t="str">
        <f t="shared" si="1"/>
        <v/>
      </c>
      <c r="E26" s="23" t="str">
        <f t="shared" si="1"/>
        <v/>
      </c>
      <c r="F26" s="82">
        <f t="shared" si="2"/>
        <v>2</v>
      </c>
      <c r="G26" s="23">
        <f t="shared" si="3"/>
        <v>8</v>
      </c>
      <c r="H26" s="23" t="str">
        <f t="shared" si="10"/>
        <v>FF/CGA</v>
      </c>
      <c r="I26" s="23" t="str">
        <f t="shared" si="11"/>
        <v>FF</v>
      </c>
      <c r="J26" s="23" t="str">
        <f t="shared" si="4"/>
        <v>Family Functioning</v>
      </c>
      <c r="K26" s="93">
        <v>1</v>
      </c>
      <c r="L26" s="82" t="str">
        <f t="shared" ca="1" si="12"/>
        <v/>
      </c>
      <c r="M26" s="23" t="str">
        <f t="shared" ca="1" si="5"/>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6"/>
        <v>0</v>
      </c>
      <c r="Y26" s="24" t="str">
        <f t="shared" ca="1" si="7"/>
        <v/>
      </c>
      <c r="Z26" s="24" t="str">
        <f t="shared" ca="1" si="8"/>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9"/>
        <v/>
      </c>
      <c r="D27" s="23" t="str">
        <f t="shared" si="1"/>
        <v/>
      </c>
      <c r="E27" s="23" t="str">
        <f t="shared" si="1"/>
        <v/>
      </c>
      <c r="F27" s="82">
        <f t="shared" si="2"/>
        <v>2</v>
      </c>
      <c r="G27" s="23">
        <f t="shared" si="3"/>
        <v>9</v>
      </c>
      <c r="H27" s="23" t="str">
        <f t="shared" si="10"/>
        <v>FF/CGA</v>
      </c>
      <c r="I27" s="23" t="str">
        <f t="shared" si="11"/>
        <v>FF</v>
      </c>
      <c r="J27" s="23" t="str">
        <f t="shared" si="4"/>
        <v>Family Functioning</v>
      </c>
      <c r="K27" s="93">
        <v>1</v>
      </c>
      <c r="L27" s="82" t="str">
        <f t="shared" ca="1" si="12"/>
        <v/>
      </c>
      <c r="M27" s="23" t="str">
        <f t="shared" ca="1" si="5"/>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6"/>
        <v>0</v>
      </c>
      <c r="Y27" s="24" t="str">
        <f t="shared" ca="1" si="7"/>
        <v/>
      </c>
      <c r="Z27" s="24" t="str">
        <f t="shared" ca="1" si="8"/>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9"/>
        <v/>
      </c>
      <c r="D28" s="23" t="str">
        <f t="shared" si="1"/>
        <v>FF</v>
      </c>
      <c r="E28" s="23" t="str">
        <f t="shared" si="1"/>
        <v>Family Functioning</v>
      </c>
      <c r="F28" s="82">
        <f t="shared" si="2"/>
        <v>2</v>
      </c>
      <c r="G28" s="23">
        <f t="shared" si="3"/>
        <v>10</v>
      </c>
      <c r="H28" s="23" t="str">
        <f t="shared" si="10"/>
        <v>FF/CGA</v>
      </c>
      <c r="I28" s="23" t="str">
        <f t="shared" si="11"/>
        <v>FF</v>
      </c>
      <c r="J28" s="23" t="str">
        <f t="shared" si="4"/>
        <v>Family Functioning</v>
      </c>
      <c r="K28" s="93">
        <v>1</v>
      </c>
      <c r="L28" s="82" t="str">
        <f t="shared" ca="1" si="12"/>
        <v/>
      </c>
      <c r="M28" s="23" t="str">
        <f t="shared" ca="1" si="5"/>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6"/>
        <v>0</v>
      </c>
      <c r="Y28" s="24" t="str">
        <f t="shared" ca="1" si="7"/>
        <v/>
      </c>
      <c r="Z28" s="24" t="str">
        <f t="shared" ca="1" si="8"/>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9"/>
        <v/>
      </c>
      <c r="D29" s="23" t="str">
        <f t="shared" si="1"/>
        <v/>
      </c>
      <c r="E29" s="23" t="str">
        <f t="shared" si="1"/>
        <v/>
      </c>
      <c r="F29" s="82">
        <f t="shared" ref="F29:F92" si="19">IF(K29=0, IF(ISNUMBER(F28), F28+1, 1), F28)</f>
        <v>3</v>
      </c>
      <c r="G29" s="23">
        <f t="shared" ref="G29:G92" si="20">IF(K29=0, 0, IF(K29=1, G28+1, G28))</f>
        <v>0</v>
      </c>
      <c r="H29" s="23" t="str">
        <f t="shared" si="10"/>
        <v>FF/CGA</v>
      </c>
      <c r="I29" s="23" t="str">
        <f t="shared" si="11"/>
        <v>CGA</v>
      </c>
      <c r="J29" s="23" t="str">
        <f t="shared" si="4"/>
        <v>Caregiver Advocacy</v>
      </c>
      <c r="K29" s="93">
        <v>0</v>
      </c>
      <c r="L29" s="82" t="str">
        <f t="shared" ca="1" si="12"/>
        <v/>
      </c>
      <c r="M29" s="23" t="str">
        <f t="shared" ca="1" si="5"/>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6"/>
        <v>0</v>
      </c>
      <c r="Y29" s="24" t="str">
        <f t="shared" ca="1" si="7"/>
        <v/>
      </c>
      <c r="Z29" s="24" t="str">
        <f t="shared" ca="1" si="8"/>
        <v/>
      </c>
      <c r="AA29" s="80">
        <f t="shared" si="18"/>
        <v>10</v>
      </c>
      <c r="AC29" s="197" t="s">
        <v>305</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9"/>
        <v/>
      </c>
      <c r="D30" s="23" t="str">
        <f t="shared" si="1"/>
        <v/>
      </c>
      <c r="E30" s="23" t="str">
        <f t="shared" si="1"/>
        <v/>
      </c>
      <c r="F30" s="82">
        <f t="shared" si="19"/>
        <v>3</v>
      </c>
      <c r="G30" s="23">
        <f t="shared" si="20"/>
        <v>1</v>
      </c>
      <c r="H30" s="23" t="str">
        <f t="shared" si="10"/>
        <v>FF/CGA</v>
      </c>
      <c r="I30" s="23" t="str">
        <f t="shared" si="11"/>
        <v>CGA</v>
      </c>
      <c r="J30" s="23" t="str">
        <f t="shared" si="4"/>
        <v>Caregiver Advocacy</v>
      </c>
      <c r="K30" s="93">
        <v>1</v>
      </c>
      <c r="L30" s="82" t="str">
        <f t="shared" ca="1" si="12"/>
        <v/>
      </c>
      <c r="M30" s="23" t="str">
        <f t="shared" ca="1" si="5"/>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6"/>
        <v>0</v>
      </c>
      <c r="Y30" s="24" t="str">
        <f t="shared" ca="1" si="7"/>
        <v/>
      </c>
      <c r="Z30" s="24" t="str">
        <f t="shared" ca="1" si="8"/>
        <v/>
      </c>
      <c r="AA30" s="80">
        <f t="shared" si="18"/>
        <v>11</v>
      </c>
      <c r="AB30" s="15" t="s">
        <v>358</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9"/>
        <v/>
      </c>
      <c r="D31" s="23" t="str">
        <f t="shared" si="1"/>
        <v/>
      </c>
      <c r="E31" s="23" t="str">
        <f t="shared" si="1"/>
        <v/>
      </c>
      <c r="F31" s="82">
        <f t="shared" si="19"/>
        <v>3</v>
      </c>
      <c r="G31" s="23">
        <f t="shared" si="20"/>
        <v>2</v>
      </c>
      <c r="H31" s="23" t="str">
        <f t="shared" si="10"/>
        <v>FF/CGA</v>
      </c>
      <c r="I31" s="23" t="str">
        <f t="shared" si="11"/>
        <v>CGA</v>
      </c>
      <c r="J31" s="23" t="str">
        <f t="shared" si="4"/>
        <v>Caregiver Advocacy</v>
      </c>
      <c r="K31" s="93">
        <v>1</v>
      </c>
      <c r="L31" s="82" t="str">
        <f t="shared" ca="1" si="12"/>
        <v/>
      </c>
      <c r="M31" s="23" t="str">
        <f t="shared" ca="1" si="5"/>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6"/>
        <v>0</v>
      </c>
      <c r="Y31" s="24" t="str">
        <f t="shared" ca="1" si="7"/>
        <v/>
      </c>
      <c r="Z31" s="24" t="str">
        <f t="shared" ca="1" si="8"/>
        <v/>
      </c>
      <c r="AA31" s="80">
        <f t="shared" si="18"/>
        <v>12</v>
      </c>
      <c r="AB31" s="15" t="s">
        <v>359</v>
      </c>
      <c r="AC31" s="209" t="s">
        <v>359</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9"/>
        <v/>
      </c>
      <c r="D32" s="23" t="str">
        <f t="shared" si="1"/>
        <v/>
      </c>
      <c r="E32" s="23" t="str">
        <f t="shared" si="1"/>
        <v/>
      </c>
      <c r="F32" s="82">
        <f t="shared" si="19"/>
        <v>3</v>
      </c>
      <c r="G32" s="23">
        <f t="shared" si="20"/>
        <v>3</v>
      </c>
      <c r="H32" s="23" t="str">
        <f t="shared" si="10"/>
        <v>FF/CGA</v>
      </c>
      <c r="I32" s="23" t="str">
        <f t="shared" si="11"/>
        <v>CGA</v>
      </c>
      <c r="J32" s="23" t="str">
        <f t="shared" si="4"/>
        <v>Caregiver Advocacy</v>
      </c>
      <c r="K32" s="93">
        <v>1</v>
      </c>
      <c r="L32" s="82" t="str">
        <f t="shared" ca="1" si="12"/>
        <v/>
      </c>
      <c r="M32" s="23" t="str">
        <f t="shared" ca="1" si="5"/>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6"/>
        <v>0</v>
      </c>
      <c r="Y32" s="24" t="str">
        <f t="shared" ca="1" si="7"/>
        <v/>
      </c>
      <c r="Z32" s="24" t="str">
        <f t="shared" ca="1" si="8"/>
        <v/>
      </c>
      <c r="AA32" s="80">
        <f t="shared" si="18"/>
        <v>13</v>
      </c>
      <c r="AB32" s="15" t="s">
        <v>360</v>
      </c>
      <c r="AC32" s="203" t="s">
        <v>270</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9"/>
        <v/>
      </c>
      <c r="D33" s="23" t="str">
        <f t="shared" si="1"/>
        <v/>
      </c>
      <c r="E33" s="23" t="str">
        <f t="shared" si="1"/>
        <v/>
      </c>
      <c r="F33" s="82">
        <f t="shared" si="19"/>
        <v>3</v>
      </c>
      <c r="G33" s="23">
        <f t="shared" si="20"/>
        <v>4</v>
      </c>
      <c r="H33" s="23" t="str">
        <f t="shared" si="10"/>
        <v>FF/CGA</v>
      </c>
      <c r="I33" s="23" t="str">
        <f t="shared" si="11"/>
        <v>CGA</v>
      </c>
      <c r="J33" s="23" t="str">
        <f t="shared" si="4"/>
        <v>Caregiver Advocacy</v>
      </c>
      <c r="K33" s="93">
        <v>1</v>
      </c>
      <c r="L33" s="82" t="str">
        <f t="shared" ca="1" si="12"/>
        <v/>
      </c>
      <c r="M33" s="23" t="str">
        <f t="shared" ca="1" si="5"/>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6"/>
        <v>0</v>
      </c>
      <c r="Y33" s="24" t="str">
        <f t="shared" ca="1" si="7"/>
        <v/>
      </c>
      <c r="Z33" s="24" t="str">
        <f t="shared" ca="1" si="8"/>
        <v/>
      </c>
      <c r="AA33" s="80">
        <f t="shared" si="18"/>
        <v>14</v>
      </c>
      <c r="AB33" s="15" t="s">
        <v>271</v>
      </c>
      <c r="AC33" s="209" t="s">
        <v>271</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9"/>
        <v/>
      </c>
      <c r="D34" s="23" t="str">
        <f t="shared" si="1"/>
        <v/>
      </c>
      <c r="E34" s="23" t="str">
        <f t="shared" si="1"/>
        <v/>
      </c>
      <c r="F34" s="82">
        <f t="shared" si="19"/>
        <v>3</v>
      </c>
      <c r="G34" s="23">
        <f t="shared" si="20"/>
        <v>5</v>
      </c>
      <c r="H34" s="23" t="str">
        <f t="shared" si="10"/>
        <v>FF/CGA</v>
      </c>
      <c r="I34" s="23" t="str">
        <f t="shared" si="11"/>
        <v>CGA</v>
      </c>
      <c r="J34" s="23" t="str">
        <f t="shared" si="4"/>
        <v>Caregiver Advocacy</v>
      </c>
      <c r="K34" s="93">
        <v>1</v>
      </c>
      <c r="L34" s="82" t="str">
        <f t="shared" ca="1" si="12"/>
        <v/>
      </c>
      <c r="M34" s="23" t="str">
        <f t="shared" ca="1" si="5"/>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6"/>
        <v>0</v>
      </c>
      <c r="Y34" s="24" t="str">
        <f t="shared" ca="1" si="7"/>
        <v/>
      </c>
      <c r="Z34" s="24" t="str">
        <f t="shared" ca="1" si="8"/>
        <v/>
      </c>
      <c r="AA34" s="80">
        <f t="shared" si="18"/>
        <v>15</v>
      </c>
      <c r="AB34" s="15" t="s">
        <v>272</v>
      </c>
      <c r="AC34" s="203" t="s">
        <v>272</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9"/>
        <v/>
      </c>
      <c r="D35" s="23" t="str">
        <f t="shared" si="1"/>
        <v/>
      </c>
      <c r="E35" s="23" t="str">
        <f t="shared" si="1"/>
        <v/>
      </c>
      <c r="F35" s="82">
        <f t="shared" si="19"/>
        <v>3</v>
      </c>
      <c r="G35" s="23">
        <f t="shared" si="20"/>
        <v>6</v>
      </c>
      <c r="H35" s="23" t="str">
        <f t="shared" si="10"/>
        <v>FF/CGA</v>
      </c>
      <c r="I35" s="23" t="str">
        <f t="shared" si="11"/>
        <v>CGA</v>
      </c>
      <c r="J35" s="23" t="str">
        <f t="shared" si="4"/>
        <v>Caregiver Advocacy</v>
      </c>
      <c r="K35" s="93">
        <v>1</v>
      </c>
      <c r="L35" s="82" t="str">
        <f t="shared" ca="1" si="12"/>
        <v/>
      </c>
      <c r="M35" s="23" t="str">
        <f t="shared" ca="1" si="5"/>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6"/>
        <v>0</v>
      </c>
      <c r="Y35" s="24" t="str">
        <f t="shared" ca="1" si="7"/>
        <v/>
      </c>
      <c r="Z35" s="24" t="str">
        <f t="shared" ca="1" si="8"/>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9"/>
        <v/>
      </c>
      <c r="D36" s="23" t="str">
        <f t="shared" si="1"/>
        <v/>
      </c>
      <c r="E36" s="23" t="str">
        <f t="shared" si="1"/>
        <v/>
      </c>
      <c r="F36" s="82">
        <f t="shared" si="19"/>
        <v>3</v>
      </c>
      <c r="G36" s="23">
        <f t="shared" si="20"/>
        <v>7</v>
      </c>
      <c r="H36" s="23" t="str">
        <f t="shared" si="10"/>
        <v>FF/CGA</v>
      </c>
      <c r="I36" s="23" t="str">
        <f t="shared" si="11"/>
        <v>CGA</v>
      </c>
      <c r="J36" s="23" t="str">
        <f t="shared" si="4"/>
        <v>Caregiver Advocacy</v>
      </c>
      <c r="K36" s="93">
        <v>1</v>
      </c>
      <c r="L36" s="82" t="str">
        <f t="shared" ca="1" si="12"/>
        <v/>
      </c>
      <c r="M36" s="23" t="str">
        <f t="shared" ca="1" si="5"/>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6"/>
        <v>0</v>
      </c>
      <c r="Y36" s="24" t="str">
        <f t="shared" ca="1" si="7"/>
        <v/>
      </c>
      <c r="Z36" s="24" t="str">
        <f t="shared" ca="1" si="8"/>
        <v/>
      </c>
      <c r="AA36" s="80">
        <f t="shared" si="18"/>
        <v>17</v>
      </c>
      <c r="AB36" s="15" t="s">
        <v>361</v>
      </c>
      <c r="AC36" s="203" t="s">
        <v>273</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9"/>
        <v>FF/CGA</v>
      </c>
      <c r="D37" s="23" t="str">
        <f t="shared" si="1"/>
        <v>CGA</v>
      </c>
      <c r="E37" s="23" t="str">
        <f t="shared" si="1"/>
        <v>Caregiver Advocacy</v>
      </c>
      <c r="F37" s="82">
        <f t="shared" si="19"/>
        <v>3</v>
      </c>
      <c r="G37" s="23">
        <f t="shared" si="20"/>
        <v>8</v>
      </c>
      <c r="H37" s="23" t="str">
        <f t="shared" si="10"/>
        <v>FF/CGA</v>
      </c>
      <c r="I37" s="23" t="str">
        <f t="shared" si="11"/>
        <v>CGA</v>
      </c>
      <c r="J37" s="23" t="str">
        <f t="shared" si="4"/>
        <v>Caregiver Advocacy</v>
      </c>
      <c r="K37" s="93">
        <v>1</v>
      </c>
      <c r="L37" s="82" t="str">
        <f t="shared" ca="1" si="12"/>
        <v/>
      </c>
      <c r="M37" s="23" t="str">
        <f t="shared" ca="1" si="5"/>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6"/>
        <v>0</v>
      </c>
      <c r="Y37" s="24" t="str">
        <f t="shared" ca="1" si="7"/>
        <v/>
      </c>
      <c r="Z37" s="24" t="str">
        <f t="shared" ca="1" si="8"/>
        <v/>
      </c>
      <c r="AA37" s="80">
        <f t="shared" si="18"/>
        <v>18</v>
      </c>
      <c r="AB37" s="15" t="s">
        <v>362</v>
      </c>
      <c r="AC37" s="209" t="s">
        <v>274</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9"/>
        <v/>
      </c>
      <c r="D38" s="23" t="str">
        <f t="shared" si="1"/>
        <v/>
      </c>
      <c r="E38" s="23" t="str">
        <f t="shared" si="1"/>
        <v/>
      </c>
      <c r="F38" s="82">
        <f t="shared" si="19"/>
        <v>4</v>
      </c>
      <c r="G38" s="23">
        <f t="shared" si="20"/>
        <v>0</v>
      </c>
      <c r="H38" s="23" t="str">
        <f t="shared" si="10"/>
        <v>CGF</v>
      </c>
      <c r="I38" s="23" t="str">
        <f t="shared" si="11"/>
        <v>CGF</v>
      </c>
      <c r="J38" s="23" t="str">
        <f t="shared" si="4"/>
        <v>Caregiver Functioning - Caregiver #1</v>
      </c>
      <c r="K38" s="93">
        <v>0</v>
      </c>
      <c r="L38" s="82" t="str">
        <f t="shared" ca="1" si="12"/>
        <v/>
      </c>
      <c r="M38" s="23" t="str">
        <f t="shared" ca="1" si="5"/>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6"/>
        <v>0</v>
      </c>
      <c r="Y38" s="24" t="str">
        <f t="shared" ca="1" si="7"/>
        <v/>
      </c>
      <c r="Z38" s="24" t="str">
        <f t="shared" ca="1" si="8"/>
        <v/>
      </c>
      <c r="AA38" s="80">
        <f t="shared" si="18"/>
        <v>18</v>
      </c>
      <c r="AC38" s="197" t="s">
        <v>323</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9"/>
        <v/>
      </c>
      <c r="D39" s="23" t="str">
        <f t="shared" si="1"/>
        <v/>
      </c>
      <c r="E39" s="23" t="str">
        <f t="shared" si="1"/>
        <v/>
      </c>
      <c r="F39" s="82">
        <f t="shared" si="19"/>
        <v>4</v>
      </c>
      <c r="G39" s="23">
        <f t="shared" si="20"/>
        <v>0</v>
      </c>
      <c r="H39" s="23" t="str">
        <f t="shared" si="10"/>
        <v>CGF</v>
      </c>
      <c r="I39" s="23" t="str">
        <f t="shared" si="11"/>
        <v>CGF</v>
      </c>
      <c r="J39" s="23" t="str">
        <f t="shared" si="4"/>
        <v>Caregiver Functioning - Caregiver #1</v>
      </c>
      <c r="K39" s="93">
        <v>2</v>
      </c>
      <c r="L39" s="82" t="str">
        <f t="shared" ca="1" si="12"/>
        <v/>
      </c>
      <c r="M39" s="23" t="str">
        <f t="shared" ca="1" si="5"/>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6"/>
        <v>0</v>
      </c>
      <c r="Y39" s="24" t="str">
        <f t="shared" ca="1" si="7"/>
        <v/>
      </c>
      <c r="Z39" s="24" t="str">
        <f t="shared" ca="1" si="8"/>
        <v/>
      </c>
      <c r="AA39" s="80">
        <f t="shared" si="18"/>
        <v>18</v>
      </c>
      <c r="AC39" s="218" t="s">
        <v>322</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9"/>
        <v/>
      </c>
      <c r="D40" s="23" t="str">
        <f t="shared" si="1"/>
        <v/>
      </c>
      <c r="E40" s="23" t="str">
        <f t="shared" si="1"/>
        <v/>
      </c>
      <c r="F40" s="82">
        <f t="shared" si="19"/>
        <v>4</v>
      </c>
      <c r="G40" s="23">
        <f t="shared" si="20"/>
        <v>1</v>
      </c>
      <c r="H40" s="23" t="str">
        <f t="shared" si="10"/>
        <v>CGF</v>
      </c>
      <c r="I40" s="23" t="str">
        <f t="shared" si="11"/>
        <v>CGF</v>
      </c>
      <c r="J40" s="23" t="str">
        <f t="shared" si="4"/>
        <v>Caregiver Functioning - Caregiver #1</v>
      </c>
      <c r="K40" s="93">
        <v>1</v>
      </c>
      <c r="L40" s="82" t="str">
        <f t="shared" ca="1" si="12"/>
        <v/>
      </c>
      <c r="M40" s="23" t="str">
        <f t="shared" ca="1" si="5"/>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6"/>
        <v>0</v>
      </c>
      <c r="Y40" s="24" t="str">
        <f t="shared" ca="1" si="7"/>
        <v/>
      </c>
      <c r="Z40" s="24" t="str">
        <f t="shared" ca="1" si="8"/>
        <v/>
      </c>
      <c r="AA40" s="80">
        <f t="shared" si="18"/>
        <v>19</v>
      </c>
      <c r="AB40" s="15" t="s">
        <v>275</v>
      </c>
      <c r="AC40" s="203" t="s">
        <v>275</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9"/>
        <v/>
      </c>
      <c r="D41" s="23" t="str">
        <f t="shared" si="1"/>
        <v/>
      </c>
      <c r="E41" s="23" t="str">
        <f t="shared" si="1"/>
        <v/>
      </c>
      <c r="F41" s="82">
        <f t="shared" si="19"/>
        <v>4</v>
      </c>
      <c r="G41" s="23">
        <f t="shared" si="20"/>
        <v>2</v>
      </c>
      <c r="H41" s="23" t="str">
        <f t="shared" si="10"/>
        <v>CGF</v>
      </c>
      <c r="I41" s="23" t="str">
        <f t="shared" si="11"/>
        <v>CGF</v>
      </c>
      <c r="J41" s="23" t="str">
        <f t="shared" si="4"/>
        <v>Caregiver Functioning - Caregiver #1</v>
      </c>
      <c r="K41" s="93">
        <v>1</v>
      </c>
      <c r="L41" s="82" t="str">
        <f t="shared" ca="1" si="12"/>
        <v/>
      </c>
      <c r="M41" s="23" t="str">
        <f t="shared" ca="1" si="5"/>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6"/>
        <v>0</v>
      </c>
      <c r="Y41" s="24" t="str">
        <f t="shared" ca="1" si="7"/>
        <v/>
      </c>
      <c r="Z41" s="24" t="str">
        <f t="shared" ca="1" si="8"/>
        <v/>
      </c>
      <c r="AA41" s="80">
        <f t="shared" si="18"/>
        <v>20</v>
      </c>
      <c r="AB41" s="15" t="s">
        <v>276</v>
      </c>
      <c r="AC41" s="209" t="s">
        <v>276</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9"/>
        <v/>
      </c>
      <c r="D42" s="23" t="str">
        <f t="shared" si="1"/>
        <v/>
      </c>
      <c r="E42" s="23" t="str">
        <f t="shared" si="1"/>
        <v/>
      </c>
      <c r="F42" s="82">
        <f t="shared" si="19"/>
        <v>4</v>
      </c>
      <c r="G42" s="23">
        <f t="shared" si="20"/>
        <v>3</v>
      </c>
      <c r="H42" s="23" t="str">
        <f t="shared" si="10"/>
        <v>CGF</v>
      </c>
      <c r="I42" s="23" t="str">
        <f t="shared" si="11"/>
        <v>CGF</v>
      </c>
      <c r="J42" s="23" t="str">
        <f t="shared" si="4"/>
        <v>Caregiver Functioning - Caregiver #1</v>
      </c>
      <c r="K42" s="93">
        <v>1</v>
      </c>
      <c r="L42" s="82" t="str">
        <f t="shared" ca="1" si="12"/>
        <v/>
      </c>
      <c r="M42" s="23" t="str">
        <f t="shared" ca="1" si="5"/>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6"/>
        <v>0</v>
      </c>
      <c r="Y42" s="24" t="str">
        <f t="shared" ca="1" si="7"/>
        <v/>
      </c>
      <c r="Z42" s="24" t="str">
        <f t="shared" ca="1" si="8"/>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9"/>
        <v/>
      </c>
      <c r="D43" s="23" t="str">
        <f t="shared" si="1"/>
        <v/>
      </c>
      <c r="E43" s="23" t="str">
        <f t="shared" si="1"/>
        <v/>
      </c>
      <c r="F43" s="82">
        <f t="shared" si="19"/>
        <v>4</v>
      </c>
      <c r="G43" s="23">
        <f t="shared" si="20"/>
        <v>4</v>
      </c>
      <c r="H43" s="23" t="str">
        <f t="shared" si="10"/>
        <v>CGF</v>
      </c>
      <c r="I43" s="23" t="str">
        <f t="shared" si="11"/>
        <v>CGF</v>
      </c>
      <c r="J43" s="23" t="str">
        <f t="shared" si="4"/>
        <v>Caregiver Functioning - Caregiver #1</v>
      </c>
      <c r="K43" s="93">
        <v>1</v>
      </c>
      <c r="L43" s="82" t="str">
        <f t="shared" ca="1" si="12"/>
        <v/>
      </c>
      <c r="M43" s="23" t="str">
        <f t="shared" ca="1" si="5"/>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6"/>
        <v>0</v>
      </c>
      <c r="Y43" s="24" t="str">
        <f t="shared" ca="1" si="7"/>
        <v/>
      </c>
      <c r="Z43" s="24" t="str">
        <f t="shared" ca="1" si="8"/>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9"/>
        <v/>
      </c>
      <c r="D44" s="23" t="str">
        <f t="shared" si="1"/>
        <v/>
      </c>
      <c r="E44" s="23" t="str">
        <f t="shared" si="1"/>
        <v/>
      </c>
      <c r="F44" s="82">
        <f t="shared" si="19"/>
        <v>4</v>
      </c>
      <c r="G44" s="23">
        <f t="shared" si="20"/>
        <v>5</v>
      </c>
      <c r="H44" s="23" t="str">
        <f t="shared" si="10"/>
        <v>CGF</v>
      </c>
      <c r="I44" s="23" t="str">
        <f t="shared" si="11"/>
        <v>CGF</v>
      </c>
      <c r="J44" s="23" t="str">
        <f t="shared" si="4"/>
        <v>Caregiver Functioning - Caregiver #1</v>
      </c>
      <c r="K44" s="93">
        <v>1</v>
      </c>
      <c r="L44" s="82" t="str">
        <f t="shared" ca="1" si="12"/>
        <v/>
      </c>
      <c r="M44" s="23" t="str">
        <f t="shared" ca="1" si="5"/>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6"/>
        <v>0</v>
      </c>
      <c r="Y44" s="24" t="str">
        <f t="shared" ca="1" si="7"/>
        <v/>
      </c>
      <c r="Z44" s="24" t="str">
        <f t="shared" ca="1" si="8"/>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9"/>
        <v/>
      </c>
      <c r="D45" s="23" t="str">
        <f t="shared" si="1"/>
        <v/>
      </c>
      <c r="E45" s="23" t="str">
        <f t="shared" si="1"/>
        <v/>
      </c>
      <c r="F45" s="82">
        <f t="shared" si="19"/>
        <v>4</v>
      </c>
      <c r="G45" s="23">
        <f t="shared" si="20"/>
        <v>6</v>
      </c>
      <c r="H45" s="23" t="str">
        <f t="shared" si="10"/>
        <v>CGF</v>
      </c>
      <c r="I45" s="23" t="str">
        <f t="shared" si="11"/>
        <v>CGF</v>
      </c>
      <c r="J45" s="23" t="str">
        <f t="shared" si="4"/>
        <v>Caregiver Functioning - Caregiver #1</v>
      </c>
      <c r="K45" s="93">
        <v>1</v>
      </c>
      <c r="L45" s="82" t="str">
        <f t="shared" ca="1" si="12"/>
        <v/>
      </c>
      <c r="M45" s="23" t="str">
        <f t="shared" ca="1" si="5"/>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6"/>
        <v>0</v>
      </c>
      <c r="Y45" s="24" t="str">
        <f t="shared" ca="1" si="7"/>
        <v/>
      </c>
      <c r="Z45" s="24" t="str">
        <f t="shared" ca="1" si="8"/>
        <v/>
      </c>
      <c r="AA45" s="80">
        <f t="shared" si="18"/>
        <v>24</v>
      </c>
      <c r="AB45" s="15" t="s">
        <v>277</v>
      </c>
      <c r="AC45" s="209" t="s">
        <v>277</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9"/>
        <v/>
      </c>
      <c r="D46" s="23" t="str">
        <f t="shared" si="1"/>
        <v/>
      </c>
      <c r="E46" s="23" t="str">
        <f t="shared" si="1"/>
        <v/>
      </c>
      <c r="F46" s="82">
        <f t="shared" si="19"/>
        <v>4</v>
      </c>
      <c r="G46" s="23">
        <f t="shared" si="20"/>
        <v>7</v>
      </c>
      <c r="H46" s="23" t="str">
        <f t="shared" si="10"/>
        <v>CGF</v>
      </c>
      <c r="I46" s="23" t="str">
        <f t="shared" si="11"/>
        <v>CGF</v>
      </c>
      <c r="J46" s="23" t="str">
        <f t="shared" si="4"/>
        <v>Caregiver Functioning - Caregiver #1</v>
      </c>
      <c r="K46" s="93">
        <v>1</v>
      </c>
      <c r="L46" s="82" t="str">
        <f t="shared" ca="1" si="12"/>
        <v/>
      </c>
      <c r="M46" s="23" t="str">
        <f t="shared" ca="1" si="5"/>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6"/>
        <v>0</v>
      </c>
      <c r="Y46" s="24" t="str">
        <f t="shared" ca="1" si="7"/>
        <v/>
      </c>
      <c r="Z46" s="24" t="str">
        <f t="shared" ca="1" si="8"/>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9"/>
        <v/>
      </c>
      <c r="D47" s="23" t="str">
        <f t="shared" si="1"/>
        <v/>
      </c>
      <c r="E47" s="23" t="str">
        <f t="shared" si="1"/>
        <v/>
      </c>
      <c r="F47" s="82">
        <f t="shared" si="19"/>
        <v>4</v>
      </c>
      <c r="G47" s="23">
        <f t="shared" si="20"/>
        <v>8</v>
      </c>
      <c r="H47" s="23" t="str">
        <f t="shared" si="10"/>
        <v>CGF</v>
      </c>
      <c r="I47" s="23" t="str">
        <f t="shared" si="11"/>
        <v>CGF</v>
      </c>
      <c r="J47" s="23" t="str">
        <f t="shared" si="4"/>
        <v>Caregiver Functioning - Caregiver #1</v>
      </c>
      <c r="K47" s="93">
        <v>1</v>
      </c>
      <c r="L47" s="82" t="str">
        <f t="shared" ca="1" si="12"/>
        <v/>
      </c>
      <c r="M47" s="23" t="str">
        <f t="shared" ca="1" si="5"/>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6"/>
        <v>0</v>
      </c>
      <c r="Y47" s="24" t="str">
        <f t="shared" ca="1" si="7"/>
        <v/>
      </c>
      <c r="Z47" s="24" t="str">
        <f t="shared" ca="1" si="8"/>
        <v/>
      </c>
      <c r="AA47" s="80">
        <f t="shared" si="18"/>
        <v>26</v>
      </c>
      <c r="AB47" s="15" t="s">
        <v>278</v>
      </c>
      <c r="AC47" s="209" t="s">
        <v>278</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9"/>
        <v/>
      </c>
      <c r="D48" s="23" t="str">
        <f t="shared" si="1"/>
        <v/>
      </c>
      <c r="E48" s="23" t="str">
        <f t="shared" si="1"/>
        <v/>
      </c>
      <c r="F48" s="82">
        <f t="shared" si="19"/>
        <v>4</v>
      </c>
      <c r="G48" s="23">
        <f t="shared" si="20"/>
        <v>9</v>
      </c>
      <c r="H48" s="23" t="str">
        <f t="shared" si="10"/>
        <v>CGF</v>
      </c>
      <c r="I48" s="23" t="str">
        <f t="shared" si="11"/>
        <v>CGF</v>
      </c>
      <c r="J48" s="23" t="str">
        <f t="shared" si="4"/>
        <v>Caregiver Functioning - Caregiver #1</v>
      </c>
      <c r="K48" s="93">
        <v>1</v>
      </c>
      <c r="L48" s="82" t="str">
        <f t="shared" ca="1" si="12"/>
        <v/>
      </c>
      <c r="M48" s="23" t="str">
        <f t="shared" ca="1" si="5"/>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6"/>
        <v>0</v>
      </c>
      <c r="Y48" s="24" t="str">
        <f t="shared" ca="1" si="7"/>
        <v/>
      </c>
      <c r="Z48" s="24" t="str">
        <f t="shared" ca="1" si="8"/>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9"/>
        <v/>
      </c>
      <c r="D49" s="23" t="str">
        <f t="shared" si="1"/>
        <v/>
      </c>
      <c r="E49" s="23" t="str">
        <f t="shared" si="1"/>
        <v/>
      </c>
      <c r="F49" s="82">
        <f t="shared" si="19"/>
        <v>4</v>
      </c>
      <c r="G49" s="23">
        <f t="shared" si="20"/>
        <v>10</v>
      </c>
      <c r="H49" s="23" t="str">
        <f t="shared" si="10"/>
        <v>CGF</v>
      </c>
      <c r="I49" s="23" t="str">
        <f t="shared" si="11"/>
        <v>CGF</v>
      </c>
      <c r="J49" s="23" t="str">
        <f t="shared" si="4"/>
        <v>Caregiver Functioning - Caregiver #1</v>
      </c>
      <c r="K49" s="93">
        <v>1</v>
      </c>
      <c r="L49" s="82" t="str">
        <f t="shared" ca="1" si="12"/>
        <v/>
      </c>
      <c r="M49" s="23" t="str">
        <f t="shared" ca="1" si="5"/>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6"/>
        <v>0</v>
      </c>
      <c r="Y49" s="24" t="str">
        <f t="shared" ca="1" si="7"/>
        <v/>
      </c>
      <c r="Z49" s="24" t="str">
        <f t="shared" ca="1" si="8"/>
        <v/>
      </c>
      <c r="AA49" s="80">
        <f t="shared" si="18"/>
        <v>28</v>
      </c>
      <c r="AB49" s="15" t="s">
        <v>279</v>
      </c>
      <c r="AC49" s="209" t="s">
        <v>279</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9"/>
        <v/>
      </c>
      <c r="D50" s="23" t="str">
        <f t="shared" si="1"/>
        <v/>
      </c>
      <c r="E50" s="23" t="str">
        <f t="shared" si="1"/>
        <v/>
      </c>
      <c r="F50" s="82">
        <f t="shared" si="19"/>
        <v>4</v>
      </c>
      <c r="G50" s="23">
        <f t="shared" si="20"/>
        <v>11</v>
      </c>
      <c r="H50" s="23" t="str">
        <f t="shared" si="10"/>
        <v>CGF</v>
      </c>
      <c r="I50" s="23" t="str">
        <f t="shared" si="11"/>
        <v>CGF</v>
      </c>
      <c r="J50" s="23" t="str">
        <f t="shared" ref="J50:J81" si="21">IF(K50=0, AC50, J49)</f>
        <v>Caregiver Functioning - Caregiver #1</v>
      </c>
      <c r="K50" s="93">
        <v>1</v>
      </c>
      <c r="L50" s="82" t="str">
        <f t="shared" ca="1" si="12"/>
        <v/>
      </c>
      <c r="M50" s="23" t="str">
        <f t="shared" ca="1" si="5"/>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6"/>
        <v>0</v>
      </c>
      <c r="Y50" s="24" t="str">
        <f t="shared" ref="Y50:Y81" ca="1" si="22">T(INDIRECT(ADDRESS(ROW(), lastAssessCol+2)))</f>
        <v/>
      </c>
      <c r="Z50" s="24" t="str">
        <f t="shared" ref="Z50:Z81" ca="1" si="23">T(INDIRECT(ADDRESS(ROW(), lastAssessCol+3)))</f>
        <v/>
      </c>
      <c r="AA50" s="80">
        <f t="shared" si="18"/>
        <v>29</v>
      </c>
      <c r="AB50" s="15" t="s">
        <v>280</v>
      </c>
      <c r="AC50" s="203" t="s">
        <v>280</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9"/>
        <v/>
      </c>
      <c r="D51" s="23" t="str">
        <f t="shared" si="1"/>
        <v/>
      </c>
      <c r="E51" s="23" t="str">
        <f t="shared" si="1"/>
        <v/>
      </c>
      <c r="F51" s="82">
        <f t="shared" si="19"/>
        <v>4</v>
      </c>
      <c r="G51" s="23">
        <f t="shared" si="20"/>
        <v>12</v>
      </c>
      <c r="H51" s="23" t="str">
        <f t="shared" si="10"/>
        <v>CGF</v>
      </c>
      <c r="I51" s="23" t="str">
        <f t="shared" si="11"/>
        <v>CGF</v>
      </c>
      <c r="J51" s="23" t="str">
        <f t="shared" si="21"/>
        <v>Caregiver Functioning - Caregiver #1</v>
      </c>
      <c r="K51" s="93">
        <v>1</v>
      </c>
      <c r="L51" s="82" t="str">
        <f t="shared" ca="1" si="12"/>
        <v/>
      </c>
      <c r="M51" s="23" t="str">
        <f t="shared" ca="1" si="5"/>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6"/>
        <v>0</v>
      </c>
      <c r="Y51" s="24" t="str">
        <f t="shared" ca="1" si="22"/>
        <v/>
      </c>
      <c r="Z51" s="24" t="str">
        <f t="shared" ca="1" si="23"/>
        <v/>
      </c>
      <c r="AA51" s="80">
        <f t="shared" ref="AA51:AA82" si="24">AA50+IF(AB51=0, 0, 1)</f>
        <v>30</v>
      </c>
      <c r="AB51" s="15" t="s">
        <v>281</v>
      </c>
      <c r="AC51" s="209" t="s">
        <v>281</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9"/>
        <v/>
      </c>
      <c r="D52" s="23" t="str">
        <f t="shared" si="1"/>
        <v/>
      </c>
      <c r="E52" s="23" t="str">
        <f t="shared" si="1"/>
        <v/>
      </c>
      <c r="F52" s="82">
        <f t="shared" si="19"/>
        <v>4</v>
      </c>
      <c r="G52" s="23">
        <f t="shared" si="20"/>
        <v>13</v>
      </c>
      <c r="H52" s="23" t="str">
        <f t="shared" si="10"/>
        <v>CGF</v>
      </c>
      <c r="I52" s="23" t="str">
        <f t="shared" si="11"/>
        <v>CGF</v>
      </c>
      <c r="J52" s="23" t="str">
        <f t="shared" si="21"/>
        <v>Caregiver Functioning - Caregiver #1</v>
      </c>
      <c r="K52" s="93">
        <v>1</v>
      </c>
      <c r="L52" s="82" t="str">
        <f t="shared" ca="1" si="12"/>
        <v/>
      </c>
      <c r="M52" s="23" t="str">
        <f t="shared" ca="1" si="5"/>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6"/>
        <v>0</v>
      </c>
      <c r="Y52" s="24" t="str">
        <f t="shared" ca="1" si="22"/>
        <v/>
      </c>
      <c r="Z52" s="24" t="str">
        <f t="shared" ca="1" si="23"/>
        <v/>
      </c>
      <c r="AA52" s="80">
        <f t="shared" si="24"/>
        <v>31</v>
      </c>
      <c r="AB52" s="15" t="s">
        <v>282</v>
      </c>
      <c r="AC52" s="203" t="s">
        <v>282</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9"/>
        <v/>
      </c>
      <c r="D53" s="23" t="str">
        <f t="shared" si="1"/>
        <v/>
      </c>
      <c r="E53" s="23" t="str">
        <f t="shared" si="1"/>
        <v>Caregiver Functioning - Caregiver #1</v>
      </c>
      <c r="F53" s="82">
        <f t="shared" si="19"/>
        <v>4</v>
      </c>
      <c r="G53" s="23">
        <f t="shared" si="20"/>
        <v>14</v>
      </c>
      <c r="H53" s="23" t="str">
        <f t="shared" si="10"/>
        <v>CGF</v>
      </c>
      <c r="I53" s="23" t="str">
        <f t="shared" si="11"/>
        <v>CGF</v>
      </c>
      <c r="J53" s="23" t="str">
        <f t="shared" si="21"/>
        <v>Caregiver Functioning - Caregiver #1</v>
      </c>
      <c r="K53" s="93">
        <v>1</v>
      </c>
      <c r="L53" s="82" t="str">
        <f t="shared" ca="1" si="12"/>
        <v/>
      </c>
      <c r="M53" s="23" t="str">
        <f t="shared" ca="1" si="5"/>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6"/>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9"/>
        <v/>
      </c>
      <c r="D54" s="23" t="str">
        <f t="shared" si="1"/>
        <v/>
      </c>
      <c r="E54" s="23" t="str">
        <f t="shared" si="1"/>
        <v/>
      </c>
      <c r="F54" s="82">
        <f t="shared" si="19"/>
        <v>5</v>
      </c>
      <c r="G54" s="23">
        <f t="shared" si="20"/>
        <v>0</v>
      </c>
      <c r="H54" s="23" t="str">
        <f t="shared" si="10"/>
        <v>CGF</v>
      </c>
      <c r="I54" s="23" t="str">
        <f t="shared" si="11"/>
        <v>CGF</v>
      </c>
      <c r="J54" s="23" t="str">
        <f t="shared" si="21"/>
        <v>Caregiver Functioning - Caregiver #2</v>
      </c>
      <c r="K54" s="93">
        <v>0</v>
      </c>
      <c r="L54" s="82" t="str">
        <f t="shared" ca="1" si="12"/>
        <v/>
      </c>
      <c r="M54" s="23" t="str">
        <f t="shared" ca="1" si="5"/>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6"/>
        <v>0</v>
      </c>
      <c r="Y54" s="24" t="str">
        <f t="shared" ca="1" si="22"/>
        <v/>
      </c>
      <c r="Z54" s="24" t="str">
        <f t="shared" ca="1" si="23"/>
        <v/>
      </c>
      <c r="AA54" s="80">
        <f t="shared" si="24"/>
        <v>32</v>
      </c>
      <c r="AC54" s="197" t="s">
        <v>324</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9"/>
        <v/>
      </c>
      <c r="D55" s="23" t="str">
        <f t="shared" si="1"/>
        <v/>
      </c>
      <c r="E55" s="23" t="str">
        <f t="shared" si="1"/>
        <v/>
      </c>
      <c r="F55" s="82">
        <f t="shared" si="19"/>
        <v>5</v>
      </c>
      <c r="G55" s="23">
        <f t="shared" si="20"/>
        <v>0</v>
      </c>
      <c r="H55" s="23" t="str">
        <f t="shared" si="10"/>
        <v>CGF</v>
      </c>
      <c r="I55" s="23" t="str">
        <f t="shared" si="11"/>
        <v>CGF</v>
      </c>
      <c r="J55" s="23" t="str">
        <f t="shared" si="21"/>
        <v>Caregiver Functioning - Caregiver #2</v>
      </c>
      <c r="K55" s="93">
        <v>2</v>
      </c>
      <c r="L55" s="82" t="str">
        <f t="shared" ca="1" si="12"/>
        <v/>
      </c>
      <c r="M55" s="23" t="str">
        <f t="shared" ca="1" si="5"/>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6"/>
        <v>0</v>
      </c>
      <c r="Y55" s="24" t="str">
        <f t="shared" ca="1" si="22"/>
        <v/>
      </c>
      <c r="Z55" s="24" t="str">
        <f t="shared" ca="1" si="23"/>
        <v/>
      </c>
      <c r="AA55" s="80">
        <f t="shared" si="24"/>
        <v>32</v>
      </c>
      <c r="AC55" s="218" t="s">
        <v>322</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9"/>
        <v/>
      </c>
      <c r="D56" s="23" t="str">
        <f t="shared" si="1"/>
        <v/>
      </c>
      <c r="E56" s="23" t="str">
        <f t="shared" si="1"/>
        <v/>
      </c>
      <c r="F56" s="82">
        <f t="shared" si="19"/>
        <v>5</v>
      </c>
      <c r="G56" s="23">
        <f t="shared" si="20"/>
        <v>1</v>
      </c>
      <c r="H56" s="23" t="str">
        <f t="shared" si="10"/>
        <v>CGF</v>
      </c>
      <c r="I56" s="23" t="str">
        <f t="shared" si="11"/>
        <v>CGF</v>
      </c>
      <c r="J56" s="23" t="str">
        <f t="shared" si="21"/>
        <v>Caregiver Functioning - Caregiver #2</v>
      </c>
      <c r="K56" s="93">
        <v>1</v>
      </c>
      <c r="L56" s="82" t="str">
        <f t="shared" ca="1" si="12"/>
        <v/>
      </c>
      <c r="M56" s="23" t="str">
        <f t="shared" ca="1" si="5"/>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6"/>
        <v>0</v>
      </c>
      <c r="Y56" s="24" t="str">
        <f t="shared" ca="1" si="22"/>
        <v/>
      </c>
      <c r="Z56" s="24" t="str">
        <f t="shared" ca="1" si="23"/>
        <v/>
      </c>
      <c r="AA56" s="80">
        <f t="shared" si="24"/>
        <v>33</v>
      </c>
      <c r="AB56" s="15" t="s">
        <v>275</v>
      </c>
      <c r="AC56" s="203" t="s">
        <v>275</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9"/>
        <v/>
      </c>
      <c r="D57" s="23" t="str">
        <f t="shared" si="1"/>
        <v/>
      </c>
      <c r="E57" s="23" t="str">
        <f t="shared" si="1"/>
        <v/>
      </c>
      <c r="F57" s="82">
        <f t="shared" si="19"/>
        <v>5</v>
      </c>
      <c r="G57" s="23">
        <f t="shared" si="20"/>
        <v>2</v>
      </c>
      <c r="H57" s="23" t="str">
        <f t="shared" si="10"/>
        <v>CGF</v>
      </c>
      <c r="I57" s="23" t="str">
        <f t="shared" si="11"/>
        <v>CGF</v>
      </c>
      <c r="J57" s="23" t="str">
        <f t="shared" si="21"/>
        <v>Caregiver Functioning - Caregiver #2</v>
      </c>
      <c r="K57" s="93">
        <v>1</v>
      </c>
      <c r="L57" s="82" t="str">
        <f t="shared" ca="1" si="12"/>
        <v/>
      </c>
      <c r="M57" s="23" t="str">
        <f t="shared" ca="1" si="5"/>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6"/>
        <v>0</v>
      </c>
      <c r="Y57" s="24" t="str">
        <f t="shared" ca="1" si="22"/>
        <v/>
      </c>
      <c r="Z57" s="24" t="str">
        <f t="shared" ca="1" si="23"/>
        <v/>
      </c>
      <c r="AA57" s="80">
        <f t="shared" si="24"/>
        <v>34</v>
      </c>
      <c r="AB57" s="15" t="s">
        <v>276</v>
      </c>
      <c r="AC57" s="209" t="s">
        <v>276</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9"/>
        <v/>
      </c>
      <c r="D58" s="23" t="str">
        <f t="shared" si="1"/>
        <v/>
      </c>
      <c r="E58" s="23" t="str">
        <f t="shared" si="1"/>
        <v/>
      </c>
      <c r="F58" s="82">
        <f t="shared" si="19"/>
        <v>5</v>
      </c>
      <c r="G58" s="23">
        <f t="shared" si="20"/>
        <v>3</v>
      </c>
      <c r="H58" s="23" t="str">
        <f t="shared" si="10"/>
        <v>CGF</v>
      </c>
      <c r="I58" s="23" t="str">
        <f t="shared" si="11"/>
        <v>CGF</v>
      </c>
      <c r="J58" s="23" t="str">
        <f t="shared" si="21"/>
        <v>Caregiver Functioning - Caregiver #2</v>
      </c>
      <c r="K58" s="93">
        <v>1</v>
      </c>
      <c r="L58" s="82" t="str">
        <f t="shared" ca="1" si="12"/>
        <v/>
      </c>
      <c r="M58" s="23" t="str">
        <f t="shared" ca="1" si="5"/>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6"/>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9"/>
        <v/>
      </c>
      <c r="D59" s="23" t="str">
        <f t="shared" si="1"/>
        <v/>
      </c>
      <c r="E59" s="23" t="str">
        <f t="shared" si="1"/>
        <v/>
      </c>
      <c r="F59" s="82">
        <f t="shared" si="19"/>
        <v>5</v>
      </c>
      <c r="G59" s="23">
        <f t="shared" si="20"/>
        <v>4</v>
      </c>
      <c r="H59" s="23" t="str">
        <f t="shared" si="10"/>
        <v>CGF</v>
      </c>
      <c r="I59" s="23" t="str">
        <f t="shared" si="11"/>
        <v>CGF</v>
      </c>
      <c r="J59" s="23" t="str">
        <f t="shared" si="21"/>
        <v>Caregiver Functioning - Caregiver #2</v>
      </c>
      <c r="K59" s="93">
        <v>1</v>
      </c>
      <c r="L59" s="82" t="str">
        <f t="shared" ca="1" si="12"/>
        <v/>
      </c>
      <c r="M59" s="23" t="str">
        <f t="shared" ca="1" si="5"/>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6"/>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9"/>
        <v/>
      </c>
      <c r="D60" s="23" t="str">
        <f t="shared" si="1"/>
        <v/>
      </c>
      <c r="E60" s="23" t="str">
        <f t="shared" si="1"/>
        <v/>
      </c>
      <c r="F60" s="82">
        <f t="shared" si="19"/>
        <v>5</v>
      </c>
      <c r="G60" s="23">
        <f t="shared" si="20"/>
        <v>5</v>
      </c>
      <c r="H60" s="23" t="str">
        <f t="shared" si="10"/>
        <v>CGF</v>
      </c>
      <c r="I60" s="23" t="str">
        <f t="shared" si="11"/>
        <v>CGF</v>
      </c>
      <c r="J60" s="23" t="str">
        <f t="shared" si="21"/>
        <v>Caregiver Functioning - Caregiver #2</v>
      </c>
      <c r="K60" s="93">
        <v>1</v>
      </c>
      <c r="L60" s="82" t="str">
        <f t="shared" ca="1" si="12"/>
        <v/>
      </c>
      <c r="M60" s="23" t="str">
        <f t="shared" ca="1" si="5"/>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6"/>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9"/>
        <v/>
      </c>
      <c r="D61" s="23" t="str">
        <f t="shared" si="1"/>
        <v/>
      </c>
      <c r="E61" s="23" t="str">
        <f t="shared" si="1"/>
        <v/>
      </c>
      <c r="F61" s="82">
        <f t="shared" si="19"/>
        <v>5</v>
      </c>
      <c r="G61" s="23">
        <f t="shared" si="20"/>
        <v>6</v>
      </c>
      <c r="H61" s="23" t="str">
        <f t="shared" si="10"/>
        <v>CGF</v>
      </c>
      <c r="I61" s="23" t="str">
        <f t="shared" si="11"/>
        <v>CGF</v>
      </c>
      <c r="J61" s="23" t="str">
        <f t="shared" si="21"/>
        <v>Caregiver Functioning - Caregiver #2</v>
      </c>
      <c r="K61" s="93">
        <v>1</v>
      </c>
      <c r="L61" s="82" t="str">
        <f t="shared" ca="1" si="12"/>
        <v/>
      </c>
      <c r="M61" s="23" t="str">
        <f t="shared" ca="1" si="5"/>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6"/>
        <v>0</v>
      </c>
      <c r="Y61" s="24" t="str">
        <f t="shared" ca="1" si="22"/>
        <v/>
      </c>
      <c r="Z61" s="24" t="str">
        <f t="shared" ca="1" si="23"/>
        <v/>
      </c>
      <c r="AA61" s="80">
        <f t="shared" si="24"/>
        <v>38</v>
      </c>
      <c r="AB61" s="15" t="s">
        <v>277</v>
      </c>
      <c r="AC61" s="209" t="s">
        <v>277</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9"/>
        <v/>
      </c>
      <c r="D62" s="23" t="str">
        <f t="shared" si="1"/>
        <v/>
      </c>
      <c r="E62" s="23" t="str">
        <f t="shared" si="1"/>
        <v/>
      </c>
      <c r="F62" s="82">
        <f t="shared" si="19"/>
        <v>5</v>
      </c>
      <c r="G62" s="23">
        <f t="shared" si="20"/>
        <v>7</v>
      </c>
      <c r="H62" s="23" t="str">
        <f t="shared" si="10"/>
        <v>CGF</v>
      </c>
      <c r="I62" s="23" t="str">
        <f t="shared" si="11"/>
        <v>CGF</v>
      </c>
      <c r="J62" s="23" t="str">
        <f t="shared" si="21"/>
        <v>Caregiver Functioning - Caregiver #2</v>
      </c>
      <c r="K62" s="93">
        <v>1</v>
      </c>
      <c r="L62" s="82" t="str">
        <f t="shared" ca="1" si="12"/>
        <v/>
      </c>
      <c r="M62" s="23" t="str">
        <f t="shared" ca="1" si="5"/>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6"/>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9"/>
        <v/>
      </c>
      <c r="D63" s="23" t="str">
        <f t="shared" si="1"/>
        <v/>
      </c>
      <c r="E63" s="23" t="str">
        <f t="shared" si="1"/>
        <v/>
      </c>
      <c r="F63" s="82">
        <f t="shared" si="19"/>
        <v>5</v>
      </c>
      <c r="G63" s="23">
        <f t="shared" si="20"/>
        <v>8</v>
      </c>
      <c r="H63" s="23" t="str">
        <f t="shared" si="10"/>
        <v>CGF</v>
      </c>
      <c r="I63" s="23" t="str">
        <f t="shared" si="11"/>
        <v>CGF</v>
      </c>
      <c r="J63" s="23" t="str">
        <f t="shared" si="21"/>
        <v>Caregiver Functioning - Caregiver #2</v>
      </c>
      <c r="K63" s="93">
        <v>1</v>
      </c>
      <c r="L63" s="82" t="str">
        <f t="shared" ca="1" si="12"/>
        <v/>
      </c>
      <c r="M63" s="23" t="str">
        <f t="shared" ca="1" si="5"/>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6"/>
        <v>0</v>
      </c>
      <c r="Y63" s="24" t="str">
        <f t="shared" ca="1" si="22"/>
        <v/>
      </c>
      <c r="Z63" s="24" t="str">
        <f t="shared" ca="1" si="23"/>
        <v/>
      </c>
      <c r="AA63" s="80">
        <f t="shared" si="24"/>
        <v>40</v>
      </c>
      <c r="AB63" s="15" t="s">
        <v>278</v>
      </c>
      <c r="AC63" s="209" t="s">
        <v>278</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9"/>
        <v/>
      </c>
      <c r="D64" s="23" t="str">
        <f t="shared" si="1"/>
        <v/>
      </c>
      <c r="E64" s="23" t="str">
        <f t="shared" si="1"/>
        <v/>
      </c>
      <c r="F64" s="82">
        <f t="shared" si="19"/>
        <v>5</v>
      </c>
      <c r="G64" s="23">
        <f t="shared" si="20"/>
        <v>9</v>
      </c>
      <c r="H64" s="23" t="str">
        <f t="shared" si="10"/>
        <v>CGF</v>
      </c>
      <c r="I64" s="23" t="str">
        <f t="shared" si="11"/>
        <v>CGF</v>
      </c>
      <c r="J64" s="23" t="str">
        <f t="shared" si="21"/>
        <v>Caregiver Functioning - Caregiver #2</v>
      </c>
      <c r="K64" s="93">
        <v>1</v>
      </c>
      <c r="L64" s="82" t="str">
        <f t="shared" ca="1" si="12"/>
        <v/>
      </c>
      <c r="M64" s="23" t="str">
        <f t="shared" ca="1" si="5"/>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6"/>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9"/>
        <v/>
      </c>
      <c r="D65" s="23" t="str">
        <f t="shared" si="1"/>
        <v/>
      </c>
      <c r="E65" s="23" t="str">
        <f t="shared" si="1"/>
        <v/>
      </c>
      <c r="F65" s="82">
        <f t="shared" si="19"/>
        <v>5</v>
      </c>
      <c r="G65" s="23">
        <f t="shared" si="20"/>
        <v>10</v>
      </c>
      <c r="H65" s="23" t="str">
        <f t="shared" si="10"/>
        <v>CGF</v>
      </c>
      <c r="I65" s="23" t="str">
        <f t="shared" si="11"/>
        <v>CGF</v>
      </c>
      <c r="J65" s="23" t="str">
        <f t="shared" si="21"/>
        <v>Caregiver Functioning - Caregiver #2</v>
      </c>
      <c r="K65" s="93">
        <v>1</v>
      </c>
      <c r="L65" s="82" t="str">
        <f t="shared" ca="1" si="12"/>
        <v/>
      </c>
      <c r="M65" s="23" t="str">
        <f t="shared" ca="1" si="5"/>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6"/>
        <v>0</v>
      </c>
      <c r="Y65" s="24" t="str">
        <f t="shared" ca="1" si="22"/>
        <v/>
      </c>
      <c r="Z65" s="24" t="str">
        <f t="shared" ca="1" si="23"/>
        <v/>
      </c>
      <c r="AA65" s="80">
        <f t="shared" si="24"/>
        <v>42</v>
      </c>
      <c r="AB65" s="15" t="s">
        <v>279</v>
      </c>
      <c r="AC65" s="209" t="s">
        <v>279</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9"/>
        <v/>
      </c>
      <c r="D66" s="23" t="str">
        <f t="shared" si="1"/>
        <v/>
      </c>
      <c r="E66" s="23" t="str">
        <f t="shared" si="1"/>
        <v/>
      </c>
      <c r="F66" s="82">
        <f t="shared" si="19"/>
        <v>5</v>
      </c>
      <c r="G66" s="23">
        <f t="shared" si="20"/>
        <v>11</v>
      </c>
      <c r="H66" s="23" t="str">
        <f t="shared" si="10"/>
        <v>CGF</v>
      </c>
      <c r="I66" s="23" t="str">
        <f t="shared" si="11"/>
        <v>CGF</v>
      </c>
      <c r="J66" s="23" t="str">
        <f t="shared" si="21"/>
        <v>Caregiver Functioning - Caregiver #2</v>
      </c>
      <c r="K66" s="93">
        <v>1</v>
      </c>
      <c r="L66" s="82" t="str">
        <f t="shared" ca="1" si="12"/>
        <v/>
      </c>
      <c r="M66" s="23" t="str">
        <f t="shared" ca="1" si="5"/>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6"/>
        <v>0</v>
      </c>
      <c r="Y66" s="24" t="str">
        <f t="shared" ca="1" si="22"/>
        <v/>
      </c>
      <c r="Z66" s="24" t="str">
        <f t="shared" ca="1" si="23"/>
        <v/>
      </c>
      <c r="AA66" s="80">
        <f t="shared" si="24"/>
        <v>43</v>
      </c>
      <c r="AB66" s="15" t="s">
        <v>280</v>
      </c>
      <c r="AC66" s="203" t="s">
        <v>280</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9"/>
        <v/>
      </c>
      <c r="D67" s="23" t="str">
        <f t="shared" si="1"/>
        <v/>
      </c>
      <c r="E67" s="23" t="str">
        <f t="shared" si="1"/>
        <v/>
      </c>
      <c r="F67" s="82">
        <f t="shared" si="19"/>
        <v>5</v>
      </c>
      <c r="G67" s="23">
        <f t="shared" si="20"/>
        <v>12</v>
      </c>
      <c r="H67" s="23" t="str">
        <f t="shared" si="10"/>
        <v>CGF</v>
      </c>
      <c r="I67" s="23" t="str">
        <f t="shared" si="11"/>
        <v>CGF</v>
      </c>
      <c r="J67" s="23" t="str">
        <f t="shared" si="21"/>
        <v>Caregiver Functioning - Caregiver #2</v>
      </c>
      <c r="K67" s="93">
        <v>1</v>
      </c>
      <c r="L67" s="82" t="str">
        <f t="shared" ca="1" si="12"/>
        <v/>
      </c>
      <c r="M67" s="23" t="str">
        <f t="shared" ca="1" si="5"/>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6"/>
        <v>0</v>
      </c>
      <c r="Y67" s="24" t="str">
        <f t="shared" ca="1" si="22"/>
        <v/>
      </c>
      <c r="Z67" s="24" t="str">
        <f t="shared" ca="1" si="23"/>
        <v/>
      </c>
      <c r="AA67" s="80">
        <f t="shared" si="24"/>
        <v>44</v>
      </c>
      <c r="AB67" s="15" t="s">
        <v>281</v>
      </c>
      <c r="AC67" s="209" t="s">
        <v>281</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9"/>
        <v/>
      </c>
      <c r="D68" s="23" t="str">
        <f t="shared" si="1"/>
        <v/>
      </c>
      <c r="E68" s="23" t="str">
        <f t="shared" si="1"/>
        <v/>
      </c>
      <c r="F68" s="82">
        <f t="shared" si="19"/>
        <v>5</v>
      </c>
      <c r="G68" s="23">
        <f t="shared" si="20"/>
        <v>13</v>
      </c>
      <c r="H68" s="23" t="str">
        <f t="shared" si="10"/>
        <v>CGF</v>
      </c>
      <c r="I68" s="23" t="str">
        <f t="shared" si="11"/>
        <v>CGF</v>
      </c>
      <c r="J68" s="23" t="str">
        <f t="shared" si="21"/>
        <v>Caregiver Functioning - Caregiver #2</v>
      </c>
      <c r="K68" s="93">
        <v>1</v>
      </c>
      <c r="L68" s="82" t="str">
        <f t="shared" ca="1" si="12"/>
        <v/>
      </c>
      <c r="M68" s="23" t="str">
        <f t="shared" ca="1" si="5"/>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6"/>
        <v>0</v>
      </c>
      <c r="Y68" s="24" t="str">
        <f t="shared" ca="1" si="22"/>
        <v/>
      </c>
      <c r="Z68" s="24" t="str">
        <f t="shared" ca="1" si="23"/>
        <v/>
      </c>
      <c r="AA68" s="80">
        <f t="shared" si="24"/>
        <v>45</v>
      </c>
      <c r="AB68" s="15" t="s">
        <v>282</v>
      </c>
      <c r="AC68" s="203" t="s">
        <v>282</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9"/>
        <v/>
      </c>
      <c r="D69" s="23" t="str">
        <f t="shared" si="1"/>
        <v/>
      </c>
      <c r="E69" s="23" t="str">
        <f t="shared" si="1"/>
        <v>Caregiver Functioning - Caregiver #2</v>
      </c>
      <c r="F69" s="82">
        <f t="shared" si="19"/>
        <v>5</v>
      </c>
      <c r="G69" s="23">
        <f t="shared" si="20"/>
        <v>14</v>
      </c>
      <c r="H69" s="23" t="str">
        <f t="shared" si="10"/>
        <v>CGF</v>
      </c>
      <c r="I69" s="23" t="str">
        <f t="shared" si="11"/>
        <v>CGF</v>
      </c>
      <c r="J69" s="23" t="str">
        <f t="shared" si="21"/>
        <v>Caregiver Functioning - Caregiver #2</v>
      </c>
      <c r="K69" s="93">
        <v>1</v>
      </c>
      <c r="L69" s="82" t="str">
        <f t="shared" ca="1" si="12"/>
        <v/>
      </c>
      <c r="M69" s="23" t="str">
        <f t="shared" ca="1" si="5"/>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6"/>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9"/>
        <v/>
      </c>
      <c r="D70" s="23" t="str">
        <f t="shared" si="1"/>
        <v/>
      </c>
      <c r="E70" s="23" t="str">
        <f t="shared" si="1"/>
        <v/>
      </c>
      <c r="F70" s="82">
        <f t="shared" si="19"/>
        <v>6</v>
      </c>
      <c r="G70" s="23">
        <f t="shared" si="20"/>
        <v>0</v>
      </c>
      <c r="H70" s="23" t="str">
        <f t="shared" si="10"/>
        <v>CGF</v>
      </c>
      <c r="I70" s="23" t="str">
        <f t="shared" si="11"/>
        <v>CGF</v>
      </c>
      <c r="J70" s="23" t="str">
        <f t="shared" si="21"/>
        <v>Caregiver Functioning - Caregiver #3</v>
      </c>
      <c r="K70" s="93">
        <v>0</v>
      </c>
      <c r="L70" s="82" t="str">
        <f t="shared" ca="1" si="12"/>
        <v/>
      </c>
      <c r="M70" s="23" t="str">
        <f t="shared" ca="1" si="5"/>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6"/>
        <v>0</v>
      </c>
      <c r="Y70" s="24" t="str">
        <f t="shared" ca="1" si="22"/>
        <v/>
      </c>
      <c r="Z70" s="24" t="str">
        <f t="shared" ca="1" si="23"/>
        <v/>
      </c>
      <c r="AA70" s="80">
        <f t="shared" si="24"/>
        <v>46</v>
      </c>
      <c r="AC70" s="197" t="s">
        <v>667</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9"/>
        <v/>
      </c>
      <c r="D71" s="23" t="str">
        <f t="shared" si="1"/>
        <v/>
      </c>
      <c r="E71" s="23" t="str">
        <f t="shared" si="1"/>
        <v/>
      </c>
      <c r="F71" s="82">
        <f t="shared" si="19"/>
        <v>6</v>
      </c>
      <c r="G71" s="23">
        <f t="shared" si="20"/>
        <v>0</v>
      </c>
      <c r="H71" s="23" t="str">
        <f t="shared" si="10"/>
        <v>CGF</v>
      </c>
      <c r="I71" s="23" t="str">
        <f t="shared" si="11"/>
        <v>CGF</v>
      </c>
      <c r="J71" s="23" t="str">
        <f t="shared" si="21"/>
        <v>Caregiver Functioning - Caregiver #3</v>
      </c>
      <c r="K71" s="93">
        <v>2</v>
      </c>
      <c r="L71" s="82" t="str">
        <f t="shared" ca="1" si="12"/>
        <v/>
      </c>
      <c r="M71" s="23" t="str">
        <f t="shared" ca="1" si="5"/>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6"/>
        <v>0</v>
      </c>
      <c r="Y71" s="24" t="str">
        <f t="shared" ca="1" si="22"/>
        <v/>
      </c>
      <c r="Z71" s="24" t="str">
        <f t="shared" ca="1" si="23"/>
        <v/>
      </c>
      <c r="AA71" s="80">
        <f t="shared" si="24"/>
        <v>46</v>
      </c>
      <c r="AC71" s="218" t="s">
        <v>322</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9"/>
        <v/>
      </c>
      <c r="D72" s="23" t="str">
        <f t="shared" si="1"/>
        <v/>
      </c>
      <c r="E72" s="23" t="str">
        <f t="shared" si="1"/>
        <v/>
      </c>
      <c r="F72" s="82">
        <f t="shared" si="19"/>
        <v>6</v>
      </c>
      <c r="G72" s="23">
        <f t="shared" si="20"/>
        <v>1</v>
      </c>
      <c r="H72" s="23" t="str">
        <f t="shared" si="10"/>
        <v>CGF</v>
      </c>
      <c r="I72" s="23" t="str">
        <f t="shared" si="11"/>
        <v>CGF</v>
      </c>
      <c r="J72" s="23" t="str">
        <f t="shared" si="21"/>
        <v>Caregiver Functioning - Caregiver #3</v>
      </c>
      <c r="K72" s="93">
        <v>1</v>
      </c>
      <c r="L72" s="82" t="str">
        <f t="shared" ca="1" si="12"/>
        <v/>
      </c>
      <c r="M72" s="23" t="str">
        <f t="shared" ca="1" si="5"/>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6"/>
        <v>0</v>
      </c>
      <c r="Y72" s="24" t="str">
        <f t="shared" ca="1" si="22"/>
        <v/>
      </c>
      <c r="Z72" s="24" t="str">
        <f t="shared" ca="1" si="23"/>
        <v/>
      </c>
      <c r="AA72" s="80">
        <f t="shared" si="24"/>
        <v>47</v>
      </c>
      <c r="AB72" s="15" t="s">
        <v>275</v>
      </c>
      <c r="AC72" s="203" t="s">
        <v>275</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9"/>
        <v/>
      </c>
      <c r="D73" s="23" t="str">
        <f t="shared" si="1"/>
        <v/>
      </c>
      <c r="E73" s="23" t="str">
        <f t="shared" si="1"/>
        <v/>
      </c>
      <c r="F73" s="82">
        <f t="shared" si="19"/>
        <v>6</v>
      </c>
      <c r="G73" s="23">
        <f t="shared" si="20"/>
        <v>2</v>
      </c>
      <c r="H73" s="23" t="str">
        <f t="shared" si="10"/>
        <v>CGF</v>
      </c>
      <c r="I73" s="23" t="str">
        <f t="shared" si="11"/>
        <v>CGF</v>
      </c>
      <c r="J73" s="23" t="str">
        <f t="shared" si="21"/>
        <v>Caregiver Functioning - Caregiver #3</v>
      </c>
      <c r="K73" s="93">
        <v>1</v>
      </c>
      <c r="L73" s="82" t="str">
        <f t="shared" ca="1" si="12"/>
        <v/>
      </c>
      <c r="M73" s="23" t="str">
        <f t="shared" ca="1" si="5"/>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6"/>
        <v>0</v>
      </c>
      <c r="Y73" s="24" t="str">
        <f t="shared" ca="1" si="22"/>
        <v/>
      </c>
      <c r="Z73" s="24" t="str">
        <f t="shared" ca="1" si="23"/>
        <v/>
      </c>
      <c r="AA73" s="80">
        <f t="shared" si="24"/>
        <v>48</v>
      </c>
      <c r="AB73" s="15" t="s">
        <v>276</v>
      </c>
      <c r="AC73" s="209" t="s">
        <v>276</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9"/>
        <v/>
      </c>
      <c r="D74" s="23" t="str">
        <f t="shared" si="1"/>
        <v/>
      </c>
      <c r="E74" s="23" t="str">
        <f t="shared" si="1"/>
        <v/>
      </c>
      <c r="F74" s="82">
        <f t="shared" si="19"/>
        <v>6</v>
      </c>
      <c r="G74" s="23">
        <f t="shared" si="20"/>
        <v>3</v>
      </c>
      <c r="H74" s="23" t="str">
        <f t="shared" si="10"/>
        <v>CGF</v>
      </c>
      <c r="I74" s="23" t="str">
        <f t="shared" si="11"/>
        <v>CGF</v>
      </c>
      <c r="J74" s="23" t="str">
        <f t="shared" si="21"/>
        <v>Caregiver Functioning - Caregiver #3</v>
      </c>
      <c r="K74" s="93">
        <v>1</v>
      </c>
      <c r="L74" s="82" t="str">
        <f t="shared" ca="1" si="12"/>
        <v/>
      </c>
      <c r="M74" s="23" t="str">
        <f t="shared" ca="1" si="5"/>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6"/>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9"/>
        <v/>
      </c>
      <c r="D75" s="23" t="str">
        <f t="shared" si="1"/>
        <v/>
      </c>
      <c r="E75" s="23" t="str">
        <f t="shared" si="1"/>
        <v/>
      </c>
      <c r="F75" s="82">
        <f t="shared" si="19"/>
        <v>6</v>
      </c>
      <c r="G75" s="23">
        <f t="shared" si="20"/>
        <v>4</v>
      </c>
      <c r="H75" s="23" t="str">
        <f t="shared" si="10"/>
        <v>CGF</v>
      </c>
      <c r="I75" s="23" t="str">
        <f t="shared" si="11"/>
        <v>CGF</v>
      </c>
      <c r="J75" s="23" t="str">
        <f t="shared" si="21"/>
        <v>Caregiver Functioning - Caregiver #3</v>
      </c>
      <c r="K75" s="93">
        <v>1</v>
      </c>
      <c r="L75" s="82" t="str">
        <f t="shared" ca="1" si="12"/>
        <v/>
      </c>
      <c r="M75" s="23" t="str">
        <f t="shared" ca="1" si="5"/>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6"/>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9"/>
        <v/>
      </c>
      <c r="D76" s="23" t="str">
        <f t="shared" si="1"/>
        <v/>
      </c>
      <c r="E76" s="23" t="str">
        <f t="shared" si="1"/>
        <v/>
      </c>
      <c r="F76" s="82">
        <f t="shared" si="19"/>
        <v>6</v>
      </c>
      <c r="G76" s="23">
        <f t="shared" si="20"/>
        <v>5</v>
      </c>
      <c r="H76" s="23" t="str">
        <f t="shared" si="10"/>
        <v>CGF</v>
      </c>
      <c r="I76" s="23" t="str">
        <f t="shared" si="11"/>
        <v>CGF</v>
      </c>
      <c r="J76" s="23" t="str">
        <f t="shared" si="21"/>
        <v>Caregiver Functioning - Caregiver #3</v>
      </c>
      <c r="K76" s="93">
        <v>1</v>
      </c>
      <c r="L76" s="82" t="str">
        <f t="shared" ca="1" si="12"/>
        <v/>
      </c>
      <c r="M76" s="23" t="str">
        <f t="shared" ca="1" si="5"/>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6"/>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9"/>
        <v/>
      </c>
      <c r="D77" s="23" t="str">
        <f t="shared" si="1"/>
        <v/>
      </c>
      <c r="E77" s="23" t="str">
        <f t="shared" si="1"/>
        <v/>
      </c>
      <c r="F77" s="82">
        <f t="shared" si="19"/>
        <v>6</v>
      </c>
      <c r="G77" s="23">
        <f t="shared" si="20"/>
        <v>6</v>
      </c>
      <c r="H77" s="23" t="str">
        <f t="shared" si="10"/>
        <v>CGF</v>
      </c>
      <c r="I77" s="23" t="str">
        <f t="shared" si="11"/>
        <v>CGF</v>
      </c>
      <c r="J77" s="23" t="str">
        <f t="shared" si="21"/>
        <v>Caregiver Functioning - Caregiver #3</v>
      </c>
      <c r="K77" s="93">
        <v>1</v>
      </c>
      <c r="L77" s="82" t="str">
        <f t="shared" ca="1" si="12"/>
        <v/>
      </c>
      <c r="M77" s="23" t="str">
        <f t="shared" ca="1" si="5"/>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6"/>
        <v>0</v>
      </c>
      <c r="Y77" s="24" t="str">
        <f t="shared" ca="1" si="22"/>
        <v/>
      </c>
      <c r="Z77" s="24" t="str">
        <f t="shared" ca="1" si="23"/>
        <v/>
      </c>
      <c r="AA77" s="80">
        <f t="shared" si="24"/>
        <v>52</v>
      </c>
      <c r="AB77" s="15" t="s">
        <v>277</v>
      </c>
      <c r="AC77" s="209" t="s">
        <v>277</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9"/>
        <v/>
      </c>
      <c r="D78" s="23" t="str">
        <f t="shared" si="1"/>
        <v/>
      </c>
      <c r="E78" s="23" t="str">
        <f t="shared" si="1"/>
        <v/>
      </c>
      <c r="F78" s="82">
        <f t="shared" si="19"/>
        <v>6</v>
      </c>
      <c r="G78" s="23">
        <f t="shared" si="20"/>
        <v>7</v>
      </c>
      <c r="H78" s="23" t="str">
        <f t="shared" si="10"/>
        <v>CGF</v>
      </c>
      <c r="I78" s="23" t="str">
        <f t="shared" si="11"/>
        <v>CGF</v>
      </c>
      <c r="J78" s="23" t="str">
        <f t="shared" si="21"/>
        <v>Caregiver Functioning - Caregiver #3</v>
      </c>
      <c r="K78" s="93">
        <v>1</v>
      </c>
      <c r="L78" s="82" t="str">
        <f t="shared" ca="1" si="12"/>
        <v/>
      </c>
      <c r="M78" s="23" t="str">
        <f t="shared" ca="1" si="5"/>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6"/>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9"/>
        <v/>
      </c>
      <c r="D79" s="23" t="str">
        <f t="shared" si="1"/>
        <v/>
      </c>
      <c r="E79" s="23" t="str">
        <f t="shared" si="1"/>
        <v/>
      </c>
      <c r="F79" s="82">
        <f t="shared" si="19"/>
        <v>6</v>
      </c>
      <c r="G79" s="23">
        <f t="shared" si="20"/>
        <v>8</v>
      </c>
      <c r="H79" s="23" t="str">
        <f t="shared" si="10"/>
        <v>CGF</v>
      </c>
      <c r="I79" s="23" t="str">
        <f t="shared" si="11"/>
        <v>CGF</v>
      </c>
      <c r="J79" s="23" t="str">
        <f t="shared" si="21"/>
        <v>Caregiver Functioning - Caregiver #3</v>
      </c>
      <c r="K79" s="93">
        <v>1</v>
      </c>
      <c r="L79" s="82" t="str">
        <f t="shared" ca="1" si="12"/>
        <v/>
      </c>
      <c r="M79" s="23" t="str">
        <f t="shared" ca="1" si="5"/>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6"/>
        <v>0</v>
      </c>
      <c r="Y79" s="24" t="str">
        <f t="shared" ca="1" si="22"/>
        <v/>
      </c>
      <c r="Z79" s="24" t="str">
        <f t="shared" ca="1" si="23"/>
        <v/>
      </c>
      <c r="AA79" s="80">
        <f t="shared" si="24"/>
        <v>54</v>
      </c>
      <c r="AB79" s="15" t="s">
        <v>278</v>
      </c>
      <c r="AC79" s="209" t="s">
        <v>278</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9"/>
        <v/>
      </c>
      <c r="D80" s="23" t="str">
        <f t="shared" si="1"/>
        <v/>
      </c>
      <c r="E80" s="23" t="str">
        <f t="shared" si="1"/>
        <v/>
      </c>
      <c r="F80" s="82">
        <f t="shared" si="19"/>
        <v>6</v>
      </c>
      <c r="G80" s="23">
        <f t="shared" si="20"/>
        <v>9</v>
      </c>
      <c r="H80" s="23" t="str">
        <f t="shared" si="10"/>
        <v>CGF</v>
      </c>
      <c r="I80" s="23" t="str">
        <f t="shared" si="11"/>
        <v>CGF</v>
      </c>
      <c r="J80" s="23" t="str">
        <f t="shared" si="21"/>
        <v>Caregiver Functioning - Caregiver #3</v>
      </c>
      <c r="K80" s="93">
        <v>1</v>
      </c>
      <c r="L80" s="82" t="str">
        <f t="shared" ca="1" si="12"/>
        <v/>
      </c>
      <c r="M80" s="23" t="str">
        <f t="shared" ca="1" si="5"/>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6"/>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9"/>
        <v/>
      </c>
      <c r="D81" s="23" t="str">
        <f t="shared" si="1"/>
        <v/>
      </c>
      <c r="E81" s="23" t="str">
        <f t="shared" si="1"/>
        <v/>
      </c>
      <c r="F81" s="82">
        <f t="shared" si="19"/>
        <v>6</v>
      </c>
      <c r="G81" s="23">
        <f t="shared" si="20"/>
        <v>10</v>
      </c>
      <c r="H81" s="23" t="str">
        <f t="shared" si="10"/>
        <v>CGF</v>
      </c>
      <c r="I81" s="23" t="str">
        <f t="shared" si="11"/>
        <v>CGF</v>
      </c>
      <c r="J81" s="23" t="str">
        <f t="shared" si="21"/>
        <v>Caregiver Functioning - Caregiver #3</v>
      </c>
      <c r="K81" s="93">
        <v>1</v>
      </c>
      <c r="L81" s="82" t="str">
        <f t="shared" ca="1" si="12"/>
        <v/>
      </c>
      <c r="M81" s="23" t="str">
        <f t="shared" ca="1" si="5"/>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6"/>
        <v>0</v>
      </c>
      <c r="Y81" s="24" t="str">
        <f t="shared" ca="1" si="22"/>
        <v/>
      </c>
      <c r="Z81" s="24" t="str">
        <f t="shared" ca="1" si="23"/>
        <v/>
      </c>
      <c r="AA81" s="80">
        <f t="shared" si="24"/>
        <v>56</v>
      </c>
      <c r="AB81" s="15" t="s">
        <v>279</v>
      </c>
      <c r="AC81" s="209" t="s">
        <v>279</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9"/>
        <v/>
      </c>
      <c r="D82" s="23" t="str">
        <f t="shared" ref="D82:E148" si="26">IF(I82&lt;&gt;I83, I82, "")</f>
        <v/>
      </c>
      <c r="E82" s="23" t="str">
        <f t="shared" si="26"/>
        <v/>
      </c>
      <c r="F82" s="82">
        <f t="shared" si="19"/>
        <v>6</v>
      </c>
      <c r="G82" s="23">
        <f t="shared" si="20"/>
        <v>11</v>
      </c>
      <c r="H82" s="23" t="str">
        <f t="shared" si="10"/>
        <v>CGF</v>
      </c>
      <c r="I82" s="23" t="str">
        <f t="shared" si="11"/>
        <v>CGF</v>
      </c>
      <c r="J82" s="23" t="str">
        <f t="shared" ref="J82:J104" si="27">IF(K82=0, AC82, J81)</f>
        <v>Caregiver Functioning - Caregiver #3</v>
      </c>
      <c r="K82" s="93">
        <v>1</v>
      </c>
      <c r="L82" s="82" t="str">
        <f t="shared" ca="1" si="12"/>
        <v/>
      </c>
      <c r="M82" s="23" t="str">
        <f t="shared" ref="M82:M124" ca="1" si="28">IF($J82=$J81, M81, "")&amp;IF(Q82&lt;&gt;"-", IF(M81="",  "", ", ")&amp;$AC82, "")</f>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6"/>
        <v>0</v>
      </c>
      <c r="Y82" s="24" t="str">
        <f t="shared" ref="Y82:Y114" ca="1" si="29">T(INDIRECT(ADDRESS(ROW(), lastAssessCol+2)))</f>
        <v/>
      </c>
      <c r="Z82" s="24" t="str">
        <f t="shared" ref="Z82:Z114" ca="1" si="30">T(INDIRECT(ADDRESS(ROW(), lastAssessCol+3)))</f>
        <v/>
      </c>
      <c r="AA82" s="80">
        <f t="shared" si="24"/>
        <v>57</v>
      </c>
      <c r="AB82" s="15" t="s">
        <v>280</v>
      </c>
      <c r="AC82" s="203" t="s">
        <v>280</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1">IF(H83&lt;&gt;H84, H83, "")</f>
        <v/>
      </c>
      <c r="D83" s="23" t="str">
        <f t="shared" si="26"/>
        <v/>
      </c>
      <c r="E83" s="23" t="str">
        <f t="shared" si="26"/>
        <v/>
      </c>
      <c r="F83" s="82">
        <f t="shared" si="19"/>
        <v>6</v>
      </c>
      <c r="G83" s="23">
        <f t="shared" si="20"/>
        <v>12</v>
      </c>
      <c r="H83" s="23" t="str">
        <f t="shared" ref="H83:H149" si="32">IF(OR(I83="FF", I83="CGA"), "FF/CGA", I83)</f>
        <v>CGF</v>
      </c>
      <c r="I83" s="23" t="str">
        <f t="shared" ref="I83:I149" si="33">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4">IF($J83=$J82, L82, "")&amp;IF(P83&lt;&gt;"-", IF(L82="",  "", ", ")&amp;$AC83, "")</f>
        <v/>
      </c>
      <c r="M83" s="23" t="str">
        <f t="shared" ca="1" si="28"/>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6"/>
        <v>0</v>
      </c>
      <c r="Y83" s="24" t="str">
        <f t="shared" ca="1" si="29"/>
        <v/>
      </c>
      <c r="Z83" s="24" t="str">
        <f t="shared" ca="1" si="30"/>
        <v/>
      </c>
      <c r="AA83" s="80">
        <f t="shared" ref="AA83:AA104" si="40">AA82+IF(AB83=0, 0, 1)</f>
        <v>58</v>
      </c>
      <c r="AB83" s="15" t="s">
        <v>281</v>
      </c>
      <c r="AC83" s="209" t="s">
        <v>281</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1"/>
        <v/>
      </c>
      <c r="D84" s="23" t="str">
        <f t="shared" si="26"/>
        <v/>
      </c>
      <c r="E84" s="23" t="str">
        <f t="shared" si="26"/>
        <v/>
      </c>
      <c r="F84" s="82">
        <f t="shared" si="19"/>
        <v>6</v>
      </c>
      <c r="G84" s="23">
        <f t="shared" si="20"/>
        <v>13</v>
      </c>
      <c r="H84" s="23" t="str">
        <f t="shared" si="32"/>
        <v>CGF</v>
      </c>
      <c r="I84" s="23" t="str">
        <f t="shared" si="33"/>
        <v>CGF</v>
      </c>
      <c r="J84" s="23" t="str">
        <f t="shared" si="27"/>
        <v>Caregiver Functioning - Caregiver #3</v>
      </c>
      <c r="K84" s="93">
        <v>1</v>
      </c>
      <c r="L84" s="82" t="str">
        <f t="shared" ca="1" si="34"/>
        <v/>
      </c>
      <c r="M84" s="23" t="str">
        <f t="shared" ca="1" si="28"/>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6"/>
        <v>0</v>
      </c>
      <c r="Y84" s="24" t="str">
        <f t="shared" ca="1" si="29"/>
        <v/>
      </c>
      <c r="Z84" s="24" t="str">
        <f t="shared" ca="1" si="30"/>
        <v/>
      </c>
      <c r="AA84" s="80">
        <f t="shared" si="40"/>
        <v>59</v>
      </c>
      <c r="AB84" s="15" t="s">
        <v>282</v>
      </c>
      <c r="AC84" s="203" t="s">
        <v>282</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1"/>
        <v/>
      </c>
      <c r="D85" s="23" t="str">
        <f t="shared" si="26"/>
        <v/>
      </c>
      <c r="E85" s="23" t="str">
        <f t="shared" si="26"/>
        <v>Caregiver Functioning - Caregiver #3</v>
      </c>
      <c r="F85" s="82">
        <f t="shared" si="19"/>
        <v>6</v>
      </c>
      <c r="G85" s="23">
        <f t="shared" si="20"/>
        <v>14</v>
      </c>
      <c r="H85" s="23" t="str">
        <f t="shared" si="32"/>
        <v>CGF</v>
      </c>
      <c r="I85" s="23" t="str">
        <f t="shared" si="33"/>
        <v>CGF</v>
      </c>
      <c r="J85" s="23" t="str">
        <f t="shared" si="27"/>
        <v>Caregiver Functioning - Caregiver #3</v>
      </c>
      <c r="K85" s="93">
        <v>1</v>
      </c>
      <c r="L85" s="82" t="str">
        <f t="shared" ca="1" si="34"/>
        <v/>
      </c>
      <c r="M85" s="23" t="str">
        <f t="shared" ca="1" si="28"/>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6"/>
        <v>0</v>
      </c>
      <c r="Y85" s="24" t="str">
        <f t="shared" ca="1" si="29"/>
        <v/>
      </c>
      <c r="Z85" s="24" t="str">
        <f t="shared" ca="1" si="30"/>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1"/>
        <v/>
      </c>
      <c r="D86" s="23" t="str">
        <f t="shared" si="26"/>
        <v/>
      </c>
      <c r="E86" s="23" t="str">
        <f t="shared" si="26"/>
        <v/>
      </c>
      <c r="F86" s="82">
        <f t="shared" si="19"/>
        <v>7</v>
      </c>
      <c r="G86" s="23">
        <f t="shared" si="20"/>
        <v>0</v>
      </c>
      <c r="H86" s="23" t="str">
        <f t="shared" si="32"/>
        <v>CGF</v>
      </c>
      <c r="I86" s="23" t="str">
        <f t="shared" si="33"/>
        <v>CGF</v>
      </c>
      <c r="J86" s="23" t="str">
        <f t="shared" si="27"/>
        <v>Caregiver Functioning - Caregiver #4</v>
      </c>
      <c r="K86" s="93">
        <v>0</v>
      </c>
      <c r="L86" s="82" t="str">
        <f t="shared" ca="1" si="34"/>
        <v/>
      </c>
      <c r="M86" s="23" t="str">
        <f t="shared" ca="1" si="28"/>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6"/>
        <v>0</v>
      </c>
      <c r="Y86" s="24" t="str">
        <f t="shared" ca="1" si="29"/>
        <v/>
      </c>
      <c r="Z86" s="24" t="str">
        <f t="shared" ca="1" si="30"/>
        <v/>
      </c>
      <c r="AA86" s="80">
        <f t="shared" si="40"/>
        <v>60</v>
      </c>
      <c r="AC86" s="197" t="s">
        <v>668</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1"/>
        <v/>
      </c>
      <c r="D87" s="23" t="str">
        <f t="shared" si="26"/>
        <v/>
      </c>
      <c r="E87" s="23" t="str">
        <f t="shared" si="26"/>
        <v/>
      </c>
      <c r="F87" s="82">
        <f t="shared" si="19"/>
        <v>7</v>
      </c>
      <c r="G87" s="23">
        <f t="shared" si="20"/>
        <v>0</v>
      </c>
      <c r="H87" s="23" t="str">
        <f t="shared" si="32"/>
        <v>CGF</v>
      </c>
      <c r="I87" s="23" t="str">
        <f t="shared" si="33"/>
        <v>CGF</v>
      </c>
      <c r="J87" s="23" t="str">
        <f t="shared" si="27"/>
        <v>Caregiver Functioning - Caregiver #4</v>
      </c>
      <c r="K87" s="93">
        <v>2</v>
      </c>
      <c r="L87" s="82" t="str">
        <f t="shared" ca="1" si="34"/>
        <v/>
      </c>
      <c r="M87" s="23" t="str">
        <f t="shared" ca="1" si="28"/>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6"/>
        <v>0</v>
      </c>
      <c r="Y87" s="24" t="str">
        <f t="shared" ca="1" si="29"/>
        <v/>
      </c>
      <c r="Z87" s="24" t="str">
        <f t="shared" ca="1" si="30"/>
        <v/>
      </c>
      <c r="AA87" s="80">
        <f t="shared" si="40"/>
        <v>60</v>
      </c>
      <c r="AC87" s="218" t="s">
        <v>322</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1"/>
        <v/>
      </c>
      <c r="D88" s="23" t="str">
        <f t="shared" si="26"/>
        <v/>
      </c>
      <c r="E88" s="23" t="str">
        <f t="shared" si="26"/>
        <v/>
      </c>
      <c r="F88" s="82">
        <f t="shared" si="19"/>
        <v>7</v>
      </c>
      <c r="G88" s="23">
        <f t="shared" si="20"/>
        <v>1</v>
      </c>
      <c r="H88" s="23" t="str">
        <f t="shared" si="32"/>
        <v>CGF</v>
      </c>
      <c r="I88" s="23" t="str">
        <f t="shared" si="33"/>
        <v>CGF</v>
      </c>
      <c r="J88" s="23" t="str">
        <f t="shared" si="27"/>
        <v>Caregiver Functioning - Caregiver #4</v>
      </c>
      <c r="K88" s="93">
        <v>1</v>
      </c>
      <c r="L88" s="82" t="str">
        <f t="shared" ca="1" si="34"/>
        <v/>
      </c>
      <c r="M88" s="23" t="str">
        <f t="shared" ca="1" si="28"/>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6"/>
        <v>0</v>
      </c>
      <c r="Y88" s="24" t="str">
        <f t="shared" ca="1" si="29"/>
        <v/>
      </c>
      <c r="Z88" s="24" t="str">
        <f t="shared" ca="1" si="30"/>
        <v/>
      </c>
      <c r="AA88" s="80">
        <f t="shared" si="40"/>
        <v>61</v>
      </c>
      <c r="AB88" s="15" t="s">
        <v>275</v>
      </c>
      <c r="AC88" s="203" t="s">
        <v>275</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1"/>
        <v/>
      </c>
      <c r="D89" s="23" t="str">
        <f t="shared" si="26"/>
        <v/>
      </c>
      <c r="E89" s="23" t="str">
        <f t="shared" si="26"/>
        <v/>
      </c>
      <c r="F89" s="82">
        <f t="shared" si="19"/>
        <v>7</v>
      </c>
      <c r="G89" s="23">
        <f t="shared" si="20"/>
        <v>2</v>
      </c>
      <c r="H89" s="23" t="str">
        <f t="shared" si="32"/>
        <v>CGF</v>
      </c>
      <c r="I89" s="23" t="str">
        <f t="shared" si="33"/>
        <v>CGF</v>
      </c>
      <c r="J89" s="23" t="str">
        <f t="shared" si="27"/>
        <v>Caregiver Functioning - Caregiver #4</v>
      </c>
      <c r="K89" s="93">
        <v>1</v>
      </c>
      <c r="L89" s="82" t="str">
        <f t="shared" ca="1" si="34"/>
        <v/>
      </c>
      <c r="M89" s="23" t="str">
        <f t="shared" ca="1" si="28"/>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6"/>
        <v>0</v>
      </c>
      <c r="Y89" s="24" t="str">
        <f t="shared" ca="1" si="29"/>
        <v/>
      </c>
      <c r="Z89" s="24" t="str">
        <f t="shared" ca="1" si="30"/>
        <v/>
      </c>
      <c r="AA89" s="80">
        <f t="shared" si="40"/>
        <v>62</v>
      </c>
      <c r="AB89" s="15" t="s">
        <v>276</v>
      </c>
      <c r="AC89" s="209" t="s">
        <v>276</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1"/>
        <v/>
      </c>
      <c r="D90" s="23" t="str">
        <f t="shared" si="26"/>
        <v/>
      </c>
      <c r="E90" s="23" t="str">
        <f t="shared" si="26"/>
        <v/>
      </c>
      <c r="F90" s="82">
        <f t="shared" si="19"/>
        <v>7</v>
      </c>
      <c r="G90" s="23">
        <f t="shared" si="20"/>
        <v>3</v>
      </c>
      <c r="H90" s="23" t="str">
        <f t="shared" si="32"/>
        <v>CGF</v>
      </c>
      <c r="I90" s="23" t="str">
        <f t="shared" si="33"/>
        <v>CGF</v>
      </c>
      <c r="J90" s="23" t="str">
        <f t="shared" si="27"/>
        <v>Caregiver Functioning - Caregiver #4</v>
      </c>
      <c r="K90" s="93">
        <v>1</v>
      </c>
      <c r="L90" s="82" t="str">
        <f t="shared" ca="1" si="34"/>
        <v/>
      </c>
      <c r="M90" s="23" t="str">
        <f t="shared" ca="1" si="28"/>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6"/>
        <v>0</v>
      </c>
      <c r="Y90" s="24" t="str">
        <f t="shared" ca="1" si="29"/>
        <v/>
      </c>
      <c r="Z90" s="24" t="str">
        <f t="shared" ca="1" si="30"/>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1"/>
        <v/>
      </c>
      <c r="D91" s="23" t="str">
        <f t="shared" si="26"/>
        <v/>
      </c>
      <c r="E91" s="23" t="str">
        <f t="shared" si="26"/>
        <v/>
      </c>
      <c r="F91" s="82">
        <f t="shared" si="19"/>
        <v>7</v>
      </c>
      <c r="G91" s="23">
        <f t="shared" si="20"/>
        <v>4</v>
      </c>
      <c r="H91" s="23" t="str">
        <f t="shared" si="32"/>
        <v>CGF</v>
      </c>
      <c r="I91" s="23" t="str">
        <f t="shared" si="33"/>
        <v>CGF</v>
      </c>
      <c r="J91" s="23" t="str">
        <f t="shared" si="27"/>
        <v>Caregiver Functioning - Caregiver #4</v>
      </c>
      <c r="K91" s="93">
        <v>1</v>
      </c>
      <c r="L91" s="82" t="str">
        <f t="shared" ca="1" si="34"/>
        <v/>
      </c>
      <c r="M91" s="23" t="str">
        <f t="shared" ca="1" si="28"/>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6"/>
        <v>0</v>
      </c>
      <c r="Y91" s="24" t="str">
        <f t="shared" ca="1" si="29"/>
        <v/>
      </c>
      <c r="Z91" s="24" t="str">
        <f t="shared" ca="1" si="30"/>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1"/>
        <v/>
      </c>
      <c r="D92" s="23" t="str">
        <f t="shared" si="26"/>
        <v/>
      </c>
      <c r="E92" s="23" t="str">
        <f t="shared" si="26"/>
        <v/>
      </c>
      <c r="F92" s="82">
        <f t="shared" si="19"/>
        <v>7</v>
      </c>
      <c r="G92" s="23">
        <f t="shared" si="20"/>
        <v>5</v>
      </c>
      <c r="H92" s="23" t="str">
        <f t="shared" si="32"/>
        <v>CGF</v>
      </c>
      <c r="I92" s="23" t="str">
        <f t="shared" si="33"/>
        <v>CGF</v>
      </c>
      <c r="J92" s="23" t="str">
        <f t="shared" si="27"/>
        <v>Caregiver Functioning - Caregiver #4</v>
      </c>
      <c r="K92" s="93">
        <v>1</v>
      </c>
      <c r="L92" s="82" t="str">
        <f t="shared" ca="1" si="34"/>
        <v/>
      </c>
      <c r="M92" s="23" t="str">
        <f t="shared" ca="1" si="28"/>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6"/>
        <v>0</v>
      </c>
      <c r="Y92" s="24" t="str">
        <f t="shared" ca="1" si="29"/>
        <v/>
      </c>
      <c r="Z92" s="24" t="str">
        <f t="shared" ca="1" si="30"/>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1"/>
        <v/>
      </c>
      <c r="D93" s="23" t="str">
        <f t="shared" si="26"/>
        <v/>
      </c>
      <c r="E93" s="23" t="str">
        <f t="shared" si="26"/>
        <v/>
      </c>
      <c r="F93" s="82">
        <f t="shared" ref="F93:F160" si="41">IF(K93=0, IF(ISNUMBER(F92), F92+1, 1), F92)</f>
        <v>7</v>
      </c>
      <c r="G93" s="23">
        <f t="shared" ref="G93:G160" si="42">IF(K93=0, 0, IF(K93=1, G92+1, G92))</f>
        <v>6</v>
      </c>
      <c r="H93" s="23" t="str">
        <f t="shared" si="32"/>
        <v>CGF</v>
      </c>
      <c r="I93" s="23" t="str">
        <f t="shared" si="33"/>
        <v>CGF</v>
      </c>
      <c r="J93" s="23" t="str">
        <f t="shared" si="27"/>
        <v>Caregiver Functioning - Caregiver #4</v>
      </c>
      <c r="K93" s="93">
        <v>1</v>
      </c>
      <c r="L93" s="82" t="str">
        <f t="shared" ca="1" si="34"/>
        <v/>
      </c>
      <c r="M93" s="23" t="str">
        <f t="shared" ca="1" si="28"/>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6"/>
        <v>0</v>
      </c>
      <c r="Y93" s="24" t="str">
        <f t="shared" ca="1" si="29"/>
        <v/>
      </c>
      <c r="Z93" s="24" t="str">
        <f t="shared" ca="1" si="30"/>
        <v/>
      </c>
      <c r="AA93" s="80">
        <f t="shared" si="40"/>
        <v>66</v>
      </c>
      <c r="AB93" s="15" t="s">
        <v>277</v>
      </c>
      <c r="AC93" s="209" t="s">
        <v>277</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1"/>
        <v/>
      </c>
      <c r="D94" s="23" t="str">
        <f t="shared" si="26"/>
        <v/>
      </c>
      <c r="E94" s="23" t="str">
        <f t="shared" si="26"/>
        <v/>
      </c>
      <c r="F94" s="82">
        <f t="shared" si="41"/>
        <v>7</v>
      </c>
      <c r="G94" s="23">
        <f t="shared" si="42"/>
        <v>7</v>
      </c>
      <c r="H94" s="23" t="str">
        <f t="shared" si="32"/>
        <v>CGF</v>
      </c>
      <c r="I94" s="23" t="str">
        <f t="shared" si="33"/>
        <v>CGF</v>
      </c>
      <c r="J94" s="23" t="str">
        <f t="shared" si="27"/>
        <v>Caregiver Functioning - Caregiver #4</v>
      </c>
      <c r="K94" s="93">
        <v>1</v>
      </c>
      <c r="L94" s="82" t="str">
        <f t="shared" ca="1" si="34"/>
        <v/>
      </c>
      <c r="M94" s="23" t="str">
        <f t="shared" ca="1" si="28"/>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6"/>
        <v>0</v>
      </c>
      <c r="Y94" s="24" t="str">
        <f t="shared" ca="1" si="29"/>
        <v/>
      </c>
      <c r="Z94" s="24" t="str">
        <f t="shared" ca="1" si="30"/>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1"/>
        <v/>
      </c>
      <c r="D95" s="23" t="str">
        <f t="shared" si="26"/>
        <v/>
      </c>
      <c r="E95" s="23" t="str">
        <f t="shared" si="26"/>
        <v/>
      </c>
      <c r="F95" s="82">
        <f t="shared" si="41"/>
        <v>7</v>
      </c>
      <c r="G95" s="23">
        <f t="shared" si="42"/>
        <v>8</v>
      </c>
      <c r="H95" s="23" t="str">
        <f t="shared" si="32"/>
        <v>CGF</v>
      </c>
      <c r="I95" s="23" t="str">
        <f t="shared" si="33"/>
        <v>CGF</v>
      </c>
      <c r="J95" s="23" t="str">
        <f t="shared" si="27"/>
        <v>Caregiver Functioning - Caregiver #4</v>
      </c>
      <c r="K95" s="93">
        <v>1</v>
      </c>
      <c r="L95" s="82" t="str">
        <f t="shared" ca="1" si="34"/>
        <v/>
      </c>
      <c r="M95" s="23" t="str">
        <f t="shared" ca="1" si="28"/>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6"/>
        <v>0</v>
      </c>
      <c r="Y95" s="24" t="str">
        <f t="shared" ca="1" si="29"/>
        <v/>
      </c>
      <c r="Z95" s="24" t="str">
        <f t="shared" ca="1" si="30"/>
        <v/>
      </c>
      <c r="AA95" s="80">
        <f t="shared" si="40"/>
        <v>68</v>
      </c>
      <c r="AB95" s="15" t="s">
        <v>278</v>
      </c>
      <c r="AC95" s="209" t="s">
        <v>278</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1"/>
        <v/>
      </c>
      <c r="D96" s="23" t="str">
        <f t="shared" si="26"/>
        <v/>
      </c>
      <c r="E96" s="23" t="str">
        <f t="shared" si="26"/>
        <v/>
      </c>
      <c r="F96" s="82">
        <f t="shared" si="41"/>
        <v>7</v>
      </c>
      <c r="G96" s="23">
        <f t="shared" si="42"/>
        <v>9</v>
      </c>
      <c r="H96" s="23" t="str">
        <f t="shared" si="32"/>
        <v>CGF</v>
      </c>
      <c r="I96" s="23" t="str">
        <f t="shared" si="33"/>
        <v>CGF</v>
      </c>
      <c r="J96" s="23" t="str">
        <f t="shared" si="27"/>
        <v>Caregiver Functioning - Caregiver #4</v>
      </c>
      <c r="K96" s="93">
        <v>1</v>
      </c>
      <c r="L96" s="82" t="str">
        <f t="shared" ca="1" si="34"/>
        <v/>
      </c>
      <c r="M96" s="23" t="str">
        <f t="shared" ca="1" si="28"/>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6"/>
        <v>0</v>
      </c>
      <c r="Y96" s="24" t="str">
        <f t="shared" ca="1" si="29"/>
        <v/>
      </c>
      <c r="Z96" s="24" t="str">
        <f t="shared" ca="1" si="30"/>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1"/>
        <v/>
      </c>
      <c r="D97" s="23" t="str">
        <f t="shared" si="26"/>
        <v/>
      </c>
      <c r="E97" s="23" t="str">
        <f t="shared" si="26"/>
        <v/>
      </c>
      <c r="F97" s="82">
        <f t="shared" si="41"/>
        <v>7</v>
      </c>
      <c r="G97" s="23">
        <f t="shared" si="42"/>
        <v>10</v>
      </c>
      <c r="H97" s="23" t="str">
        <f t="shared" si="32"/>
        <v>CGF</v>
      </c>
      <c r="I97" s="23" t="str">
        <f t="shared" si="33"/>
        <v>CGF</v>
      </c>
      <c r="J97" s="23" t="str">
        <f t="shared" si="27"/>
        <v>Caregiver Functioning - Caregiver #4</v>
      </c>
      <c r="K97" s="93">
        <v>1</v>
      </c>
      <c r="L97" s="82" t="str">
        <f t="shared" ca="1" si="34"/>
        <v/>
      </c>
      <c r="M97" s="23" t="str">
        <f t="shared" ca="1" si="28"/>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6"/>
        <v>0</v>
      </c>
      <c r="Y97" s="24" t="str">
        <f t="shared" ca="1" si="29"/>
        <v/>
      </c>
      <c r="Z97" s="24" t="str">
        <f t="shared" ca="1" si="30"/>
        <v/>
      </c>
      <c r="AA97" s="80">
        <f t="shared" si="40"/>
        <v>70</v>
      </c>
      <c r="AB97" s="15" t="s">
        <v>279</v>
      </c>
      <c r="AC97" s="209" t="s">
        <v>279</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1"/>
        <v/>
      </c>
      <c r="D98" s="23" t="str">
        <f t="shared" si="26"/>
        <v/>
      </c>
      <c r="E98" s="23" t="str">
        <f t="shared" si="26"/>
        <v/>
      </c>
      <c r="F98" s="82">
        <f t="shared" si="41"/>
        <v>7</v>
      </c>
      <c r="G98" s="23">
        <f t="shared" si="42"/>
        <v>11</v>
      </c>
      <c r="H98" s="23" t="str">
        <f t="shared" si="32"/>
        <v>CGF</v>
      </c>
      <c r="I98" s="23" t="str">
        <f t="shared" si="33"/>
        <v>CGF</v>
      </c>
      <c r="J98" s="23" t="str">
        <f t="shared" si="27"/>
        <v>Caregiver Functioning - Caregiver #4</v>
      </c>
      <c r="K98" s="93">
        <v>1</v>
      </c>
      <c r="L98" s="82" t="str">
        <f t="shared" ca="1" si="34"/>
        <v/>
      </c>
      <c r="M98" s="23" t="str">
        <f t="shared" ca="1" si="28"/>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6"/>
        <v>0</v>
      </c>
      <c r="Y98" s="24" t="str">
        <f t="shared" ca="1" si="29"/>
        <v/>
      </c>
      <c r="Z98" s="24" t="str">
        <f t="shared" ca="1" si="30"/>
        <v/>
      </c>
      <c r="AA98" s="80">
        <f t="shared" si="40"/>
        <v>71</v>
      </c>
      <c r="AB98" s="15" t="s">
        <v>280</v>
      </c>
      <c r="AC98" s="203" t="s">
        <v>280</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1"/>
        <v/>
      </c>
      <c r="D99" s="23" t="str">
        <f t="shared" si="26"/>
        <v/>
      </c>
      <c r="E99" s="23" t="str">
        <f t="shared" si="26"/>
        <v/>
      </c>
      <c r="F99" s="82">
        <f t="shared" si="41"/>
        <v>7</v>
      </c>
      <c r="G99" s="23">
        <f t="shared" si="42"/>
        <v>12</v>
      </c>
      <c r="H99" s="23" t="str">
        <f t="shared" si="32"/>
        <v>CGF</v>
      </c>
      <c r="I99" s="23" t="str">
        <f t="shared" si="33"/>
        <v>CGF</v>
      </c>
      <c r="J99" s="23" t="str">
        <f t="shared" si="27"/>
        <v>Caregiver Functioning - Caregiver #4</v>
      </c>
      <c r="K99" s="93">
        <v>1</v>
      </c>
      <c r="L99" s="82" t="str">
        <f t="shared" ca="1" si="34"/>
        <v/>
      </c>
      <c r="M99" s="23" t="str">
        <f t="shared" ca="1" si="28"/>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6"/>
        <v>0</v>
      </c>
      <c r="Y99" s="24" t="str">
        <f t="shared" ca="1" si="29"/>
        <v/>
      </c>
      <c r="Z99" s="24" t="str">
        <f t="shared" ca="1" si="30"/>
        <v/>
      </c>
      <c r="AA99" s="80">
        <f t="shared" si="40"/>
        <v>72</v>
      </c>
      <c r="AB99" s="15" t="s">
        <v>281</v>
      </c>
      <c r="AC99" s="209" t="s">
        <v>281</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1"/>
        <v/>
      </c>
      <c r="D100" s="23" t="str">
        <f t="shared" si="26"/>
        <v/>
      </c>
      <c r="E100" s="23" t="str">
        <f t="shared" si="26"/>
        <v/>
      </c>
      <c r="F100" s="82">
        <f t="shared" si="41"/>
        <v>7</v>
      </c>
      <c r="G100" s="23">
        <f t="shared" si="42"/>
        <v>13</v>
      </c>
      <c r="H100" s="23" t="str">
        <f t="shared" si="32"/>
        <v>CGF</v>
      </c>
      <c r="I100" s="23" t="str">
        <f t="shared" si="33"/>
        <v>CGF</v>
      </c>
      <c r="J100" s="23" t="str">
        <f t="shared" si="27"/>
        <v>Caregiver Functioning - Caregiver #4</v>
      </c>
      <c r="K100" s="93">
        <v>1</v>
      </c>
      <c r="L100" s="82" t="str">
        <f t="shared" ca="1" si="34"/>
        <v/>
      </c>
      <c r="M100" s="23" t="str">
        <f t="shared" ca="1" si="28"/>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6"/>
        <v>0</v>
      </c>
      <c r="Y100" s="24" t="str">
        <f t="shared" ca="1" si="29"/>
        <v/>
      </c>
      <c r="Z100" s="24" t="str">
        <f t="shared" ca="1" si="30"/>
        <v/>
      </c>
      <c r="AA100" s="80">
        <f t="shared" si="40"/>
        <v>73</v>
      </c>
      <c r="AB100" s="15" t="s">
        <v>282</v>
      </c>
      <c r="AC100" s="203" t="s">
        <v>282</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1"/>
        <v>CGF</v>
      </c>
      <c r="D101" s="23" t="str">
        <f t="shared" si="26"/>
        <v>CGF</v>
      </c>
      <c r="E101" s="23" t="str">
        <f t="shared" si="26"/>
        <v>Caregiver Functioning - Caregiver #4</v>
      </c>
      <c r="F101" s="82">
        <f t="shared" si="41"/>
        <v>7</v>
      </c>
      <c r="G101" s="23">
        <f t="shared" si="42"/>
        <v>14</v>
      </c>
      <c r="H101" s="23" t="str">
        <f t="shared" si="32"/>
        <v>CGF</v>
      </c>
      <c r="I101" s="23" t="str">
        <f t="shared" si="33"/>
        <v>CGF</v>
      </c>
      <c r="J101" s="23" t="str">
        <f t="shared" si="27"/>
        <v>Caregiver Functioning - Caregiver #4</v>
      </c>
      <c r="K101" s="93">
        <v>1</v>
      </c>
      <c r="L101" s="82" t="str">
        <f t="shared" ca="1" si="34"/>
        <v/>
      </c>
      <c r="M101" s="23" t="str">
        <f t="shared" ca="1" si="28"/>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6"/>
        <v>0</v>
      </c>
      <c r="Y101" s="24" t="str">
        <f t="shared" ca="1" si="29"/>
        <v/>
      </c>
      <c r="Z101" s="24" t="str">
        <f t="shared" ca="1" si="30"/>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1"/>
        <v/>
      </c>
      <c r="D102" s="23" t="str">
        <f t="shared" si="26"/>
        <v/>
      </c>
      <c r="E102" s="23" t="str">
        <f t="shared" si="26"/>
        <v/>
      </c>
      <c r="F102" s="82">
        <f t="shared" si="41"/>
        <v>8</v>
      </c>
      <c r="G102" s="23">
        <f t="shared" si="42"/>
        <v>0</v>
      </c>
      <c r="H102" s="23" t="str">
        <f t="shared" si="32"/>
        <v>CF</v>
      </c>
      <c r="I102" s="23" t="str">
        <f t="shared" si="33"/>
        <v>CF</v>
      </c>
      <c r="J102" s="23" t="str">
        <f t="shared" si="27"/>
        <v>Child Functioning -- Child #1</v>
      </c>
      <c r="K102" s="93">
        <v>0</v>
      </c>
      <c r="L102" s="82" t="str">
        <f t="shared" ca="1" si="34"/>
        <v/>
      </c>
      <c r="M102" s="23" t="str">
        <f t="shared" ca="1" si="28"/>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6"/>
        <v>0</v>
      </c>
      <c r="Y102" s="24" t="str">
        <f t="shared" ca="1" si="29"/>
        <v/>
      </c>
      <c r="Z102" s="24" t="str">
        <f t="shared" ca="1" si="30"/>
        <v/>
      </c>
      <c r="AA102" s="80">
        <f t="shared" si="40"/>
        <v>74</v>
      </c>
      <c r="AC102" s="197" t="s">
        <v>325</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8</v>
      </c>
      <c r="G103" s="23">
        <f t="shared" si="42"/>
        <v>0</v>
      </c>
      <c r="H103" s="23" t="str">
        <f t="shared" si="32"/>
        <v>CF</v>
      </c>
      <c r="I103" s="23" t="str">
        <f t="shared" si="33"/>
        <v>CF</v>
      </c>
      <c r="J103" s="23" t="str">
        <f t="shared" si="27"/>
        <v>Child Functioning -- Child #1</v>
      </c>
      <c r="K103" s="93">
        <v>2</v>
      </c>
      <c r="L103" s="82" t="str">
        <f t="shared" ca="1" si="34"/>
        <v/>
      </c>
      <c r="M103" s="23" t="str">
        <f t="shared" ca="1" si="28"/>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6"/>
        <v>0</v>
      </c>
      <c r="Y103" s="24" t="str">
        <f t="shared" ca="1" si="29"/>
        <v/>
      </c>
      <c r="Z103" s="24" t="str">
        <f t="shared" ca="1" si="30"/>
        <v/>
      </c>
      <c r="AA103" s="80">
        <f t="shared" si="40"/>
        <v>74</v>
      </c>
      <c r="AC103" s="218" t="s">
        <v>331</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8</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4"/>
        <v/>
      </c>
      <c r="M104" s="23" t="str">
        <f t="shared" ca="1" si="28"/>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6"/>
        <v>0</v>
      </c>
      <c r="Y104" s="24" t="str">
        <f t="shared" ca="1" si="29"/>
        <v/>
      </c>
      <c r="Z104" s="24" t="str">
        <f t="shared" ca="1" si="30"/>
        <v/>
      </c>
      <c r="AA104" s="80">
        <f t="shared" si="40"/>
        <v>74</v>
      </c>
      <c r="AC104" s="218" t="s">
        <v>916</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1"/>
        <v/>
      </c>
      <c r="D105" s="23" t="str">
        <f t="shared" si="26"/>
        <v/>
      </c>
      <c r="E105" s="23" t="str">
        <f t="shared" si="26"/>
        <v/>
      </c>
      <c r="F105" s="82">
        <f>IF(K105=0, IF(ISNUMBER(F103), F103+1, 1), F103)</f>
        <v>8</v>
      </c>
      <c r="G105" s="23">
        <f>IF(K105=0, 0, IF(K105=1, G103+1, G103))</f>
        <v>1</v>
      </c>
      <c r="H105" s="23" t="str">
        <f t="shared" si="32"/>
        <v>CF</v>
      </c>
      <c r="I105" s="23" t="str">
        <f t="shared" si="33"/>
        <v>CF</v>
      </c>
      <c r="J105" s="23" t="str">
        <f>IF(K105=0, AC105, J103)</f>
        <v>Child Functioning -- Child #1</v>
      </c>
      <c r="K105" s="93">
        <v>1</v>
      </c>
      <c r="L105" s="82" t="str">
        <f t="shared" ca="1" si="34"/>
        <v/>
      </c>
      <c r="M105" s="23" t="str">
        <f t="shared" ca="1" si="28"/>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6"/>
        <v>0</v>
      </c>
      <c r="Y105" s="24" t="str">
        <f t="shared" ca="1" si="29"/>
        <v/>
      </c>
      <c r="Z105" s="24" t="str">
        <f t="shared" ca="1" si="30"/>
        <v/>
      </c>
      <c r="AA105" s="80">
        <f>AA103+IF(AB105=0, 0, 1)</f>
        <v>75</v>
      </c>
      <c r="AB105" s="15" t="s">
        <v>283</v>
      </c>
      <c r="AC105" s="203" t="s">
        <v>283</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1"/>
        <v/>
      </c>
      <c r="D106" s="23" t="str">
        <f t="shared" si="26"/>
        <v/>
      </c>
      <c r="E106" s="23" t="str">
        <f t="shared" si="26"/>
        <v/>
      </c>
      <c r="F106" s="82">
        <f t="shared" si="41"/>
        <v>8</v>
      </c>
      <c r="G106" s="23">
        <f t="shared" si="42"/>
        <v>2</v>
      </c>
      <c r="H106" s="23" t="str">
        <f t="shared" si="32"/>
        <v>CF</v>
      </c>
      <c r="I106" s="23" t="str">
        <f t="shared" si="33"/>
        <v>CF</v>
      </c>
      <c r="J106" s="23" t="str">
        <f t="shared" ref="J106:J122" si="44">IF(K106=0, AC106, J105)</f>
        <v>Child Functioning -- Child #1</v>
      </c>
      <c r="K106" s="93">
        <v>1</v>
      </c>
      <c r="L106" s="82" t="str">
        <f t="shared" ca="1" si="34"/>
        <v/>
      </c>
      <c r="M106" s="23" t="str">
        <f t="shared" ca="1" si="28"/>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6"/>
        <v>0</v>
      </c>
      <c r="Y106" s="24" t="str">
        <f t="shared" ca="1" si="29"/>
        <v/>
      </c>
      <c r="Z106" s="24" t="str">
        <f t="shared" ca="1" si="30"/>
        <v/>
      </c>
      <c r="AA106" s="80">
        <f t="shared" ref="AA106:AA122" si="45">AA105+IF(AB106=0, 0, 1)</f>
        <v>76</v>
      </c>
      <c r="AB106" s="15" t="s">
        <v>284</v>
      </c>
      <c r="AC106" s="209" t="s">
        <v>284</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1"/>
        <v/>
      </c>
      <c r="D107" s="23" t="str">
        <f t="shared" si="26"/>
        <v/>
      </c>
      <c r="E107" s="23" t="str">
        <f t="shared" si="26"/>
        <v/>
      </c>
      <c r="F107" s="82">
        <f t="shared" si="41"/>
        <v>8</v>
      </c>
      <c r="G107" s="23">
        <f t="shared" si="42"/>
        <v>3</v>
      </c>
      <c r="H107" s="23" t="str">
        <f t="shared" si="32"/>
        <v>CF</v>
      </c>
      <c r="I107" s="23" t="str">
        <f t="shared" si="33"/>
        <v>CF</v>
      </c>
      <c r="J107" s="23" t="str">
        <f t="shared" si="44"/>
        <v>Child Functioning -- Child #1</v>
      </c>
      <c r="K107" s="93">
        <v>1</v>
      </c>
      <c r="L107" s="82" t="str">
        <f t="shared" ca="1" si="34"/>
        <v/>
      </c>
      <c r="M107" s="23" t="str">
        <f t="shared" ca="1" si="28"/>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6"/>
        <v>0</v>
      </c>
      <c r="Y107" s="24" t="str">
        <f t="shared" ca="1" si="29"/>
        <v/>
      </c>
      <c r="Z107" s="24" t="str">
        <f t="shared" ca="1" si="30"/>
        <v/>
      </c>
      <c r="AA107" s="80">
        <f t="shared" si="45"/>
        <v>77</v>
      </c>
      <c r="AB107" s="15" t="s">
        <v>286</v>
      </c>
      <c r="AC107" s="203" t="s">
        <v>286</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1"/>
        <v/>
      </c>
      <c r="D108" s="23" t="str">
        <f t="shared" si="26"/>
        <v/>
      </c>
      <c r="E108" s="23" t="str">
        <f t="shared" si="26"/>
        <v/>
      </c>
      <c r="F108" s="82">
        <f t="shared" si="41"/>
        <v>8</v>
      </c>
      <c r="G108" s="23">
        <f t="shared" si="42"/>
        <v>4</v>
      </c>
      <c r="H108" s="23" t="str">
        <f t="shared" si="32"/>
        <v>CF</v>
      </c>
      <c r="I108" s="23" t="str">
        <f t="shared" si="33"/>
        <v>CF</v>
      </c>
      <c r="J108" s="23" t="str">
        <f t="shared" si="44"/>
        <v>Child Functioning -- Child #1</v>
      </c>
      <c r="K108" s="93">
        <v>1</v>
      </c>
      <c r="L108" s="82" t="str">
        <f t="shared" ca="1" si="34"/>
        <v/>
      </c>
      <c r="M108" s="23" t="str">
        <f t="shared" ca="1" si="28"/>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6"/>
        <v>0</v>
      </c>
      <c r="Y108" s="24" t="str">
        <f t="shared" ca="1" si="29"/>
        <v/>
      </c>
      <c r="Z108" s="24" t="str">
        <f t="shared" ca="1" si="30"/>
        <v/>
      </c>
      <c r="AA108" s="80">
        <f t="shared" si="45"/>
        <v>78</v>
      </c>
      <c r="AB108" s="15" t="s">
        <v>481</v>
      </c>
      <c r="AC108" s="209" t="s">
        <v>285</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1"/>
        <v/>
      </c>
      <c r="D109" s="23" t="str">
        <f t="shared" si="26"/>
        <v/>
      </c>
      <c r="E109" s="23" t="str">
        <f t="shared" si="26"/>
        <v/>
      </c>
      <c r="F109" s="82">
        <f t="shared" si="41"/>
        <v>8</v>
      </c>
      <c r="G109" s="23">
        <f t="shared" si="42"/>
        <v>5</v>
      </c>
      <c r="H109" s="23" t="str">
        <f t="shared" si="32"/>
        <v>CF</v>
      </c>
      <c r="I109" s="23" t="str">
        <f t="shared" si="33"/>
        <v>CF</v>
      </c>
      <c r="J109" s="23" t="str">
        <f t="shared" si="44"/>
        <v>Child Functioning -- Child #1</v>
      </c>
      <c r="K109" s="93">
        <v>1</v>
      </c>
      <c r="L109" s="82" t="str">
        <f t="shared" ca="1" si="34"/>
        <v/>
      </c>
      <c r="M109" s="23" t="str">
        <f t="shared" ca="1" si="28"/>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6"/>
        <v>0</v>
      </c>
      <c r="Y109" s="24" t="str">
        <f t="shared" ca="1" si="29"/>
        <v/>
      </c>
      <c r="Z109" s="24" t="str">
        <f t="shared" ca="1" si="30"/>
        <v/>
      </c>
      <c r="AA109" s="80">
        <f t="shared" si="45"/>
        <v>79</v>
      </c>
      <c r="AB109" s="15" t="s">
        <v>287</v>
      </c>
      <c r="AC109" s="203" t="s">
        <v>287</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1"/>
        <v/>
      </c>
      <c r="D110" s="23" t="str">
        <f t="shared" si="26"/>
        <v/>
      </c>
      <c r="E110" s="23" t="str">
        <f t="shared" si="26"/>
        <v/>
      </c>
      <c r="F110" s="82">
        <f t="shared" si="41"/>
        <v>8</v>
      </c>
      <c r="G110" s="23">
        <f t="shared" si="42"/>
        <v>6</v>
      </c>
      <c r="H110" s="23" t="str">
        <f t="shared" si="32"/>
        <v>CF</v>
      </c>
      <c r="I110" s="23" t="str">
        <f t="shared" si="33"/>
        <v>CF</v>
      </c>
      <c r="J110" s="23" t="str">
        <f t="shared" si="44"/>
        <v>Child Functioning -- Child #1</v>
      </c>
      <c r="K110" s="93">
        <v>1</v>
      </c>
      <c r="L110" s="82" t="str">
        <f t="shared" ca="1" si="34"/>
        <v/>
      </c>
      <c r="M110" s="23" t="str">
        <f t="shared" ca="1" si="28"/>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6"/>
        <v>0</v>
      </c>
      <c r="Y110" s="24" t="str">
        <f t="shared" ca="1" si="29"/>
        <v/>
      </c>
      <c r="Z110" s="24" t="str">
        <f t="shared" ca="1" si="30"/>
        <v/>
      </c>
      <c r="AA110" s="80">
        <f t="shared" si="45"/>
        <v>80</v>
      </c>
      <c r="AB110" s="15" t="s">
        <v>288</v>
      </c>
      <c r="AC110" s="209" t="s">
        <v>288</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1"/>
        <v/>
      </c>
      <c r="D111" s="23" t="str">
        <f t="shared" si="26"/>
        <v/>
      </c>
      <c r="E111" s="23" t="str">
        <f t="shared" si="26"/>
        <v/>
      </c>
      <c r="F111" s="82">
        <f t="shared" si="41"/>
        <v>8</v>
      </c>
      <c r="G111" s="23">
        <f t="shared" si="42"/>
        <v>7</v>
      </c>
      <c r="H111" s="23" t="str">
        <f t="shared" si="32"/>
        <v>CF</v>
      </c>
      <c r="I111" s="23" t="str">
        <f t="shared" si="33"/>
        <v>CF</v>
      </c>
      <c r="J111" s="23" t="str">
        <f t="shared" si="44"/>
        <v>Child Functioning -- Child #1</v>
      </c>
      <c r="K111" s="93">
        <v>1</v>
      </c>
      <c r="L111" s="82" t="str">
        <f t="shared" ca="1" si="34"/>
        <v/>
      </c>
      <c r="M111" s="23" t="str">
        <f t="shared" ca="1" si="28"/>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6"/>
        <v>0</v>
      </c>
      <c r="Y111" s="24" t="str">
        <f t="shared" ca="1" si="29"/>
        <v/>
      </c>
      <c r="Z111" s="24" t="str">
        <f t="shared" ca="1" si="30"/>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1"/>
        <v/>
      </c>
      <c r="D112" s="23" t="str">
        <f t="shared" si="26"/>
        <v/>
      </c>
      <c r="E112" s="23" t="str">
        <f t="shared" si="26"/>
        <v/>
      </c>
      <c r="F112" s="82">
        <f t="shared" si="41"/>
        <v>8</v>
      </c>
      <c r="G112" s="23">
        <f t="shared" si="42"/>
        <v>8</v>
      </c>
      <c r="H112" s="23" t="str">
        <f t="shared" si="32"/>
        <v>CF</v>
      </c>
      <c r="I112" s="23" t="str">
        <f t="shared" si="33"/>
        <v>CF</v>
      </c>
      <c r="J112" s="23" t="str">
        <f t="shared" si="44"/>
        <v>Child Functioning -- Child #1</v>
      </c>
      <c r="K112" s="93">
        <v>1</v>
      </c>
      <c r="L112" s="82" t="str">
        <f t="shared" ca="1" si="34"/>
        <v/>
      </c>
      <c r="M112" s="23" t="str">
        <f t="shared" ca="1" si="28"/>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6"/>
        <v>0</v>
      </c>
      <c r="Y112" s="24" t="str">
        <f t="shared" ca="1" si="29"/>
        <v/>
      </c>
      <c r="Z112" s="24" t="str">
        <f t="shared" ca="1" si="30"/>
        <v/>
      </c>
      <c r="AA112" s="80">
        <f t="shared" si="45"/>
        <v>82</v>
      </c>
      <c r="AB112" s="15" t="s">
        <v>289</v>
      </c>
      <c r="AC112" s="209" t="s">
        <v>289</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1"/>
        <v/>
      </c>
      <c r="D113" s="23" t="str">
        <f t="shared" si="26"/>
        <v/>
      </c>
      <c r="E113" s="23" t="str">
        <f t="shared" si="26"/>
        <v/>
      </c>
      <c r="F113" s="82">
        <f t="shared" si="41"/>
        <v>8</v>
      </c>
      <c r="G113" s="23">
        <f t="shared" si="42"/>
        <v>9</v>
      </c>
      <c r="H113" s="23" t="str">
        <f t="shared" si="32"/>
        <v>CF</v>
      </c>
      <c r="I113" s="23" t="str">
        <f t="shared" si="33"/>
        <v>CF</v>
      </c>
      <c r="J113" s="23" t="str">
        <f t="shared" si="44"/>
        <v>Child Functioning -- Child #1</v>
      </c>
      <c r="K113" s="93">
        <v>1</v>
      </c>
      <c r="L113" s="82" t="str">
        <f t="shared" ca="1" si="34"/>
        <v/>
      </c>
      <c r="M113" s="23" t="str">
        <f t="shared" ca="1" si="28"/>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6"/>
        <v>0</v>
      </c>
      <c r="Y113" s="24" t="str">
        <f t="shared" ca="1" si="29"/>
        <v/>
      </c>
      <c r="Z113" s="24" t="str">
        <f t="shared" ca="1" si="30"/>
        <v/>
      </c>
      <c r="AA113" s="80">
        <f t="shared" si="45"/>
        <v>83</v>
      </c>
      <c r="AB113" s="15" t="s">
        <v>290</v>
      </c>
      <c r="AC113" s="203" t="s">
        <v>290</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1"/>
        <v/>
      </c>
      <c r="D114" s="23" t="str">
        <f t="shared" si="26"/>
        <v/>
      </c>
      <c r="E114" s="23" t="str">
        <f t="shared" si="26"/>
        <v/>
      </c>
      <c r="F114" s="82">
        <f t="shared" si="41"/>
        <v>8</v>
      </c>
      <c r="G114" s="23">
        <f t="shared" si="42"/>
        <v>10</v>
      </c>
      <c r="H114" s="23" t="str">
        <f t="shared" si="32"/>
        <v>CF</v>
      </c>
      <c r="I114" s="23" t="str">
        <f t="shared" si="33"/>
        <v>CF</v>
      </c>
      <c r="J114" s="23" t="str">
        <f t="shared" si="44"/>
        <v>Child Functioning -- Child #1</v>
      </c>
      <c r="K114" s="93">
        <v>1</v>
      </c>
      <c r="L114" s="82" t="str">
        <f t="shared" ca="1" si="34"/>
        <v/>
      </c>
      <c r="M114" s="23" t="str">
        <f t="shared" ca="1" si="28"/>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6"/>
        <v>0</v>
      </c>
      <c r="Y114" s="24" t="str">
        <f t="shared" ca="1" si="29"/>
        <v/>
      </c>
      <c r="Z114" s="24" t="str">
        <f t="shared" ca="1" si="30"/>
        <v/>
      </c>
      <c r="AA114" s="80">
        <f t="shared" si="45"/>
        <v>84</v>
      </c>
      <c r="AB114" s="15" t="s">
        <v>291</v>
      </c>
      <c r="AC114" s="209" t="s">
        <v>291</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1"/>
        <v/>
      </c>
      <c r="D115" s="23" t="str">
        <f t="shared" si="26"/>
        <v/>
      </c>
      <c r="E115" s="23" t="str">
        <f t="shared" si="26"/>
        <v/>
      </c>
      <c r="F115" s="82">
        <f t="shared" si="41"/>
        <v>8</v>
      </c>
      <c r="G115" s="23">
        <f t="shared" si="42"/>
        <v>11</v>
      </c>
      <c r="H115" s="23" t="str">
        <f t="shared" si="32"/>
        <v>CF</v>
      </c>
      <c r="I115" s="23" t="str">
        <f t="shared" si="33"/>
        <v>CF</v>
      </c>
      <c r="J115" s="23" t="str">
        <f t="shared" si="44"/>
        <v>Child Functioning -- Child #1</v>
      </c>
      <c r="K115" s="93">
        <v>1</v>
      </c>
      <c r="L115" s="82" t="str">
        <f t="shared" ca="1" si="34"/>
        <v/>
      </c>
      <c r="M115" s="23" t="str">
        <f t="shared" ca="1" si="28"/>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292</v>
      </c>
      <c r="AC115" s="203" t="s">
        <v>292</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1"/>
        <v/>
      </c>
      <c r="D116" s="23" t="str">
        <f t="shared" si="26"/>
        <v/>
      </c>
      <c r="E116" s="23" t="str">
        <f t="shared" si="26"/>
        <v/>
      </c>
      <c r="F116" s="82">
        <f t="shared" si="41"/>
        <v>8</v>
      </c>
      <c r="G116" s="23">
        <f t="shared" si="42"/>
        <v>12</v>
      </c>
      <c r="H116" s="23" t="str">
        <f t="shared" si="32"/>
        <v>CF</v>
      </c>
      <c r="I116" s="23" t="str">
        <f t="shared" si="33"/>
        <v>CF</v>
      </c>
      <c r="J116" s="23" t="str">
        <f t="shared" si="44"/>
        <v>Child Functioning -- Child #1</v>
      </c>
      <c r="K116" s="93">
        <v>1</v>
      </c>
      <c r="L116" s="82" t="str">
        <f t="shared" ca="1" si="34"/>
        <v/>
      </c>
      <c r="M116" s="23" t="str">
        <f t="shared" ca="1" si="28"/>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293</v>
      </c>
      <c r="AC116" s="209" t="s">
        <v>293</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1"/>
        <v/>
      </c>
      <c r="D117" s="23" t="str">
        <f t="shared" si="26"/>
        <v/>
      </c>
      <c r="E117" s="23" t="str">
        <f t="shared" si="26"/>
        <v/>
      </c>
      <c r="F117" s="82">
        <f t="shared" si="41"/>
        <v>8</v>
      </c>
      <c r="G117" s="23">
        <f t="shared" si="42"/>
        <v>13</v>
      </c>
      <c r="H117" s="23" t="str">
        <f t="shared" si="32"/>
        <v>CF</v>
      </c>
      <c r="I117" s="23" t="str">
        <f t="shared" si="33"/>
        <v>CF</v>
      </c>
      <c r="J117" s="23" t="str">
        <f t="shared" si="44"/>
        <v>Child Functioning -- Child #1</v>
      </c>
      <c r="K117" s="93">
        <v>1</v>
      </c>
      <c r="L117" s="82" t="str">
        <f t="shared" ca="1" si="34"/>
        <v/>
      </c>
      <c r="M117" s="23" t="str">
        <f t="shared" ca="1" si="28"/>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1"/>
        <v/>
      </c>
      <c r="D118" s="23" t="str">
        <f t="shared" si="26"/>
        <v/>
      </c>
      <c r="E118" s="23" t="str">
        <f t="shared" si="26"/>
        <v/>
      </c>
      <c r="F118" s="82">
        <f t="shared" si="41"/>
        <v>8</v>
      </c>
      <c r="G118" s="23">
        <f t="shared" si="42"/>
        <v>14</v>
      </c>
      <c r="H118" s="23" t="str">
        <f t="shared" si="32"/>
        <v>CF</v>
      </c>
      <c r="I118" s="23" t="str">
        <f t="shared" si="33"/>
        <v>CF</v>
      </c>
      <c r="J118" s="23" t="str">
        <f t="shared" si="44"/>
        <v>Child Functioning -- Child #1</v>
      </c>
      <c r="K118" s="93">
        <v>1</v>
      </c>
      <c r="L118" s="82" t="str">
        <f t="shared" ca="1" si="34"/>
        <v/>
      </c>
      <c r="M118" s="23" t="str">
        <f t="shared" ca="1" si="28"/>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294</v>
      </c>
      <c r="AC118" s="209" t="s">
        <v>294</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1"/>
        <v/>
      </c>
      <c r="D119" s="23" t="str">
        <f t="shared" si="26"/>
        <v/>
      </c>
      <c r="E119" s="23" t="str">
        <f t="shared" si="26"/>
        <v>Child Functioning -- Child #1</v>
      </c>
      <c r="F119" s="82">
        <f t="shared" si="41"/>
        <v>8</v>
      </c>
      <c r="G119" s="23">
        <f t="shared" si="42"/>
        <v>15</v>
      </c>
      <c r="H119" s="23" t="str">
        <f t="shared" si="32"/>
        <v>CF</v>
      </c>
      <c r="I119" s="23" t="str">
        <f t="shared" si="33"/>
        <v>CF</v>
      </c>
      <c r="J119" s="23" t="str">
        <f t="shared" si="44"/>
        <v>Child Functioning -- Child #1</v>
      </c>
      <c r="K119" s="93">
        <v>1</v>
      </c>
      <c r="L119" s="82" t="str">
        <f t="shared" ca="1" si="34"/>
        <v/>
      </c>
      <c r="M119" s="23" t="str">
        <f t="shared" ca="1" si="28"/>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1"/>
        <v/>
      </c>
      <c r="D120" s="23" t="str">
        <f t="shared" si="26"/>
        <v/>
      </c>
      <c r="E120" s="23" t="str">
        <f t="shared" si="26"/>
        <v/>
      </c>
      <c r="F120" s="82">
        <f t="shared" si="41"/>
        <v>9</v>
      </c>
      <c r="G120" s="23">
        <f t="shared" si="42"/>
        <v>0</v>
      </c>
      <c r="H120" s="23" t="str">
        <f t="shared" si="32"/>
        <v>CF</v>
      </c>
      <c r="I120" s="23" t="str">
        <f t="shared" si="33"/>
        <v>CF</v>
      </c>
      <c r="J120" s="23" t="str">
        <f t="shared" si="44"/>
        <v>Child Functioning -- Child #2</v>
      </c>
      <c r="K120" s="93">
        <v>0</v>
      </c>
      <c r="L120" s="82" t="str">
        <f t="shared" ca="1" si="34"/>
        <v/>
      </c>
      <c r="M120" s="23" t="str">
        <f t="shared" ca="1" si="28"/>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326</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9</v>
      </c>
      <c r="G121" s="23">
        <f t="shared" si="42"/>
        <v>0</v>
      </c>
      <c r="H121" s="23" t="str">
        <f t="shared" si="32"/>
        <v>CF</v>
      </c>
      <c r="I121" s="23" t="str">
        <f t="shared" si="33"/>
        <v>CF</v>
      </c>
      <c r="J121" s="23" t="str">
        <f t="shared" si="44"/>
        <v>Child Functioning -- Child #2</v>
      </c>
      <c r="K121" s="93">
        <v>2</v>
      </c>
      <c r="L121" s="82" t="str">
        <f t="shared" ca="1" si="34"/>
        <v/>
      </c>
      <c r="M121" s="23" t="str">
        <f t="shared" ca="1" si="28"/>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331</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9</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4"/>
        <v/>
      </c>
      <c r="M122" s="23" t="str">
        <f t="shared" ca="1" si="28"/>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916</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1"/>
        <v/>
      </c>
      <c r="D123" s="23" t="str">
        <f t="shared" si="26"/>
        <v/>
      </c>
      <c r="E123" s="23" t="str">
        <f t="shared" si="26"/>
        <v/>
      </c>
      <c r="F123" s="82">
        <f>IF(K123=0, IF(ISNUMBER(F121), F121+1, 1), F121)</f>
        <v>9</v>
      </c>
      <c r="G123" s="23">
        <f>IF(K123=0, 0, IF(K123=1, G121+1, G121))</f>
        <v>1</v>
      </c>
      <c r="H123" s="23" t="str">
        <f t="shared" si="32"/>
        <v>CF</v>
      </c>
      <c r="I123" s="23" t="str">
        <f t="shared" si="33"/>
        <v>CF</v>
      </c>
      <c r="J123" s="23" t="str">
        <f>IF(K123=0, AC123, J121)</f>
        <v>Child Functioning -- Child #2</v>
      </c>
      <c r="K123" s="93">
        <v>1</v>
      </c>
      <c r="L123" s="82" t="str">
        <f t="shared" ca="1" si="34"/>
        <v/>
      </c>
      <c r="M123" s="23" t="str">
        <f t="shared" ca="1" si="28"/>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283</v>
      </c>
      <c r="AC123" s="203" t="s">
        <v>283</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1"/>
        <v/>
      </c>
      <c r="D124" s="23" t="str">
        <f t="shared" si="26"/>
        <v/>
      </c>
      <c r="E124" s="23" t="str">
        <f t="shared" si="26"/>
        <v/>
      </c>
      <c r="F124" s="82">
        <f t="shared" si="41"/>
        <v>9</v>
      </c>
      <c r="G124" s="23">
        <f t="shared" si="42"/>
        <v>2</v>
      </c>
      <c r="H124" s="23" t="str">
        <f t="shared" si="32"/>
        <v>CF</v>
      </c>
      <c r="I124" s="23" t="str">
        <f t="shared" si="33"/>
        <v>CF</v>
      </c>
      <c r="J124" s="23" t="str">
        <f t="shared" ref="J124:J140" si="50">IF(K124=0, AC124, J123)</f>
        <v>Child Functioning -- Child #2</v>
      </c>
      <c r="K124" s="93">
        <v>1</v>
      </c>
      <c r="L124" s="82" t="str">
        <f t="shared" ca="1" si="34"/>
        <v/>
      </c>
      <c r="M124" s="23" t="str">
        <f t="shared" ca="1" si="28"/>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284</v>
      </c>
      <c r="AC124" s="209" t="s">
        <v>284</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1"/>
        <v/>
      </c>
      <c r="D125" s="23" t="str">
        <f t="shared" si="26"/>
        <v/>
      </c>
      <c r="E125" s="23" t="str">
        <f t="shared" si="26"/>
        <v/>
      </c>
      <c r="F125" s="82">
        <f t="shared" si="41"/>
        <v>9</v>
      </c>
      <c r="G125" s="23">
        <f t="shared" si="42"/>
        <v>3</v>
      </c>
      <c r="H125" s="23" t="str">
        <f t="shared" si="32"/>
        <v>CF</v>
      </c>
      <c r="I125" s="23" t="str">
        <f t="shared" si="33"/>
        <v>CF</v>
      </c>
      <c r="J125" s="23" t="str">
        <f t="shared" si="50"/>
        <v>Child Functioning -- Child #2</v>
      </c>
      <c r="K125" s="93">
        <v>1</v>
      </c>
      <c r="L125" s="82" t="str">
        <f t="shared" ca="1" si="34"/>
        <v/>
      </c>
      <c r="M125" s="23" t="str">
        <f ca="1">IF($J125=$J124, M124, "")&amp;IF(Q125&lt;&gt;"-", IF(M124="",  "", ", ")&amp;$AC125, "")</f>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286</v>
      </c>
      <c r="AC125" s="203" t="s">
        <v>286</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1"/>
        <v/>
      </c>
      <c r="D126" s="23" t="str">
        <f t="shared" si="26"/>
        <v/>
      </c>
      <c r="E126" s="23" t="str">
        <f t="shared" si="26"/>
        <v/>
      </c>
      <c r="F126" s="82">
        <f t="shared" si="41"/>
        <v>9</v>
      </c>
      <c r="G126" s="23">
        <f t="shared" si="42"/>
        <v>4</v>
      </c>
      <c r="H126" s="23" t="str">
        <f t="shared" si="32"/>
        <v>CF</v>
      </c>
      <c r="I126" s="23" t="str">
        <f t="shared" si="33"/>
        <v>CF</v>
      </c>
      <c r="J126" s="23" t="str">
        <f t="shared" si="50"/>
        <v>Child Functioning -- Child #2</v>
      </c>
      <c r="K126" s="93">
        <v>1</v>
      </c>
      <c r="L126" s="82" t="str">
        <f t="shared" ca="1" si="34"/>
        <v/>
      </c>
      <c r="M126" s="23" t="str">
        <f t="shared" ref="M126:M189" ca="1" si="52">IF($J126=$J125, M125, "")&amp;IF(Q126&lt;&gt;"-", IF(M125="",  "", ", ")&amp;$AC126, "")</f>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481</v>
      </c>
      <c r="AC126" s="209" t="s">
        <v>285</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1"/>
        <v/>
      </c>
      <c r="D127" s="23" t="str">
        <f t="shared" si="26"/>
        <v/>
      </c>
      <c r="E127" s="23" t="str">
        <f t="shared" si="26"/>
        <v/>
      </c>
      <c r="F127" s="82">
        <f t="shared" si="41"/>
        <v>9</v>
      </c>
      <c r="G127" s="23">
        <f t="shared" si="42"/>
        <v>5</v>
      </c>
      <c r="H127" s="23" t="str">
        <f t="shared" si="32"/>
        <v>CF</v>
      </c>
      <c r="I127" s="23" t="str">
        <f t="shared" si="33"/>
        <v>CF</v>
      </c>
      <c r="J127" s="23" t="str">
        <f t="shared" si="50"/>
        <v>Child Functioning -- Child #2</v>
      </c>
      <c r="K127" s="93">
        <v>1</v>
      </c>
      <c r="L127" s="82" t="str">
        <f t="shared" ca="1" si="34"/>
        <v/>
      </c>
      <c r="M127" s="23" t="str">
        <f t="shared" ca="1" si="52"/>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287</v>
      </c>
      <c r="AC127" s="203" t="s">
        <v>287</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1"/>
        <v/>
      </c>
      <c r="D128" s="23" t="str">
        <f t="shared" si="26"/>
        <v/>
      </c>
      <c r="E128" s="23" t="str">
        <f t="shared" si="26"/>
        <v/>
      </c>
      <c r="F128" s="82">
        <f t="shared" si="41"/>
        <v>9</v>
      </c>
      <c r="G128" s="23">
        <f t="shared" si="42"/>
        <v>6</v>
      </c>
      <c r="H128" s="23" t="str">
        <f t="shared" si="32"/>
        <v>CF</v>
      </c>
      <c r="I128" s="23" t="str">
        <f t="shared" si="33"/>
        <v>CF</v>
      </c>
      <c r="J128" s="23" t="str">
        <f t="shared" si="50"/>
        <v>Child Functioning -- Child #2</v>
      </c>
      <c r="K128" s="93">
        <v>1</v>
      </c>
      <c r="L128" s="82" t="str">
        <f t="shared" ca="1" si="34"/>
        <v/>
      </c>
      <c r="M128" s="23" t="str">
        <f t="shared" ca="1" si="52"/>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288</v>
      </c>
      <c r="AC128" s="209" t="s">
        <v>288</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1"/>
        <v/>
      </c>
      <c r="D129" s="23" t="str">
        <f t="shared" si="26"/>
        <v/>
      </c>
      <c r="E129" s="23" t="str">
        <f t="shared" si="26"/>
        <v/>
      </c>
      <c r="F129" s="82">
        <f t="shared" si="41"/>
        <v>9</v>
      </c>
      <c r="G129" s="23">
        <f t="shared" si="42"/>
        <v>7</v>
      </c>
      <c r="H129" s="23" t="str">
        <f t="shared" si="32"/>
        <v>CF</v>
      </c>
      <c r="I129" s="23" t="str">
        <f t="shared" si="33"/>
        <v>CF</v>
      </c>
      <c r="J129" s="23" t="str">
        <f t="shared" si="50"/>
        <v>Child Functioning -- Child #2</v>
      </c>
      <c r="K129" s="93">
        <v>1</v>
      </c>
      <c r="L129" s="82" t="str">
        <f t="shared" ca="1" si="34"/>
        <v/>
      </c>
      <c r="M129" s="23" t="str">
        <f t="shared" ca="1" si="52"/>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1"/>
        <v/>
      </c>
      <c r="D130" s="23" t="str">
        <f t="shared" si="26"/>
        <v/>
      </c>
      <c r="E130" s="23" t="str">
        <f t="shared" si="26"/>
        <v/>
      </c>
      <c r="F130" s="82">
        <f t="shared" si="41"/>
        <v>9</v>
      </c>
      <c r="G130" s="23">
        <f t="shared" si="42"/>
        <v>8</v>
      </c>
      <c r="H130" s="23" t="str">
        <f t="shared" si="32"/>
        <v>CF</v>
      </c>
      <c r="I130" s="23" t="str">
        <f t="shared" si="33"/>
        <v>CF</v>
      </c>
      <c r="J130" s="23" t="str">
        <f t="shared" si="50"/>
        <v>Child Functioning -- Child #2</v>
      </c>
      <c r="K130" s="93">
        <v>1</v>
      </c>
      <c r="L130" s="82" t="str">
        <f t="shared" ca="1" si="34"/>
        <v/>
      </c>
      <c r="M130" s="23" t="str">
        <f t="shared" ca="1" si="52"/>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289</v>
      </c>
      <c r="AC130" s="209" t="s">
        <v>289</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1"/>
        <v/>
      </c>
      <c r="D131" s="23" t="str">
        <f t="shared" si="26"/>
        <v/>
      </c>
      <c r="E131" s="23" t="str">
        <f t="shared" si="26"/>
        <v/>
      </c>
      <c r="F131" s="82">
        <f t="shared" si="41"/>
        <v>9</v>
      </c>
      <c r="G131" s="23">
        <f t="shared" si="42"/>
        <v>9</v>
      </c>
      <c r="H131" s="23" t="str">
        <f t="shared" si="32"/>
        <v>CF</v>
      </c>
      <c r="I131" s="23" t="str">
        <f t="shared" si="33"/>
        <v>CF</v>
      </c>
      <c r="J131" s="23" t="str">
        <f t="shared" si="50"/>
        <v>Child Functioning -- Child #2</v>
      </c>
      <c r="K131" s="93">
        <v>1</v>
      </c>
      <c r="L131" s="82" t="str">
        <f t="shared" ca="1" si="34"/>
        <v/>
      </c>
      <c r="M131" s="23" t="str">
        <f t="shared" ca="1" si="52"/>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290</v>
      </c>
      <c r="AC131" s="203" t="s">
        <v>290</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1"/>
        <v/>
      </c>
      <c r="D132" s="23" t="str">
        <f t="shared" si="26"/>
        <v/>
      </c>
      <c r="E132" s="23" t="str">
        <f t="shared" si="26"/>
        <v/>
      </c>
      <c r="F132" s="82">
        <f t="shared" si="41"/>
        <v>9</v>
      </c>
      <c r="G132" s="23">
        <f t="shared" si="42"/>
        <v>10</v>
      </c>
      <c r="H132" s="23" t="str">
        <f t="shared" si="32"/>
        <v>CF</v>
      </c>
      <c r="I132" s="23" t="str">
        <f t="shared" si="33"/>
        <v>CF</v>
      </c>
      <c r="J132" s="23" t="str">
        <f t="shared" si="50"/>
        <v>Child Functioning -- Child #2</v>
      </c>
      <c r="K132" s="93">
        <v>1</v>
      </c>
      <c r="L132" s="82" t="str">
        <f t="shared" ca="1" si="34"/>
        <v/>
      </c>
      <c r="M132" s="23" t="str">
        <f t="shared" ca="1" si="52"/>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291</v>
      </c>
      <c r="AC132" s="209" t="s">
        <v>291</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1"/>
        <v/>
      </c>
      <c r="D133" s="23" t="str">
        <f t="shared" si="26"/>
        <v/>
      </c>
      <c r="E133" s="23" t="str">
        <f t="shared" si="26"/>
        <v/>
      </c>
      <c r="F133" s="82">
        <f t="shared" si="41"/>
        <v>9</v>
      </c>
      <c r="G133" s="23">
        <f t="shared" si="42"/>
        <v>11</v>
      </c>
      <c r="H133" s="23" t="str">
        <f t="shared" si="32"/>
        <v>CF</v>
      </c>
      <c r="I133" s="23" t="str">
        <f t="shared" si="33"/>
        <v>CF</v>
      </c>
      <c r="J133" s="23" t="str">
        <f t="shared" si="50"/>
        <v>Child Functioning -- Child #2</v>
      </c>
      <c r="K133" s="93">
        <v>1</v>
      </c>
      <c r="L133" s="82" t="str">
        <f t="shared" ca="1" si="34"/>
        <v/>
      </c>
      <c r="M133" s="23" t="str">
        <f t="shared" ca="1" si="52"/>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292</v>
      </c>
      <c r="AC133" s="203" t="s">
        <v>292</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1"/>
        <v/>
      </c>
      <c r="D134" s="23" t="str">
        <f t="shared" si="26"/>
        <v/>
      </c>
      <c r="E134" s="23" t="str">
        <f t="shared" si="26"/>
        <v/>
      </c>
      <c r="F134" s="82">
        <f t="shared" si="41"/>
        <v>9</v>
      </c>
      <c r="G134" s="23">
        <f t="shared" si="42"/>
        <v>12</v>
      </c>
      <c r="H134" s="23" t="str">
        <f t="shared" si="32"/>
        <v>CF</v>
      </c>
      <c r="I134" s="23" t="str">
        <f t="shared" si="33"/>
        <v>CF</v>
      </c>
      <c r="J134" s="23" t="str">
        <f t="shared" si="50"/>
        <v>Child Functioning -- Child #2</v>
      </c>
      <c r="K134" s="93">
        <v>1</v>
      </c>
      <c r="L134" s="82" t="str">
        <f t="shared" ca="1" si="34"/>
        <v/>
      </c>
      <c r="M134" s="23" t="str">
        <f t="shared" ca="1" si="52"/>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293</v>
      </c>
      <c r="AC134" s="209" t="s">
        <v>293</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1"/>
        <v/>
      </c>
      <c r="D135" s="23" t="str">
        <f t="shared" si="26"/>
        <v/>
      </c>
      <c r="E135" s="23" t="str">
        <f t="shared" si="26"/>
        <v/>
      </c>
      <c r="F135" s="82">
        <f t="shared" si="41"/>
        <v>9</v>
      </c>
      <c r="G135" s="23">
        <f t="shared" si="42"/>
        <v>13</v>
      </c>
      <c r="H135" s="23" t="str">
        <f t="shared" si="32"/>
        <v>CF</v>
      </c>
      <c r="I135" s="23" t="str">
        <f t="shared" si="33"/>
        <v>CF</v>
      </c>
      <c r="J135" s="23" t="str">
        <f t="shared" si="50"/>
        <v>Child Functioning -- Child #2</v>
      </c>
      <c r="K135" s="93">
        <v>1</v>
      </c>
      <c r="L135" s="82" t="str">
        <f t="shared" ca="1" si="34"/>
        <v/>
      </c>
      <c r="M135" s="23" t="str">
        <f t="shared" ca="1" si="52"/>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1"/>
        <v/>
      </c>
      <c r="D136" s="23" t="str">
        <f t="shared" si="26"/>
        <v/>
      </c>
      <c r="E136" s="23" t="str">
        <f t="shared" si="26"/>
        <v/>
      </c>
      <c r="F136" s="82">
        <f t="shared" si="41"/>
        <v>9</v>
      </c>
      <c r="G136" s="23">
        <f t="shared" si="42"/>
        <v>14</v>
      </c>
      <c r="H136" s="23" t="str">
        <f t="shared" si="32"/>
        <v>CF</v>
      </c>
      <c r="I136" s="23" t="str">
        <f t="shared" si="33"/>
        <v>CF</v>
      </c>
      <c r="J136" s="23" t="str">
        <f t="shared" si="50"/>
        <v>Child Functioning -- Child #2</v>
      </c>
      <c r="K136" s="93">
        <v>1</v>
      </c>
      <c r="L136" s="82" t="str">
        <f t="shared" ca="1" si="34"/>
        <v/>
      </c>
      <c r="M136" s="23" t="str">
        <f t="shared" ca="1" si="52"/>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294</v>
      </c>
      <c r="AC136" s="209" t="s">
        <v>294</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1"/>
        <v/>
      </c>
      <c r="D137" s="23" t="str">
        <f t="shared" si="26"/>
        <v/>
      </c>
      <c r="E137" s="23" t="str">
        <f t="shared" si="26"/>
        <v>Child Functioning -- Child #2</v>
      </c>
      <c r="F137" s="82">
        <f t="shared" si="41"/>
        <v>9</v>
      </c>
      <c r="G137" s="23">
        <f t="shared" si="42"/>
        <v>15</v>
      </c>
      <c r="H137" s="23" t="str">
        <f t="shared" si="32"/>
        <v>CF</v>
      </c>
      <c r="I137" s="23" t="str">
        <f t="shared" si="33"/>
        <v>CF</v>
      </c>
      <c r="J137" s="23" t="str">
        <f t="shared" si="50"/>
        <v>Child Functioning -- Child #2</v>
      </c>
      <c r="K137" s="93">
        <v>1</v>
      </c>
      <c r="L137" s="82" t="str">
        <f t="shared" ca="1" si="34"/>
        <v/>
      </c>
      <c r="M137" s="23" t="str">
        <f t="shared" ca="1" si="52"/>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1"/>
        <v/>
      </c>
      <c r="D138" s="23" t="str">
        <f t="shared" si="26"/>
        <v/>
      </c>
      <c r="E138" s="23" t="str">
        <f t="shared" si="26"/>
        <v/>
      </c>
      <c r="F138" s="82">
        <f t="shared" si="41"/>
        <v>10</v>
      </c>
      <c r="G138" s="23">
        <f t="shared" si="42"/>
        <v>0</v>
      </c>
      <c r="H138" s="23" t="str">
        <f t="shared" si="32"/>
        <v>CF</v>
      </c>
      <c r="I138" s="23" t="str">
        <f t="shared" si="33"/>
        <v>CF</v>
      </c>
      <c r="J138" s="23" t="str">
        <f t="shared" si="50"/>
        <v>Child Functioning -- Child #3</v>
      </c>
      <c r="K138" s="93">
        <v>0</v>
      </c>
      <c r="L138" s="82" t="str">
        <f t="shared" ca="1" si="34"/>
        <v/>
      </c>
      <c r="M138" s="23" t="str">
        <f t="shared" ca="1" si="52"/>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327</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3">IF(H139&lt;&gt;H141, H139, "")</f>
        <v/>
      </c>
      <c r="D139" s="23" t="str">
        <f t="shared" si="53"/>
        <v/>
      </c>
      <c r="E139" s="23" t="str">
        <f t="shared" si="53"/>
        <v/>
      </c>
      <c r="F139" s="82">
        <f t="shared" si="41"/>
        <v>10</v>
      </c>
      <c r="G139" s="23">
        <f t="shared" si="42"/>
        <v>0</v>
      </c>
      <c r="H139" s="23" t="str">
        <f t="shared" si="32"/>
        <v>CF</v>
      </c>
      <c r="I139" s="23" t="str">
        <f t="shared" si="33"/>
        <v>CF</v>
      </c>
      <c r="J139" s="23" t="str">
        <f t="shared" si="50"/>
        <v>Child Functioning -- Child #3</v>
      </c>
      <c r="K139" s="93">
        <v>2</v>
      </c>
      <c r="L139" s="82" t="str">
        <f t="shared" ca="1" si="34"/>
        <v/>
      </c>
      <c r="M139" s="23" t="str">
        <f t="shared" ca="1" si="52"/>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331</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3"/>
        <v/>
      </c>
      <c r="D140" s="23" t="str">
        <f t="shared" si="53"/>
        <v/>
      </c>
      <c r="E140" s="23" t="str">
        <f t="shared" si="53"/>
        <v/>
      </c>
      <c r="F140" s="82">
        <f>IF(K140=0, IF(ISNUMBER(F139), F139+1, 1), F139)</f>
        <v>10</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4"/>
        <v/>
      </c>
      <c r="M140" s="23" t="str">
        <f t="shared" ca="1" si="52"/>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916</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1"/>
        <v/>
      </c>
      <c r="D141" s="23" t="str">
        <f t="shared" si="26"/>
        <v/>
      </c>
      <c r="E141" s="23" t="str">
        <f t="shared" si="26"/>
        <v/>
      </c>
      <c r="F141" s="82">
        <f>IF(K141=0, IF(ISNUMBER(F139), F139+1, 1), F139)</f>
        <v>10</v>
      </c>
      <c r="G141" s="23">
        <f>IF(K141=0, 0, IF(K141=1, G139+1, G139))</f>
        <v>1</v>
      </c>
      <c r="H141" s="23" t="str">
        <f t="shared" si="32"/>
        <v>CF</v>
      </c>
      <c r="I141" s="23" t="str">
        <f t="shared" si="33"/>
        <v>CF</v>
      </c>
      <c r="J141" s="23" t="str">
        <f>IF(K141=0, AC141, J139)</f>
        <v>Child Functioning -- Child #3</v>
      </c>
      <c r="K141" s="93">
        <v>1</v>
      </c>
      <c r="L141" s="82" t="str">
        <f t="shared" ca="1" si="34"/>
        <v/>
      </c>
      <c r="M141" s="23" t="str">
        <f t="shared" ca="1" si="52"/>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283</v>
      </c>
      <c r="AC141" s="203" t="s">
        <v>283</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1"/>
        <v/>
      </c>
      <c r="D142" s="23" t="str">
        <f t="shared" si="26"/>
        <v/>
      </c>
      <c r="E142" s="23" t="str">
        <f t="shared" si="26"/>
        <v/>
      </c>
      <c r="F142" s="82">
        <f t="shared" si="41"/>
        <v>10</v>
      </c>
      <c r="G142" s="23">
        <f t="shared" si="42"/>
        <v>2</v>
      </c>
      <c r="H142" s="23" t="str">
        <f t="shared" si="32"/>
        <v>CF</v>
      </c>
      <c r="I142" s="23" t="str">
        <f t="shared" si="33"/>
        <v>CF</v>
      </c>
      <c r="J142" s="23" t="str">
        <f t="shared" ref="J142:J158" si="54">IF(K142=0, AC142, J141)</f>
        <v>Child Functioning -- Child #3</v>
      </c>
      <c r="K142" s="93">
        <v>1</v>
      </c>
      <c r="L142" s="82" t="str">
        <f t="shared" ca="1" si="34"/>
        <v/>
      </c>
      <c r="M142" s="23" t="str">
        <f t="shared" ca="1" si="52"/>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5">AA141+IF(AB142=0, 0, 1)</f>
        <v>106</v>
      </c>
      <c r="AB142" s="15" t="s">
        <v>284</v>
      </c>
      <c r="AC142" s="209" t="s">
        <v>284</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1"/>
        <v/>
      </c>
      <c r="D143" s="23" t="str">
        <f t="shared" si="26"/>
        <v/>
      </c>
      <c r="E143" s="23" t="str">
        <f t="shared" si="26"/>
        <v/>
      </c>
      <c r="F143" s="82">
        <f t="shared" si="41"/>
        <v>10</v>
      </c>
      <c r="G143" s="23">
        <f t="shared" si="42"/>
        <v>3</v>
      </c>
      <c r="H143" s="23" t="str">
        <f t="shared" si="32"/>
        <v>CF</v>
      </c>
      <c r="I143" s="23" t="str">
        <f t="shared" si="33"/>
        <v>CF</v>
      </c>
      <c r="J143" s="23" t="str">
        <f t="shared" si="54"/>
        <v>Child Functioning -- Child #3</v>
      </c>
      <c r="K143" s="93">
        <v>1</v>
      </c>
      <c r="L143" s="82" t="str">
        <f t="shared" ca="1" si="34"/>
        <v/>
      </c>
      <c r="M143" s="23" t="str">
        <f t="shared" ca="1" si="52"/>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5"/>
        <v>107</v>
      </c>
      <c r="AB143" s="15" t="s">
        <v>286</v>
      </c>
      <c r="AC143" s="203" t="s">
        <v>286</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1"/>
        <v/>
      </c>
      <c r="D144" s="23" t="str">
        <f t="shared" si="26"/>
        <v/>
      </c>
      <c r="E144" s="23" t="str">
        <f t="shared" si="26"/>
        <v/>
      </c>
      <c r="F144" s="82">
        <f t="shared" si="41"/>
        <v>10</v>
      </c>
      <c r="G144" s="23">
        <f t="shared" si="42"/>
        <v>4</v>
      </c>
      <c r="H144" s="23" t="str">
        <f t="shared" si="32"/>
        <v>CF</v>
      </c>
      <c r="I144" s="23" t="str">
        <f t="shared" si="33"/>
        <v>CF</v>
      </c>
      <c r="J144" s="23" t="str">
        <f t="shared" si="54"/>
        <v>Child Functioning -- Child #3</v>
      </c>
      <c r="K144" s="93">
        <v>1</v>
      </c>
      <c r="L144" s="82" t="str">
        <f t="shared" ca="1" si="34"/>
        <v/>
      </c>
      <c r="M144" s="23" t="str">
        <f t="shared" ca="1" si="52"/>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5"/>
        <v>108</v>
      </c>
      <c r="AB144" s="15" t="s">
        <v>481</v>
      </c>
      <c r="AC144" s="209" t="s">
        <v>285</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1"/>
        <v/>
      </c>
      <c r="D145" s="23" t="str">
        <f t="shared" si="26"/>
        <v/>
      </c>
      <c r="E145" s="23" t="str">
        <f t="shared" si="26"/>
        <v/>
      </c>
      <c r="F145" s="82">
        <f t="shared" si="41"/>
        <v>10</v>
      </c>
      <c r="G145" s="23">
        <f t="shared" si="42"/>
        <v>5</v>
      </c>
      <c r="H145" s="23" t="str">
        <f t="shared" si="32"/>
        <v>CF</v>
      </c>
      <c r="I145" s="23" t="str">
        <f t="shared" si="33"/>
        <v>CF</v>
      </c>
      <c r="J145" s="23" t="str">
        <f t="shared" si="54"/>
        <v>Child Functioning -- Child #3</v>
      </c>
      <c r="K145" s="93">
        <v>1</v>
      </c>
      <c r="L145" s="82" t="str">
        <f t="shared" ca="1" si="34"/>
        <v/>
      </c>
      <c r="M145" s="23" t="str">
        <f t="shared" ca="1" si="52"/>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5"/>
        <v>109</v>
      </c>
      <c r="AB145" s="15" t="s">
        <v>287</v>
      </c>
      <c r="AC145" s="203" t="s">
        <v>287</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1"/>
        <v/>
      </c>
      <c r="D146" s="23" t="str">
        <f t="shared" si="26"/>
        <v/>
      </c>
      <c r="E146" s="23" t="str">
        <f t="shared" si="26"/>
        <v/>
      </c>
      <c r="F146" s="82">
        <f t="shared" si="41"/>
        <v>10</v>
      </c>
      <c r="G146" s="23">
        <f t="shared" si="42"/>
        <v>6</v>
      </c>
      <c r="H146" s="23" t="str">
        <f t="shared" si="32"/>
        <v>CF</v>
      </c>
      <c r="I146" s="23" t="str">
        <f t="shared" si="33"/>
        <v>CF</v>
      </c>
      <c r="J146" s="23" t="str">
        <f t="shared" si="54"/>
        <v>Child Functioning -- Child #3</v>
      </c>
      <c r="K146" s="93">
        <v>1</v>
      </c>
      <c r="L146" s="82" t="str">
        <f t="shared" ca="1" si="34"/>
        <v/>
      </c>
      <c r="M146" s="23" t="str">
        <f t="shared" ca="1" si="52"/>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5"/>
        <v>110</v>
      </c>
      <c r="AB146" s="15" t="s">
        <v>288</v>
      </c>
      <c r="AC146" s="209" t="s">
        <v>288</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1"/>
        <v/>
      </c>
      <c r="D147" s="23" t="str">
        <f t="shared" si="26"/>
        <v/>
      </c>
      <c r="E147" s="23" t="str">
        <f t="shared" si="26"/>
        <v/>
      </c>
      <c r="F147" s="82">
        <f t="shared" si="41"/>
        <v>10</v>
      </c>
      <c r="G147" s="23">
        <f t="shared" si="42"/>
        <v>7</v>
      </c>
      <c r="H147" s="23" t="str">
        <f t="shared" si="32"/>
        <v>CF</v>
      </c>
      <c r="I147" s="23" t="str">
        <f t="shared" si="33"/>
        <v>CF</v>
      </c>
      <c r="J147" s="23" t="str">
        <f t="shared" si="54"/>
        <v>Child Functioning -- Child #3</v>
      </c>
      <c r="K147" s="93">
        <v>1</v>
      </c>
      <c r="L147" s="82" t="str">
        <f t="shared" ref="L147:L209" ca="1" si="56">IF($J147=$J146, L146, "")&amp;IF(P147&lt;&gt;"-", IF(L146="",  "", ", ")&amp;$AC147, "")</f>
        <v/>
      </c>
      <c r="M147" s="23" t="str">
        <f t="shared" ca="1" si="52"/>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5"/>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1"/>
        <v/>
      </c>
      <c r="D148" s="23" t="str">
        <f t="shared" si="26"/>
        <v/>
      </c>
      <c r="E148" s="23" t="str">
        <f t="shared" si="26"/>
        <v/>
      </c>
      <c r="F148" s="82">
        <f t="shared" si="41"/>
        <v>10</v>
      </c>
      <c r="G148" s="23">
        <f t="shared" si="42"/>
        <v>8</v>
      </c>
      <c r="H148" s="23" t="str">
        <f t="shared" si="32"/>
        <v>CF</v>
      </c>
      <c r="I148" s="23" t="str">
        <f t="shared" si="33"/>
        <v>CF</v>
      </c>
      <c r="J148" s="23" t="str">
        <f t="shared" si="54"/>
        <v>Child Functioning -- Child #3</v>
      </c>
      <c r="K148" s="93">
        <v>1</v>
      </c>
      <c r="L148" s="82" t="str">
        <f t="shared" ca="1" si="56"/>
        <v/>
      </c>
      <c r="M148" s="23" t="str">
        <f t="shared" ca="1" si="52"/>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5"/>
        <v>112</v>
      </c>
      <c r="AB148" s="15" t="s">
        <v>289</v>
      </c>
      <c r="AC148" s="209" t="s">
        <v>289</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1"/>
        <v/>
      </c>
      <c r="D149" s="23" t="str">
        <f t="shared" ref="D149:E209" si="63">IF(I149&lt;&gt;I150, I149, "")</f>
        <v/>
      </c>
      <c r="E149" s="23" t="str">
        <f t="shared" si="63"/>
        <v/>
      </c>
      <c r="F149" s="82">
        <f t="shared" si="41"/>
        <v>10</v>
      </c>
      <c r="G149" s="23">
        <f t="shared" si="42"/>
        <v>9</v>
      </c>
      <c r="H149" s="23" t="str">
        <f t="shared" si="32"/>
        <v>CF</v>
      </c>
      <c r="I149" s="23" t="str">
        <f t="shared" si="33"/>
        <v>CF</v>
      </c>
      <c r="J149" s="23" t="str">
        <f t="shared" si="54"/>
        <v>Child Functioning -- Child #3</v>
      </c>
      <c r="K149" s="93">
        <v>1</v>
      </c>
      <c r="L149" s="82" t="str">
        <f t="shared" ca="1" si="56"/>
        <v/>
      </c>
      <c r="M149" s="23" t="str">
        <f t="shared" ca="1" si="52"/>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5"/>
        <v>113</v>
      </c>
      <c r="AB149" s="15" t="s">
        <v>290</v>
      </c>
      <c r="AC149" s="203" t="s">
        <v>290</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10</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4"/>
        <v>Child Functioning -- Child #3</v>
      </c>
      <c r="K150" s="93">
        <v>1</v>
      </c>
      <c r="L150" s="82" t="str">
        <f t="shared" ca="1" si="56"/>
        <v/>
      </c>
      <c r="M150" s="23" t="str">
        <f t="shared" ca="1" si="52"/>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5"/>
        <v>114</v>
      </c>
      <c r="AB150" s="15" t="s">
        <v>291</v>
      </c>
      <c r="AC150" s="209" t="s">
        <v>291</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10</v>
      </c>
      <c r="G151" s="23">
        <f t="shared" si="42"/>
        <v>11</v>
      </c>
      <c r="H151" s="23" t="str">
        <f t="shared" si="67"/>
        <v>CF</v>
      </c>
      <c r="I151" s="23" t="str">
        <f t="shared" si="68"/>
        <v>CF</v>
      </c>
      <c r="J151" s="23" t="str">
        <f t="shared" si="54"/>
        <v>Child Functioning -- Child #3</v>
      </c>
      <c r="K151" s="93">
        <v>1</v>
      </c>
      <c r="L151" s="82" t="str">
        <f t="shared" ca="1" si="56"/>
        <v/>
      </c>
      <c r="M151" s="23" t="str">
        <f t="shared" ca="1" si="52"/>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5"/>
        <v>115</v>
      </c>
      <c r="AB151" s="15" t="s">
        <v>292</v>
      </c>
      <c r="AC151" s="203" t="s">
        <v>292</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10</v>
      </c>
      <c r="G152" s="23">
        <f t="shared" si="42"/>
        <v>12</v>
      </c>
      <c r="H152" s="23" t="str">
        <f t="shared" si="67"/>
        <v>CF</v>
      </c>
      <c r="I152" s="23" t="str">
        <f t="shared" si="68"/>
        <v>CF</v>
      </c>
      <c r="J152" s="23" t="str">
        <f t="shared" si="54"/>
        <v>Child Functioning -- Child #3</v>
      </c>
      <c r="K152" s="93">
        <v>1</v>
      </c>
      <c r="L152" s="82" t="str">
        <f t="shared" ca="1" si="56"/>
        <v/>
      </c>
      <c r="M152" s="23" t="str">
        <f t="shared" ca="1" si="52"/>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5"/>
        <v>116</v>
      </c>
      <c r="AB152" s="15" t="s">
        <v>293</v>
      </c>
      <c r="AC152" s="209" t="s">
        <v>293</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10</v>
      </c>
      <c r="G153" s="23">
        <f t="shared" si="42"/>
        <v>13</v>
      </c>
      <c r="H153" s="23" t="str">
        <f t="shared" si="67"/>
        <v>CF</v>
      </c>
      <c r="I153" s="23" t="str">
        <f t="shared" si="68"/>
        <v>CF</v>
      </c>
      <c r="J153" s="23" t="str">
        <f t="shared" si="54"/>
        <v>Child Functioning -- Child #3</v>
      </c>
      <c r="K153" s="93">
        <v>1</v>
      </c>
      <c r="L153" s="82" t="str">
        <f t="shared" ca="1" si="56"/>
        <v/>
      </c>
      <c r="M153" s="23" t="str">
        <f t="shared" ca="1" si="52"/>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5"/>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10</v>
      </c>
      <c r="G154" s="23">
        <f t="shared" si="42"/>
        <v>14</v>
      </c>
      <c r="H154" s="23" t="str">
        <f t="shared" si="67"/>
        <v>CF</v>
      </c>
      <c r="I154" s="23" t="str">
        <f t="shared" si="68"/>
        <v>CF</v>
      </c>
      <c r="J154" s="23" t="str">
        <f t="shared" si="54"/>
        <v>Child Functioning -- Child #3</v>
      </c>
      <c r="K154" s="93">
        <v>1</v>
      </c>
      <c r="L154" s="82" t="str">
        <f t="shared" ca="1" si="56"/>
        <v/>
      </c>
      <c r="M154" s="23" t="str">
        <f t="shared" ca="1" si="52"/>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5"/>
        <v>118</v>
      </c>
      <c r="AB154" s="15" t="s">
        <v>294</v>
      </c>
      <c r="AC154" s="209" t="s">
        <v>294</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10</v>
      </c>
      <c r="G155" s="23">
        <f t="shared" si="42"/>
        <v>15</v>
      </c>
      <c r="H155" s="23" t="str">
        <f t="shared" si="67"/>
        <v>CF</v>
      </c>
      <c r="I155" s="23" t="str">
        <f t="shared" si="68"/>
        <v>CF</v>
      </c>
      <c r="J155" s="23" t="str">
        <f t="shared" si="54"/>
        <v>Child Functioning -- Child #3</v>
      </c>
      <c r="K155" s="93">
        <v>1</v>
      </c>
      <c r="L155" s="82" t="str">
        <f t="shared" ca="1" si="56"/>
        <v/>
      </c>
      <c r="M155" s="23" t="str">
        <f t="shared" ca="1" si="52"/>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5"/>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11</v>
      </c>
      <c r="G156" s="23">
        <f t="shared" si="42"/>
        <v>0</v>
      </c>
      <c r="H156" s="23" t="str">
        <f t="shared" si="67"/>
        <v>CF</v>
      </c>
      <c r="I156" s="23" t="str">
        <f t="shared" si="68"/>
        <v>CF</v>
      </c>
      <c r="J156" s="23" t="str">
        <f t="shared" si="54"/>
        <v>Child Functioning -- Child #4</v>
      </c>
      <c r="K156" s="93">
        <v>0</v>
      </c>
      <c r="L156" s="82" t="str">
        <f t="shared" ca="1" si="56"/>
        <v/>
      </c>
      <c r="M156" s="23" t="str">
        <f t="shared" ca="1" si="52"/>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5"/>
        <v>119</v>
      </c>
      <c r="AC156" s="197" t="s">
        <v>328</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11</v>
      </c>
      <c r="G157" s="23">
        <f t="shared" si="42"/>
        <v>0</v>
      </c>
      <c r="H157" s="23" t="str">
        <f t="shared" si="67"/>
        <v>CF</v>
      </c>
      <c r="I157" s="23" t="str">
        <f t="shared" si="68"/>
        <v>CF</v>
      </c>
      <c r="J157" s="23" t="str">
        <f t="shared" si="54"/>
        <v>Child Functioning -- Child #4</v>
      </c>
      <c r="K157" s="93">
        <v>2</v>
      </c>
      <c r="L157" s="82" t="str">
        <f t="shared" ca="1" si="56"/>
        <v/>
      </c>
      <c r="M157" s="23" t="str">
        <f t="shared" ca="1" si="52"/>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5"/>
        <v>119</v>
      </c>
      <c r="AC157" s="218" t="s">
        <v>331</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11</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4"/>
        <v>Child Functioning -- Child #4</v>
      </c>
      <c r="K158" s="93">
        <v>2</v>
      </c>
      <c r="L158" s="82" t="str">
        <f t="shared" ca="1" si="56"/>
        <v/>
      </c>
      <c r="M158" s="23" t="str">
        <f t="shared" ca="1" si="52"/>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5"/>
        <v>119</v>
      </c>
      <c r="AC158" s="218" t="s">
        <v>916</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11</v>
      </c>
      <c r="G159" s="23">
        <f>IF(K159=0, 0, IF(K159=1, G157+1, G157))</f>
        <v>1</v>
      </c>
      <c r="H159" s="23" t="str">
        <f t="shared" si="67"/>
        <v>CF</v>
      </c>
      <c r="I159" s="23" t="str">
        <f t="shared" si="68"/>
        <v>CF</v>
      </c>
      <c r="J159" s="23" t="str">
        <f>IF(K159=0, AC159, J157)</f>
        <v>Child Functioning -- Child #4</v>
      </c>
      <c r="K159" s="93">
        <v>1</v>
      </c>
      <c r="L159" s="82" t="str">
        <f t="shared" ca="1" si="56"/>
        <v/>
      </c>
      <c r="M159" s="23" t="str">
        <f t="shared" ca="1" si="52"/>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283</v>
      </c>
      <c r="AC159" s="203" t="s">
        <v>283</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11</v>
      </c>
      <c r="G160" s="23">
        <f t="shared" si="42"/>
        <v>2</v>
      </c>
      <c r="H160" s="23" t="str">
        <f t="shared" si="67"/>
        <v>CF</v>
      </c>
      <c r="I160" s="23" t="str">
        <f t="shared" si="68"/>
        <v>CF</v>
      </c>
      <c r="J160" s="23" t="str">
        <f t="shared" ref="J160:J176" si="70">IF(K160=0, AC160, J159)</f>
        <v>Child Functioning -- Child #4</v>
      </c>
      <c r="K160" s="93">
        <v>1</v>
      </c>
      <c r="L160" s="82" t="str">
        <f t="shared" ca="1" si="56"/>
        <v/>
      </c>
      <c r="M160" s="23" t="str">
        <f t="shared" ca="1" si="52"/>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284</v>
      </c>
      <c r="AC160" s="209" t="s">
        <v>284</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11</v>
      </c>
      <c r="G161" s="23">
        <f t="shared" ref="G161:G209" si="73">IF(K161=0, 0, IF(K161=1, G160+1, G160))</f>
        <v>3</v>
      </c>
      <c r="H161" s="23" t="str">
        <f t="shared" si="67"/>
        <v>CF</v>
      </c>
      <c r="I161" s="23" t="str">
        <f t="shared" si="68"/>
        <v>CF</v>
      </c>
      <c r="J161" s="23" t="str">
        <f t="shared" si="70"/>
        <v>Child Functioning -- Child #4</v>
      </c>
      <c r="K161" s="93">
        <v>1</v>
      </c>
      <c r="L161" s="82" t="str">
        <f t="shared" ca="1" si="56"/>
        <v/>
      </c>
      <c r="M161" s="23" t="str">
        <f t="shared" ca="1" si="52"/>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286</v>
      </c>
      <c r="AC161" s="203" t="s">
        <v>286</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11</v>
      </c>
      <c r="G162" s="23">
        <f t="shared" si="73"/>
        <v>4</v>
      </c>
      <c r="H162" s="23" t="str">
        <f t="shared" si="67"/>
        <v>CF</v>
      </c>
      <c r="I162" s="23" t="str">
        <f t="shared" si="68"/>
        <v>CF</v>
      </c>
      <c r="J162" s="23" t="str">
        <f t="shared" si="70"/>
        <v>Child Functioning -- Child #4</v>
      </c>
      <c r="K162" s="93">
        <v>1</v>
      </c>
      <c r="L162" s="82" t="str">
        <f t="shared" ca="1" si="56"/>
        <v/>
      </c>
      <c r="M162" s="23" t="str">
        <f t="shared" ca="1" si="52"/>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481</v>
      </c>
      <c r="AC162" s="209" t="s">
        <v>285</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11</v>
      </c>
      <c r="G163" s="23">
        <f t="shared" si="73"/>
        <v>5</v>
      </c>
      <c r="H163" s="23" t="str">
        <f t="shared" si="67"/>
        <v>CF</v>
      </c>
      <c r="I163" s="23" t="str">
        <f t="shared" si="68"/>
        <v>CF</v>
      </c>
      <c r="J163" s="23" t="str">
        <f t="shared" si="70"/>
        <v>Child Functioning -- Child #4</v>
      </c>
      <c r="K163" s="93">
        <v>1</v>
      </c>
      <c r="L163" s="82" t="str">
        <f t="shared" ca="1" si="56"/>
        <v/>
      </c>
      <c r="M163" s="23" t="str">
        <f t="shared" ca="1" si="52"/>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287</v>
      </c>
      <c r="AC163" s="203" t="s">
        <v>287</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11</v>
      </c>
      <c r="G164" s="23">
        <f t="shared" si="73"/>
        <v>6</v>
      </c>
      <c r="H164" s="23" t="str">
        <f t="shared" si="67"/>
        <v>CF</v>
      </c>
      <c r="I164" s="23" t="str">
        <f t="shared" si="68"/>
        <v>CF</v>
      </c>
      <c r="J164" s="23" t="str">
        <f t="shared" si="70"/>
        <v>Child Functioning -- Child #4</v>
      </c>
      <c r="K164" s="93">
        <v>1</v>
      </c>
      <c r="L164" s="82" t="str">
        <f t="shared" ca="1" si="56"/>
        <v/>
      </c>
      <c r="M164" s="23" t="str">
        <f t="shared" ca="1" si="52"/>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288</v>
      </c>
      <c r="AC164" s="209" t="s">
        <v>288</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11</v>
      </c>
      <c r="G165" s="23">
        <f t="shared" si="73"/>
        <v>7</v>
      </c>
      <c r="H165" s="23" t="str">
        <f t="shared" si="67"/>
        <v>CF</v>
      </c>
      <c r="I165" s="23" t="str">
        <f t="shared" si="68"/>
        <v>CF</v>
      </c>
      <c r="J165" s="23" t="str">
        <f t="shared" si="70"/>
        <v>Child Functioning -- Child #4</v>
      </c>
      <c r="K165" s="93">
        <v>1</v>
      </c>
      <c r="L165" s="82" t="str">
        <f t="shared" ca="1" si="56"/>
        <v/>
      </c>
      <c r="M165" s="23" t="str">
        <f t="shared" ca="1" si="52"/>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11</v>
      </c>
      <c r="G166" s="23">
        <f t="shared" si="73"/>
        <v>8</v>
      </c>
      <c r="H166" s="23" t="str">
        <f t="shared" si="67"/>
        <v>CF</v>
      </c>
      <c r="I166" s="23" t="str">
        <f t="shared" si="68"/>
        <v>CF</v>
      </c>
      <c r="J166" s="23" t="str">
        <f t="shared" si="70"/>
        <v>Child Functioning -- Child #4</v>
      </c>
      <c r="K166" s="93">
        <v>1</v>
      </c>
      <c r="L166" s="82" t="str">
        <f t="shared" ca="1" si="56"/>
        <v/>
      </c>
      <c r="M166" s="23" t="str">
        <f t="shared" ca="1" si="52"/>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289</v>
      </c>
      <c r="AC166" s="209" t="s">
        <v>289</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11</v>
      </c>
      <c r="G167" s="23">
        <f t="shared" si="73"/>
        <v>9</v>
      </c>
      <c r="H167" s="23" t="str">
        <f t="shared" si="67"/>
        <v>CF</v>
      </c>
      <c r="I167" s="23" t="str">
        <f t="shared" si="68"/>
        <v>CF</v>
      </c>
      <c r="J167" s="23" t="str">
        <f t="shared" si="70"/>
        <v>Child Functioning -- Child #4</v>
      </c>
      <c r="K167" s="93">
        <v>1</v>
      </c>
      <c r="L167" s="82" t="str">
        <f t="shared" ca="1" si="56"/>
        <v/>
      </c>
      <c r="M167" s="23" t="str">
        <f t="shared" ca="1" si="52"/>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290</v>
      </c>
      <c r="AC167" s="203" t="s">
        <v>290</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11</v>
      </c>
      <c r="G168" s="23">
        <f t="shared" si="73"/>
        <v>10</v>
      </c>
      <c r="H168" s="23" t="str">
        <f t="shared" si="67"/>
        <v>CF</v>
      </c>
      <c r="I168" s="23" t="str">
        <f t="shared" si="68"/>
        <v>CF</v>
      </c>
      <c r="J168" s="23" t="str">
        <f t="shared" si="70"/>
        <v>Child Functioning -- Child #4</v>
      </c>
      <c r="K168" s="93">
        <v>1</v>
      </c>
      <c r="L168" s="82" t="str">
        <f t="shared" ca="1" si="56"/>
        <v/>
      </c>
      <c r="M168" s="23" t="str">
        <f t="shared" ca="1" si="52"/>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291</v>
      </c>
      <c r="AC168" s="209" t="s">
        <v>291</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11</v>
      </c>
      <c r="G169" s="23">
        <f t="shared" si="73"/>
        <v>11</v>
      </c>
      <c r="H169" s="23" t="str">
        <f t="shared" si="67"/>
        <v>CF</v>
      </c>
      <c r="I169" s="23" t="str">
        <f t="shared" si="68"/>
        <v>CF</v>
      </c>
      <c r="J169" s="23" t="str">
        <f t="shared" si="70"/>
        <v>Child Functioning -- Child #4</v>
      </c>
      <c r="K169" s="93">
        <v>1</v>
      </c>
      <c r="L169" s="82" t="str">
        <f t="shared" ca="1" si="56"/>
        <v/>
      </c>
      <c r="M169" s="23" t="str">
        <f t="shared" ca="1" si="52"/>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292</v>
      </c>
      <c r="AC169" s="203" t="s">
        <v>292</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11</v>
      </c>
      <c r="G170" s="23">
        <f t="shared" si="73"/>
        <v>12</v>
      </c>
      <c r="H170" s="23" t="str">
        <f t="shared" si="67"/>
        <v>CF</v>
      </c>
      <c r="I170" s="23" t="str">
        <f t="shared" si="68"/>
        <v>CF</v>
      </c>
      <c r="J170" s="23" t="str">
        <f t="shared" si="70"/>
        <v>Child Functioning -- Child #4</v>
      </c>
      <c r="K170" s="93">
        <v>1</v>
      </c>
      <c r="L170" s="82" t="str">
        <f t="shared" ca="1" si="56"/>
        <v/>
      </c>
      <c r="M170" s="23" t="str">
        <f t="shared" ca="1" si="52"/>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293</v>
      </c>
      <c r="AC170" s="209" t="s">
        <v>293</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11</v>
      </c>
      <c r="G171" s="23">
        <f t="shared" si="73"/>
        <v>13</v>
      </c>
      <c r="H171" s="23" t="str">
        <f t="shared" si="67"/>
        <v>CF</v>
      </c>
      <c r="I171" s="23" t="str">
        <f t="shared" si="68"/>
        <v>CF</v>
      </c>
      <c r="J171" s="23" t="str">
        <f t="shared" si="70"/>
        <v>Child Functioning -- Child #4</v>
      </c>
      <c r="K171" s="93">
        <v>1</v>
      </c>
      <c r="L171" s="82" t="str">
        <f t="shared" ca="1" si="56"/>
        <v/>
      </c>
      <c r="M171" s="23" t="str">
        <f t="shared" ca="1" si="52"/>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11</v>
      </c>
      <c r="G172" s="23">
        <f t="shared" si="73"/>
        <v>14</v>
      </c>
      <c r="H172" s="23" t="str">
        <f t="shared" si="67"/>
        <v>CF</v>
      </c>
      <c r="I172" s="23" t="str">
        <f t="shared" si="68"/>
        <v>CF</v>
      </c>
      <c r="J172" s="23" t="str">
        <f t="shared" si="70"/>
        <v>Child Functioning -- Child #4</v>
      </c>
      <c r="K172" s="93">
        <v>1</v>
      </c>
      <c r="L172" s="82" t="str">
        <f t="shared" ca="1" si="56"/>
        <v/>
      </c>
      <c r="M172" s="23" t="str">
        <f t="shared" ca="1" si="52"/>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294</v>
      </c>
      <c r="AC172" s="209" t="s">
        <v>294</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11</v>
      </c>
      <c r="G173" s="23">
        <f t="shared" si="73"/>
        <v>15</v>
      </c>
      <c r="H173" s="23" t="str">
        <f t="shared" si="67"/>
        <v>CF</v>
      </c>
      <c r="I173" s="23" t="str">
        <f t="shared" si="68"/>
        <v>CF</v>
      </c>
      <c r="J173" s="23" t="str">
        <f t="shared" si="70"/>
        <v>Child Functioning -- Child #4</v>
      </c>
      <c r="K173" s="93">
        <v>1</v>
      </c>
      <c r="L173" s="82" t="str">
        <f t="shared" ca="1" si="56"/>
        <v/>
      </c>
      <c r="M173" s="23" t="str">
        <f t="shared" ca="1" si="52"/>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12</v>
      </c>
      <c r="G174" s="23">
        <f t="shared" si="73"/>
        <v>0</v>
      </c>
      <c r="H174" s="23" t="str">
        <f t="shared" si="67"/>
        <v>CF</v>
      </c>
      <c r="I174" s="23" t="str">
        <f t="shared" si="68"/>
        <v>CF</v>
      </c>
      <c r="J174" s="23" t="str">
        <f t="shared" si="70"/>
        <v>Child Functioning -- Child #5</v>
      </c>
      <c r="K174" s="93">
        <v>0</v>
      </c>
      <c r="L174" s="82" t="str">
        <f t="shared" ca="1" si="56"/>
        <v/>
      </c>
      <c r="M174" s="23" t="str">
        <f t="shared" ca="1" si="52"/>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329</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12</v>
      </c>
      <c r="G175" s="23">
        <f t="shared" si="73"/>
        <v>0</v>
      </c>
      <c r="H175" s="23" t="str">
        <f t="shared" si="67"/>
        <v>CF</v>
      </c>
      <c r="I175" s="23" t="str">
        <f t="shared" si="68"/>
        <v>CF</v>
      </c>
      <c r="J175" s="23" t="str">
        <f t="shared" si="70"/>
        <v>Child Functioning -- Child #5</v>
      </c>
      <c r="K175" s="93">
        <v>2</v>
      </c>
      <c r="L175" s="82" t="str">
        <f t="shared" ca="1" si="56"/>
        <v/>
      </c>
      <c r="M175" s="23" t="str">
        <f t="shared" ca="1" si="52"/>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331</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12</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6"/>
        <v/>
      </c>
      <c r="M176" s="23" t="str">
        <f t="shared" ca="1" si="52"/>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916</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12</v>
      </c>
      <c r="G177" s="23">
        <f>IF(K177=0, 0, IF(K177=1, G175+1, G175))</f>
        <v>1</v>
      </c>
      <c r="H177" s="23" t="str">
        <f t="shared" si="67"/>
        <v>CF</v>
      </c>
      <c r="I177" s="23" t="str">
        <f t="shared" si="68"/>
        <v>CF</v>
      </c>
      <c r="J177" s="23" t="str">
        <f>IF(K177=0, AC177, J175)</f>
        <v>Child Functioning -- Child #5</v>
      </c>
      <c r="K177" s="93">
        <v>1</v>
      </c>
      <c r="L177" s="82" t="str">
        <f t="shared" ca="1" si="56"/>
        <v/>
      </c>
      <c r="M177" s="23" t="str">
        <f t="shared" ca="1" si="52"/>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283</v>
      </c>
      <c r="AC177" s="203" t="s">
        <v>283</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12</v>
      </c>
      <c r="G178" s="23">
        <f t="shared" si="73"/>
        <v>2</v>
      </c>
      <c r="H178" s="23" t="str">
        <f t="shared" si="67"/>
        <v>CF</v>
      </c>
      <c r="I178" s="23" t="str">
        <f t="shared" si="68"/>
        <v>CF</v>
      </c>
      <c r="J178" s="23" t="str">
        <f t="shared" ref="J178:J194" si="75">IF(K178=0, AC178, J177)</f>
        <v>Child Functioning -- Child #5</v>
      </c>
      <c r="K178" s="93">
        <v>1</v>
      </c>
      <c r="L178" s="82" t="str">
        <f t="shared" ca="1" si="56"/>
        <v/>
      </c>
      <c r="M178" s="23" t="str">
        <f t="shared" ca="1" si="52"/>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284</v>
      </c>
      <c r="AC178" s="209" t="s">
        <v>284</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12</v>
      </c>
      <c r="G179" s="23">
        <f t="shared" si="73"/>
        <v>3</v>
      </c>
      <c r="H179" s="23" t="str">
        <f t="shared" si="67"/>
        <v>CF</v>
      </c>
      <c r="I179" s="23" t="str">
        <f t="shared" si="68"/>
        <v>CF</v>
      </c>
      <c r="J179" s="23" t="str">
        <f t="shared" si="75"/>
        <v>Child Functioning -- Child #5</v>
      </c>
      <c r="K179" s="93">
        <v>1</v>
      </c>
      <c r="L179" s="82" t="str">
        <f t="shared" ca="1" si="56"/>
        <v/>
      </c>
      <c r="M179" s="23" t="str">
        <f t="shared" ca="1" si="52"/>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286</v>
      </c>
      <c r="AC179" s="203" t="s">
        <v>286</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12</v>
      </c>
      <c r="G180" s="23">
        <f t="shared" si="73"/>
        <v>4</v>
      </c>
      <c r="H180" s="23" t="str">
        <f t="shared" si="67"/>
        <v>CF</v>
      </c>
      <c r="I180" s="23" t="str">
        <f t="shared" si="68"/>
        <v>CF</v>
      </c>
      <c r="J180" s="23" t="str">
        <f t="shared" si="75"/>
        <v>Child Functioning -- Child #5</v>
      </c>
      <c r="K180" s="93">
        <v>1</v>
      </c>
      <c r="L180" s="82" t="str">
        <f t="shared" ca="1" si="56"/>
        <v/>
      </c>
      <c r="M180" s="23" t="str">
        <f t="shared" ca="1" si="52"/>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481</v>
      </c>
      <c r="AC180" s="209" t="s">
        <v>285</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12</v>
      </c>
      <c r="G181" s="23">
        <f t="shared" si="73"/>
        <v>5</v>
      </c>
      <c r="H181" s="23" t="str">
        <f t="shared" si="67"/>
        <v>CF</v>
      </c>
      <c r="I181" s="23" t="str">
        <f t="shared" si="68"/>
        <v>CF</v>
      </c>
      <c r="J181" s="23" t="str">
        <f t="shared" si="75"/>
        <v>Child Functioning -- Child #5</v>
      </c>
      <c r="K181" s="93">
        <v>1</v>
      </c>
      <c r="L181" s="82" t="str">
        <f t="shared" ca="1" si="56"/>
        <v/>
      </c>
      <c r="M181" s="23" t="str">
        <f t="shared" ca="1" si="52"/>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287</v>
      </c>
      <c r="AC181" s="203" t="s">
        <v>287</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12</v>
      </c>
      <c r="G182" s="23">
        <f t="shared" si="73"/>
        <v>6</v>
      </c>
      <c r="H182" s="23" t="str">
        <f t="shared" si="67"/>
        <v>CF</v>
      </c>
      <c r="I182" s="23" t="str">
        <f t="shared" si="68"/>
        <v>CF</v>
      </c>
      <c r="J182" s="23" t="str">
        <f t="shared" si="75"/>
        <v>Child Functioning -- Child #5</v>
      </c>
      <c r="K182" s="93">
        <v>1</v>
      </c>
      <c r="L182" s="82" t="str">
        <f t="shared" ca="1" si="56"/>
        <v/>
      </c>
      <c r="M182" s="23" t="str">
        <f t="shared" ca="1" si="52"/>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288</v>
      </c>
      <c r="AC182" s="209" t="s">
        <v>288</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12</v>
      </c>
      <c r="G183" s="23">
        <f t="shared" si="73"/>
        <v>7</v>
      </c>
      <c r="H183" s="23" t="str">
        <f t="shared" si="67"/>
        <v>CF</v>
      </c>
      <c r="I183" s="23" t="str">
        <f t="shared" si="68"/>
        <v>CF</v>
      </c>
      <c r="J183" s="23" t="str">
        <f t="shared" si="75"/>
        <v>Child Functioning -- Child #5</v>
      </c>
      <c r="K183" s="93">
        <v>1</v>
      </c>
      <c r="L183" s="82" t="str">
        <f t="shared" ca="1" si="56"/>
        <v/>
      </c>
      <c r="M183" s="23" t="str">
        <f t="shared" ca="1" si="52"/>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12</v>
      </c>
      <c r="G184" s="23">
        <f t="shared" si="73"/>
        <v>8</v>
      </c>
      <c r="H184" s="23" t="str">
        <f t="shared" si="67"/>
        <v>CF</v>
      </c>
      <c r="I184" s="23" t="str">
        <f t="shared" si="68"/>
        <v>CF</v>
      </c>
      <c r="J184" s="23" t="str">
        <f t="shared" si="75"/>
        <v>Child Functioning -- Child #5</v>
      </c>
      <c r="K184" s="93">
        <v>1</v>
      </c>
      <c r="L184" s="82" t="str">
        <f t="shared" ca="1" si="56"/>
        <v/>
      </c>
      <c r="M184" s="23" t="str">
        <f t="shared" ca="1" si="52"/>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289</v>
      </c>
      <c r="AC184" s="209" t="s">
        <v>289</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12</v>
      </c>
      <c r="G185" s="23">
        <f t="shared" si="73"/>
        <v>9</v>
      </c>
      <c r="H185" s="23" t="str">
        <f t="shared" si="67"/>
        <v>CF</v>
      </c>
      <c r="I185" s="23" t="str">
        <f t="shared" si="68"/>
        <v>CF</v>
      </c>
      <c r="J185" s="23" t="str">
        <f t="shared" si="75"/>
        <v>Child Functioning -- Child #5</v>
      </c>
      <c r="K185" s="93">
        <v>1</v>
      </c>
      <c r="L185" s="82" t="str">
        <f t="shared" ca="1" si="56"/>
        <v/>
      </c>
      <c r="M185" s="23" t="str">
        <f t="shared" ca="1" si="52"/>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290</v>
      </c>
      <c r="AC185" s="203" t="s">
        <v>290</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12</v>
      </c>
      <c r="G186" s="23">
        <f t="shared" si="73"/>
        <v>10</v>
      </c>
      <c r="H186" s="23" t="str">
        <f t="shared" si="67"/>
        <v>CF</v>
      </c>
      <c r="I186" s="23" t="str">
        <f t="shared" si="68"/>
        <v>CF</v>
      </c>
      <c r="J186" s="23" t="str">
        <f t="shared" si="75"/>
        <v>Child Functioning -- Child #5</v>
      </c>
      <c r="K186" s="93">
        <v>1</v>
      </c>
      <c r="L186" s="82" t="str">
        <f t="shared" ca="1" si="56"/>
        <v/>
      </c>
      <c r="M186" s="23" t="str">
        <f t="shared" ca="1" si="52"/>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291</v>
      </c>
      <c r="AC186" s="209" t="s">
        <v>291</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12</v>
      </c>
      <c r="G187" s="23">
        <f t="shared" si="73"/>
        <v>11</v>
      </c>
      <c r="H187" s="23" t="str">
        <f t="shared" si="67"/>
        <v>CF</v>
      </c>
      <c r="I187" s="23" t="str">
        <f t="shared" si="68"/>
        <v>CF</v>
      </c>
      <c r="J187" s="23" t="str">
        <f t="shared" si="75"/>
        <v>Child Functioning -- Child #5</v>
      </c>
      <c r="K187" s="93">
        <v>1</v>
      </c>
      <c r="L187" s="82" t="str">
        <f t="shared" ca="1" si="56"/>
        <v/>
      </c>
      <c r="M187" s="23" t="str">
        <f t="shared" ca="1" si="52"/>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292</v>
      </c>
      <c r="AC187" s="203" t="s">
        <v>292</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12</v>
      </c>
      <c r="G188" s="23">
        <f t="shared" si="73"/>
        <v>12</v>
      </c>
      <c r="H188" s="23" t="str">
        <f t="shared" si="67"/>
        <v>CF</v>
      </c>
      <c r="I188" s="23" t="str">
        <f t="shared" si="68"/>
        <v>CF</v>
      </c>
      <c r="J188" s="23" t="str">
        <f t="shared" si="75"/>
        <v>Child Functioning -- Child #5</v>
      </c>
      <c r="K188" s="93">
        <v>1</v>
      </c>
      <c r="L188" s="82" t="str">
        <f t="shared" ca="1" si="56"/>
        <v/>
      </c>
      <c r="M188" s="23" t="str">
        <f t="shared" ca="1" si="52"/>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293</v>
      </c>
      <c r="AC188" s="209" t="s">
        <v>293</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12</v>
      </c>
      <c r="G189" s="23">
        <f t="shared" si="73"/>
        <v>13</v>
      </c>
      <c r="H189" s="23" t="str">
        <f t="shared" si="67"/>
        <v>CF</v>
      </c>
      <c r="I189" s="23" t="str">
        <f t="shared" si="68"/>
        <v>CF</v>
      </c>
      <c r="J189" s="23" t="str">
        <f t="shared" si="75"/>
        <v>Child Functioning -- Child #5</v>
      </c>
      <c r="K189" s="93">
        <v>1</v>
      </c>
      <c r="L189" s="82" t="str">
        <f t="shared" ca="1" si="56"/>
        <v/>
      </c>
      <c r="M189" s="23" t="str">
        <f t="shared" ca="1" si="52"/>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12</v>
      </c>
      <c r="G190" s="23">
        <f t="shared" si="73"/>
        <v>14</v>
      </c>
      <c r="H190" s="23" t="str">
        <f t="shared" si="67"/>
        <v>CF</v>
      </c>
      <c r="I190" s="23" t="str">
        <f t="shared" si="68"/>
        <v>CF</v>
      </c>
      <c r="J190" s="23" t="str">
        <f t="shared" si="75"/>
        <v>Child Functioning -- Child #5</v>
      </c>
      <c r="K190" s="93">
        <v>1</v>
      </c>
      <c r="L190" s="82" t="str">
        <f t="shared" ca="1" si="56"/>
        <v/>
      </c>
      <c r="M190" s="23" t="str">
        <f t="shared" ref="M190:M209" ca="1" si="80">IF($J190=$J189, M189, "")&amp;IF(Q190&lt;&gt;"-", IF(M189="",  "", ", ")&amp;$AC190, "")</f>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294</v>
      </c>
      <c r="AC190" s="209" t="s">
        <v>294</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12</v>
      </c>
      <c r="G191" s="23">
        <f t="shared" si="73"/>
        <v>15</v>
      </c>
      <c r="H191" s="23" t="str">
        <f t="shared" si="67"/>
        <v>CF</v>
      </c>
      <c r="I191" s="23" t="str">
        <f t="shared" si="68"/>
        <v>CF</v>
      </c>
      <c r="J191" s="23" t="str">
        <f t="shared" si="75"/>
        <v>Child Functioning -- Child #5</v>
      </c>
      <c r="K191" s="93">
        <v>1</v>
      </c>
      <c r="L191" s="82" t="str">
        <f t="shared" ca="1" si="56"/>
        <v/>
      </c>
      <c r="M191" s="23" t="str">
        <f t="shared" ca="1" si="80"/>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13</v>
      </c>
      <c r="G192" s="23">
        <f t="shared" si="73"/>
        <v>0</v>
      </c>
      <c r="H192" s="23" t="str">
        <f t="shared" si="67"/>
        <v>CF</v>
      </c>
      <c r="I192" s="23" t="str">
        <f t="shared" si="68"/>
        <v>CF</v>
      </c>
      <c r="J192" s="23" t="str">
        <f t="shared" si="75"/>
        <v>Child Functioning -- Child #6</v>
      </c>
      <c r="K192" s="93">
        <v>0</v>
      </c>
      <c r="L192" s="82" t="str">
        <f t="shared" ca="1" si="56"/>
        <v/>
      </c>
      <c r="M192" s="23" t="str">
        <f t="shared" ca="1" si="80"/>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330</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1">IF(H193&lt;&gt;H195, H193, "")</f>
        <v/>
      </c>
      <c r="D193" s="23" t="str">
        <f t="shared" si="81"/>
        <v/>
      </c>
      <c r="E193" s="23" t="str">
        <f t="shared" si="81"/>
        <v/>
      </c>
      <c r="F193" s="82">
        <f t="shared" si="72"/>
        <v>13</v>
      </c>
      <c r="G193" s="23">
        <f t="shared" si="73"/>
        <v>0</v>
      </c>
      <c r="H193" s="23" t="str">
        <f t="shared" si="67"/>
        <v>CF</v>
      </c>
      <c r="I193" s="23" t="str">
        <f t="shared" si="68"/>
        <v>CF</v>
      </c>
      <c r="J193" s="23" t="str">
        <f t="shared" si="75"/>
        <v>Child Functioning -- Child #6</v>
      </c>
      <c r="K193" s="93">
        <v>2</v>
      </c>
      <c r="L193" s="82" t="str">
        <f t="shared" ca="1" si="56"/>
        <v/>
      </c>
      <c r="M193" s="23" t="str">
        <f t="shared" ca="1" si="80"/>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331</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1"/>
        <v/>
      </c>
      <c r="D194" s="23" t="str">
        <f t="shared" si="81"/>
        <v/>
      </c>
      <c r="E194" s="23" t="str">
        <f t="shared" si="81"/>
        <v/>
      </c>
      <c r="F194" s="82">
        <f>IF(K194=0, IF(ISNUMBER(F193), F193+1, 1), F193)</f>
        <v>13</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6"/>
        <v/>
      </c>
      <c r="M194" s="23" t="str">
        <f t="shared" ca="1" si="80"/>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916</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13</v>
      </c>
      <c r="G195" s="23">
        <f>IF(K195=0, 0, IF(K195=1, G193+1, G193))</f>
        <v>1</v>
      </c>
      <c r="H195" s="23" t="str">
        <f t="shared" si="67"/>
        <v>CF</v>
      </c>
      <c r="I195" s="23" t="str">
        <f t="shared" si="68"/>
        <v>CF</v>
      </c>
      <c r="J195" s="23" t="str">
        <f>IF(K195=0, AC195, J193)</f>
        <v>Child Functioning -- Child #6</v>
      </c>
      <c r="K195" s="93">
        <v>1</v>
      </c>
      <c r="L195" s="82" t="str">
        <f t="shared" ca="1" si="56"/>
        <v/>
      </c>
      <c r="M195" s="23" t="str">
        <f t="shared" ca="1" si="80"/>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283</v>
      </c>
      <c r="AC195" s="203" t="s">
        <v>283</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13</v>
      </c>
      <c r="G196" s="23">
        <f t="shared" si="73"/>
        <v>2</v>
      </c>
      <c r="H196" s="23" t="str">
        <f t="shared" si="67"/>
        <v>CF</v>
      </c>
      <c r="I196" s="23" t="str">
        <f t="shared" si="68"/>
        <v>CF</v>
      </c>
      <c r="J196" s="23" t="str">
        <f t="shared" ref="J196:J209" si="82">IF(K196=0, AC196, J195)</f>
        <v>Child Functioning -- Child #6</v>
      </c>
      <c r="K196" s="93">
        <v>1</v>
      </c>
      <c r="L196" s="82" t="str">
        <f t="shared" ca="1" si="56"/>
        <v/>
      </c>
      <c r="M196" s="23" t="str">
        <f t="shared" ca="1" si="80"/>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3">AA195+IF(AB196=0, 0, 1)</f>
        <v>151</v>
      </c>
      <c r="AB196" s="15" t="s">
        <v>284</v>
      </c>
      <c r="AC196" s="209" t="s">
        <v>284</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13</v>
      </c>
      <c r="G197" s="23">
        <f t="shared" si="73"/>
        <v>3</v>
      </c>
      <c r="H197" s="23" t="str">
        <f t="shared" si="67"/>
        <v>CF</v>
      </c>
      <c r="I197" s="23" t="str">
        <f t="shared" si="68"/>
        <v>CF</v>
      </c>
      <c r="J197" s="23" t="str">
        <f t="shared" si="82"/>
        <v>Child Functioning -- Child #6</v>
      </c>
      <c r="K197" s="93">
        <v>1</v>
      </c>
      <c r="L197" s="82" t="str">
        <f t="shared" ca="1" si="56"/>
        <v/>
      </c>
      <c r="M197" s="23" t="str">
        <f t="shared" ca="1" si="80"/>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3"/>
        <v>152</v>
      </c>
      <c r="AB197" s="15" t="s">
        <v>286</v>
      </c>
      <c r="AC197" s="203" t="s">
        <v>286</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13</v>
      </c>
      <c r="G198" s="23">
        <f t="shared" si="73"/>
        <v>4</v>
      </c>
      <c r="H198" s="23" t="str">
        <f t="shared" si="67"/>
        <v>CF</v>
      </c>
      <c r="I198" s="23" t="str">
        <f t="shared" si="68"/>
        <v>CF</v>
      </c>
      <c r="J198" s="23" t="str">
        <f t="shared" si="82"/>
        <v>Child Functioning -- Child #6</v>
      </c>
      <c r="K198" s="93">
        <v>1</v>
      </c>
      <c r="L198" s="82" t="str">
        <f t="shared" ca="1" si="56"/>
        <v/>
      </c>
      <c r="M198" s="23" t="str">
        <f t="shared" ca="1" si="80"/>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3"/>
        <v>153</v>
      </c>
      <c r="AB198" s="15" t="s">
        <v>481</v>
      </c>
      <c r="AC198" s="209" t="s">
        <v>285</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13</v>
      </c>
      <c r="G199" s="23">
        <f t="shared" si="73"/>
        <v>5</v>
      </c>
      <c r="H199" s="23" t="str">
        <f t="shared" si="67"/>
        <v>CF</v>
      </c>
      <c r="I199" s="23" t="str">
        <f t="shared" si="68"/>
        <v>CF</v>
      </c>
      <c r="J199" s="23" t="str">
        <f t="shared" si="82"/>
        <v>Child Functioning -- Child #6</v>
      </c>
      <c r="K199" s="93">
        <v>1</v>
      </c>
      <c r="L199" s="82" t="str">
        <f t="shared" ca="1" si="56"/>
        <v/>
      </c>
      <c r="M199" s="23" t="str">
        <f t="shared" ca="1" si="80"/>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3"/>
        <v>154</v>
      </c>
      <c r="AB199" s="16" t="s">
        <v>287</v>
      </c>
      <c r="AC199" s="203" t="s">
        <v>287</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13</v>
      </c>
      <c r="G200" s="23">
        <f t="shared" si="73"/>
        <v>6</v>
      </c>
      <c r="H200" s="23" t="str">
        <f t="shared" si="67"/>
        <v>CF</v>
      </c>
      <c r="I200" s="23" t="str">
        <f t="shared" si="68"/>
        <v>CF</v>
      </c>
      <c r="J200" s="23" t="str">
        <f t="shared" si="82"/>
        <v>Child Functioning -- Child #6</v>
      </c>
      <c r="K200" s="93">
        <v>1</v>
      </c>
      <c r="L200" s="82" t="str">
        <f t="shared" ca="1" si="56"/>
        <v/>
      </c>
      <c r="M200" s="23" t="str">
        <f t="shared" ca="1" si="80"/>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3"/>
        <v>155</v>
      </c>
      <c r="AB200" s="16" t="s">
        <v>288</v>
      </c>
      <c r="AC200" s="209" t="s">
        <v>288</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13</v>
      </c>
      <c r="G201" s="23">
        <f t="shared" si="73"/>
        <v>7</v>
      </c>
      <c r="H201" s="23" t="str">
        <f t="shared" si="67"/>
        <v>CF</v>
      </c>
      <c r="I201" s="23" t="str">
        <f t="shared" si="68"/>
        <v>CF</v>
      </c>
      <c r="J201" s="23" t="str">
        <f t="shared" si="82"/>
        <v>Child Functioning -- Child #6</v>
      </c>
      <c r="K201" s="93">
        <v>1</v>
      </c>
      <c r="L201" s="82" t="str">
        <f t="shared" ca="1" si="56"/>
        <v/>
      </c>
      <c r="M201" s="23" t="str">
        <f t="shared" ca="1" si="80"/>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3"/>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13</v>
      </c>
      <c r="G202" s="23">
        <f t="shared" si="73"/>
        <v>8</v>
      </c>
      <c r="H202" s="23" t="str">
        <f t="shared" si="67"/>
        <v>CF</v>
      </c>
      <c r="I202" s="23" t="str">
        <f t="shared" si="68"/>
        <v>CF</v>
      </c>
      <c r="J202" s="23" t="str">
        <f t="shared" si="82"/>
        <v>Child Functioning -- Child #6</v>
      </c>
      <c r="K202" s="93">
        <v>1</v>
      </c>
      <c r="L202" s="82" t="str">
        <f t="shared" ca="1" si="56"/>
        <v/>
      </c>
      <c r="M202" s="23" t="str">
        <f t="shared" ca="1" si="80"/>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3"/>
        <v>157</v>
      </c>
      <c r="AB202" s="15" t="s">
        <v>289</v>
      </c>
      <c r="AC202" s="209" t="s">
        <v>289</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13</v>
      </c>
      <c r="G203" s="23">
        <f t="shared" si="73"/>
        <v>9</v>
      </c>
      <c r="H203" s="23" t="str">
        <f t="shared" si="67"/>
        <v>CF</v>
      </c>
      <c r="I203" s="23" t="str">
        <f t="shared" si="68"/>
        <v>CF</v>
      </c>
      <c r="J203" s="23" t="str">
        <f t="shared" si="82"/>
        <v>Child Functioning -- Child #6</v>
      </c>
      <c r="K203" s="93">
        <v>1</v>
      </c>
      <c r="L203" s="82" t="str">
        <f t="shared" ca="1" si="56"/>
        <v/>
      </c>
      <c r="M203" s="23" t="str">
        <f t="shared" ca="1" si="80"/>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3"/>
        <v>158</v>
      </c>
      <c r="AB203" s="15" t="s">
        <v>290</v>
      </c>
      <c r="AC203" s="203" t="s">
        <v>290</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13</v>
      </c>
      <c r="G204" s="23">
        <f t="shared" si="73"/>
        <v>10</v>
      </c>
      <c r="H204" s="23" t="str">
        <f t="shared" si="67"/>
        <v>CF</v>
      </c>
      <c r="I204" s="23" t="str">
        <f t="shared" si="68"/>
        <v>CF</v>
      </c>
      <c r="J204" s="23" t="str">
        <f t="shared" si="82"/>
        <v>Child Functioning -- Child #6</v>
      </c>
      <c r="K204" s="93">
        <v>1</v>
      </c>
      <c r="L204" s="82" t="str">
        <f t="shared" ca="1" si="56"/>
        <v/>
      </c>
      <c r="M204" s="23" t="str">
        <f t="shared" ca="1" si="80"/>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3"/>
        <v>159</v>
      </c>
      <c r="AB204" s="15" t="s">
        <v>291</v>
      </c>
      <c r="AC204" s="209" t="s">
        <v>291</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13</v>
      </c>
      <c r="G205" s="23">
        <f t="shared" si="73"/>
        <v>11</v>
      </c>
      <c r="H205" s="23" t="str">
        <f t="shared" si="67"/>
        <v>CF</v>
      </c>
      <c r="I205" s="23" t="str">
        <f t="shared" si="68"/>
        <v>CF</v>
      </c>
      <c r="J205" s="23" t="str">
        <f t="shared" si="82"/>
        <v>Child Functioning -- Child #6</v>
      </c>
      <c r="K205" s="93">
        <v>1</v>
      </c>
      <c r="L205" s="82" t="str">
        <f t="shared" ca="1" si="56"/>
        <v/>
      </c>
      <c r="M205" s="23" t="str">
        <f t="shared" ca="1" si="80"/>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3"/>
        <v>160</v>
      </c>
      <c r="AB205" s="15" t="s">
        <v>292</v>
      </c>
      <c r="AC205" s="203" t="s">
        <v>292</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13</v>
      </c>
      <c r="G206" s="23">
        <f t="shared" si="73"/>
        <v>12</v>
      </c>
      <c r="H206" s="23" t="str">
        <f t="shared" si="67"/>
        <v>CF</v>
      </c>
      <c r="I206" s="23" t="str">
        <f t="shared" si="68"/>
        <v>CF</v>
      </c>
      <c r="J206" s="23" t="str">
        <f t="shared" si="82"/>
        <v>Child Functioning -- Child #6</v>
      </c>
      <c r="K206" s="93">
        <v>1</v>
      </c>
      <c r="L206" s="82" t="str">
        <f t="shared" ca="1" si="56"/>
        <v/>
      </c>
      <c r="M206" s="23" t="str">
        <f t="shared" ca="1" si="80"/>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3"/>
        <v>161</v>
      </c>
      <c r="AB206" s="15" t="s">
        <v>293</v>
      </c>
      <c r="AC206" s="209" t="s">
        <v>293</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13</v>
      </c>
      <c r="G207" s="23">
        <f t="shared" si="73"/>
        <v>13</v>
      </c>
      <c r="H207" s="23" t="str">
        <f t="shared" si="67"/>
        <v>CF</v>
      </c>
      <c r="I207" s="23" t="str">
        <f t="shared" si="68"/>
        <v>CF</v>
      </c>
      <c r="J207" s="23" t="str">
        <f t="shared" si="82"/>
        <v>Child Functioning -- Child #6</v>
      </c>
      <c r="K207" s="93">
        <v>1</v>
      </c>
      <c r="L207" s="82" t="str">
        <f t="shared" ca="1" si="56"/>
        <v/>
      </c>
      <c r="M207" s="23" t="str">
        <f t="shared" ca="1" si="80"/>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3"/>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13</v>
      </c>
      <c r="G208" s="23">
        <f t="shared" si="73"/>
        <v>14</v>
      </c>
      <c r="H208" s="23" t="str">
        <f t="shared" si="67"/>
        <v>CF</v>
      </c>
      <c r="I208" s="23" t="str">
        <f t="shared" si="68"/>
        <v>CF</v>
      </c>
      <c r="J208" s="23" t="str">
        <f t="shared" si="82"/>
        <v>Child Functioning -- Child #6</v>
      </c>
      <c r="K208" s="93">
        <v>1</v>
      </c>
      <c r="L208" s="82" t="str">
        <f t="shared" ca="1" si="56"/>
        <v/>
      </c>
      <c r="M208" s="23" t="str">
        <f t="shared" ca="1" si="80"/>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3"/>
        <v>163</v>
      </c>
      <c r="AB208" s="15" t="s">
        <v>294</v>
      </c>
      <c r="AC208" s="209" t="s">
        <v>294</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13</v>
      </c>
      <c r="G209" s="159">
        <f t="shared" si="73"/>
        <v>15</v>
      </c>
      <c r="H209" s="159" t="str">
        <f t="shared" si="67"/>
        <v>CF</v>
      </c>
      <c r="I209" s="159" t="str">
        <f t="shared" si="68"/>
        <v>CF</v>
      </c>
      <c r="J209" s="159" t="str">
        <f t="shared" si="82"/>
        <v>Child Functioning -- Child #6</v>
      </c>
      <c r="K209" s="160">
        <v>1</v>
      </c>
      <c r="L209" s="82" t="str">
        <f t="shared" ca="1" si="56"/>
        <v/>
      </c>
      <c r="M209" s="23" t="str">
        <f t="shared" ca="1" si="80"/>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3"/>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332</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334</v>
      </c>
      <c r="I3" s="18" t="str">
        <f>CaseID&amp;""</f>
        <v/>
      </c>
      <c r="J3" s="18" t="str">
        <f>CaseID&amp;""</f>
        <v/>
      </c>
      <c r="K3" s="18" t="str">
        <f>CaseID&amp;""</f>
        <v/>
      </c>
      <c r="L3" s="18"/>
      <c r="M3" s="18"/>
      <c r="N3" s="18"/>
      <c r="O3" s="18"/>
      <c r="P3" s="18"/>
      <c r="Q3" s="18"/>
      <c r="R3" s="18"/>
      <c r="S3" s="18"/>
      <c r="T3" s="18"/>
      <c r="U3" s="18"/>
    </row>
    <row r="4" spans="1:21" x14ac:dyDescent="0.25">
      <c r="H4" t="s">
        <v>335</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687</v>
      </c>
      <c r="C5" s="14"/>
      <c r="H5" t="s">
        <v>336</v>
      </c>
      <c r="I5" s="18" t="str">
        <f>agency&amp;""</f>
        <v/>
      </c>
      <c r="J5" s="18" t="str">
        <f>agency&amp;""</f>
        <v/>
      </c>
      <c r="K5" s="18" t="str">
        <f>agency&amp;""</f>
        <v/>
      </c>
      <c r="L5" s="18"/>
      <c r="M5" s="18"/>
      <c r="N5" s="18"/>
      <c r="O5" s="18"/>
      <c r="P5" s="18"/>
      <c r="Q5" s="18"/>
      <c r="R5" s="18"/>
      <c r="S5" s="18"/>
      <c r="T5" s="18"/>
      <c r="U5" s="18"/>
    </row>
    <row r="6" spans="1:21" x14ac:dyDescent="0.25">
      <c r="H6" t="s">
        <v>337</v>
      </c>
      <c r="I6" s="18" t="str">
        <f>office&amp;""</f>
        <v/>
      </c>
      <c r="J6" s="18" t="str">
        <f>office&amp;""</f>
        <v/>
      </c>
      <c r="K6" s="18" t="str">
        <f>office&amp;""</f>
        <v/>
      </c>
      <c r="L6" s="18"/>
      <c r="M6" s="18"/>
      <c r="N6" s="18"/>
      <c r="O6" s="18"/>
      <c r="P6" s="18"/>
      <c r="Q6" s="18"/>
      <c r="R6" s="18"/>
      <c r="S6" s="18"/>
      <c r="T6" s="18"/>
      <c r="U6" s="18"/>
    </row>
    <row r="7" spans="1:21" x14ac:dyDescent="0.25">
      <c r="H7" t="s">
        <v>313</v>
      </c>
      <c r="I7" s="18" t="str">
        <f>serviceType&amp;""</f>
        <v/>
      </c>
      <c r="J7" s="18" t="str">
        <f>serviceType&amp;""</f>
        <v/>
      </c>
      <c r="K7" s="18" t="str">
        <f>serviceType&amp;""</f>
        <v/>
      </c>
      <c r="L7" s="18"/>
      <c r="M7" s="18"/>
      <c r="N7" s="18"/>
      <c r="O7" s="18"/>
      <c r="P7" s="18"/>
      <c r="Q7" s="18"/>
      <c r="R7" s="18"/>
      <c r="S7" s="18"/>
      <c r="T7" s="18"/>
      <c r="U7" s="18"/>
    </row>
    <row r="8" spans="1:21" x14ac:dyDescent="0.25">
      <c r="H8" t="s">
        <v>338</v>
      </c>
      <c r="I8" s="19">
        <f>nCaregivers</f>
        <v>1</v>
      </c>
      <c r="J8" s="19">
        <f>nCaregivers</f>
        <v>1</v>
      </c>
      <c r="K8" s="19">
        <f>nCaregivers</f>
        <v>1</v>
      </c>
      <c r="L8" s="19"/>
      <c r="M8" s="19"/>
      <c r="N8" s="19"/>
      <c r="O8" s="19"/>
      <c r="P8" s="19"/>
      <c r="Q8" s="19"/>
      <c r="R8" s="19"/>
      <c r="S8" s="19"/>
      <c r="T8" s="19"/>
      <c r="U8" s="19"/>
    </row>
    <row r="9" spans="1:21" x14ac:dyDescent="0.25">
      <c r="B9" s="14" t="s">
        <v>51</v>
      </c>
      <c r="C9" s="14" t="s">
        <v>690</v>
      </c>
      <c r="D9" s="14" t="s">
        <v>689</v>
      </c>
      <c r="E9" s="14" t="s">
        <v>688</v>
      </c>
      <c r="F9" s="14" t="s">
        <v>57</v>
      </c>
      <c r="G9" s="14" t="s">
        <v>333</v>
      </c>
      <c r="H9" t="s">
        <v>339</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334</v>
      </c>
      <c r="B1" s="21" t="s">
        <v>335</v>
      </c>
      <c r="C1" s="21" t="s">
        <v>336</v>
      </c>
      <c r="D1" s="21" t="s">
        <v>337</v>
      </c>
      <c r="E1" s="21" t="s">
        <v>313</v>
      </c>
      <c r="F1" s="21" t="s">
        <v>338</v>
      </c>
      <c r="G1" s="21" t="s">
        <v>339</v>
      </c>
      <c r="H1" s="21" t="s">
        <v>263</v>
      </c>
      <c r="I1" s="21" t="s">
        <v>264</v>
      </c>
      <c r="J1" s="21" t="s">
        <v>45</v>
      </c>
      <c r="K1" s="21" t="s">
        <v>265</v>
      </c>
      <c r="L1" s="21" t="s">
        <v>115</v>
      </c>
      <c r="M1" s="21" t="s">
        <v>118</v>
      </c>
      <c r="N1" s="21" t="s">
        <v>266</v>
      </c>
      <c r="O1" s="21" t="s">
        <v>267</v>
      </c>
      <c r="P1" s="21" t="s">
        <v>268</v>
      </c>
      <c r="Q1" s="21" t="s">
        <v>116</v>
      </c>
      <c r="R1" s="21" t="s">
        <v>358</v>
      </c>
      <c r="S1" s="21" t="s">
        <v>359</v>
      </c>
      <c r="T1" s="21" t="s">
        <v>360</v>
      </c>
      <c r="U1" s="21" t="s">
        <v>271</v>
      </c>
      <c r="V1" s="21" t="s">
        <v>272</v>
      </c>
      <c r="W1" s="21" t="s">
        <v>22</v>
      </c>
      <c r="X1" s="21" t="s">
        <v>361</v>
      </c>
      <c r="Y1" s="21" t="s">
        <v>362</v>
      </c>
      <c r="Z1" s="21" t="s">
        <v>692</v>
      </c>
      <c r="AA1" s="21" t="s">
        <v>693</v>
      </c>
      <c r="AB1" s="21" t="s">
        <v>694</v>
      </c>
      <c r="AC1" s="21" t="s">
        <v>695</v>
      </c>
      <c r="AD1" s="21" t="s">
        <v>696</v>
      </c>
      <c r="AE1" s="21" t="s">
        <v>697</v>
      </c>
      <c r="AF1" s="21" t="s">
        <v>698</v>
      </c>
      <c r="AG1" s="21" t="s">
        <v>699</v>
      </c>
      <c r="AH1" s="21" t="s">
        <v>700</v>
      </c>
      <c r="AI1" s="21" t="s">
        <v>701</v>
      </c>
      <c r="AJ1" s="21" t="s">
        <v>702</v>
      </c>
      <c r="AK1" s="21" t="s">
        <v>703</v>
      </c>
      <c r="AL1" s="21" t="s">
        <v>704</v>
      </c>
      <c r="AM1" s="21" t="s">
        <v>705</v>
      </c>
      <c r="AN1" s="21" t="s">
        <v>379</v>
      </c>
      <c r="AO1" s="21" t="s">
        <v>380</v>
      </c>
      <c r="AP1" s="21" t="s">
        <v>381</v>
      </c>
      <c r="AQ1" s="21" t="s">
        <v>382</v>
      </c>
      <c r="AR1" s="21" t="s">
        <v>383</v>
      </c>
      <c r="AS1" s="21" t="s">
        <v>384</v>
      </c>
      <c r="AT1" s="21" t="s">
        <v>385</v>
      </c>
      <c r="AU1" s="21" t="s">
        <v>386</v>
      </c>
      <c r="AV1" s="21" t="s">
        <v>387</v>
      </c>
      <c r="AW1" s="21" t="s">
        <v>388</v>
      </c>
      <c r="AX1" s="21" t="s">
        <v>389</v>
      </c>
      <c r="AY1" s="21" t="s">
        <v>390</v>
      </c>
      <c r="AZ1" s="21" t="s">
        <v>391</v>
      </c>
      <c r="BA1" s="21" t="s">
        <v>392</v>
      </c>
      <c r="BB1" s="21" t="s">
        <v>413</v>
      </c>
      <c r="BC1" s="21" t="s">
        <v>414</v>
      </c>
      <c r="BD1" s="21" t="s">
        <v>415</v>
      </c>
      <c r="BE1" s="21" t="s">
        <v>416</v>
      </c>
      <c r="BF1" s="21" t="s">
        <v>417</v>
      </c>
      <c r="BG1" s="21" t="s">
        <v>418</v>
      </c>
      <c r="BH1" s="21" t="s">
        <v>419</v>
      </c>
      <c r="BI1" s="21" t="s">
        <v>420</v>
      </c>
      <c r="BJ1" s="21" t="s">
        <v>421</v>
      </c>
      <c r="BK1" s="21" t="s">
        <v>422</v>
      </c>
      <c r="BL1" s="21" t="s">
        <v>423</v>
      </c>
      <c r="BM1" s="21" t="s">
        <v>424</v>
      </c>
      <c r="BN1" s="21" t="s">
        <v>425</v>
      </c>
      <c r="BO1" s="21" t="s">
        <v>426</v>
      </c>
      <c r="BP1" s="21" t="s">
        <v>447</v>
      </c>
      <c r="BQ1" s="21" t="s">
        <v>448</v>
      </c>
      <c r="BR1" s="21" t="s">
        <v>449</v>
      </c>
      <c r="BS1" s="21" t="s">
        <v>450</v>
      </c>
      <c r="BT1" s="21" t="s">
        <v>451</v>
      </c>
      <c r="BU1" s="21" t="s">
        <v>452</v>
      </c>
      <c r="BV1" s="21" t="s">
        <v>453</v>
      </c>
      <c r="BW1" s="21" t="s">
        <v>454</v>
      </c>
      <c r="BX1" s="21" t="s">
        <v>455</v>
      </c>
      <c r="BY1" s="21" t="s">
        <v>456</v>
      </c>
      <c r="BZ1" s="21" t="s">
        <v>457</v>
      </c>
      <c r="CA1" s="21" t="s">
        <v>458</v>
      </c>
      <c r="CB1" s="21" t="s">
        <v>459</v>
      </c>
      <c r="CC1" s="21" t="s">
        <v>460</v>
      </c>
      <c r="CD1" s="21" t="s">
        <v>706</v>
      </c>
      <c r="CE1" s="21" t="s">
        <v>707</v>
      </c>
      <c r="CF1" s="21" t="s">
        <v>708</v>
      </c>
      <c r="CG1" s="21" t="s">
        <v>709</v>
      </c>
      <c r="CH1" s="21" t="s">
        <v>710</v>
      </c>
      <c r="CI1" s="21" t="s">
        <v>711</v>
      </c>
      <c r="CJ1" s="21" t="s">
        <v>712</v>
      </c>
      <c r="CK1" s="21" t="s">
        <v>713</v>
      </c>
      <c r="CL1" s="21" t="s">
        <v>714</v>
      </c>
      <c r="CM1" s="21" t="s">
        <v>715</v>
      </c>
      <c r="CN1" s="21" t="s">
        <v>716</v>
      </c>
      <c r="CO1" s="21" t="s">
        <v>717</v>
      </c>
      <c r="CP1" s="21" t="s">
        <v>718</v>
      </c>
      <c r="CQ1" s="21" t="s">
        <v>719</v>
      </c>
      <c r="CR1" s="21" t="s">
        <v>720</v>
      </c>
      <c r="CS1" s="21" t="s">
        <v>482</v>
      </c>
      <c r="CT1" s="21" t="s">
        <v>483</v>
      </c>
      <c r="CU1" s="21" t="s">
        <v>484</v>
      </c>
      <c r="CV1" s="21" t="s">
        <v>485</v>
      </c>
      <c r="CW1" s="21" t="s">
        <v>486</v>
      </c>
      <c r="CX1" s="21" t="s">
        <v>487</v>
      </c>
      <c r="CY1" s="21" t="s">
        <v>488</v>
      </c>
      <c r="CZ1" s="21" t="s">
        <v>489</v>
      </c>
      <c r="DA1" s="21" t="s">
        <v>490</v>
      </c>
      <c r="DB1" s="21" t="s">
        <v>491</v>
      </c>
      <c r="DC1" s="21" t="s">
        <v>492</v>
      </c>
      <c r="DD1" s="21" t="s">
        <v>493</v>
      </c>
      <c r="DE1" s="21" t="s">
        <v>494</v>
      </c>
      <c r="DF1" s="21" t="s">
        <v>495</v>
      </c>
      <c r="DG1" s="21" t="s">
        <v>496</v>
      </c>
      <c r="DH1" s="21" t="s">
        <v>519</v>
      </c>
      <c r="DI1" s="21" t="s">
        <v>520</v>
      </c>
      <c r="DJ1" s="21" t="s">
        <v>521</v>
      </c>
      <c r="DK1" s="21" t="s">
        <v>522</v>
      </c>
      <c r="DL1" s="21" t="s">
        <v>523</v>
      </c>
      <c r="DM1" s="21" t="s">
        <v>524</v>
      </c>
      <c r="DN1" s="21" t="s">
        <v>525</v>
      </c>
      <c r="DO1" s="21" t="s">
        <v>526</v>
      </c>
      <c r="DP1" s="21" t="s">
        <v>527</v>
      </c>
      <c r="DQ1" s="21" t="s">
        <v>528</v>
      </c>
      <c r="DR1" s="21" t="s">
        <v>529</v>
      </c>
      <c r="DS1" s="21" t="s">
        <v>530</v>
      </c>
      <c r="DT1" s="21" t="s">
        <v>531</v>
      </c>
      <c r="DU1" s="21" t="s">
        <v>532</v>
      </c>
      <c r="DV1" s="21" t="s">
        <v>533</v>
      </c>
      <c r="DW1" s="21" t="s">
        <v>556</v>
      </c>
      <c r="DX1" s="21" t="s">
        <v>557</v>
      </c>
      <c r="DY1" s="21" t="s">
        <v>558</v>
      </c>
      <c r="DZ1" s="21" t="s">
        <v>559</v>
      </c>
      <c r="EA1" s="21" t="s">
        <v>560</v>
      </c>
      <c r="EB1" s="21" t="s">
        <v>561</v>
      </c>
      <c r="EC1" s="21" t="s">
        <v>562</v>
      </c>
      <c r="ED1" s="21" t="s">
        <v>563</v>
      </c>
      <c r="EE1" s="21" t="s">
        <v>564</v>
      </c>
      <c r="EF1" s="21" t="s">
        <v>565</v>
      </c>
      <c r="EG1" s="21" t="s">
        <v>566</v>
      </c>
      <c r="EH1" s="21" t="s">
        <v>567</v>
      </c>
      <c r="EI1" s="21" t="s">
        <v>568</v>
      </c>
      <c r="EJ1" s="21" t="s">
        <v>569</v>
      </c>
      <c r="EK1" s="21" t="s">
        <v>570</v>
      </c>
      <c r="EL1" s="21" t="s">
        <v>593</v>
      </c>
      <c r="EM1" s="21" t="s">
        <v>594</v>
      </c>
      <c r="EN1" s="21" t="s">
        <v>595</v>
      </c>
      <c r="EO1" s="21" t="s">
        <v>596</v>
      </c>
      <c r="EP1" s="21" t="s">
        <v>721</v>
      </c>
      <c r="EQ1" s="21" t="s">
        <v>722</v>
      </c>
      <c r="ER1" s="21" t="s">
        <v>597</v>
      </c>
      <c r="ES1" s="21" t="s">
        <v>598</v>
      </c>
      <c r="ET1" s="21" t="s">
        <v>599</v>
      </c>
      <c r="EU1" s="21" t="s">
        <v>600</v>
      </c>
      <c r="EV1" s="21" t="s">
        <v>601</v>
      </c>
      <c r="EW1" s="21" t="s">
        <v>602</v>
      </c>
      <c r="EX1" s="21" t="s">
        <v>603</v>
      </c>
      <c r="EY1" s="21" t="s">
        <v>604</v>
      </c>
      <c r="EZ1" s="21" t="s">
        <v>605</v>
      </c>
      <c r="FA1" s="21" t="s">
        <v>628</v>
      </c>
      <c r="FB1" s="21" t="s">
        <v>629</v>
      </c>
      <c r="FC1" s="21" t="s">
        <v>630</v>
      </c>
      <c r="FD1" s="21" t="s">
        <v>631</v>
      </c>
      <c r="FE1" s="21" t="s">
        <v>632</v>
      </c>
      <c r="FF1" s="21" t="s">
        <v>633</v>
      </c>
      <c r="FG1" s="21" t="s">
        <v>634</v>
      </c>
      <c r="FH1" s="21" t="s">
        <v>635</v>
      </c>
      <c r="FI1" s="21" t="s">
        <v>636</v>
      </c>
      <c r="FJ1" s="21" t="s">
        <v>637</v>
      </c>
      <c r="FK1" s="21" t="s">
        <v>638</v>
      </c>
      <c r="FL1" s="21" t="s">
        <v>639</v>
      </c>
      <c r="FM1" s="21" t="s">
        <v>640</v>
      </c>
      <c r="FN1" s="21" t="s">
        <v>641</v>
      </c>
      <c r="FO1" s="21" t="s">
        <v>642</v>
      </c>
      <c r="FP1" s="21" t="s">
        <v>340</v>
      </c>
      <c r="FQ1" s="21" t="s">
        <v>723</v>
      </c>
      <c r="FR1" t="s">
        <v>341</v>
      </c>
      <c r="FS1" t="s">
        <v>342</v>
      </c>
      <c r="FT1" t="s">
        <v>343</v>
      </c>
      <c r="FU1" t="s">
        <v>344</v>
      </c>
      <c r="FV1" t="s">
        <v>345</v>
      </c>
      <c r="FW1" t="s">
        <v>346</v>
      </c>
      <c r="FX1" t="s">
        <v>347</v>
      </c>
      <c r="FY1" t="s">
        <v>348</v>
      </c>
      <c r="FZ1" t="s">
        <v>363</v>
      </c>
      <c r="GA1" t="s">
        <v>364</v>
      </c>
      <c r="GB1" t="s">
        <v>365</v>
      </c>
      <c r="GC1" t="s">
        <v>366</v>
      </c>
      <c r="GD1" t="s">
        <v>367</v>
      </c>
      <c r="GE1" t="s">
        <v>368</v>
      </c>
      <c r="GF1" t="s">
        <v>369</v>
      </c>
      <c r="GG1" t="s">
        <v>370</v>
      </c>
      <c r="GH1" t="s">
        <v>724</v>
      </c>
      <c r="GI1" t="s">
        <v>725</v>
      </c>
      <c r="GJ1" t="s">
        <v>726</v>
      </c>
      <c r="GK1" t="s">
        <v>727</v>
      </c>
      <c r="GL1" t="s">
        <v>728</v>
      </c>
      <c r="GM1" t="s">
        <v>729</v>
      </c>
      <c r="GN1" t="s">
        <v>730</v>
      </c>
      <c r="GO1" t="s">
        <v>731</v>
      </c>
      <c r="GP1" t="s">
        <v>732</v>
      </c>
      <c r="GQ1" t="s">
        <v>733</v>
      </c>
      <c r="GR1" t="s">
        <v>734</v>
      </c>
      <c r="GS1" t="s">
        <v>735</v>
      </c>
      <c r="GT1" t="s">
        <v>736</v>
      </c>
      <c r="GU1" t="s">
        <v>737</v>
      </c>
      <c r="GV1" t="s">
        <v>393</v>
      </c>
      <c r="GW1" t="s">
        <v>394</v>
      </c>
      <c r="GX1" t="s">
        <v>395</v>
      </c>
      <c r="GY1" t="s">
        <v>396</v>
      </c>
      <c r="GZ1" t="s">
        <v>738</v>
      </c>
      <c r="HA1" t="s">
        <v>397</v>
      </c>
      <c r="HB1" t="s">
        <v>739</v>
      </c>
      <c r="HC1" t="s">
        <v>398</v>
      </c>
      <c r="HD1" t="s">
        <v>399</v>
      </c>
      <c r="HE1" t="s">
        <v>400</v>
      </c>
      <c r="HF1" t="s">
        <v>401</v>
      </c>
      <c r="HG1" t="s">
        <v>740</v>
      </c>
      <c r="HH1" t="s">
        <v>741</v>
      </c>
      <c r="HI1" t="s">
        <v>402</v>
      </c>
      <c r="HJ1" t="s">
        <v>427</v>
      </c>
      <c r="HK1" t="s">
        <v>428</v>
      </c>
      <c r="HL1" t="s">
        <v>429</v>
      </c>
      <c r="HM1" t="s">
        <v>430</v>
      </c>
      <c r="HN1" t="s">
        <v>742</v>
      </c>
      <c r="HO1" t="s">
        <v>431</v>
      </c>
      <c r="HP1" t="s">
        <v>743</v>
      </c>
      <c r="HQ1" t="s">
        <v>432</v>
      </c>
      <c r="HR1" t="s">
        <v>433</v>
      </c>
      <c r="HS1" t="s">
        <v>434</v>
      </c>
      <c r="HT1" t="s">
        <v>435</v>
      </c>
      <c r="HU1" t="s">
        <v>744</v>
      </c>
      <c r="HV1" t="s">
        <v>745</v>
      </c>
      <c r="HW1" t="s">
        <v>436</v>
      </c>
      <c r="HX1" t="s">
        <v>461</v>
      </c>
      <c r="HY1" t="s">
        <v>462</v>
      </c>
      <c r="HZ1" t="s">
        <v>463</v>
      </c>
      <c r="IA1" t="s">
        <v>464</v>
      </c>
      <c r="IB1" t="s">
        <v>746</v>
      </c>
      <c r="IC1" t="s">
        <v>465</v>
      </c>
      <c r="ID1" t="s">
        <v>747</v>
      </c>
      <c r="IE1" t="s">
        <v>466</v>
      </c>
      <c r="IF1" t="s">
        <v>467</v>
      </c>
      <c r="IG1" t="s">
        <v>468</v>
      </c>
      <c r="IH1" t="s">
        <v>469</v>
      </c>
      <c r="II1" t="s">
        <v>748</v>
      </c>
      <c r="IJ1" t="s">
        <v>749</v>
      </c>
      <c r="IK1" t="s">
        <v>470</v>
      </c>
      <c r="IL1" t="s">
        <v>750</v>
      </c>
      <c r="IM1" t="s">
        <v>751</v>
      </c>
      <c r="IN1" t="s">
        <v>752</v>
      </c>
      <c r="IO1" t="s">
        <v>753</v>
      </c>
      <c r="IP1" t="s">
        <v>754</v>
      </c>
      <c r="IQ1" t="s">
        <v>755</v>
      </c>
      <c r="IR1" t="s">
        <v>756</v>
      </c>
      <c r="IS1" t="s">
        <v>757</v>
      </c>
      <c r="IT1" t="s">
        <v>758</v>
      </c>
      <c r="IU1" t="s">
        <v>759</v>
      </c>
      <c r="IV1" t="s">
        <v>760</v>
      </c>
      <c r="IW1" t="s">
        <v>761</v>
      </c>
      <c r="IX1" t="s">
        <v>762</v>
      </c>
      <c r="IY1" t="s">
        <v>763</v>
      </c>
      <c r="IZ1" t="s">
        <v>764</v>
      </c>
      <c r="JA1" t="s">
        <v>765</v>
      </c>
      <c r="JB1" t="s">
        <v>497</v>
      </c>
      <c r="JC1" t="s">
        <v>498</v>
      </c>
      <c r="JD1" t="s">
        <v>499</v>
      </c>
      <c r="JE1" t="s">
        <v>500</v>
      </c>
      <c r="JF1" t="s">
        <v>501</v>
      </c>
      <c r="JG1" t="s">
        <v>502</v>
      </c>
      <c r="JH1" t="s">
        <v>503</v>
      </c>
      <c r="JI1" t="s">
        <v>504</v>
      </c>
      <c r="JJ1" t="s">
        <v>766</v>
      </c>
      <c r="JK1" t="s">
        <v>767</v>
      </c>
      <c r="JL1" t="s">
        <v>505</v>
      </c>
      <c r="JM1" t="s">
        <v>506</v>
      </c>
      <c r="JN1" t="s">
        <v>507</v>
      </c>
      <c r="JO1" t="s">
        <v>768</v>
      </c>
      <c r="JP1" t="s">
        <v>769</v>
      </c>
      <c r="JQ1" t="s">
        <v>534</v>
      </c>
      <c r="JR1" t="s">
        <v>535</v>
      </c>
      <c r="JS1" t="s">
        <v>536</v>
      </c>
      <c r="JT1" t="s">
        <v>537</v>
      </c>
      <c r="JU1" t="s">
        <v>538</v>
      </c>
      <c r="JV1" t="s">
        <v>539</v>
      </c>
      <c r="JW1" t="s">
        <v>540</v>
      </c>
      <c r="JX1" t="s">
        <v>541</v>
      </c>
      <c r="JY1" t="s">
        <v>770</v>
      </c>
      <c r="JZ1" t="s">
        <v>771</v>
      </c>
      <c r="KA1" t="s">
        <v>542</v>
      </c>
      <c r="KB1" t="s">
        <v>543</v>
      </c>
      <c r="KC1" t="s">
        <v>544</v>
      </c>
      <c r="KD1" t="s">
        <v>772</v>
      </c>
      <c r="KE1" t="s">
        <v>773</v>
      </c>
      <c r="KF1" t="s">
        <v>571</v>
      </c>
      <c r="KG1" t="s">
        <v>572</v>
      </c>
      <c r="KH1" t="s">
        <v>573</v>
      </c>
      <c r="KI1" t="s">
        <v>574</v>
      </c>
      <c r="KJ1" t="s">
        <v>575</v>
      </c>
      <c r="KK1" t="s">
        <v>576</v>
      </c>
      <c r="KL1" t="s">
        <v>577</v>
      </c>
      <c r="KM1" t="s">
        <v>578</v>
      </c>
      <c r="KN1" t="s">
        <v>774</v>
      </c>
      <c r="KO1" t="s">
        <v>775</v>
      </c>
      <c r="KP1" t="s">
        <v>579</v>
      </c>
      <c r="KQ1" t="s">
        <v>580</v>
      </c>
      <c r="KR1" t="s">
        <v>581</v>
      </c>
      <c r="KS1" t="s">
        <v>776</v>
      </c>
      <c r="KT1" t="s">
        <v>777</v>
      </c>
      <c r="KU1" t="s">
        <v>606</v>
      </c>
      <c r="KV1" t="s">
        <v>607</v>
      </c>
      <c r="KW1" t="s">
        <v>608</v>
      </c>
      <c r="KX1" t="s">
        <v>609</v>
      </c>
      <c r="KY1" t="s">
        <v>610</v>
      </c>
      <c r="KZ1" t="s">
        <v>611</v>
      </c>
      <c r="LA1" t="s">
        <v>612</v>
      </c>
      <c r="LB1" t="s">
        <v>613</v>
      </c>
      <c r="LC1" t="s">
        <v>778</v>
      </c>
      <c r="LD1" t="s">
        <v>779</v>
      </c>
      <c r="LE1" t="s">
        <v>614</v>
      </c>
      <c r="LF1" t="s">
        <v>615</v>
      </c>
      <c r="LG1" t="s">
        <v>616</v>
      </c>
      <c r="LH1" t="s">
        <v>780</v>
      </c>
      <c r="LI1" t="s">
        <v>781</v>
      </c>
      <c r="LJ1" t="s">
        <v>643</v>
      </c>
      <c r="LK1" t="s">
        <v>644</v>
      </c>
      <c r="LL1" t="s">
        <v>645</v>
      </c>
      <c r="LM1" t="s">
        <v>646</v>
      </c>
      <c r="LN1" t="s">
        <v>647</v>
      </c>
      <c r="LO1" t="s">
        <v>648</v>
      </c>
      <c r="LP1" t="s">
        <v>649</v>
      </c>
      <c r="LQ1" t="s">
        <v>650</v>
      </c>
      <c r="LR1" t="s">
        <v>782</v>
      </c>
      <c r="LS1" t="s">
        <v>783</v>
      </c>
      <c r="LT1" t="s">
        <v>651</v>
      </c>
      <c r="LU1" t="s">
        <v>652</v>
      </c>
      <c r="LV1" t="s">
        <v>653</v>
      </c>
      <c r="LW1" t="s">
        <v>784</v>
      </c>
      <c r="LX1" t="s">
        <v>349</v>
      </c>
      <c r="LY1" t="s">
        <v>785</v>
      </c>
      <c r="LZ1" t="s">
        <v>350</v>
      </c>
      <c r="MA1" t="s">
        <v>351</v>
      </c>
      <c r="MB1" t="s">
        <v>352</v>
      </c>
      <c r="MC1" t="s">
        <v>353</v>
      </c>
      <c r="MD1" t="s">
        <v>354</v>
      </c>
      <c r="ME1" t="s">
        <v>355</v>
      </c>
      <c r="MF1" t="s">
        <v>356</v>
      </c>
      <c r="MG1" t="s">
        <v>357</v>
      </c>
      <c r="MH1" t="s">
        <v>371</v>
      </c>
      <c r="MI1" t="s">
        <v>372</v>
      </c>
      <c r="MJ1" t="s">
        <v>373</v>
      </c>
      <c r="MK1" t="s">
        <v>374</v>
      </c>
      <c r="ML1" t="s">
        <v>375</v>
      </c>
      <c r="MM1" t="s">
        <v>376</v>
      </c>
      <c r="MN1" t="s">
        <v>377</v>
      </c>
      <c r="MO1" t="s">
        <v>378</v>
      </c>
      <c r="MP1" t="s">
        <v>786</v>
      </c>
      <c r="MQ1" t="s">
        <v>787</v>
      </c>
      <c r="MR1" t="s">
        <v>788</v>
      </c>
      <c r="MS1" t="s">
        <v>789</v>
      </c>
      <c r="MT1" t="s">
        <v>790</v>
      </c>
      <c r="MU1" t="s">
        <v>791</v>
      </c>
      <c r="MV1" t="s">
        <v>792</v>
      </c>
      <c r="MW1" t="s">
        <v>793</v>
      </c>
      <c r="MX1" t="s">
        <v>794</v>
      </c>
      <c r="MY1" t="s">
        <v>795</v>
      </c>
      <c r="MZ1" t="s">
        <v>796</v>
      </c>
      <c r="NA1" t="s">
        <v>797</v>
      </c>
      <c r="NB1" t="s">
        <v>798</v>
      </c>
      <c r="NC1" t="s">
        <v>799</v>
      </c>
      <c r="ND1" t="s">
        <v>403</v>
      </c>
      <c r="NE1" t="s">
        <v>404</v>
      </c>
      <c r="NF1" t="s">
        <v>405</v>
      </c>
      <c r="NG1" t="s">
        <v>406</v>
      </c>
      <c r="NH1" t="s">
        <v>800</v>
      </c>
      <c r="NI1" t="s">
        <v>407</v>
      </c>
      <c r="NJ1" t="s">
        <v>801</v>
      </c>
      <c r="NK1" t="s">
        <v>408</v>
      </c>
      <c r="NL1" t="s">
        <v>409</v>
      </c>
      <c r="NM1" t="s">
        <v>410</v>
      </c>
      <c r="NN1" t="s">
        <v>411</v>
      </c>
      <c r="NO1" t="s">
        <v>802</v>
      </c>
      <c r="NP1" t="s">
        <v>803</v>
      </c>
      <c r="NQ1" t="s">
        <v>412</v>
      </c>
      <c r="NR1" t="s">
        <v>437</v>
      </c>
      <c r="NS1" t="s">
        <v>438</v>
      </c>
      <c r="NT1" t="s">
        <v>439</v>
      </c>
      <c r="NU1" t="s">
        <v>440</v>
      </c>
      <c r="NV1" t="s">
        <v>804</v>
      </c>
      <c r="NW1" t="s">
        <v>441</v>
      </c>
      <c r="NX1" t="s">
        <v>805</v>
      </c>
      <c r="NY1" t="s">
        <v>442</v>
      </c>
      <c r="NZ1" t="s">
        <v>443</v>
      </c>
      <c r="OA1" t="s">
        <v>444</v>
      </c>
      <c r="OB1" t="s">
        <v>445</v>
      </c>
      <c r="OC1" t="s">
        <v>806</v>
      </c>
      <c r="OD1" t="s">
        <v>807</v>
      </c>
      <c r="OE1" t="s">
        <v>446</v>
      </c>
      <c r="OF1" t="s">
        <v>471</v>
      </c>
      <c r="OG1" t="s">
        <v>472</v>
      </c>
      <c r="OH1" t="s">
        <v>473</v>
      </c>
      <c r="OI1" t="s">
        <v>474</v>
      </c>
      <c r="OJ1" t="s">
        <v>808</v>
      </c>
      <c r="OK1" t="s">
        <v>475</v>
      </c>
      <c r="OL1" t="s">
        <v>809</v>
      </c>
      <c r="OM1" t="s">
        <v>476</v>
      </c>
      <c r="ON1" t="s">
        <v>477</v>
      </c>
      <c r="OO1" t="s">
        <v>478</v>
      </c>
      <c r="OP1" t="s">
        <v>479</v>
      </c>
      <c r="OQ1" t="s">
        <v>810</v>
      </c>
      <c r="OR1" t="s">
        <v>811</v>
      </c>
      <c r="OS1" t="s">
        <v>480</v>
      </c>
      <c r="OT1" t="s">
        <v>812</v>
      </c>
      <c r="OU1" t="s">
        <v>813</v>
      </c>
      <c r="OV1" t="s">
        <v>814</v>
      </c>
      <c r="OW1" t="s">
        <v>815</v>
      </c>
      <c r="OX1" t="s">
        <v>816</v>
      </c>
      <c r="OY1" t="s">
        <v>817</v>
      </c>
      <c r="OZ1" t="s">
        <v>818</v>
      </c>
      <c r="PA1" t="s">
        <v>819</v>
      </c>
      <c r="PB1" t="s">
        <v>820</v>
      </c>
      <c r="PC1" t="s">
        <v>821</v>
      </c>
      <c r="PD1" t="s">
        <v>822</v>
      </c>
      <c r="PE1" t="s">
        <v>823</v>
      </c>
      <c r="PF1" t="s">
        <v>824</v>
      </c>
      <c r="PG1" t="s">
        <v>825</v>
      </c>
      <c r="PH1" t="s">
        <v>826</v>
      </c>
      <c r="PI1" t="s">
        <v>827</v>
      </c>
      <c r="PJ1" t="s">
        <v>508</v>
      </c>
      <c r="PK1" t="s">
        <v>509</v>
      </c>
      <c r="PL1" t="s">
        <v>510</v>
      </c>
      <c r="PM1" t="s">
        <v>511</v>
      </c>
      <c r="PN1" t="s">
        <v>512</v>
      </c>
      <c r="PO1" t="s">
        <v>513</v>
      </c>
      <c r="PP1" t="s">
        <v>514</v>
      </c>
      <c r="PQ1" t="s">
        <v>515</v>
      </c>
      <c r="PR1" t="s">
        <v>828</v>
      </c>
      <c r="PS1" t="s">
        <v>829</v>
      </c>
      <c r="PT1" t="s">
        <v>516</v>
      </c>
      <c r="PU1" t="s">
        <v>517</v>
      </c>
      <c r="PV1" t="s">
        <v>518</v>
      </c>
      <c r="PW1" t="s">
        <v>830</v>
      </c>
      <c r="PX1" t="s">
        <v>831</v>
      </c>
      <c r="PY1" t="s">
        <v>545</v>
      </c>
      <c r="PZ1" t="s">
        <v>546</v>
      </c>
      <c r="QA1" t="s">
        <v>547</v>
      </c>
      <c r="QB1" t="s">
        <v>548</v>
      </c>
      <c r="QC1" t="s">
        <v>549</v>
      </c>
      <c r="QD1" t="s">
        <v>550</v>
      </c>
      <c r="QE1" t="s">
        <v>551</v>
      </c>
      <c r="QF1" t="s">
        <v>552</v>
      </c>
      <c r="QG1" t="s">
        <v>832</v>
      </c>
      <c r="QH1" t="s">
        <v>833</v>
      </c>
      <c r="QI1" t="s">
        <v>553</v>
      </c>
      <c r="QJ1" t="s">
        <v>554</v>
      </c>
      <c r="QK1" t="s">
        <v>555</v>
      </c>
      <c r="QL1" t="s">
        <v>834</v>
      </c>
      <c r="QM1" t="s">
        <v>835</v>
      </c>
      <c r="QN1" t="s">
        <v>582</v>
      </c>
      <c r="QO1" t="s">
        <v>583</v>
      </c>
      <c r="QP1" t="s">
        <v>584</v>
      </c>
      <c r="QQ1" t="s">
        <v>585</v>
      </c>
      <c r="QR1" t="s">
        <v>586</v>
      </c>
      <c r="QS1" t="s">
        <v>587</v>
      </c>
      <c r="QT1" t="s">
        <v>588</v>
      </c>
      <c r="QU1" t="s">
        <v>589</v>
      </c>
      <c r="QV1" t="s">
        <v>836</v>
      </c>
      <c r="QW1" t="s">
        <v>837</v>
      </c>
      <c r="QX1" t="s">
        <v>590</v>
      </c>
      <c r="QY1" t="s">
        <v>591</v>
      </c>
      <c r="QZ1" t="s">
        <v>592</v>
      </c>
      <c r="RA1" t="s">
        <v>838</v>
      </c>
      <c r="RB1" t="s">
        <v>839</v>
      </c>
      <c r="RC1" t="s">
        <v>617</v>
      </c>
      <c r="RD1" t="s">
        <v>618</v>
      </c>
      <c r="RE1" t="s">
        <v>619</v>
      </c>
      <c r="RF1" t="s">
        <v>620</v>
      </c>
      <c r="RG1" t="s">
        <v>621</v>
      </c>
      <c r="RH1" t="s">
        <v>622</v>
      </c>
      <c r="RI1" t="s">
        <v>623</v>
      </c>
      <c r="RJ1" t="s">
        <v>624</v>
      </c>
      <c r="RK1" t="s">
        <v>840</v>
      </c>
      <c r="RL1" t="s">
        <v>841</v>
      </c>
      <c r="RM1" t="s">
        <v>625</v>
      </c>
      <c r="RN1" t="s">
        <v>626</v>
      </c>
      <c r="RO1" t="s">
        <v>627</v>
      </c>
      <c r="RP1" t="s">
        <v>842</v>
      </c>
      <c r="RQ1" t="s">
        <v>843</v>
      </c>
      <c r="RR1" t="s">
        <v>654</v>
      </c>
      <c r="RS1" t="s">
        <v>655</v>
      </c>
      <c r="RT1" t="s">
        <v>656</v>
      </c>
      <c r="RU1" t="s">
        <v>657</v>
      </c>
      <c r="RV1" t="s">
        <v>658</v>
      </c>
      <c r="RW1" t="s">
        <v>659</v>
      </c>
      <c r="RX1" t="s">
        <v>660</v>
      </c>
      <c r="RY1" t="s">
        <v>661</v>
      </c>
      <c r="RZ1" t="s">
        <v>844</v>
      </c>
      <c r="SA1" t="s">
        <v>845</v>
      </c>
      <c r="SB1" t="s">
        <v>662</v>
      </c>
      <c r="SC1" t="s">
        <v>663</v>
      </c>
      <c r="SD1" t="s">
        <v>664</v>
      </c>
      <c r="SE1" t="s">
        <v>846</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917</v>
      </c>
      <c r="P3" s="118" t="s">
        <v>918</v>
      </c>
      <c r="Q3" s="118" t="s">
        <v>919</v>
      </c>
      <c r="R3" s="118" t="s">
        <v>920</v>
      </c>
      <c r="S3" s="118" t="s">
        <v>921</v>
      </c>
      <c r="T3" s="118" t="s">
        <v>922</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2" sqref="C12"/>
    </sheetView>
  </sheetViews>
  <sheetFormatPr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303</v>
      </c>
      <c r="B1" s="128"/>
      <c r="C1" s="166"/>
      <c r="D1" s="129"/>
      <c r="E1" s="129"/>
      <c r="F1" s="129"/>
    </row>
    <row r="2" spans="1:6" x14ac:dyDescent="0.25">
      <c r="A2" s="130"/>
      <c r="B2" s="131"/>
      <c r="C2" s="134" t="s">
        <v>304</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680</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305</v>
      </c>
      <c r="C7" s="173" t="s">
        <v>305</v>
      </c>
      <c r="D7" s="139" t="str">
        <f t="shared" ca="1" si="0"/>
        <v/>
      </c>
      <c r="E7" s="139" t="str">
        <f t="shared" ca="1" si="1"/>
        <v/>
      </c>
      <c r="F7" s="124"/>
    </row>
    <row r="8" spans="1:6" x14ac:dyDescent="0.25">
      <c r="A8" s="124"/>
      <c r="B8" s="133" t="s">
        <v>323</v>
      </c>
      <c r="C8" s="173" t="str">
        <f>"Caregiver Functioning - "&amp;CGName1</f>
        <v xml:space="preserve">Caregiver Functioning - </v>
      </c>
      <c r="D8" s="139" t="str">
        <f t="shared" ca="1" si="0"/>
        <v/>
      </c>
      <c r="E8" s="139" t="str">
        <f t="shared" ca="1" si="1"/>
        <v/>
      </c>
      <c r="F8" s="124"/>
    </row>
    <row r="9" spans="1:6" x14ac:dyDescent="0.25">
      <c r="A9" s="124"/>
      <c r="B9" s="133" t="s">
        <v>324</v>
      </c>
      <c r="C9" s="173" t="str">
        <f>"Caregiver Functioning - "&amp;CGName2</f>
        <v xml:space="preserve">Caregiver Functioning - </v>
      </c>
      <c r="D9" s="139" t="str">
        <f t="shared" ca="1" si="0"/>
        <v/>
      </c>
      <c r="E9" s="139" t="str">
        <f t="shared" ca="1" si="1"/>
        <v/>
      </c>
      <c r="F9" s="124"/>
    </row>
    <row r="10" spans="1:6" x14ac:dyDescent="0.25">
      <c r="A10" s="124"/>
      <c r="B10" s="133" t="s">
        <v>667</v>
      </c>
      <c r="C10" s="173" t="str">
        <f>"Caregiver Functioning - "&amp;CGName3</f>
        <v xml:space="preserve">Caregiver Functioning - </v>
      </c>
      <c r="D10" s="139" t="str">
        <f t="shared" ca="1" si="0"/>
        <v/>
      </c>
      <c r="E10" s="139" t="str">
        <f t="shared" ca="1" si="1"/>
        <v/>
      </c>
      <c r="F10" s="124"/>
    </row>
    <row r="11" spans="1:6" x14ac:dyDescent="0.25">
      <c r="A11" s="124"/>
      <c r="B11" s="133" t="s">
        <v>668</v>
      </c>
      <c r="C11" s="173" t="str">
        <f>"Caregiver Functioning - "&amp;CGName4</f>
        <v xml:space="preserve">Caregiver Functioning - </v>
      </c>
      <c r="D11" s="139" t="str">
        <f t="shared" ca="1" si="0"/>
        <v/>
      </c>
      <c r="E11" s="139" t="str">
        <f t="shared" ca="1" si="1"/>
        <v/>
      </c>
      <c r="F11" s="124"/>
    </row>
    <row r="12" spans="1:6" x14ac:dyDescent="0.25">
      <c r="A12" s="124"/>
      <c r="B12" s="133" t="s">
        <v>325</v>
      </c>
      <c r="C12" s="173" t="str">
        <f>"Child Functioning - "&amp;ChildName1</f>
        <v xml:space="preserve">Child Functioning - </v>
      </c>
      <c r="D12" s="139" t="str">
        <f t="shared" ca="1" si="0"/>
        <v/>
      </c>
      <c r="E12" s="139" t="str">
        <f t="shared" ca="1" si="1"/>
        <v/>
      </c>
      <c r="F12" s="124"/>
    </row>
    <row r="13" spans="1:6" x14ac:dyDescent="0.25">
      <c r="A13" s="124"/>
      <c r="B13" s="133" t="s">
        <v>326</v>
      </c>
      <c r="C13" s="173" t="str">
        <f>"Child Functioning - "&amp;ChildName2</f>
        <v xml:space="preserve">Child Functioning - </v>
      </c>
      <c r="D13" s="139" t="str">
        <f t="shared" ca="1" si="0"/>
        <v/>
      </c>
      <c r="E13" s="139" t="str">
        <f t="shared" ca="1" si="1"/>
        <v/>
      </c>
      <c r="F13" s="124"/>
    </row>
    <row r="14" spans="1:6" x14ac:dyDescent="0.25">
      <c r="A14" s="124"/>
      <c r="B14" s="133" t="s">
        <v>327</v>
      </c>
      <c r="C14" s="173" t="str">
        <f>"Child Functioning - "&amp;ChildName3</f>
        <v xml:space="preserve">Child Functioning - </v>
      </c>
      <c r="D14" s="139" t="str">
        <f t="shared" ca="1" si="0"/>
        <v/>
      </c>
      <c r="E14" s="139" t="str">
        <f t="shared" ca="1" si="1"/>
        <v/>
      </c>
      <c r="F14" s="124"/>
    </row>
    <row r="15" spans="1:6" x14ac:dyDescent="0.25">
      <c r="A15" s="124"/>
      <c r="B15" s="133" t="s">
        <v>328</v>
      </c>
      <c r="C15" s="173" t="str">
        <f>"Child Functioning - "&amp;ChildName4</f>
        <v xml:space="preserve">Child Functioning - </v>
      </c>
      <c r="D15" s="139" t="str">
        <f t="shared" ca="1" si="0"/>
        <v/>
      </c>
      <c r="E15" s="139" t="str">
        <f t="shared" ca="1" si="1"/>
        <v/>
      </c>
      <c r="F15" s="124"/>
    </row>
    <row r="16" spans="1:6" x14ac:dyDescent="0.25">
      <c r="A16" s="124"/>
      <c r="B16" s="133" t="s">
        <v>329</v>
      </c>
      <c r="C16" s="173" t="str">
        <f>"Child Functioning - "&amp;ChildName5</f>
        <v xml:space="preserve">Child Functioning - </v>
      </c>
      <c r="D16" s="139" t="str">
        <f t="shared" ca="1" si="0"/>
        <v/>
      </c>
      <c r="E16" s="139" t="str">
        <f t="shared" ca="1" si="1"/>
        <v/>
      </c>
      <c r="F16" s="124"/>
    </row>
    <row r="17" spans="1:6" x14ac:dyDescent="0.25">
      <c r="A17" s="124"/>
      <c r="B17" s="133" t="s">
        <v>330</v>
      </c>
      <c r="C17" s="173" t="str">
        <f>"Child Functioning - "&amp;ChildName6</f>
        <v xml:space="preserve">Child Functioning - </v>
      </c>
      <c r="D17" s="139" t="str">
        <f t="shared" ca="1" si="0"/>
        <v/>
      </c>
      <c r="E17" s="139" t="str">
        <f t="shared" ca="1" si="1"/>
        <v/>
      </c>
      <c r="F17" s="124"/>
    </row>
    <row r="18" spans="1:6" x14ac:dyDescent="0.25">
      <c r="A18" s="124"/>
      <c r="B18" s="133"/>
      <c r="C18" s="140"/>
      <c r="D18" s="141" t="s">
        <v>306</v>
      </c>
      <c r="E18" s="141" t="s">
        <v>307</v>
      </c>
      <c r="F18" s="124"/>
    </row>
    <row r="19" spans="1:6" x14ac:dyDescent="0.25">
      <c r="A19" s="124"/>
      <c r="B19" s="133" t="s">
        <v>682</v>
      </c>
      <c r="C19" s="173" t="s">
        <v>10</v>
      </c>
      <c r="D19" s="139" t="str">
        <f ca="1">INDEX(USList, MATCH($B19, LastDomShortItem, 0))&amp;""</f>
        <v/>
      </c>
      <c r="E19" s="139" t="str">
        <f ca="1">INDEX(SBList, MATCH($B19, LastDomShortItem, 0))&amp;""</f>
        <v/>
      </c>
      <c r="F19" s="124"/>
    </row>
    <row r="20" spans="1:6" x14ac:dyDescent="0.25">
      <c r="A20" s="124"/>
      <c r="B20" s="133" t="s">
        <v>665</v>
      </c>
      <c r="C20" s="173" t="s">
        <v>308</v>
      </c>
      <c r="D20" s="139" t="str">
        <f ca="1">INDEX(USList, MATCH($B20, LastDomShortItem, 0))&amp;""</f>
        <v/>
      </c>
      <c r="E20" s="139" t="str">
        <f ca="1">INDEX(SBList, MATCH($B20, LastDomShortItem, 0))&amp;""</f>
        <v/>
      </c>
      <c r="F20" s="124"/>
    </row>
    <row r="21" spans="1:6" x14ac:dyDescent="0.25">
      <c r="A21" s="124"/>
      <c r="B21" s="133" t="s">
        <v>666</v>
      </c>
      <c r="C21" s="173" t="s">
        <v>309</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683</v>
      </c>
      <c r="C23" s="142" t="s">
        <v>310</v>
      </c>
      <c r="D23" s="143"/>
      <c r="E23" s="143"/>
      <c r="F23" s="124"/>
    </row>
    <row r="24" spans="1:6" x14ac:dyDescent="0.25">
      <c r="A24" s="124"/>
      <c r="B24" s="144">
        <f>FamilyGoals</f>
        <v>0</v>
      </c>
      <c r="C24" s="173" t="s">
        <v>311</v>
      </c>
      <c r="D24" s="287" t="str">
        <f>FamilyGoals &amp; ""</f>
        <v/>
      </c>
      <c r="E24" s="287"/>
      <c r="F24" s="124"/>
    </row>
    <row r="25" spans="1:6" x14ac:dyDescent="0.25">
      <c r="A25" s="124"/>
      <c r="B25" s="144">
        <f>FamilyStrengths</f>
        <v>0</v>
      </c>
      <c r="C25" s="173" t="s">
        <v>10</v>
      </c>
      <c r="D25" s="287" t="str">
        <f>FamilyStrengths &amp; ""</f>
        <v/>
      </c>
      <c r="E25" s="287"/>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323</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325</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323</v>
      </c>
      <c r="K4">
        <f>K3+1</f>
        <v>2</v>
      </c>
      <c r="L4" s="20" t="str">
        <f t="shared" ref="L4:L12" si="7">J4&amp;"_"&amp;K4</f>
        <v>Caregiver Functioning - Caregiver #1_2</v>
      </c>
      <c r="M4" s="20" t="str">
        <f t="shared" si="2"/>
        <v>Distress Tolerance</v>
      </c>
      <c r="N4" t="e">
        <f t="shared" si="3"/>
        <v>#N/A</v>
      </c>
      <c r="O4" t="e">
        <f t="shared" si="3"/>
        <v>#N/A</v>
      </c>
      <c r="P4" t="e">
        <f t="shared" si="3"/>
        <v>#N/A</v>
      </c>
      <c r="R4" s="52" t="s">
        <v>325</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323</v>
      </c>
      <c r="K5">
        <f t="shared" ref="K5:K12" si="10">K4+1</f>
        <v>3</v>
      </c>
      <c r="L5" s="20" t="str">
        <f t="shared" si="7"/>
        <v>Caregiver Functioning - Caregiver #1_3</v>
      </c>
      <c r="M5" s="20" t="str">
        <f t="shared" si="2"/>
        <v>Supervision</v>
      </c>
      <c r="N5" t="e">
        <f t="shared" si="3"/>
        <v>#N/A</v>
      </c>
      <c r="O5" t="e">
        <f t="shared" si="3"/>
        <v>#N/A</v>
      </c>
      <c r="P5" t="e">
        <f t="shared" si="3"/>
        <v>#N/A</v>
      </c>
      <c r="R5" s="52" t="s">
        <v>325</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323</v>
      </c>
      <c r="K6">
        <f t="shared" si="10"/>
        <v>4</v>
      </c>
      <c r="L6" s="20" t="str">
        <f t="shared" si="7"/>
        <v>Caregiver Functioning - Caregiver #1_4</v>
      </c>
      <c r="M6" s="20" t="str">
        <f t="shared" si="2"/>
        <v>Discipline</v>
      </c>
      <c r="N6" t="e">
        <f t="shared" si="3"/>
        <v>#N/A</v>
      </c>
      <c r="O6" t="e">
        <f t="shared" si="3"/>
        <v>#N/A</v>
      </c>
      <c r="P6" t="e">
        <f t="shared" si="3"/>
        <v>#N/A</v>
      </c>
      <c r="R6" s="52" t="s">
        <v>325</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323</v>
      </c>
      <c r="K7">
        <f t="shared" si="10"/>
        <v>5</v>
      </c>
      <c r="L7" s="20" t="str">
        <f t="shared" si="7"/>
        <v>Caregiver Functioning - Caregiver #1_5</v>
      </c>
      <c r="M7" s="20" t="str">
        <f t="shared" si="2"/>
        <v>Mental Health</v>
      </c>
      <c r="N7" t="e">
        <f t="shared" si="3"/>
        <v>#N/A</v>
      </c>
      <c r="O7" t="e">
        <f t="shared" si="3"/>
        <v>#N/A</v>
      </c>
      <c r="P7" t="e">
        <f t="shared" si="3"/>
        <v>#N/A</v>
      </c>
      <c r="R7" s="52" t="s">
        <v>325</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323</v>
      </c>
      <c r="K8">
        <f t="shared" si="10"/>
        <v>6</v>
      </c>
      <c r="L8" s="20" t="str">
        <f t="shared" si="7"/>
        <v>Caregiver Functioning - Caregiver #1_6</v>
      </c>
      <c r="M8" s="20" t="str">
        <f t="shared" si="2"/>
        <v>Partner Relations</v>
      </c>
      <c r="N8" t="e">
        <f t="shared" si="3"/>
        <v>#N/A</v>
      </c>
      <c r="O8" t="e">
        <f t="shared" si="3"/>
        <v>#N/A</v>
      </c>
      <c r="P8" t="e">
        <f t="shared" si="3"/>
        <v>#N/A</v>
      </c>
      <c r="R8" s="52" t="s">
        <v>325</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323</v>
      </c>
      <c r="K9">
        <f t="shared" si="10"/>
        <v>7</v>
      </c>
      <c r="L9" s="20" t="str">
        <f t="shared" si="7"/>
        <v>Caregiver Functioning - Caregiver #1_7</v>
      </c>
      <c r="M9" s="20" t="str">
        <f t="shared" si="2"/>
        <v>Substance Abuse</v>
      </c>
      <c r="N9" t="e">
        <f t="shared" si="3"/>
        <v>#N/A</v>
      </c>
      <c r="O9" t="e">
        <f t="shared" si="3"/>
        <v>#N/A</v>
      </c>
      <c r="P9" t="e">
        <f t="shared" si="3"/>
        <v>#N/A</v>
      </c>
      <c r="R9" s="52" t="s">
        <v>325</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323</v>
      </c>
      <c r="K10">
        <f t="shared" si="10"/>
        <v>8</v>
      </c>
      <c r="L10" s="20" t="str">
        <f t="shared" si="7"/>
        <v>Caregiver Functioning - Caregiver #1_8</v>
      </c>
      <c r="M10" s="20" t="str">
        <f t="shared" si="2"/>
        <v>Physical Health</v>
      </c>
      <c r="N10" t="e">
        <f t="shared" si="3"/>
        <v>#N/A</v>
      </c>
      <c r="O10" t="e">
        <f t="shared" si="3"/>
        <v>#N/A</v>
      </c>
      <c r="P10" t="e">
        <f t="shared" si="3"/>
        <v>#N/A</v>
      </c>
      <c r="R10" s="52" t="s">
        <v>325</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323</v>
      </c>
      <c r="K11">
        <f t="shared" si="10"/>
        <v>9</v>
      </c>
      <c r="L11" s="20" t="str">
        <f t="shared" si="7"/>
        <v>Caregiver Functioning - Caregiver #1_9</v>
      </c>
      <c r="M11" s="20" t="str">
        <f t="shared" si="2"/>
        <v>Organization</v>
      </c>
      <c r="N11" t="e">
        <f t="shared" si="3"/>
        <v>#N/A</v>
      </c>
      <c r="O11" t="e">
        <f t="shared" si="3"/>
        <v>#N/A</v>
      </c>
      <c r="P11" t="e">
        <f t="shared" si="3"/>
        <v>#N/A</v>
      </c>
      <c r="R11" s="52" t="s">
        <v>325</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323</v>
      </c>
      <c r="K12">
        <f t="shared" si="10"/>
        <v>10</v>
      </c>
      <c r="L12" s="20" t="str">
        <f t="shared" si="7"/>
        <v>Caregiver Functioning - Caregiver #1_10</v>
      </c>
      <c r="M12" s="20" t="str">
        <f t="shared" si="2"/>
        <v>Parental Attribution</v>
      </c>
      <c r="N12" t="e">
        <f t="shared" si="3"/>
        <v>#N/A</v>
      </c>
      <c r="O12" t="e">
        <f t="shared" si="3"/>
        <v>#N/A</v>
      </c>
      <c r="P12" t="e">
        <f t="shared" si="3"/>
        <v>#N/A</v>
      </c>
      <c r="R12" s="52" t="s">
        <v>325</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323</v>
      </c>
      <c r="K13">
        <f>K12+1</f>
        <v>11</v>
      </c>
      <c r="L13" s="20" t="str">
        <f>J13&amp;"_"&amp;K13</f>
        <v>Caregiver Functioning - Caregiver #1_11</v>
      </c>
      <c r="M13" s="20" t="str">
        <f t="shared" si="2"/>
        <v>Emotional Responsiveness</v>
      </c>
      <c r="N13" t="e">
        <f t="shared" si="3"/>
        <v>#N/A</v>
      </c>
      <c r="O13" t="e">
        <f t="shared" si="3"/>
        <v>#N/A</v>
      </c>
      <c r="P13" t="e">
        <f t="shared" si="3"/>
        <v>#N/A</v>
      </c>
      <c r="R13" s="52" t="s">
        <v>325</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305</v>
      </c>
      <c r="J14" s="52" t="s">
        <v>323</v>
      </c>
      <c r="K14">
        <f>K13+1</f>
        <v>12</v>
      </c>
      <c r="L14" s="20" t="str">
        <f>J14&amp;"_"&amp;K14</f>
        <v>Caregiver Functioning - Caregiver #1_12</v>
      </c>
      <c r="M14" s="20" t="str">
        <f t="shared" si="2"/>
        <v>Caregiver Posttraumatic Reactions</v>
      </c>
      <c r="N14" t="e">
        <f t="shared" si="3"/>
        <v>#N/A</v>
      </c>
      <c r="O14" t="e">
        <f t="shared" si="3"/>
        <v>#N/A</v>
      </c>
      <c r="P14" t="e">
        <f t="shared" si="3"/>
        <v>#N/A</v>
      </c>
      <c r="R14" s="52" t="s">
        <v>325</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323</v>
      </c>
      <c r="K15">
        <f>K14+1</f>
        <v>13</v>
      </c>
      <c r="L15" s="20" t="str">
        <f>J15&amp;"_"&amp;K15</f>
        <v>Caregiver Functioning - Caregiver #1_13</v>
      </c>
      <c r="M15" s="20" t="str">
        <f t="shared" si="2"/>
        <v>Family Stress</v>
      </c>
      <c r="N15" t="e">
        <f t="shared" si="3"/>
        <v>#N/A</v>
      </c>
      <c r="O15" t="e">
        <f t="shared" si="3"/>
        <v>#N/A</v>
      </c>
      <c r="P15" t="e">
        <f t="shared" si="3"/>
        <v>#N/A</v>
      </c>
      <c r="R15" s="52" t="s">
        <v>325</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305</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323</v>
      </c>
      <c r="K16">
        <f>K15+1</f>
        <v>14</v>
      </c>
      <c r="L16" s="20" t="str">
        <f>J16&amp;"_"&amp;K16</f>
        <v>Caregiver Functioning - Caregiver #1_14</v>
      </c>
      <c r="M16" s="20" t="str">
        <f t="shared" si="2"/>
        <v>Boundaries</v>
      </c>
      <c r="N16" t="e">
        <f t="shared" si="3"/>
        <v>#N/A</v>
      </c>
      <c r="O16" t="e">
        <f t="shared" si="3"/>
        <v>#N/A</v>
      </c>
      <c r="P16" t="e">
        <f t="shared" si="3"/>
        <v>#N/A</v>
      </c>
      <c r="R16" s="52" t="s">
        <v>325</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305</v>
      </c>
      <c r="C17">
        <f>C16+1</f>
        <v>2</v>
      </c>
      <c r="D17" t="str">
        <f t="shared" si="12"/>
        <v>Caregiver Advocacy_2</v>
      </c>
      <c r="E17" t="str">
        <f t="shared" si="13"/>
        <v>Knowledge of Service Options</v>
      </c>
      <c r="F17" t="e">
        <f t="shared" si="14"/>
        <v>#VALUE!</v>
      </c>
      <c r="G17" t="e">
        <f t="shared" si="14"/>
        <v>#N/A</v>
      </c>
      <c r="H17" t="e">
        <f t="shared" si="14"/>
        <v>#N/A</v>
      </c>
      <c r="R17" s="52" t="s">
        <v>325</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305</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305</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305</v>
      </c>
      <c r="C20">
        <f t="shared" si="15"/>
        <v>5</v>
      </c>
      <c r="D20" t="str">
        <f t="shared" si="12"/>
        <v>Caregiver Advocacy_5</v>
      </c>
      <c r="E20" t="str">
        <f t="shared" si="13"/>
        <v>Ability to Communicate</v>
      </c>
      <c r="F20" t="e">
        <f t="shared" si="14"/>
        <v>#VALUE!</v>
      </c>
      <c r="G20" t="e">
        <f t="shared" si="14"/>
        <v>#N/A</v>
      </c>
      <c r="H20" t="e">
        <f t="shared" si="14"/>
        <v>#N/A</v>
      </c>
      <c r="J20" s="52" t="s">
        <v>324</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305</v>
      </c>
      <c r="C21">
        <f t="shared" si="15"/>
        <v>6</v>
      </c>
      <c r="D21" t="str">
        <f t="shared" si="12"/>
        <v>Caregiver Advocacy_6</v>
      </c>
      <c r="E21" t="str">
        <f t="shared" si="13"/>
        <v>Natural Supports</v>
      </c>
      <c r="F21" t="e">
        <f t="shared" si="14"/>
        <v>#VALUE!</v>
      </c>
      <c r="G21" t="e">
        <f t="shared" si="14"/>
        <v>#N/A</v>
      </c>
      <c r="H21" t="e">
        <f t="shared" si="14"/>
        <v>#N/A</v>
      </c>
      <c r="J21" s="52" t="s">
        <v>324</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326</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305</v>
      </c>
      <c r="C22">
        <f t="shared" si="15"/>
        <v>7</v>
      </c>
      <c r="D22" t="str">
        <f t="shared" si="12"/>
        <v>Caregiver Advocacy_7</v>
      </c>
      <c r="E22" t="str">
        <f t="shared" si="13"/>
        <v>Satisfaction With Child’s Living Arrangement</v>
      </c>
      <c r="F22" t="e">
        <f t="shared" si="14"/>
        <v>#VALUE!</v>
      </c>
      <c r="G22" t="e">
        <f t="shared" si="14"/>
        <v>#N/A</v>
      </c>
      <c r="H22" t="e">
        <f t="shared" si="14"/>
        <v>#N/A</v>
      </c>
      <c r="J22" s="52" t="s">
        <v>324</v>
      </c>
      <c r="K22">
        <f t="shared" ref="K22:K29" si="21">K21+1</f>
        <v>3</v>
      </c>
      <c r="L22" s="20" t="str">
        <f t="shared" si="18"/>
        <v>Caregiver Functioning - Caregiver #2_3</v>
      </c>
      <c r="M22" s="20" t="str">
        <f t="shared" si="16"/>
        <v>Supervision</v>
      </c>
      <c r="N22" t="e">
        <f t="shared" si="17"/>
        <v>#N/A</v>
      </c>
      <c r="O22" t="e">
        <f t="shared" si="17"/>
        <v>#N/A</v>
      </c>
      <c r="P22" t="e">
        <f t="shared" si="17"/>
        <v>#N/A</v>
      </c>
      <c r="R22" s="52" t="s">
        <v>326</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305</v>
      </c>
      <c r="C23">
        <f t="shared" si="15"/>
        <v>8</v>
      </c>
      <c r="D23" t="str">
        <f t="shared" si="12"/>
        <v>Caregiver Advocacy_8</v>
      </c>
      <c r="E23" t="str">
        <f t="shared" si="13"/>
        <v>Satisfaction With Educational Arrangement</v>
      </c>
      <c r="F23" t="e">
        <f t="shared" si="14"/>
        <v>#VALUE!</v>
      </c>
      <c r="G23" t="e">
        <f t="shared" si="14"/>
        <v>#N/A</v>
      </c>
      <c r="H23" t="e">
        <f t="shared" si="14"/>
        <v>#N/A</v>
      </c>
      <c r="J23" s="52" t="s">
        <v>324</v>
      </c>
      <c r="K23">
        <f t="shared" si="21"/>
        <v>4</v>
      </c>
      <c r="L23" s="20" t="str">
        <f t="shared" si="18"/>
        <v>Caregiver Functioning - Caregiver #2_4</v>
      </c>
      <c r="M23" s="20" t="str">
        <f t="shared" si="16"/>
        <v>Discipline</v>
      </c>
      <c r="N23" t="e">
        <f t="shared" si="17"/>
        <v>#N/A</v>
      </c>
      <c r="O23" t="e">
        <f t="shared" si="17"/>
        <v>#N/A</v>
      </c>
      <c r="P23" t="e">
        <f t="shared" si="17"/>
        <v>#N/A</v>
      </c>
      <c r="R23" s="52" t="s">
        <v>326</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324</v>
      </c>
      <c r="K24">
        <f t="shared" si="21"/>
        <v>5</v>
      </c>
      <c r="L24" s="20" t="str">
        <f t="shared" si="18"/>
        <v>Caregiver Functioning - Caregiver #2_5</v>
      </c>
      <c r="M24" s="20" t="str">
        <f t="shared" si="16"/>
        <v>Mental Health</v>
      </c>
      <c r="N24" t="e">
        <f t="shared" si="17"/>
        <v>#N/A</v>
      </c>
      <c r="O24" t="e">
        <f t="shared" si="17"/>
        <v>#N/A</v>
      </c>
      <c r="P24" t="e">
        <f t="shared" si="17"/>
        <v>#N/A</v>
      </c>
      <c r="R24" s="52" t="s">
        <v>326</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324</v>
      </c>
      <c r="K25">
        <f t="shared" si="21"/>
        <v>6</v>
      </c>
      <c r="L25" s="20" t="str">
        <f t="shared" si="18"/>
        <v>Caregiver Functioning - Caregiver #2_6</v>
      </c>
      <c r="M25" s="20" t="str">
        <f t="shared" si="16"/>
        <v>Partner Relations</v>
      </c>
      <c r="N25" t="e">
        <f t="shared" si="17"/>
        <v>#N/A</v>
      </c>
      <c r="O25" t="e">
        <f t="shared" si="17"/>
        <v>#N/A</v>
      </c>
      <c r="P25" t="e">
        <f t="shared" si="17"/>
        <v>#N/A</v>
      </c>
      <c r="R25" s="52" t="s">
        <v>326</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324</v>
      </c>
      <c r="K26">
        <f t="shared" si="21"/>
        <v>7</v>
      </c>
      <c r="L26" s="20" t="str">
        <f t="shared" si="18"/>
        <v>Caregiver Functioning - Caregiver #2_7</v>
      </c>
      <c r="M26" s="20" t="str">
        <f t="shared" si="16"/>
        <v>Substance Abuse</v>
      </c>
      <c r="N26" t="e">
        <f t="shared" si="17"/>
        <v>#N/A</v>
      </c>
      <c r="O26" t="e">
        <f t="shared" si="17"/>
        <v>#N/A</v>
      </c>
      <c r="P26" t="e">
        <f t="shared" si="17"/>
        <v>#N/A</v>
      </c>
      <c r="R26" s="52" t="s">
        <v>326</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324</v>
      </c>
      <c r="K27">
        <f t="shared" si="21"/>
        <v>8</v>
      </c>
      <c r="L27" s="20" t="str">
        <f t="shared" si="18"/>
        <v>Caregiver Functioning - Caregiver #2_8</v>
      </c>
      <c r="M27" s="20" t="str">
        <f t="shared" si="16"/>
        <v>Physical Health</v>
      </c>
      <c r="N27" t="e">
        <f t="shared" si="17"/>
        <v>#N/A</v>
      </c>
      <c r="O27" t="e">
        <f t="shared" si="17"/>
        <v>#N/A</v>
      </c>
      <c r="P27" t="e">
        <f t="shared" si="17"/>
        <v>#N/A</v>
      </c>
      <c r="R27" s="52" t="s">
        <v>326</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324</v>
      </c>
      <c r="K28">
        <f t="shared" si="21"/>
        <v>9</v>
      </c>
      <c r="L28" s="20" t="str">
        <f t="shared" si="18"/>
        <v>Caregiver Functioning - Caregiver #2_9</v>
      </c>
      <c r="M28" s="20" t="str">
        <f t="shared" si="16"/>
        <v>Organization</v>
      </c>
      <c r="N28" t="e">
        <f t="shared" si="17"/>
        <v>#N/A</v>
      </c>
      <c r="O28" t="e">
        <f t="shared" si="17"/>
        <v>#N/A</v>
      </c>
      <c r="P28" t="e">
        <f t="shared" si="17"/>
        <v>#N/A</v>
      </c>
      <c r="R28" s="52" t="s">
        <v>326</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324</v>
      </c>
      <c r="K29">
        <f t="shared" si="21"/>
        <v>10</v>
      </c>
      <c r="L29" s="20" t="str">
        <f t="shared" si="18"/>
        <v>Caregiver Functioning - Caregiver #2_10</v>
      </c>
      <c r="M29" s="20" t="str">
        <f t="shared" si="16"/>
        <v>Parental Attribution</v>
      </c>
      <c r="N29" t="e">
        <f t="shared" si="17"/>
        <v>#N/A</v>
      </c>
      <c r="O29" t="e">
        <f t="shared" si="17"/>
        <v>#N/A</v>
      </c>
      <c r="P29" t="e">
        <f t="shared" si="17"/>
        <v>#N/A</v>
      </c>
      <c r="R29" s="52" t="s">
        <v>326</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324</v>
      </c>
      <c r="K30">
        <f>K29+1</f>
        <v>11</v>
      </c>
      <c r="L30" s="20" t="str">
        <f>J30&amp;"_"&amp;K30</f>
        <v>Caregiver Functioning - Caregiver #2_11</v>
      </c>
      <c r="M30" s="20" t="str">
        <f t="shared" si="16"/>
        <v>Emotional Responsiveness</v>
      </c>
      <c r="N30" t="e">
        <f t="shared" si="17"/>
        <v>#N/A</v>
      </c>
      <c r="O30" t="e">
        <f t="shared" si="17"/>
        <v>#N/A</v>
      </c>
      <c r="P30" t="e">
        <f t="shared" si="17"/>
        <v>#N/A</v>
      </c>
      <c r="R30" s="52" t="s">
        <v>326</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324</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326</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324</v>
      </c>
      <c r="K32">
        <f>K31+1</f>
        <v>13</v>
      </c>
      <c r="L32" s="20" t="str">
        <f>J32&amp;"_"&amp;K32</f>
        <v>Caregiver Functioning - Caregiver #2_13</v>
      </c>
      <c r="M32" s="20" t="str">
        <f t="shared" si="16"/>
        <v>Family Stress</v>
      </c>
      <c r="N32" t="e">
        <f t="shared" si="17"/>
        <v>#N/A</v>
      </c>
      <c r="O32" t="e">
        <f t="shared" si="17"/>
        <v>#N/A</v>
      </c>
      <c r="P32" t="e">
        <f t="shared" si="17"/>
        <v>#N/A</v>
      </c>
      <c r="R32" s="52" t="s">
        <v>326</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324</v>
      </c>
      <c r="K33">
        <f>K32+1</f>
        <v>14</v>
      </c>
      <c r="L33" s="20" t="str">
        <f>J33&amp;"_"&amp;K33</f>
        <v>Caregiver Functioning - Caregiver #2_14</v>
      </c>
      <c r="M33" s="20" t="str">
        <f t="shared" si="16"/>
        <v>Boundaries</v>
      </c>
      <c r="N33" t="e">
        <f t="shared" si="17"/>
        <v>#N/A</v>
      </c>
      <c r="O33" t="e">
        <f t="shared" si="17"/>
        <v>#N/A</v>
      </c>
      <c r="P33" t="e">
        <f t="shared" si="17"/>
        <v>#N/A</v>
      </c>
      <c r="R33" s="52" t="s">
        <v>326</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326</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326</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667</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667</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667</v>
      </c>
      <c r="K39">
        <f t="shared" ref="K39:K47" si="27">K38+1</f>
        <v>3</v>
      </c>
      <c r="L39" s="20" t="str">
        <f t="shared" si="26"/>
        <v>Caregiver Functioning - Caregiver #3_3</v>
      </c>
      <c r="M39" s="20" t="str">
        <f t="shared" si="24"/>
        <v>Supervision</v>
      </c>
      <c r="N39" t="e">
        <f t="shared" si="25"/>
        <v>#N/A</v>
      </c>
      <c r="O39" t="e">
        <f t="shared" si="25"/>
        <v>#N/A</v>
      </c>
      <c r="P39" t="e">
        <f t="shared" si="25"/>
        <v>#N/A</v>
      </c>
      <c r="R39" s="52" t="s">
        <v>327</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667</v>
      </c>
      <c r="K40">
        <f t="shared" si="27"/>
        <v>4</v>
      </c>
      <c r="L40" s="20" t="str">
        <f t="shared" si="26"/>
        <v>Caregiver Functioning - Caregiver #3_4</v>
      </c>
      <c r="M40" s="20" t="str">
        <f t="shared" si="24"/>
        <v>Discipline</v>
      </c>
      <c r="N40" t="e">
        <f t="shared" si="25"/>
        <v>#N/A</v>
      </c>
      <c r="O40" t="e">
        <f t="shared" si="25"/>
        <v>#N/A</v>
      </c>
      <c r="P40" t="e">
        <f t="shared" si="25"/>
        <v>#N/A</v>
      </c>
      <c r="R40" s="52" t="s">
        <v>327</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667</v>
      </c>
      <c r="K41">
        <f t="shared" si="27"/>
        <v>5</v>
      </c>
      <c r="L41" s="20" t="str">
        <f t="shared" si="26"/>
        <v>Caregiver Functioning - Caregiver #3_5</v>
      </c>
      <c r="M41" s="20" t="str">
        <f t="shared" si="24"/>
        <v>Mental Health</v>
      </c>
      <c r="N41" t="e">
        <f t="shared" si="25"/>
        <v>#N/A</v>
      </c>
      <c r="O41" t="e">
        <f t="shared" si="25"/>
        <v>#N/A</v>
      </c>
      <c r="P41" t="e">
        <f t="shared" si="25"/>
        <v>#N/A</v>
      </c>
      <c r="R41" s="52" t="s">
        <v>327</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667</v>
      </c>
      <c r="K42">
        <f t="shared" si="27"/>
        <v>6</v>
      </c>
      <c r="L42" s="20" t="str">
        <f t="shared" si="26"/>
        <v>Caregiver Functioning - Caregiver #3_6</v>
      </c>
      <c r="M42" s="20" t="str">
        <f t="shared" si="24"/>
        <v>Partner Relations</v>
      </c>
      <c r="N42" t="e">
        <f t="shared" si="25"/>
        <v>#N/A</v>
      </c>
      <c r="O42" t="e">
        <f t="shared" si="25"/>
        <v>#N/A</v>
      </c>
      <c r="P42" t="e">
        <f t="shared" si="25"/>
        <v>#N/A</v>
      </c>
      <c r="R42" s="52" t="s">
        <v>327</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667</v>
      </c>
      <c r="K43">
        <f t="shared" si="27"/>
        <v>7</v>
      </c>
      <c r="L43" s="20" t="str">
        <f t="shared" si="26"/>
        <v>Caregiver Functioning - Caregiver #3_7</v>
      </c>
      <c r="M43" s="20" t="str">
        <f t="shared" si="24"/>
        <v>Substance Abuse</v>
      </c>
      <c r="N43" t="e">
        <f t="shared" si="25"/>
        <v>#N/A</v>
      </c>
      <c r="O43" t="e">
        <f t="shared" si="25"/>
        <v>#N/A</v>
      </c>
      <c r="P43" t="e">
        <f t="shared" si="25"/>
        <v>#N/A</v>
      </c>
      <c r="R43" s="52" t="s">
        <v>327</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667</v>
      </c>
      <c r="K44">
        <f t="shared" si="27"/>
        <v>8</v>
      </c>
      <c r="L44" s="20" t="str">
        <f t="shared" si="26"/>
        <v>Caregiver Functioning - Caregiver #3_8</v>
      </c>
      <c r="M44" s="20" t="str">
        <f t="shared" si="24"/>
        <v>Physical Health</v>
      </c>
      <c r="N44" t="e">
        <f t="shared" si="25"/>
        <v>#N/A</v>
      </c>
      <c r="O44" t="e">
        <f t="shared" si="25"/>
        <v>#N/A</v>
      </c>
      <c r="P44" t="e">
        <f t="shared" si="25"/>
        <v>#N/A</v>
      </c>
      <c r="R44" s="52" t="s">
        <v>327</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667</v>
      </c>
      <c r="K45">
        <f t="shared" si="27"/>
        <v>9</v>
      </c>
      <c r="L45" s="20" t="str">
        <f t="shared" si="26"/>
        <v>Caregiver Functioning - Caregiver #3_9</v>
      </c>
      <c r="M45" s="20" t="str">
        <f t="shared" si="24"/>
        <v>Organization</v>
      </c>
      <c r="N45" t="e">
        <f t="shared" si="25"/>
        <v>#N/A</v>
      </c>
      <c r="O45" t="e">
        <f t="shared" si="25"/>
        <v>#N/A</v>
      </c>
      <c r="P45" t="e">
        <f t="shared" si="25"/>
        <v>#N/A</v>
      </c>
      <c r="R45" s="52" t="s">
        <v>327</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667</v>
      </c>
      <c r="K46">
        <f t="shared" si="27"/>
        <v>10</v>
      </c>
      <c r="L46" s="20" t="str">
        <f t="shared" si="26"/>
        <v>Caregiver Functioning - Caregiver #3_10</v>
      </c>
      <c r="M46" s="20" t="str">
        <f t="shared" si="24"/>
        <v>Parental Attribution</v>
      </c>
      <c r="N46" t="e">
        <f t="shared" si="25"/>
        <v>#N/A</v>
      </c>
      <c r="O46" t="e">
        <f t="shared" si="25"/>
        <v>#N/A</v>
      </c>
      <c r="P46" t="e">
        <f t="shared" si="25"/>
        <v>#N/A</v>
      </c>
      <c r="R46" s="52" t="s">
        <v>327</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667</v>
      </c>
      <c r="K47">
        <f t="shared" si="27"/>
        <v>11</v>
      </c>
      <c r="L47" s="20" t="str">
        <f t="shared" si="26"/>
        <v>Caregiver Functioning - Caregiver #3_11</v>
      </c>
      <c r="M47" s="20" t="str">
        <f t="shared" si="24"/>
        <v>Emotional Responsiveness</v>
      </c>
      <c r="N47" t="e">
        <f t="shared" si="25"/>
        <v>#N/A</v>
      </c>
      <c r="O47" t="e">
        <f t="shared" si="25"/>
        <v>#N/A</v>
      </c>
      <c r="P47" t="e">
        <f t="shared" si="25"/>
        <v>#N/A</v>
      </c>
      <c r="R47" s="52" t="s">
        <v>327</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667</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327</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667</v>
      </c>
      <c r="K49">
        <f>K48+1</f>
        <v>13</v>
      </c>
      <c r="L49" s="20" t="str">
        <f>J49&amp;"_"&amp;K49</f>
        <v>Caregiver Functioning - Caregiver #3_13</v>
      </c>
      <c r="M49" s="20" t="str">
        <f t="shared" si="24"/>
        <v>Family Stress</v>
      </c>
      <c r="N49" t="e">
        <f t="shared" si="25"/>
        <v>#N/A</v>
      </c>
      <c r="O49" t="e">
        <f t="shared" si="25"/>
        <v>#N/A</v>
      </c>
      <c r="P49" t="e">
        <f t="shared" si="25"/>
        <v>#N/A</v>
      </c>
      <c r="R49" s="52" t="s">
        <v>327</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667</v>
      </c>
      <c r="K50">
        <f>K49+1</f>
        <v>14</v>
      </c>
      <c r="L50" s="20" t="str">
        <f>J50&amp;"_"&amp;K50</f>
        <v>Caregiver Functioning - Caregiver #3_14</v>
      </c>
      <c r="M50" s="20" t="str">
        <f t="shared" si="24"/>
        <v>Boundaries</v>
      </c>
      <c r="N50" t="e">
        <f t="shared" si="25"/>
        <v>#N/A</v>
      </c>
      <c r="O50" t="e">
        <f t="shared" si="25"/>
        <v>#N/A</v>
      </c>
      <c r="P50" t="e">
        <f t="shared" si="25"/>
        <v>#N/A</v>
      </c>
      <c r="R50" s="52" t="s">
        <v>327</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327</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327</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327</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668</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668</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668</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668</v>
      </c>
      <c r="K57">
        <f t="shared" si="35"/>
        <v>4</v>
      </c>
      <c r="L57" s="20" t="str">
        <f t="shared" si="34"/>
        <v>Caregiver Functioning - Caregiver #4_4</v>
      </c>
      <c r="M57" s="20" t="str">
        <f t="shared" si="32"/>
        <v>Discipline</v>
      </c>
      <c r="N57" t="e">
        <f t="shared" si="33"/>
        <v>#N/A</v>
      </c>
      <c r="O57" t="e">
        <f t="shared" si="33"/>
        <v>#N/A</v>
      </c>
      <c r="P57" t="e">
        <f t="shared" si="33"/>
        <v>#N/A</v>
      </c>
      <c r="R57" s="52" t="s">
        <v>328</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668</v>
      </c>
      <c r="K58">
        <f t="shared" si="35"/>
        <v>5</v>
      </c>
      <c r="L58" s="20" t="str">
        <f t="shared" si="34"/>
        <v>Caregiver Functioning - Caregiver #4_5</v>
      </c>
      <c r="M58" s="20" t="str">
        <f t="shared" si="32"/>
        <v>Mental Health</v>
      </c>
      <c r="N58" t="e">
        <f t="shared" si="33"/>
        <v>#N/A</v>
      </c>
      <c r="O58" t="e">
        <f t="shared" si="33"/>
        <v>#N/A</v>
      </c>
      <c r="P58" t="e">
        <f t="shared" si="33"/>
        <v>#N/A</v>
      </c>
      <c r="R58" s="52" t="s">
        <v>328</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668</v>
      </c>
      <c r="K59">
        <f t="shared" si="35"/>
        <v>6</v>
      </c>
      <c r="L59" s="20" t="str">
        <f t="shared" si="34"/>
        <v>Caregiver Functioning - Caregiver #4_6</v>
      </c>
      <c r="M59" s="20" t="str">
        <f t="shared" si="32"/>
        <v>Partner Relations</v>
      </c>
      <c r="N59" t="e">
        <f t="shared" si="33"/>
        <v>#N/A</v>
      </c>
      <c r="O59" t="e">
        <f t="shared" si="33"/>
        <v>#N/A</v>
      </c>
      <c r="P59" t="e">
        <f t="shared" si="33"/>
        <v>#N/A</v>
      </c>
      <c r="R59" s="52" t="s">
        <v>328</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668</v>
      </c>
      <c r="K60">
        <f t="shared" si="35"/>
        <v>7</v>
      </c>
      <c r="L60" s="20" t="str">
        <f t="shared" si="34"/>
        <v>Caregiver Functioning - Caregiver #4_7</v>
      </c>
      <c r="M60" s="20" t="str">
        <f t="shared" si="32"/>
        <v>Substance Abuse</v>
      </c>
      <c r="N60" t="e">
        <f t="shared" si="33"/>
        <v>#N/A</v>
      </c>
      <c r="O60" t="e">
        <f t="shared" si="33"/>
        <v>#N/A</v>
      </c>
      <c r="P60" t="e">
        <f t="shared" si="33"/>
        <v>#N/A</v>
      </c>
      <c r="R60" s="52" t="s">
        <v>328</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668</v>
      </c>
      <c r="K61">
        <f t="shared" si="35"/>
        <v>8</v>
      </c>
      <c r="L61" s="20" t="str">
        <f t="shared" si="34"/>
        <v>Caregiver Functioning - Caregiver #4_8</v>
      </c>
      <c r="M61" s="20" t="str">
        <f t="shared" si="32"/>
        <v>Physical Health</v>
      </c>
      <c r="N61" t="e">
        <f t="shared" si="33"/>
        <v>#N/A</v>
      </c>
      <c r="O61" t="e">
        <f t="shared" si="33"/>
        <v>#N/A</v>
      </c>
      <c r="P61" t="e">
        <f t="shared" si="33"/>
        <v>#N/A</v>
      </c>
      <c r="R61" s="52" t="s">
        <v>328</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668</v>
      </c>
      <c r="K62">
        <f t="shared" si="35"/>
        <v>9</v>
      </c>
      <c r="L62" s="20" t="str">
        <f t="shared" si="34"/>
        <v>Caregiver Functioning - Caregiver #4_9</v>
      </c>
      <c r="M62" s="20" t="str">
        <f t="shared" si="32"/>
        <v>Organization</v>
      </c>
      <c r="N62" t="e">
        <f t="shared" si="33"/>
        <v>#N/A</v>
      </c>
      <c r="O62" t="e">
        <f t="shared" si="33"/>
        <v>#N/A</v>
      </c>
      <c r="P62" t="e">
        <f t="shared" si="33"/>
        <v>#N/A</v>
      </c>
      <c r="R62" s="52" t="s">
        <v>328</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668</v>
      </c>
      <c r="K63">
        <f t="shared" si="35"/>
        <v>10</v>
      </c>
      <c r="L63" s="20" t="str">
        <f t="shared" si="34"/>
        <v>Caregiver Functioning - Caregiver #4_10</v>
      </c>
      <c r="M63" s="20" t="str">
        <f t="shared" si="32"/>
        <v>Parental Attribution</v>
      </c>
      <c r="N63" t="e">
        <f t="shared" si="33"/>
        <v>#N/A</v>
      </c>
      <c r="O63" t="e">
        <f t="shared" si="33"/>
        <v>#N/A</v>
      </c>
      <c r="P63" t="e">
        <f t="shared" si="33"/>
        <v>#N/A</v>
      </c>
      <c r="R63" s="52" t="s">
        <v>328</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668</v>
      </c>
      <c r="K64">
        <f>K63+1</f>
        <v>11</v>
      </c>
      <c r="L64" s="20" t="str">
        <f>J64&amp;"_"&amp;K64</f>
        <v>Caregiver Functioning - Caregiver #4_11</v>
      </c>
      <c r="M64" s="20" t="str">
        <f t="shared" si="32"/>
        <v>Emotional Responsiveness</v>
      </c>
      <c r="N64" t="e">
        <f t="shared" si="33"/>
        <v>#N/A</v>
      </c>
      <c r="O64" t="e">
        <f t="shared" si="33"/>
        <v>#N/A</v>
      </c>
      <c r="P64" t="e">
        <f t="shared" si="33"/>
        <v>#N/A</v>
      </c>
      <c r="R64" s="52" t="s">
        <v>328</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668</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328</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668</v>
      </c>
      <c r="K66">
        <f>K65+1</f>
        <v>13</v>
      </c>
      <c r="L66" s="20" t="str">
        <f>J66&amp;"_"&amp;K66</f>
        <v>Caregiver Functioning - Caregiver #4_13</v>
      </c>
      <c r="M66" s="20" t="str">
        <f t="shared" si="32"/>
        <v>Family Stress</v>
      </c>
      <c r="N66" t="e">
        <f t="shared" si="33"/>
        <v>#N/A</v>
      </c>
      <c r="O66" t="e">
        <f t="shared" si="33"/>
        <v>#N/A</v>
      </c>
      <c r="P66" t="e">
        <f t="shared" si="33"/>
        <v>#N/A</v>
      </c>
      <c r="R66" s="52" t="s">
        <v>328</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668</v>
      </c>
      <c r="K67">
        <f>K66+1</f>
        <v>14</v>
      </c>
      <c r="L67" s="20" t="str">
        <f>J67&amp;"_"&amp;K67</f>
        <v>Caregiver Functioning - Caregiver #4_14</v>
      </c>
      <c r="M67" s="20" t="str">
        <f t="shared" si="32"/>
        <v>Boundaries</v>
      </c>
      <c r="N67" t="e">
        <f t="shared" si="33"/>
        <v>#N/A</v>
      </c>
      <c r="O67" t="e">
        <f t="shared" si="33"/>
        <v>#N/A</v>
      </c>
      <c r="P67" t="e">
        <f t="shared" si="33"/>
        <v>#N/A</v>
      </c>
      <c r="R67" s="52" t="s">
        <v>328</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328</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328</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328</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328</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329</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329</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329</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329</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329</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329</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329</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329</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329</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329</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329</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329</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329</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329</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329</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330</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330</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330</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330</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330</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330</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330</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330</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330</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330</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330</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330</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330</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330</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330</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sheetPr>
  <dimension ref="A1:AC98"/>
  <sheetViews>
    <sheetView topLeftCell="C1" zoomScale="85" zoomScaleNormal="85" workbookViewId="0">
      <pane ySplit="1" topLeftCell="A2" activePane="bottomLeft" state="frozen"/>
      <selection activeCell="C10" sqref="C10"/>
      <selection pane="bottomLeft" activeCell="D5" sqref="D5:D10"/>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11</v>
      </c>
      <c r="C3" s="116"/>
      <c r="D3" s="234" t="s">
        <v>92</v>
      </c>
      <c r="E3" s="146"/>
      <c r="F3" s="146"/>
      <c r="G3" s="146"/>
      <c r="H3" s="146"/>
      <c r="I3" s="165"/>
      <c r="J3" s="146"/>
      <c r="K3" s="146"/>
      <c r="L3" s="165"/>
      <c r="M3" s="146"/>
      <c r="N3" s="165"/>
      <c r="O3" s="147"/>
      <c r="P3" s="117"/>
      <c r="Q3" s="268" t="s">
        <v>301</v>
      </c>
      <c r="R3" s="268" t="s">
        <v>300</v>
      </c>
      <c r="S3" s="268" t="s">
        <v>302</v>
      </c>
    </row>
    <row r="4" spans="1:29" x14ac:dyDescent="0.3">
      <c r="A4" s="112" t="b">
        <v>1</v>
      </c>
      <c r="C4" s="124"/>
      <c r="D4" s="235" t="s">
        <v>62</v>
      </c>
      <c r="E4" s="236" t="s">
        <v>927</v>
      </c>
      <c r="F4" s="237"/>
      <c r="G4" s="236" t="s">
        <v>928</v>
      </c>
      <c r="H4" s="237"/>
      <c r="I4" s="238" t="s">
        <v>63</v>
      </c>
      <c r="J4" s="237"/>
      <c r="K4" s="236" t="s">
        <v>929</v>
      </c>
      <c r="L4" s="238" t="s">
        <v>64</v>
      </c>
      <c r="M4" s="237"/>
      <c r="N4" s="238" t="s">
        <v>930</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0</v>
      </c>
      <c r="B12" s="112" t="str">
        <f t="shared" si="3"/>
        <v/>
      </c>
      <c r="C12" s="125"/>
      <c r="D12" s="235" t="s">
        <v>71</v>
      </c>
      <c r="E12" s="236" t="s">
        <v>927</v>
      </c>
      <c r="F12" s="237"/>
      <c r="G12" s="236" t="s">
        <v>928</v>
      </c>
      <c r="H12" s="237"/>
      <c r="I12" s="238" t="s">
        <v>63</v>
      </c>
      <c r="J12" s="237"/>
      <c r="K12" s="236" t="s">
        <v>929</v>
      </c>
      <c r="L12" s="238" t="s">
        <v>64</v>
      </c>
      <c r="M12" s="237"/>
      <c r="N12" s="238" t="s">
        <v>930</v>
      </c>
      <c r="O12" s="237"/>
      <c r="P12" s="125"/>
      <c r="Q12" s="267" t="str">
        <f t="shared" ca="1" si="0"/>
        <v/>
      </c>
      <c r="R12" s="267" t="str">
        <f t="shared" ca="1" si="1"/>
        <v/>
      </c>
      <c r="S12" s="267" t="str">
        <f t="shared" ca="1" si="2"/>
        <v/>
      </c>
    </row>
    <row r="13" spans="1:29" x14ac:dyDescent="0.3">
      <c r="B13" s="112" t="str">
        <f t="shared" si="3"/>
        <v/>
      </c>
      <c r="C13" s="124"/>
      <c r="D13" s="291"/>
      <c r="E13" s="239"/>
      <c r="F13" s="239"/>
      <c r="G13" s="239"/>
      <c r="H13" s="239"/>
      <c r="I13" s="242"/>
      <c r="J13" s="241"/>
      <c r="K13" s="239"/>
      <c r="L13" s="242"/>
      <c r="M13" s="241"/>
      <c r="N13" s="242"/>
      <c r="O13" s="243"/>
      <c r="P13" s="124"/>
      <c r="Q13" s="267" t="str">
        <f t="shared" ca="1" si="0"/>
        <v/>
      </c>
      <c r="R13" s="267" t="str">
        <f t="shared" ca="1" si="1"/>
        <v/>
      </c>
      <c r="S13" s="267" t="str">
        <f t="shared" ca="1" si="2"/>
        <v/>
      </c>
    </row>
    <row r="14" spans="1:29" x14ac:dyDescent="0.3">
      <c r="B14" s="112" t="str">
        <f t="shared" si="3"/>
        <v/>
      </c>
      <c r="C14" s="124"/>
      <c r="D14" s="292"/>
      <c r="E14" s="239"/>
      <c r="F14" s="239"/>
      <c r="G14" s="239"/>
      <c r="H14" s="239"/>
      <c r="I14" s="242"/>
      <c r="J14" s="241"/>
      <c r="K14" s="239"/>
      <c r="L14" s="242"/>
      <c r="M14" s="241"/>
      <c r="N14" s="242"/>
      <c r="O14" s="243"/>
      <c r="P14" s="124"/>
      <c r="Q14" s="267" t="str">
        <f t="shared" ca="1" si="0"/>
        <v/>
      </c>
      <c r="R14" s="267" t="str">
        <f t="shared" ca="1" si="1"/>
        <v/>
      </c>
      <c r="S14" s="267" t="str">
        <f t="shared" ca="1" si="2"/>
        <v/>
      </c>
    </row>
    <row r="15" spans="1:29" x14ac:dyDescent="0.3">
      <c r="B15" s="112" t="str">
        <f t="shared" si="3"/>
        <v/>
      </c>
      <c r="C15" s="124"/>
      <c r="D15" s="292"/>
      <c r="E15" s="239"/>
      <c r="F15" s="239"/>
      <c r="G15" s="239"/>
      <c r="H15" s="239"/>
      <c r="I15" s="242"/>
      <c r="J15" s="241"/>
      <c r="K15" s="239"/>
      <c r="L15" s="242"/>
      <c r="M15" s="241"/>
      <c r="N15" s="242"/>
      <c r="O15" s="243"/>
      <c r="P15" s="124"/>
      <c r="Q15" s="267" t="str">
        <f t="shared" ca="1" si="0"/>
        <v/>
      </c>
      <c r="R15" s="267" t="str">
        <f t="shared" ca="1" si="1"/>
        <v/>
      </c>
      <c r="S15" s="267" t="str">
        <f t="shared" ca="1" si="2"/>
        <v/>
      </c>
    </row>
    <row r="16" spans="1:29" x14ac:dyDescent="0.3">
      <c r="B16" s="112" t="str">
        <f t="shared" si="3"/>
        <v/>
      </c>
      <c r="C16" s="124"/>
      <c r="D16" s="292"/>
      <c r="E16" s="239"/>
      <c r="F16" s="239"/>
      <c r="G16" s="239"/>
      <c r="H16" s="239"/>
      <c r="I16" s="242"/>
      <c r="J16" s="241"/>
      <c r="K16" s="239"/>
      <c r="L16" s="242"/>
      <c r="M16" s="241"/>
      <c r="N16" s="242"/>
      <c r="O16" s="243"/>
      <c r="P16" s="124"/>
      <c r="Q16" s="267" t="str">
        <f t="shared" ca="1" si="0"/>
        <v/>
      </c>
      <c r="R16" s="267" t="str">
        <f t="shared" ca="1" si="1"/>
        <v/>
      </c>
      <c r="S16" s="267" t="str">
        <f t="shared" ca="1" si="2"/>
        <v/>
      </c>
    </row>
    <row r="17" spans="1:19" x14ac:dyDescent="0.3">
      <c r="B17" s="112" t="str">
        <f t="shared" si="3"/>
        <v/>
      </c>
      <c r="C17" s="124"/>
      <c r="D17" s="292"/>
      <c r="E17" s="239"/>
      <c r="F17" s="239"/>
      <c r="G17" s="239"/>
      <c r="H17" s="239"/>
      <c r="I17" s="242"/>
      <c r="J17" s="241"/>
      <c r="K17" s="239"/>
      <c r="L17" s="242"/>
      <c r="M17" s="241"/>
      <c r="N17" s="242"/>
      <c r="O17" s="243"/>
      <c r="P17" s="124"/>
      <c r="Q17" s="267" t="str">
        <f t="shared" ca="1" si="0"/>
        <v/>
      </c>
      <c r="R17" s="267" t="str">
        <f t="shared" ca="1" si="1"/>
        <v/>
      </c>
      <c r="S17" s="267" t="str">
        <f t="shared" ca="1" si="2"/>
        <v/>
      </c>
    </row>
    <row r="18" spans="1:19" x14ac:dyDescent="0.3">
      <c r="B18" s="112" t="str">
        <f t="shared" si="3"/>
        <v/>
      </c>
      <c r="C18" s="124"/>
      <c r="D18" s="293"/>
      <c r="E18" s="244"/>
      <c r="F18" s="244"/>
      <c r="G18" s="244"/>
      <c r="H18" s="244"/>
      <c r="I18" s="245"/>
      <c r="J18" s="246"/>
      <c r="K18" s="244"/>
      <c r="L18" s="245"/>
      <c r="M18" s="246"/>
      <c r="N18" s="245"/>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927</v>
      </c>
      <c r="F20" s="237"/>
      <c r="G20" s="236" t="s">
        <v>928</v>
      </c>
      <c r="H20" s="237"/>
      <c r="I20" s="238" t="s">
        <v>63</v>
      </c>
      <c r="J20" s="237"/>
      <c r="K20" s="236" t="s">
        <v>929</v>
      </c>
      <c r="L20" s="238" t="s">
        <v>64</v>
      </c>
      <c r="M20" s="237"/>
      <c r="N20" s="238" t="s">
        <v>930</v>
      </c>
      <c r="O20" s="237"/>
      <c r="P20" s="126"/>
      <c r="Q20" s="267" t="str">
        <f t="shared" ca="1" si="0"/>
        <v/>
      </c>
      <c r="R20" s="267" t="str">
        <f t="shared" ca="1" si="1"/>
        <v/>
      </c>
      <c r="S20" s="267" t="str">
        <f t="shared" ca="1" si="2"/>
        <v/>
      </c>
    </row>
    <row r="21" spans="1:19" x14ac:dyDescent="0.3">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927</v>
      </c>
      <c r="F28" s="237"/>
      <c r="G28" s="236" t="s">
        <v>928</v>
      </c>
      <c r="H28" s="237"/>
      <c r="I28" s="238" t="s">
        <v>63</v>
      </c>
      <c r="J28" s="237"/>
      <c r="K28" s="236" t="s">
        <v>929</v>
      </c>
      <c r="L28" s="238" t="s">
        <v>64</v>
      </c>
      <c r="M28" s="237"/>
      <c r="N28" s="238" t="s">
        <v>930</v>
      </c>
      <c r="O28" s="237"/>
      <c r="P28" s="126"/>
      <c r="Q28" s="267" t="str">
        <f t="shared" ca="1" si="0"/>
        <v/>
      </c>
      <c r="R28" s="267" t="str">
        <f t="shared" ca="1" si="1"/>
        <v/>
      </c>
      <c r="S28" s="267" t="str">
        <f t="shared" ca="1" si="2"/>
        <v/>
      </c>
    </row>
    <row r="29" spans="1:19" x14ac:dyDescent="0.3">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927</v>
      </c>
      <c r="F36" s="237"/>
      <c r="G36" s="236" t="s">
        <v>928</v>
      </c>
      <c r="H36" s="237"/>
      <c r="I36" s="238" t="s">
        <v>63</v>
      </c>
      <c r="J36" s="237"/>
      <c r="K36" s="236" t="s">
        <v>929</v>
      </c>
      <c r="L36" s="238" t="s">
        <v>64</v>
      </c>
      <c r="M36" s="237"/>
      <c r="N36" s="238" t="s">
        <v>930</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927</v>
      </c>
      <c r="F44" s="237"/>
      <c r="G44" s="236" t="s">
        <v>928</v>
      </c>
      <c r="H44" s="237"/>
      <c r="I44" s="238" t="s">
        <v>63</v>
      </c>
      <c r="J44" s="237"/>
      <c r="K44" s="236" t="s">
        <v>929</v>
      </c>
      <c r="L44" s="238" t="s">
        <v>64</v>
      </c>
      <c r="M44" s="237"/>
      <c r="N44" s="238" t="s">
        <v>930</v>
      </c>
      <c r="O44" s="237"/>
      <c r="P44" s="113"/>
      <c r="Q44" s="267" t="str">
        <f t="shared" ca="1" si="4"/>
        <v/>
      </c>
      <c r="R44" s="267" t="str">
        <f t="shared" ca="1" si="5"/>
        <v/>
      </c>
      <c r="S44" s="267" t="str">
        <f t="shared" ca="1" si="6"/>
        <v/>
      </c>
    </row>
    <row r="45" spans="1:19" x14ac:dyDescent="0.3">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927</v>
      </c>
      <c r="F52" s="237"/>
      <c r="G52" s="236" t="s">
        <v>928</v>
      </c>
      <c r="H52" s="237"/>
      <c r="I52" s="238" t="s">
        <v>63</v>
      </c>
      <c r="J52" s="237"/>
      <c r="K52" s="236" t="s">
        <v>929</v>
      </c>
      <c r="L52" s="238" t="s">
        <v>64</v>
      </c>
      <c r="M52" s="237"/>
      <c r="N52" s="238" t="s">
        <v>930</v>
      </c>
      <c r="O52" s="237"/>
      <c r="P52" s="113"/>
      <c r="Q52" s="267" t="str">
        <f t="shared" ca="1" si="4"/>
        <v/>
      </c>
      <c r="R52" s="267" t="str">
        <f t="shared" ca="1" si="5"/>
        <v/>
      </c>
      <c r="S52" s="267" t="str">
        <f t="shared" ca="1" si="6"/>
        <v/>
      </c>
    </row>
    <row r="53" spans="1:19" x14ac:dyDescent="0.3">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927</v>
      </c>
      <c r="F60" s="237"/>
      <c r="G60" s="236" t="s">
        <v>928</v>
      </c>
      <c r="H60" s="237"/>
      <c r="I60" s="238" t="s">
        <v>63</v>
      </c>
      <c r="J60" s="237"/>
      <c r="K60" s="236" t="s">
        <v>929</v>
      </c>
      <c r="L60" s="238" t="s">
        <v>64</v>
      </c>
      <c r="M60" s="237"/>
      <c r="N60" s="238" t="s">
        <v>930</v>
      </c>
      <c r="O60" s="237"/>
      <c r="P60" s="113"/>
      <c r="Q60" s="267"/>
      <c r="R60" s="267"/>
      <c r="S60" s="267"/>
    </row>
    <row r="61" spans="1:19" x14ac:dyDescent="0.3">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927</v>
      </c>
      <c r="F68" s="237"/>
      <c r="G68" s="236" t="s">
        <v>928</v>
      </c>
      <c r="H68" s="237"/>
      <c r="I68" s="238" t="s">
        <v>63</v>
      </c>
      <c r="J68" s="237"/>
      <c r="K68" s="236" t="s">
        <v>929</v>
      </c>
      <c r="L68" s="238" t="s">
        <v>64</v>
      </c>
      <c r="M68" s="237"/>
      <c r="N68" s="238" t="s">
        <v>930</v>
      </c>
      <c r="O68" s="237"/>
      <c r="P68" s="113"/>
      <c r="Q68" s="267"/>
      <c r="R68" s="267"/>
      <c r="S68" s="267"/>
    </row>
    <row r="69" spans="1:19" x14ac:dyDescent="0.3">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fitToHeight="8" orientation="landscape" r:id="rId1"/>
  <headerFooter>
    <oddFooter>Page &amp;P of &amp;N</oddFooter>
  </headerFooter>
  <rowBreaks count="1" manualBreakCount="1">
    <brk id="43" min="2"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0</xdr:col>
                    <xdr:colOff>0</xdr:colOff>
                    <xdr:row>19</xdr:row>
                    <xdr:rowOff>9525</xdr:rowOff>
                  </from>
                  <to>
                    <xdr:col>3</xdr:col>
                    <xdr:colOff>619125</xdr:colOff>
                    <xdr:row>19</xdr:row>
                    <xdr:rowOff>123825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0</xdr:col>
                    <xdr:colOff>0</xdr:colOff>
                    <xdr:row>27</xdr:row>
                    <xdr:rowOff>0</xdr:rowOff>
                  </from>
                  <to>
                    <xdr:col>3</xdr:col>
                    <xdr:colOff>609600</xdr:colOff>
                    <xdr:row>27</xdr:row>
                    <xdr:rowOff>219075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0</xdr:col>
                    <xdr:colOff>0</xdr:colOff>
                    <xdr:row>35</xdr:row>
                    <xdr:rowOff>28575</xdr:rowOff>
                  </from>
                  <to>
                    <xdr:col>3</xdr:col>
                    <xdr:colOff>619125</xdr:colOff>
                    <xdr:row>35</xdr:row>
                    <xdr:rowOff>133350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0</xdr:col>
                    <xdr:colOff>0</xdr:colOff>
                    <xdr:row>43</xdr:row>
                    <xdr:rowOff>28575</xdr:rowOff>
                  </from>
                  <to>
                    <xdr:col>3</xdr:col>
                    <xdr:colOff>619125</xdr:colOff>
                    <xdr:row>43</xdr:row>
                    <xdr:rowOff>142875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0</xdr:col>
                    <xdr:colOff>0</xdr:colOff>
                    <xdr:row>51</xdr:row>
                    <xdr:rowOff>9525</xdr:rowOff>
                  </from>
                  <to>
                    <xdr:col>3</xdr:col>
                    <xdr:colOff>619125</xdr:colOff>
                    <xdr:row>51</xdr:row>
                    <xdr:rowOff>219075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0</xdr:col>
                    <xdr:colOff>0</xdr:colOff>
                    <xdr:row>59</xdr:row>
                    <xdr:rowOff>19050</xdr:rowOff>
                  </from>
                  <to>
                    <xdr:col>3</xdr:col>
                    <xdr:colOff>609600</xdr:colOff>
                    <xdr:row>59</xdr:row>
                    <xdr:rowOff>219075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0</xdr:col>
                    <xdr:colOff>0</xdr:colOff>
                    <xdr:row>67</xdr:row>
                    <xdr:rowOff>9525</xdr:rowOff>
                  </from>
                  <to>
                    <xdr:col>3</xdr:col>
                    <xdr:colOff>619125</xdr:colOff>
                    <xdr:row>67</xdr:row>
                    <xdr:rowOff>228600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855</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4" t="s">
        <v>854</v>
      </c>
      <c r="E3" s="294"/>
      <c r="F3" s="117"/>
      <c r="G3" s="118" t="s">
        <v>301</v>
      </c>
      <c r="H3" s="118" t="s">
        <v>300</v>
      </c>
      <c r="I3" s="118" t="s">
        <v>302</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activeCell="C10" sqref="C10"/>
      <selection pane="bottomLeft" activeCell="D22" sqref="D22:H22"/>
    </sheetView>
  </sheetViews>
  <sheetFormatPr defaultRowHeight="15" x14ac:dyDescent="0.25"/>
  <cols>
    <col min="1" max="1" width="3" style="122" customWidth="1"/>
    <col min="2" max="2" width="131.7109375"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934</v>
      </c>
      <c r="B1" s="170"/>
      <c r="C1" s="170"/>
      <c r="D1" s="171"/>
      <c r="E1" s="171"/>
      <c r="F1" s="171"/>
      <c r="G1" s="171"/>
      <c r="H1" s="171"/>
      <c r="I1" s="164"/>
    </row>
    <row r="2" spans="1:9" x14ac:dyDescent="0.25">
      <c r="A2" s="127"/>
      <c r="B2" s="175"/>
      <c r="C2" s="175"/>
      <c r="D2" s="172"/>
      <c r="E2" s="172"/>
      <c r="F2" s="172"/>
      <c r="G2" s="172"/>
      <c r="H2" s="172"/>
      <c r="I2" s="127"/>
    </row>
    <row r="3" spans="1:9" ht="30" x14ac:dyDescent="0.25">
      <c r="A3" s="116"/>
      <c r="B3" s="177" t="str">
        <f>D3</f>
        <v>If the service was not completed for any reason, please describe the circumstances that contributed to the family not engaging or completing the service:</v>
      </c>
      <c r="C3" s="176"/>
      <c r="D3" s="300" t="s">
        <v>944</v>
      </c>
      <c r="E3" s="300"/>
      <c r="F3" s="300"/>
      <c r="G3" s="300"/>
      <c r="H3" s="300"/>
      <c r="I3" s="117"/>
    </row>
    <row r="4" spans="1:9" x14ac:dyDescent="0.25">
      <c r="A4" s="116"/>
      <c r="B4" s="177">
        <f>D4</f>
        <v>0</v>
      </c>
      <c r="C4" s="177"/>
      <c r="D4" s="299"/>
      <c r="E4" s="299"/>
      <c r="F4" s="299"/>
      <c r="G4" s="299"/>
      <c r="H4" s="299"/>
      <c r="I4" s="117"/>
    </row>
    <row r="5" spans="1:9" x14ac:dyDescent="0.25">
      <c r="A5" s="116"/>
      <c r="B5" s="177"/>
      <c r="C5" s="177"/>
      <c r="D5" s="172"/>
      <c r="E5" s="172"/>
      <c r="F5" s="172"/>
      <c r="G5" s="172"/>
      <c r="H5" s="172"/>
      <c r="I5" s="117"/>
    </row>
    <row r="6" spans="1:9" ht="30" x14ac:dyDescent="0.25">
      <c r="A6" s="116"/>
      <c r="B6" s="177" t="str">
        <f>D6</f>
        <v xml:space="preserve">Describe the caregiver(s) level insight about the chain of events that led to CPS involvement and how this insight has grown or evolved during the intervention: </v>
      </c>
      <c r="C6" s="177"/>
      <c r="D6" s="300" t="s">
        <v>935</v>
      </c>
      <c r="E6" s="300"/>
      <c r="F6" s="300"/>
      <c r="G6" s="300"/>
      <c r="H6" s="300"/>
      <c r="I6" s="117"/>
    </row>
    <row r="7" spans="1:9" x14ac:dyDescent="0.25">
      <c r="A7" s="116"/>
      <c r="B7" s="177">
        <f>D7</f>
        <v>0</v>
      </c>
      <c r="C7" s="177"/>
      <c r="D7" s="299"/>
      <c r="E7" s="299"/>
      <c r="F7" s="299"/>
      <c r="G7" s="299"/>
      <c r="H7" s="299"/>
      <c r="I7" s="117"/>
    </row>
    <row r="8" spans="1:9" x14ac:dyDescent="0.25">
      <c r="A8" s="116"/>
      <c r="B8" s="177"/>
      <c r="C8" s="177"/>
      <c r="D8" s="172"/>
      <c r="E8" s="172"/>
      <c r="F8" s="181"/>
      <c r="G8" s="172"/>
      <c r="H8" s="172"/>
      <c r="I8" s="117"/>
    </row>
    <row r="9" spans="1:9" x14ac:dyDescent="0.25">
      <c r="A9" s="116"/>
      <c r="B9" s="177" t="str">
        <f>D9</f>
        <v>Describe specific ways that the family has improved their home environment to increase sustainable child safety:</v>
      </c>
      <c r="C9" s="177"/>
      <c r="D9" s="300" t="s">
        <v>936</v>
      </c>
      <c r="E9" s="300"/>
      <c r="F9" s="300"/>
      <c r="G9" s="300"/>
      <c r="H9" s="300"/>
      <c r="I9" s="117"/>
    </row>
    <row r="10" spans="1:9" ht="45" x14ac:dyDescent="0.25">
      <c r="A10" s="116"/>
      <c r="B10" s="177" t="str">
        <f>D10</f>
        <v>1.
2.
3.</v>
      </c>
      <c r="C10" s="177"/>
      <c r="D10" s="299" t="s">
        <v>937</v>
      </c>
      <c r="E10" s="299"/>
      <c r="F10" s="299"/>
      <c r="G10" s="299"/>
      <c r="H10" s="299"/>
      <c r="I10" s="117"/>
    </row>
    <row r="11" spans="1:9" x14ac:dyDescent="0.25">
      <c r="A11" s="116"/>
      <c r="B11" s="177"/>
      <c r="C11" s="177"/>
      <c r="D11" s="172"/>
      <c r="E11" s="172"/>
      <c r="F11" s="172"/>
      <c r="G11" s="172"/>
      <c r="H11" s="172"/>
      <c r="I11" s="117"/>
    </row>
    <row r="12" spans="1:9" ht="30" x14ac:dyDescent="0.25">
      <c r="A12" s="116"/>
      <c r="B12" s="177" t="str">
        <f>D12</f>
        <v>Identify natural (church, family, school, friends, etc.) and community (mental health, CSO, YWCA, etc.) resources that the family has  identified to help address the child safety issues and their progress in utilizing these services:</v>
      </c>
      <c r="C12" s="177"/>
      <c r="D12" s="300" t="s">
        <v>938</v>
      </c>
      <c r="E12" s="300"/>
      <c r="F12" s="300"/>
      <c r="G12" s="300"/>
      <c r="H12" s="300"/>
      <c r="I12" s="117"/>
    </row>
    <row r="13" spans="1:9" ht="45" x14ac:dyDescent="0.25">
      <c r="A13" s="116"/>
      <c r="B13" s="177" t="str">
        <f>D13</f>
        <v>1.
2.
3.</v>
      </c>
      <c r="C13" s="177"/>
      <c r="D13" s="299" t="s">
        <v>937</v>
      </c>
      <c r="E13" s="299"/>
      <c r="F13" s="299"/>
      <c r="G13" s="299"/>
      <c r="H13" s="299"/>
      <c r="I13" s="117"/>
    </row>
    <row r="14" spans="1:9" x14ac:dyDescent="0.25">
      <c r="A14" s="116"/>
      <c r="B14" s="177"/>
      <c r="C14" s="177"/>
      <c r="D14" s="172"/>
      <c r="E14" s="172"/>
      <c r="F14" s="172"/>
      <c r="G14" s="172"/>
      <c r="H14" s="172"/>
      <c r="I14" s="117"/>
    </row>
    <row r="15" spans="1:9" x14ac:dyDescent="0.25">
      <c r="A15" s="116"/>
      <c r="B15" s="177" t="str">
        <f>D15</f>
        <v>Document the families perspective on how their parenting has changed during this intervention:</v>
      </c>
      <c r="C15" s="177"/>
      <c r="D15" s="300" t="s">
        <v>939</v>
      </c>
      <c r="E15" s="300"/>
      <c r="F15" s="300"/>
      <c r="G15" s="300"/>
      <c r="H15" s="300"/>
      <c r="I15" s="117"/>
    </row>
    <row r="16" spans="1:9" ht="45" x14ac:dyDescent="0.25">
      <c r="A16" s="116"/>
      <c r="B16" s="177" t="str">
        <f>D16</f>
        <v>1.
2.
3.</v>
      </c>
      <c r="C16" s="177"/>
      <c r="D16" s="299" t="s">
        <v>937</v>
      </c>
      <c r="E16" s="299"/>
      <c r="F16" s="299"/>
      <c r="G16" s="299"/>
      <c r="H16" s="299"/>
      <c r="I16" s="117"/>
    </row>
    <row r="17" spans="1:12" x14ac:dyDescent="0.25">
      <c r="A17" s="116"/>
      <c r="B17" s="177"/>
      <c r="C17" s="177"/>
      <c r="D17" s="172"/>
      <c r="E17" s="172"/>
      <c r="F17" s="172"/>
      <c r="G17" s="172"/>
      <c r="H17" s="172"/>
      <c r="I17" s="117"/>
    </row>
    <row r="18" spans="1:12" ht="30" x14ac:dyDescent="0.25">
      <c r="A18" s="116"/>
      <c r="B18" s="177" t="str">
        <f>D18</f>
        <v>Document specific ways in which the caregiver has applied skills learned in the service intervention that demonstrate the caregivers increased ability to keep their children safe and/or consistently meet all of the needs of their child(ren):</v>
      </c>
      <c r="C18" s="177"/>
      <c r="D18" s="300" t="s">
        <v>943</v>
      </c>
      <c r="E18" s="300"/>
      <c r="F18" s="300"/>
      <c r="G18" s="300"/>
      <c r="H18" s="300"/>
      <c r="I18" s="117"/>
    </row>
    <row r="19" spans="1:12" ht="45" x14ac:dyDescent="0.25">
      <c r="A19" s="116"/>
      <c r="B19" s="177" t="str">
        <f>D19</f>
        <v>1.
2.
3.</v>
      </c>
      <c r="C19" s="177"/>
      <c r="D19" s="299" t="s">
        <v>937</v>
      </c>
      <c r="E19" s="299"/>
      <c r="F19" s="299"/>
      <c r="G19" s="299"/>
      <c r="H19" s="299"/>
      <c r="I19" s="117"/>
    </row>
    <row r="20" spans="1:12" x14ac:dyDescent="0.25">
      <c r="A20" s="116"/>
      <c r="B20" s="177"/>
      <c r="C20" s="177"/>
      <c r="D20" s="172"/>
      <c r="E20" s="172"/>
      <c r="F20" s="172"/>
      <c r="G20" s="172"/>
      <c r="H20" s="172"/>
      <c r="I20" s="117"/>
    </row>
    <row r="21" spans="1:12" x14ac:dyDescent="0.25">
      <c r="A21" s="116"/>
      <c r="B21" s="177" t="str">
        <f>D21</f>
        <v>Briefly describe what tasks or goals were accomplished during the case related family support hours (if used):</v>
      </c>
      <c r="C21" s="177"/>
      <c r="D21" s="300" t="s">
        <v>940</v>
      </c>
      <c r="E21" s="300"/>
      <c r="F21" s="300"/>
      <c r="G21" s="300"/>
      <c r="H21" s="300"/>
      <c r="I21" s="117"/>
    </row>
    <row r="22" spans="1:12" x14ac:dyDescent="0.25">
      <c r="A22" s="116"/>
      <c r="B22" s="177">
        <f>D22</f>
        <v>0</v>
      </c>
      <c r="C22" s="177"/>
      <c r="D22" s="299"/>
      <c r="E22" s="299"/>
      <c r="F22" s="299"/>
      <c r="G22" s="299"/>
      <c r="H22" s="299"/>
      <c r="I22" s="117"/>
    </row>
    <row r="23" spans="1:12" x14ac:dyDescent="0.25">
      <c r="A23" s="116"/>
      <c r="B23" s="177"/>
      <c r="C23" s="177"/>
      <c r="D23" s="172"/>
      <c r="E23" s="172"/>
      <c r="F23" s="172"/>
      <c r="G23" s="172"/>
      <c r="H23" s="172"/>
      <c r="I23" s="117"/>
    </row>
    <row r="24" spans="1:12" ht="30" x14ac:dyDescent="0.25">
      <c r="A24" s="116"/>
      <c r="B24" s="177" t="str">
        <f>D24</f>
        <v>The Safety Plan (if applicable) and Crisis Plan should be reviewed at each session. Document the family’s success in adhering to the Safety Plan and Crisis Plan:</v>
      </c>
      <c r="C24" s="177"/>
      <c r="D24" s="300" t="s">
        <v>945</v>
      </c>
      <c r="E24" s="300"/>
      <c r="F24" s="300"/>
      <c r="G24" s="300"/>
      <c r="H24" s="300"/>
      <c r="I24" s="117"/>
    </row>
    <row r="25" spans="1:12" x14ac:dyDescent="0.25">
      <c r="A25" s="116"/>
      <c r="B25" s="177">
        <f>D25</f>
        <v>0</v>
      </c>
      <c r="C25" s="177"/>
      <c r="D25" s="299"/>
      <c r="E25" s="299"/>
      <c r="F25" s="299"/>
      <c r="G25" s="299"/>
      <c r="H25" s="299"/>
      <c r="I25" s="117"/>
      <c r="K25" s="174"/>
      <c r="L25" s="174"/>
    </row>
    <row r="26" spans="1:12" x14ac:dyDescent="0.25">
      <c r="A26" s="116"/>
      <c r="B26" s="177"/>
      <c r="C26" s="177"/>
      <c r="D26" s="172"/>
      <c r="E26" s="172"/>
      <c r="F26" s="172"/>
      <c r="G26" s="172"/>
      <c r="H26" s="172"/>
      <c r="I26" s="117"/>
    </row>
    <row r="27" spans="1:12" x14ac:dyDescent="0.25">
      <c r="A27" s="116"/>
      <c r="B27" s="177" t="str">
        <f>D27</f>
        <v>Describe items, goods, or services paid for through concrete funds and how they addressed safety:</v>
      </c>
      <c r="C27" s="177"/>
      <c r="D27" s="300" t="s">
        <v>941</v>
      </c>
      <c r="E27" s="300"/>
      <c r="F27" s="300"/>
      <c r="G27" s="300"/>
      <c r="H27" s="300"/>
      <c r="I27" s="117"/>
    </row>
    <row r="28" spans="1:12" ht="45" x14ac:dyDescent="0.25">
      <c r="A28" s="116"/>
      <c r="B28" s="177" t="str">
        <f>D28</f>
        <v>1.
2.
3.</v>
      </c>
      <c r="C28" s="177"/>
      <c r="D28" s="299" t="s">
        <v>937</v>
      </c>
      <c r="E28" s="299"/>
      <c r="F28" s="299"/>
      <c r="G28" s="299"/>
      <c r="H28" s="299"/>
      <c r="I28" s="117"/>
    </row>
    <row r="29" spans="1:12" x14ac:dyDescent="0.25">
      <c r="A29" s="116"/>
      <c r="B29" s="177"/>
      <c r="C29" s="177"/>
      <c r="D29" s="172"/>
      <c r="E29" s="172"/>
      <c r="F29" s="172"/>
      <c r="G29" s="172"/>
      <c r="H29" s="172"/>
      <c r="I29" s="117"/>
    </row>
    <row r="30" spans="1:12" x14ac:dyDescent="0.25">
      <c r="A30" s="116"/>
      <c r="B30" s="177" t="str">
        <f>D30</f>
        <v xml:space="preserve">Detail additional services or supports that may increase safety, functioning, and stability of the family: </v>
      </c>
      <c r="C30" s="177"/>
      <c r="D30" s="300" t="s">
        <v>942</v>
      </c>
      <c r="E30" s="300"/>
      <c r="F30" s="300"/>
      <c r="G30" s="300"/>
      <c r="H30" s="300"/>
      <c r="I30" s="117"/>
    </row>
    <row r="31" spans="1:12" ht="45" x14ac:dyDescent="0.25">
      <c r="A31" s="116"/>
      <c r="B31" s="177" t="str">
        <f>D31</f>
        <v>1.
2.
3.</v>
      </c>
      <c r="C31" s="177"/>
      <c r="D31" s="299" t="s">
        <v>937</v>
      </c>
      <c r="E31" s="299"/>
      <c r="F31" s="299"/>
      <c r="G31" s="299"/>
      <c r="H31" s="299"/>
      <c r="I31" s="117"/>
    </row>
    <row r="32" spans="1:12" x14ac:dyDescent="0.25">
      <c r="A32" s="116"/>
      <c r="B32" s="176"/>
      <c r="C32" s="176"/>
      <c r="D32" s="117"/>
      <c r="E32" s="117"/>
      <c r="F32" s="117"/>
      <c r="G32" s="117"/>
      <c r="H32" s="117"/>
      <c r="I32" s="117"/>
    </row>
    <row r="33" spans="1:9" ht="30" x14ac:dyDescent="0.25">
      <c r="A33" s="116"/>
      <c r="B33" s="176"/>
      <c r="C33" s="176"/>
      <c r="D33" s="184" t="s">
        <v>952</v>
      </c>
      <c r="E33" s="184"/>
      <c r="F33" s="184" t="s">
        <v>953</v>
      </c>
      <c r="G33" s="298" t="s">
        <v>954</v>
      </c>
      <c r="H33" s="298"/>
      <c r="I33" s="117"/>
    </row>
    <row r="34" spans="1:9" x14ac:dyDescent="0.25">
      <c r="A34" s="116"/>
      <c r="B34" s="176"/>
      <c r="C34" s="176"/>
      <c r="D34" s="297" t="str">
        <f>IF(CGName1="", "", CGName1)</f>
        <v/>
      </c>
      <c r="E34" s="297"/>
      <c r="F34" s="185"/>
      <c r="G34" s="302" t="s">
        <v>956</v>
      </c>
      <c r="H34" s="302"/>
      <c r="I34" s="117"/>
    </row>
    <row r="35" spans="1:9" x14ac:dyDescent="0.25">
      <c r="A35" s="116"/>
      <c r="B35" s="176"/>
      <c r="C35" s="176"/>
      <c r="D35" s="297" t="str">
        <f>IF(CGName2="", "", CGName2)</f>
        <v/>
      </c>
      <c r="E35" s="297"/>
      <c r="F35" s="185"/>
      <c r="G35" s="302" t="s">
        <v>956</v>
      </c>
      <c r="H35" s="302"/>
      <c r="I35" s="117"/>
    </row>
    <row r="36" spans="1:9" x14ac:dyDescent="0.25">
      <c r="A36" s="116"/>
      <c r="B36" s="176"/>
      <c r="C36" s="176"/>
      <c r="D36" s="297" t="str">
        <f>IF(CGName3="", "", CGName3)</f>
        <v/>
      </c>
      <c r="E36" s="297"/>
      <c r="F36" s="185"/>
      <c r="G36" s="302" t="s">
        <v>956</v>
      </c>
      <c r="H36" s="302"/>
      <c r="I36" s="117"/>
    </row>
    <row r="37" spans="1:9" x14ac:dyDescent="0.25">
      <c r="A37" s="116"/>
      <c r="B37" s="176"/>
      <c r="C37" s="176"/>
      <c r="D37" s="297" t="str">
        <f>IF(CGName4="", "", CGName4)</f>
        <v/>
      </c>
      <c r="E37" s="297"/>
      <c r="F37" s="185"/>
      <c r="G37" s="302" t="s">
        <v>956</v>
      </c>
      <c r="H37" s="302"/>
      <c r="I37" s="117"/>
    </row>
    <row r="38" spans="1:9" x14ac:dyDescent="0.25">
      <c r="A38" s="116"/>
      <c r="B38" s="176"/>
      <c r="C38" s="176"/>
      <c r="D38" s="117"/>
      <c r="E38" s="117"/>
      <c r="F38" s="117"/>
      <c r="G38" s="117"/>
      <c r="H38" s="117"/>
      <c r="I38" s="117"/>
    </row>
    <row r="39" spans="1:9" x14ac:dyDescent="0.25">
      <c r="A39" s="116"/>
      <c r="B39" s="176"/>
      <c r="C39" s="176"/>
      <c r="D39" s="298" t="s">
        <v>1088</v>
      </c>
      <c r="E39" s="298"/>
      <c r="F39" s="298"/>
      <c r="G39" s="301" t="s">
        <v>956</v>
      </c>
      <c r="H39" s="301"/>
      <c r="I39" s="117"/>
    </row>
    <row r="40" spans="1:9" x14ac:dyDescent="0.25">
      <c r="A40" s="116"/>
      <c r="B40" s="178"/>
      <c r="C40" s="178"/>
      <c r="D40" s="183" t="s">
        <v>969</v>
      </c>
      <c r="E40" s="295" t="s">
        <v>63</v>
      </c>
      <c r="F40" s="295"/>
      <c r="G40" s="295"/>
      <c r="H40" s="183" t="s">
        <v>968</v>
      </c>
      <c r="I40" s="117"/>
    </row>
    <row r="41" spans="1:9" x14ac:dyDescent="0.25">
      <c r="A41" s="116"/>
      <c r="B41" s="178"/>
      <c r="C41" s="187" t="str">
        <f>catrange(ActionSteps1)</f>
        <v/>
      </c>
      <c r="D41" s="188" t="str">
        <f>IF(IntGoal1="", "", IntGoal1)</f>
        <v/>
      </c>
      <c r="E41" s="296" t="str">
        <f>catrange(ActionSteps1)</f>
        <v/>
      </c>
      <c r="F41" s="296"/>
      <c r="G41" s="296"/>
      <c r="H41" s="186" t="s">
        <v>963</v>
      </c>
      <c r="I41" s="117"/>
    </row>
    <row r="42" spans="1:9" x14ac:dyDescent="0.25">
      <c r="A42" s="116"/>
      <c r="B42" s="178"/>
      <c r="C42" s="187" t="str">
        <f>catrange(ActionSteps2)</f>
        <v/>
      </c>
      <c r="D42" s="188" t="str">
        <f>IF(IntGoal2="", "", IntGoal2)</f>
        <v/>
      </c>
      <c r="E42" s="296" t="str">
        <f>catrange(ActionSteps2)</f>
        <v/>
      </c>
      <c r="F42" s="296"/>
      <c r="G42" s="296"/>
      <c r="H42" s="186" t="s">
        <v>963</v>
      </c>
      <c r="I42" s="117"/>
    </row>
    <row r="43" spans="1:9" x14ac:dyDescent="0.25">
      <c r="A43" s="116"/>
      <c r="B43" s="178"/>
      <c r="C43" s="187" t="str">
        <f>catrange(ActionSteps3)</f>
        <v/>
      </c>
      <c r="D43" s="188" t="str">
        <f>IF(IntGoal3="", "", IntGoal3)</f>
        <v/>
      </c>
      <c r="E43" s="296" t="str">
        <f>catrange(ActionSteps3)</f>
        <v/>
      </c>
      <c r="F43" s="296"/>
      <c r="G43" s="296"/>
      <c r="H43" s="186" t="s">
        <v>963</v>
      </c>
      <c r="I43" s="117"/>
    </row>
    <row r="44" spans="1:9" x14ac:dyDescent="0.25">
      <c r="A44" s="116"/>
      <c r="B44" s="178"/>
      <c r="C44" s="187" t="str">
        <f>catrange(ActionSteps4)</f>
        <v/>
      </c>
      <c r="D44" s="188" t="str">
        <f>IF(IntGoal4="", "", IntGoal4)</f>
        <v/>
      </c>
      <c r="E44" s="296" t="str">
        <f>catrange(ActionSteps4)</f>
        <v/>
      </c>
      <c r="F44" s="296"/>
      <c r="G44" s="296"/>
      <c r="H44" s="186" t="s">
        <v>963</v>
      </c>
      <c r="I44" s="117"/>
    </row>
    <row r="45" spans="1:9" x14ac:dyDescent="0.25">
      <c r="A45" s="116"/>
      <c r="B45" s="178"/>
      <c r="C45" s="187" t="str">
        <f>catrange(ActionSteps5)</f>
        <v/>
      </c>
      <c r="D45" s="188" t="str">
        <f>IF(IntGoal5="", "", IntGoal5)</f>
        <v/>
      </c>
      <c r="E45" s="296" t="str">
        <f>catrange(ActionSteps5)</f>
        <v/>
      </c>
      <c r="F45" s="296"/>
      <c r="G45" s="296"/>
      <c r="H45" s="186" t="s">
        <v>963</v>
      </c>
      <c r="I45" s="117"/>
    </row>
    <row r="46" spans="1:9" x14ac:dyDescent="0.25">
      <c r="A46" s="116"/>
      <c r="B46" s="178"/>
      <c r="C46" s="187" t="str">
        <f>catrange(ActionSteps6)</f>
        <v/>
      </c>
      <c r="D46" s="188" t="str">
        <f>IF(IntGoal6="", "", IntGoal6)</f>
        <v/>
      </c>
      <c r="E46" s="296" t="str">
        <f>catrange(ActionSteps6)</f>
        <v/>
      </c>
      <c r="F46" s="296"/>
      <c r="G46" s="296"/>
      <c r="H46" s="186" t="s">
        <v>963</v>
      </c>
      <c r="I46" s="117"/>
    </row>
    <row r="47" spans="1:9" x14ac:dyDescent="0.25">
      <c r="A47" s="116"/>
      <c r="B47" s="178"/>
      <c r="C47" s="187" t="str">
        <f>catrange(ActionSteps7)</f>
        <v/>
      </c>
      <c r="D47" s="188" t="str">
        <f>IF(IntGoal7="", "", IntGoal7)</f>
        <v/>
      </c>
      <c r="E47" s="296" t="str">
        <f>catrange(ActionSteps7)</f>
        <v/>
      </c>
      <c r="F47" s="296"/>
      <c r="G47" s="296"/>
      <c r="H47" s="186" t="s">
        <v>963</v>
      </c>
      <c r="I47" s="117"/>
    </row>
    <row r="48" spans="1:9" x14ac:dyDescent="0.25">
      <c r="A48" s="116"/>
      <c r="B48" s="178"/>
      <c r="C48" s="187" t="str">
        <f>catrange(ActionSteps8)</f>
        <v/>
      </c>
      <c r="D48" s="188" t="str">
        <f>IF(IntGoal8="", "", IntGoal8)</f>
        <v/>
      </c>
      <c r="E48" s="296" t="str">
        <f>catrange(ActionSteps8)</f>
        <v/>
      </c>
      <c r="F48" s="296"/>
      <c r="G48" s="296"/>
      <c r="H48" s="186" t="s">
        <v>963</v>
      </c>
      <c r="I48" s="117"/>
    </row>
    <row r="49" spans="1:9" x14ac:dyDescent="0.25">
      <c r="A49" s="116"/>
      <c r="B49" s="178"/>
      <c r="C49" s="187" t="str">
        <f>catrange(ActionSteps9)</f>
        <v/>
      </c>
      <c r="D49" s="188" t="str">
        <f>IF(IntGoal9="", "", IntGoal9)</f>
        <v/>
      </c>
      <c r="E49" s="296" t="str">
        <f>catrange(ActionSteps9)</f>
        <v/>
      </c>
      <c r="F49" s="296"/>
      <c r="G49" s="296"/>
      <c r="H49" s="186" t="s">
        <v>963</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 ref="D3:H3"/>
    <mergeCell ref="D6:H6"/>
    <mergeCell ref="D9:H9"/>
    <mergeCell ref="D12:H12"/>
    <mergeCell ref="D15:H15"/>
    <mergeCell ref="D4:H4"/>
    <mergeCell ref="D7:H7"/>
    <mergeCell ref="D10:H10"/>
    <mergeCell ref="D13:H13"/>
    <mergeCell ref="D35:E35"/>
    <mergeCell ref="D36:E36"/>
    <mergeCell ref="D37:E37"/>
    <mergeCell ref="G33:H33"/>
    <mergeCell ref="D31:H31"/>
    <mergeCell ref="D34:E34"/>
    <mergeCell ref="E40:G40"/>
    <mergeCell ref="E49:G49"/>
    <mergeCell ref="E41:G41"/>
    <mergeCell ref="E42:G42"/>
    <mergeCell ref="E43:G43"/>
    <mergeCell ref="E44:G44"/>
    <mergeCell ref="E45:G45"/>
    <mergeCell ref="E46:G46"/>
    <mergeCell ref="E47:G47"/>
    <mergeCell ref="E48:G48"/>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3"/>
  <sheetViews>
    <sheetView workbookViewId="0">
      <selection activeCell="C1" sqref="C1"/>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856</v>
      </c>
      <c r="B1" s="14" t="s">
        <v>866</v>
      </c>
      <c r="C1" s="14" t="s">
        <v>971</v>
      </c>
      <c r="D1" s="14" t="s">
        <v>94</v>
      </c>
      <c r="E1" s="14" t="s">
        <v>95</v>
      </c>
      <c r="F1" s="14" t="s">
        <v>96</v>
      </c>
      <c r="G1" s="14" t="s">
        <v>686</v>
      </c>
      <c r="H1" s="14" t="s">
        <v>931</v>
      </c>
      <c r="I1" s="14" t="s">
        <v>932</v>
      </c>
      <c r="J1" s="14" t="s">
        <v>955</v>
      </c>
      <c r="K1" s="14" t="s">
        <v>962</v>
      </c>
      <c r="M1" s="14" t="s">
        <v>162</v>
      </c>
      <c r="N1" s="14" t="s">
        <v>51</v>
      </c>
      <c r="O1" s="14" t="s">
        <v>56</v>
      </c>
      <c r="Q1" s="4" t="s">
        <v>55</v>
      </c>
      <c r="S1" t="s">
        <v>171</v>
      </c>
    </row>
    <row r="2" spans="1:21" x14ac:dyDescent="0.25">
      <c r="A2" t="s">
        <v>857</v>
      </c>
      <c r="B2" t="s">
        <v>867</v>
      </c>
      <c r="C2" t="s">
        <v>972</v>
      </c>
      <c r="D2">
        <v>0</v>
      </c>
      <c r="E2" t="s">
        <v>48</v>
      </c>
      <c r="F2" t="s">
        <v>97</v>
      </c>
      <c r="G2" t="s">
        <v>685</v>
      </c>
      <c r="H2" t="s">
        <v>685</v>
      </c>
      <c r="I2" t="s">
        <v>685</v>
      </c>
      <c r="J2" t="s">
        <v>956</v>
      </c>
      <c r="K2" t="s">
        <v>963</v>
      </c>
      <c r="M2" t="s">
        <v>167</v>
      </c>
      <c r="N2" t="s">
        <v>2</v>
      </c>
      <c r="O2">
        <f t="array" ref="O2">MAX(IF(ItemDom=M2, DomItemNum, 0))</f>
        <v>0</v>
      </c>
      <c r="Q2" s="1">
        <f>COUNTA(M:M)-1</f>
        <v>6</v>
      </c>
      <c r="S2" s="14" t="s">
        <v>172</v>
      </c>
      <c r="T2" s="14" t="s">
        <v>0</v>
      </c>
      <c r="U2" s="14" t="s">
        <v>173</v>
      </c>
    </row>
    <row r="3" spans="1:21" x14ac:dyDescent="0.25">
      <c r="A3" t="s">
        <v>858</v>
      </c>
      <c r="B3" t="s">
        <v>868</v>
      </c>
      <c r="C3" t="s">
        <v>973</v>
      </c>
      <c r="D3">
        <v>1</v>
      </c>
      <c r="E3" t="s">
        <v>49</v>
      </c>
      <c r="F3" t="s">
        <v>98</v>
      </c>
      <c r="G3" t="s">
        <v>306</v>
      </c>
      <c r="H3" t="s">
        <v>306</v>
      </c>
      <c r="I3" t="s">
        <v>307</v>
      </c>
      <c r="J3" t="s">
        <v>957</v>
      </c>
      <c r="K3" t="s">
        <v>964</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859</v>
      </c>
      <c r="B4" t="s">
        <v>869</v>
      </c>
      <c r="C4" t="s">
        <v>974</v>
      </c>
      <c r="D4">
        <v>2</v>
      </c>
      <c r="F4" t="s">
        <v>99</v>
      </c>
      <c r="G4" t="s">
        <v>307</v>
      </c>
      <c r="J4" t="s">
        <v>958</v>
      </c>
      <c r="K4" t="s">
        <v>965</v>
      </c>
      <c r="M4" t="s">
        <v>168</v>
      </c>
      <c r="N4" t="s">
        <v>37</v>
      </c>
      <c r="O4">
        <f t="array" ref="O4">MAX(IF(ItemDom=M4, DomItemNum, 0))</f>
        <v>0</v>
      </c>
      <c r="S4" t="s">
        <v>133</v>
      </c>
      <c r="T4" t="str">
        <f t="shared" si="0"/>
        <v/>
      </c>
      <c r="U4" t="str">
        <f t="shared" ref="U4:U15" si="1">IF(ISNUMBER(T4), TEXT(T4, "M/D/YYYY"), "")</f>
        <v/>
      </c>
    </row>
    <row r="5" spans="1:21" x14ac:dyDescent="0.25">
      <c r="A5" t="s">
        <v>860</v>
      </c>
      <c r="B5" t="s">
        <v>870</v>
      </c>
      <c r="C5" t="s">
        <v>975</v>
      </c>
      <c r="D5">
        <v>3</v>
      </c>
      <c r="F5" t="s">
        <v>100</v>
      </c>
      <c r="J5" t="s">
        <v>959</v>
      </c>
      <c r="K5" t="s">
        <v>966</v>
      </c>
      <c r="M5" t="s">
        <v>169</v>
      </c>
      <c r="N5" t="s">
        <v>25</v>
      </c>
      <c r="O5">
        <f t="array" ref="O5">MAX(IF(ItemDom=M5, DomItemNum, 0))</f>
        <v>0</v>
      </c>
      <c r="S5" t="s">
        <v>134</v>
      </c>
      <c r="T5" t="str">
        <f t="shared" si="0"/>
        <v/>
      </c>
      <c r="U5" t="str">
        <f t="shared" si="1"/>
        <v/>
      </c>
    </row>
    <row r="6" spans="1:21" x14ac:dyDescent="0.25">
      <c r="A6" t="s">
        <v>861</v>
      </c>
      <c r="B6" t="s">
        <v>871</v>
      </c>
      <c r="C6" t="s">
        <v>976</v>
      </c>
      <c r="F6" t="s">
        <v>101</v>
      </c>
      <c r="J6" t="s">
        <v>960</v>
      </c>
      <c r="K6" t="s">
        <v>967</v>
      </c>
      <c r="M6" t="s">
        <v>166</v>
      </c>
      <c r="N6" t="s">
        <v>32</v>
      </c>
      <c r="O6">
        <f t="array" ref="O6">MAX(IF(ItemDom=M6, DomItemNum, 0))</f>
        <v>0</v>
      </c>
      <c r="S6" t="s">
        <v>135</v>
      </c>
      <c r="T6" t="e">
        <f t="shared" si="0"/>
        <v>#N/A</v>
      </c>
      <c r="U6" t="str">
        <f t="shared" si="1"/>
        <v/>
      </c>
    </row>
    <row r="7" spans="1:21" x14ac:dyDescent="0.25">
      <c r="A7" t="s">
        <v>862</v>
      </c>
      <c r="B7" t="s">
        <v>872</v>
      </c>
      <c r="C7" t="s">
        <v>977</v>
      </c>
      <c r="J7" t="s">
        <v>961</v>
      </c>
      <c r="M7" t="s">
        <v>170</v>
      </c>
      <c r="N7" t="s">
        <v>149</v>
      </c>
      <c r="O7">
        <f t="array" ref="O7">MAX(IF(ItemDom=M7, DomItemNum, 0))</f>
        <v>0</v>
      </c>
      <c r="S7" t="s">
        <v>136</v>
      </c>
      <c r="T7" t="e">
        <f t="shared" si="0"/>
        <v>#N/A</v>
      </c>
      <c r="U7" t="str">
        <f t="shared" si="1"/>
        <v/>
      </c>
    </row>
    <row r="8" spans="1:21" x14ac:dyDescent="0.25">
      <c r="A8" t="s">
        <v>863</v>
      </c>
      <c r="B8" t="s">
        <v>873</v>
      </c>
      <c r="C8" t="s">
        <v>978</v>
      </c>
      <c r="J8" t="s">
        <v>1089</v>
      </c>
      <c r="S8" t="s">
        <v>137</v>
      </c>
      <c r="T8" t="e">
        <f t="shared" si="0"/>
        <v>#N/A</v>
      </c>
      <c r="U8" t="str">
        <f t="shared" si="1"/>
        <v/>
      </c>
    </row>
    <row r="9" spans="1:21" x14ac:dyDescent="0.25">
      <c r="A9" t="s">
        <v>864</v>
      </c>
      <c r="B9" t="s">
        <v>874</v>
      </c>
      <c r="C9" t="s">
        <v>979</v>
      </c>
      <c r="S9" t="s">
        <v>138</v>
      </c>
      <c r="T9" t="e">
        <f t="shared" si="0"/>
        <v>#N/A</v>
      </c>
      <c r="U9" t="str">
        <f t="shared" si="1"/>
        <v/>
      </c>
    </row>
    <row r="10" spans="1:21" x14ac:dyDescent="0.25">
      <c r="A10" t="s">
        <v>865</v>
      </c>
      <c r="B10" t="s">
        <v>875</v>
      </c>
      <c r="C10" t="s">
        <v>980</v>
      </c>
      <c r="F10" s="14">
        <f t="array" ref="F10">MAX(IF(ItemNum=MAX(ItemNum), ROW(ItemNum), 0))</f>
        <v>209</v>
      </c>
      <c r="G10" t="s">
        <v>262</v>
      </c>
      <c r="S10" t="s">
        <v>139</v>
      </c>
      <c r="T10" t="e">
        <f t="shared" si="0"/>
        <v>#N/A</v>
      </c>
      <c r="U10" t="str">
        <f t="shared" si="1"/>
        <v/>
      </c>
    </row>
    <row r="11" spans="1:21" x14ac:dyDescent="0.25">
      <c r="B11" t="s">
        <v>876</v>
      </c>
      <c r="C11" t="s">
        <v>981</v>
      </c>
      <c r="F11" s="17">
        <f>IF(dateAssess3&lt;&gt;"", dateAssess3, IF(dateAssess2&lt;&gt;"", dateAssess2, IF(dateAssess1&lt;&gt;"", dateAssess1, "")))</f>
        <v>43101</v>
      </c>
      <c r="G11" t="s">
        <v>677</v>
      </c>
      <c r="S11" t="s">
        <v>140</v>
      </c>
      <c r="T11" t="e">
        <f t="shared" si="0"/>
        <v>#N/A</v>
      </c>
      <c r="U11" t="str">
        <f t="shared" si="1"/>
        <v/>
      </c>
    </row>
    <row r="12" spans="1:21" x14ac:dyDescent="0.25">
      <c r="B12" t="s">
        <v>877</v>
      </c>
      <c r="C12" t="s">
        <v>982</v>
      </c>
      <c r="S12" t="s">
        <v>141</v>
      </c>
      <c r="T12" t="e">
        <f t="shared" si="0"/>
        <v>#N/A</v>
      </c>
      <c r="U12" t="str">
        <f t="shared" si="1"/>
        <v/>
      </c>
    </row>
    <row r="13" spans="1:21" x14ac:dyDescent="0.25">
      <c r="B13" t="s">
        <v>878</v>
      </c>
      <c r="C13" t="s">
        <v>983</v>
      </c>
      <c r="F13" s="233" t="b">
        <v>1</v>
      </c>
      <c r="G13" s="233" t="s">
        <v>1096</v>
      </c>
      <c r="S13" t="s">
        <v>142</v>
      </c>
      <c r="T13" t="e">
        <f t="shared" si="0"/>
        <v>#N/A</v>
      </c>
      <c r="U13" t="str">
        <f t="shared" si="1"/>
        <v/>
      </c>
    </row>
    <row r="14" spans="1:21" x14ac:dyDescent="0.25">
      <c r="B14" t="s">
        <v>879</v>
      </c>
      <c r="C14" t="s">
        <v>984</v>
      </c>
      <c r="S14" t="s">
        <v>143</v>
      </c>
      <c r="T14" t="e">
        <f t="shared" si="0"/>
        <v>#N/A</v>
      </c>
      <c r="U14" t="str">
        <f t="shared" si="1"/>
        <v/>
      </c>
    </row>
    <row r="15" spans="1:21" x14ac:dyDescent="0.25">
      <c r="B15" t="s">
        <v>880</v>
      </c>
      <c r="C15" t="s">
        <v>985</v>
      </c>
      <c r="S15" t="s">
        <v>144</v>
      </c>
      <c r="T15" t="e">
        <f t="shared" si="0"/>
        <v>#N/A</v>
      </c>
      <c r="U15" t="str">
        <f t="shared" si="1"/>
        <v/>
      </c>
    </row>
    <row r="16" spans="1:21" x14ac:dyDescent="0.25">
      <c r="B16" t="s">
        <v>881</v>
      </c>
      <c r="C16" t="s">
        <v>986</v>
      </c>
    </row>
    <row r="17" spans="2:3" x14ac:dyDescent="0.25">
      <c r="B17" t="s">
        <v>882</v>
      </c>
      <c r="C17" t="s">
        <v>987</v>
      </c>
    </row>
    <row r="18" spans="2:3" x14ac:dyDescent="0.25">
      <c r="B18" t="s">
        <v>883</v>
      </c>
      <c r="C18" t="s">
        <v>1100</v>
      </c>
    </row>
    <row r="19" spans="2:3" x14ac:dyDescent="0.25">
      <c r="B19" t="s">
        <v>884</v>
      </c>
      <c r="C19" t="s">
        <v>988</v>
      </c>
    </row>
    <row r="20" spans="2:3" x14ac:dyDescent="0.25">
      <c r="B20" t="s">
        <v>885</v>
      </c>
      <c r="C20" t="s">
        <v>989</v>
      </c>
    </row>
    <row r="21" spans="2:3" x14ac:dyDescent="0.25">
      <c r="B21" t="s">
        <v>886</v>
      </c>
      <c r="C21" t="s">
        <v>990</v>
      </c>
    </row>
    <row r="22" spans="2:3" x14ac:dyDescent="0.25">
      <c r="B22" t="s">
        <v>887</v>
      </c>
      <c r="C22" t="s">
        <v>991</v>
      </c>
    </row>
    <row r="23" spans="2:3" x14ac:dyDescent="0.25">
      <c r="B23" t="s">
        <v>888</v>
      </c>
      <c r="C23" t="s">
        <v>992</v>
      </c>
    </row>
    <row r="24" spans="2:3" x14ac:dyDescent="0.25">
      <c r="B24" t="s">
        <v>889</v>
      </c>
      <c r="C24" t="s">
        <v>993</v>
      </c>
    </row>
    <row r="25" spans="2:3" x14ac:dyDescent="0.25">
      <c r="B25" t="s">
        <v>890</v>
      </c>
      <c r="C25" t="s">
        <v>994</v>
      </c>
    </row>
    <row r="26" spans="2:3" x14ac:dyDescent="0.25">
      <c r="B26" t="s">
        <v>891</v>
      </c>
      <c r="C26" t="s">
        <v>995</v>
      </c>
    </row>
    <row r="27" spans="2:3" x14ac:dyDescent="0.25">
      <c r="B27" t="s">
        <v>892</v>
      </c>
      <c r="C27" t="s">
        <v>996</v>
      </c>
    </row>
    <row r="28" spans="2:3" x14ac:dyDescent="0.25">
      <c r="B28" t="s">
        <v>893</v>
      </c>
      <c r="C28" t="s">
        <v>997</v>
      </c>
    </row>
    <row r="29" spans="2:3" ht="15.75" customHeight="1" x14ac:dyDescent="0.25">
      <c r="B29" t="s">
        <v>894</v>
      </c>
      <c r="C29" t="s">
        <v>998</v>
      </c>
    </row>
    <row r="30" spans="2:3" x14ac:dyDescent="0.25">
      <c r="B30" t="s">
        <v>895</v>
      </c>
      <c r="C30" t="s">
        <v>999</v>
      </c>
    </row>
    <row r="31" spans="2:3" x14ac:dyDescent="0.25">
      <c r="B31" t="s">
        <v>896</v>
      </c>
      <c r="C31" t="s">
        <v>1000</v>
      </c>
    </row>
    <row r="32" spans="2:3" x14ac:dyDescent="0.25">
      <c r="B32" t="s">
        <v>897</v>
      </c>
      <c r="C32" t="s">
        <v>1001</v>
      </c>
    </row>
    <row r="33" spans="2:3" x14ac:dyDescent="0.25">
      <c r="B33" t="s">
        <v>898</v>
      </c>
      <c r="C33" t="s">
        <v>1002</v>
      </c>
    </row>
    <row r="34" spans="2:3" x14ac:dyDescent="0.25">
      <c r="B34" t="s">
        <v>899</v>
      </c>
      <c r="C34" t="s">
        <v>1003</v>
      </c>
    </row>
    <row r="35" spans="2:3" x14ac:dyDescent="0.25">
      <c r="B35" t="s">
        <v>900</v>
      </c>
      <c r="C35" t="s">
        <v>1086</v>
      </c>
    </row>
    <row r="36" spans="2:3" x14ac:dyDescent="0.25">
      <c r="B36" t="s">
        <v>901</v>
      </c>
      <c r="C36" t="s">
        <v>1004</v>
      </c>
    </row>
    <row r="37" spans="2:3" x14ac:dyDescent="0.25">
      <c r="B37" t="s">
        <v>902</v>
      </c>
      <c r="C37" t="s">
        <v>1005</v>
      </c>
    </row>
    <row r="38" spans="2:3" x14ac:dyDescent="0.25">
      <c r="B38" t="s">
        <v>903</v>
      </c>
      <c r="C38" t="s">
        <v>1006</v>
      </c>
    </row>
    <row r="39" spans="2:3" x14ac:dyDescent="0.25">
      <c r="B39" t="s">
        <v>904</v>
      </c>
      <c r="C39" t="s">
        <v>1007</v>
      </c>
    </row>
    <row r="40" spans="2:3" x14ac:dyDescent="0.25">
      <c r="B40" t="s">
        <v>905</v>
      </c>
      <c r="C40" t="s">
        <v>1008</v>
      </c>
    </row>
    <row r="41" spans="2:3" x14ac:dyDescent="0.25">
      <c r="B41" t="s">
        <v>906</v>
      </c>
      <c r="C41" t="s">
        <v>1009</v>
      </c>
    </row>
    <row r="42" spans="2:3" x14ac:dyDescent="0.25">
      <c r="B42" t="s">
        <v>907</v>
      </c>
      <c r="C42" t="s">
        <v>1099</v>
      </c>
    </row>
    <row r="43" spans="2:3" x14ac:dyDescent="0.25">
      <c r="B43" t="s">
        <v>908</v>
      </c>
      <c r="C43" t="s">
        <v>1010</v>
      </c>
    </row>
    <row r="44" spans="2:3" x14ac:dyDescent="0.25">
      <c r="B44" t="s">
        <v>909</v>
      </c>
      <c r="C44" t="s">
        <v>1011</v>
      </c>
    </row>
    <row r="45" spans="2:3" x14ac:dyDescent="0.25">
      <c r="B45" t="s">
        <v>910</v>
      </c>
      <c r="C45" t="s">
        <v>1012</v>
      </c>
    </row>
    <row r="46" spans="2:3" ht="15.75" customHeight="1" x14ac:dyDescent="0.25">
      <c r="B46" t="s">
        <v>911</v>
      </c>
      <c r="C46" t="s">
        <v>1013</v>
      </c>
    </row>
    <row r="47" spans="2:3" x14ac:dyDescent="0.25">
      <c r="B47" t="s">
        <v>912</v>
      </c>
      <c r="C47" t="s">
        <v>1014</v>
      </c>
    </row>
    <row r="48" spans="2:3" x14ac:dyDescent="0.25">
      <c r="B48" t="s">
        <v>913</v>
      </c>
      <c r="C48" t="s">
        <v>1015</v>
      </c>
    </row>
    <row r="49" spans="2:3" x14ac:dyDescent="0.25">
      <c r="B49" t="s">
        <v>914</v>
      </c>
      <c r="C49" t="s">
        <v>1016</v>
      </c>
    </row>
    <row r="50" spans="2:3" x14ac:dyDescent="0.25">
      <c r="B50" t="s">
        <v>915</v>
      </c>
      <c r="C50" t="s">
        <v>1084</v>
      </c>
    </row>
    <row r="51" spans="2:3" x14ac:dyDescent="0.25">
      <c r="C51" t="s">
        <v>1017</v>
      </c>
    </row>
    <row r="52" spans="2:3" x14ac:dyDescent="0.25">
      <c r="C52" t="s">
        <v>1018</v>
      </c>
    </row>
    <row r="53" spans="2:3" x14ac:dyDescent="0.25">
      <c r="C53" t="s">
        <v>1019</v>
      </c>
    </row>
    <row r="54" spans="2:3" x14ac:dyDescent="0.25">
      <c r="C54" t="s">
        <v>1020</v>
      </c>
    </row>
    <row r="55" spans="2:3" x14ac:dyDescent="0.25">
      <c r="C55" t="s">
        <v>1021</v>
      </c>
    </row>
    <row r="56" spans="2:3" x14ac:dyDescent="0.25">
      <c r="C56" t="s">
        <v>1022</v>
      </c>
    </row>
    <row r="57" spans="2:3" x14ac:dyDescent="0.25">
      <c r="C57" t="s">
        <v>1023</v>
      </c>
    </row>
    <row r="58" spans="2:3" x14ac:dyDescent="0.25">
      <c r="C58" t="s">
        <v>1024</v>
      </c>
    </row>
    <row r="59" spans="2:3" x14ac:dyDescent="0.25">
      <c r="C59" t="s">
        <v>1025</v>
      </c>
    </row>
    <row r="60" spans="2:3" x14ac:dyDescent="0.25">
      <c r="C60" t="s">
        <v>1026</v>
      </c>
    </row>
    <row r="61" spans="2:3" x14ac:dyDescent="0.25">
      <c r="C61" t="s">
        <v>1027</v>
      </c>
    </row>
    <row r="62" spans="2:3" x14ac:dyDescent="0.25">
      <c r="C62" t="s">
        <v>1028</v>
      </c>
    </row>
    <row r="63" spans="2:3" x14ac:dyDescent="0.25">
      <c r="C63" t="s">
        <v>1098</v>
      </c>
    </row>
    <row r="64" spans="2:3" x14ac:dyDescent="0.25">
      <c r="C64" t="s">
        <v>1029</v>
      </c>
    </row>
    <row r="65" spans="3:3" x14ac:dyDescent="0.25">
      <c r="C65" t="s">
        <v>1085</v>
      </c>
    </row>
    <row r="66" spans="3:3" x14ac:dyDescent="0.25">
      <c r="C66" t="s">
        <v>1030</v>
      </c>
    </row>
    <row r="67" spans="3:3" x14ac:dyDescent="0.25">
      <c r="C67" t="s">
        <v>1031</v>
      </c>
    </row>
    <row r="68" spans="3:3" x14ac:dyDescent="0.25">
      <c r="C68" t="s">
        <v>1032</v>
      </c>
    </row>
    <row r="69" spans="3:3" x14ac:dyDescent="0.25">
      <c r="C69" t="s">
        <v>1033</v>
      </c>
    </row>
    <row r="70" spans="3:3" x14ac:dyDescent="0.25">
      <c r="C70" t="s">
        <v>1034</v>
      </c>
    </row>
    <row r="71" spans="3:3" x14ac:dyDescent="0.25">
      <c r="C71" t="s">
        <v>1035</v>
      </c>
    </row>
    <row r="72" spans="3:3" x14ac:dyDescent="0.25">
      <c r="C72" t="s">
        <v>1036</v>
      </c>
    </row>
    <row r="73" spans="3:3" x14ac:dyDescent="0.25">
      <c r="C73" t="s">
        <v>1037</v>
      </c>
    </row>
    <row r="74" spans="3:3" x14ac:dyDescent="0.25">
      <c r="C74" t="s">
        <v>1082</v>
      </c>
    </row>
    <row r="75" spans="3:3" x14ac:dyDescent="0.25">
      <c r="C75" t="s">
        <v>970</v>
      </c>
    </row>
    <row r="76" spans="3:3" x14ac:dyDescent="0.25">
      <c r="C76" t="s">
        <v>1038</v>
      </c>
    </row>
    <row r="77" spans="3:3" x14ac:dyDescent="0.25">
      <c r="C77" t="s">
        <v>1039</v>
      </c>
    </row>
    <row r="78" spans="3:3" x14ac:dyDescent="0.25">
      <c r="C78" t="s">
        <v>1040</v>
      </c>
    </row>
    <row r="79" spans="3:3" x14ac:dyDescent="0.25">
      <c r="C79" t="s">
        <v>1041</v>
      </c>
    </row>
    <row r="80" spans="3:3" x14ac:dyDescent="0.25">
      <c r="C80" t="s">
        <v>1042</v>
      </c>
    </row>
    <row r="81" spans="3:3" x14ac:dyDescent="0.25">
      <c r="C81" t="s">
        <v>1043</v>
      </c>
    </row>
    <row r="82" spans="3:3" x14ac:dyDescent="0.25">
      <c r="C82" t="s">
        <v>1044</v>
      </c>
    </row>
    <row r="83" spans="3:3" x14ac:dyDescent="0.25">
      <c r="C83" t="s">
        <v>1101</v>
      </c>
    </row>
    <row r="84" spans="3:3" x14ac:dyDescent="0.25">
      <c r="C84" s="270" t="s">
        <v>1097</v>
      </c>
    </row>
    <row r="85" spans="3:3" x14ac:dyDescent="0.25">
      <c r="C85" t="s">
        <v>1045</v>
      </c>
    </row>
    <row r="86" spans="3:3" x14ac:dyDescent="0.25">
      <c r="C86" t="s">
        <v>1046</v>
      </c>
    </row>
    <row r="87" spans="3:3" x14ac:dyDescent="0.25">
      <c r="C87" t="s">
        <v>1047</v>
      </c>
    </row>
    <row r="88" spans="3:3" x14ac:dyDescent="0.25">
      <c r="C88" t="s">
        <v>1048</v>
      </c>
    </row>
    <row r="89" spans="3:3" x14ac:dyDescent="0.25">
      <c r="C89" t="s">
        <v>1049</v>
      </c>
    </row>
    <row r="90" spans="3:3" x14ac:dyDescent="0.25">
      <c r="C90" t="s">
        <v>1050</v>
      </c>
    </row>
    <row r="91" spans="3:3" x14ac:dyDescent="0.25">
      <c r="C91" t="s">
        <v>1051</v>
      </c>
    </row>
    <row r="92" spans="3:3" x14ac:dyDescent="0.25">
      <c r="C92" t="s">
        <v>1052</v>
      </c>
    </row>
    <row r="93" spans="3:3" x14ac:dyDescent="0.25">
      <c r="C93" t="s">
        <v>1053</v>
      </c>
    </row>
    <row r="94" spans="3:3" x14ac:dyDescent="0.25">
      <c r="C94" t="s">
        <v>1054</v>
      </c>
    </row>
    <row r="95" spans="3:3" x14ac:dyDescent="0.25">
      <c r="C95" t="s">
        <v>1055</v>
      </c>
    </row>
    <row r="96" spans="3:3" x14ac:dyDescent="0.25">
      <c r="C96" t="s">
        <v>1056</v>
      </c>
    </row>
    <row r="97" spans="3:3" x14ac:dyDescent="0.25">
      <c r="C97" t="s">
        <v>1057</v>
      </c>
    </row>
    <row r="98" spans="3:3" x14ac:dyDescent="0.25">
      <c r="C98" t="s">
        <v>1058</v>
      </c>
    </row>
    <row r="99" spans="3:3" x14ac:dyDescent="0.25">
      <c r="C99" t="s">
        <v>1059</v>
      </c>
    </row>
    <row r="100" spans="3:3" x14ac:dyDescent="0.25">
      <c r="C100" t="s">
        <v>1060</v>
      </c>
    </row>
    <row r="101" spans="3:3" x14ac:dyDescent="0.25">
      <c r="C101" t="s">
        <v>1061</v>
      </c>
    </row>
    <row r="102" spans="3:3" x14ac:dyDescent="0.25">
      <c r="C102" t="s">
        <v>1062</v>
      </c>
    </row>
    <row r="103" spans="3:3" x14ac:dyDescent="0.25">
      <c r="C103" t="s">
        <v>1063</v>
      </c>
    </row>
    <row r="104" spans="3:3" x14ac:dyDescent="0.25">
      <c r="C104" t="s">
        <v>1064</v>
      </c>
    </row>
    <row r="105" spans="3:3" x14ac:dyDescent="0.25">
      <c r="C105" t="s">
        <v>1065</v>
      </c>
    </row>
    <row r="106" spans="3:3" x14ac:dyDescent="0.25">
      <c r="C106" t="s">
        <v>1066</v>
      </c>
    </row>
    <row r="107" spans="3:3" x14ac:dyDescent="0.25">
      <c r="C107" t="s">
        <v>1067</v>
      </c>
    </row>
    <row r="108" spans="3:3" x14ac:dyDescent="0.25">
      <c r="C108" t="s">
        <v>1068</v>
      </c>
    </row>
    <row r="109" spans="3:3" x14ac:dyDescent="0.25">
      <c r="C109" t="s">
        <v>1069</v>
      </c>
    </row>
    <row r="110" spans="3:3" x14ac:dyDescent="0.25">
      <c r="C110" t="s">
        <v>1070</v>
      </c>
    </row>
    <row r="111" spans="3:3" x14ac:dyDescent="0.25">
      <c r="C111" t="s">
        <v>1071</v>
      </c>
    </row>
    <row r="112" spans="3:3" x14ac:dyDescent="0.25">
      <c r="C112" t="s">
        <v>1083</v>
      </c>
    </row>
    <row r="113" spans="3:3" x14ac:dyDescent="0.25">
      <c r="C113" t="s">
        <v>1072</v>
      </c>
    </row>
    <row r="114" spans="3:3" x14ac:dyDescent="0.25">
      <c r="C114" t="s">
        <v>1073</v>
      </c>
    </row>
    <row r="115" spans="3:3" x14ac:dyDescent="0.25">
      <c r="C115" t="s">
        <v>1074</v>
      </c>
    </row>
    <row r="116" spans="3:3" x14ac:dyDescent="0.25">
      <c r="C116" t="s">
        <v>1075</v>
      </c>
    </row>
    <row r="117" spans="3:3" x14ac:dyDescent="0.25">
      <c r="C117" t="s">
        <v>1076</v>
      </c>
    </row>
    <row r="118" spans="3:3" x14ac:dyDescent="0.25">
      <c r="C118" t="s">
        <v>1077</v>
      </c>
    </row>
    <row r="119" spans="3:3" x14ac:dyDescent="0.25">
      <c r="C119" t="s">
        <v>1078</v>
      </c>
    </row>
    <row r="120" spans="3:3" x14ac:dyDescent="0.25">
      <c r="C120" t="s">
        <v>1087</v>
      </c>
    </row>
    <row r="121" spans="3:3" x14ac:dyDescent="0.25">
      <c r="C121" t="s">
        <v>1079</v>
      </c>
    </row>
    <row r="122" spans="3:3" x14ac:dyDescent="0.25">
      <c r="C122" t="s">
        <v>1080</v>
      </c>
    </row>
    <row r="123" spans="3:3" x14ac:dyDescent="0.25">
      <c r="C123" t="s">
        <v>1081</v>
      </c>
    </row>
  </sheetData>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973c48c4069b6b944e1a8d73e5f345d7">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684fc15e0a11950475db7f791252ae6a"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D8ED79D0-5CC2-4691-A98A-4D7D79EB1C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3.xml><?xml version="1.0" encoding="utf-8"?>
<ds:datastoreItem xmlns:ds="http://schemas.openxmlformats.org/officeDocument/2006/customXml" ds:itemID="{9260E2A2-458A-4131-974D-90B8E3F0314B}">
  <ds:schemaRefs>
    <ds:schemaRef ds:uri="http://purl.org/dc/terms/"/>
    <ds:schemaRef ds:uri="http://schemas.microsoft.com/office/2006/metadata/properties"/>
    <ds:schemaRef ds:uri="http://www.w3.org/XML/1998/namespace"/>
    <ds:schemaRef ds:uri="http://purl.org/dc/elements/1.1/"/>
    <ds:schemaRef ds:uri="http://schemas.microsoft.com/office/2006/documentManagement/types"/>
    <ds:schemaRef ds:uri="http://schemas.microsoft.com/office/infopath/2007/PartnerControls"/>
    <ds:schemaRef ds:uri="0744c089-3c8b-41d7-9a15-aa5041886147"/>
    <ds:schemaRef ds:uri="http://schemas.openxmlformats.org/package/2006/metadata/core-properties"/>
    <ds:schemaRef ds:uri="68a064a4-a90a-4333-83be-93c6a56d91fc"/>
    <ds:schemaRef ds:uri="http://purl.org/dc/dcmitype/"/>
  </ds:schemaRefs>
</ds:datastoreItem>
</file>

<file path=customXml/itemProps4.xml><?xml version="1.0" encoding="utf-8"?>
<ds:datastoreItem xmlns:ds="http://schemas.openxmlformats.org/officeDocument/2006/customXml" ds:itemID="{8E0905A6-0F9B-4EC5-B88C-9F24DC482E49}">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2019-01-23T05:37:45Z</cp:lastPrinted>
  <dcterms:created xsi:type="dcterms:W3CDTF">2017-09-29T17:34:34Z</dcterms:created>
  <dcterms:modified xsi:type="dcterms:W3CDTF">2019-02-13T19:41:34Z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