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Meta!$C$2:$C$120</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0" i="24" l="1"/>
  <c r="B27" i="24"/>
  <c r="B24" i="24"/>
  <c r="B21" i="24"/>
  <c r="B18" i="24"/>
  <c r="B15" i="24"/>
  <c r="B9" i="24"/>
  <c r="B6" i="24"/>
  <c r="B3" i="24"/>
  <c r="X20" i="2"/>
  <c r="T15" i="3" l="1"/>
  <c r="U15" i="3" s="1"/>
  <c r="F1039" i="5" s="1"/>
  <c r="T14" i="3"/>
  <c r="U14" i="3" s="1"/>
  <c r="F963" i="5" s="1"/>
  <c r="T13" i="3"/>
  <c r="U13" i="3" s="1"/>
  <c r="F869" i="5" s="1"/>
  <c r="T12" i="3"/>
  <c r="U12" i="3" s="1"/>
  <c r="T11" i="3"/>
  <c r="U11" i="3" s="1"/>
  <c r="F722" i="5" s="1"/>
  <c r="F11" i="3"/>
  <c r="T10" i="3"/>
  <c r="U10" i="3" s="1"/>
  <c r="F601" i="5" s="1"/>
  <c r="T9" i="3"/>
  <c r="U9" i="3" s="1"/>
  <c r="T8" i="3"/>
  <c r="U8" i="3" s="1"/>
  <c r="F477" i="5" s="1"/>
  <c r="T7" i="3"/>
  <c r="U7" i="3" s="1"/>
  <c r="T6" i="3"/>
  <c r="U6" i="3" s="1"/>
  <c r="F317" i="5" s="1"/>
  <c r="T3" i="3"/>
  <c r="U3" i="3" s="1"/>
  <c r="F79"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F1029" i="5"/>
  <c r="K1028" i="5"/>
  <c r="L1028" i="5" s="1"/>
  <c r="K1027" i="5"/>
  <c r="L1027" i="5" s="1"/>
  <c r="F1027" i="5"/>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F1013" i="5"/>
  <c r="K1012" i="5"/>
  <c r="L1012" i="5" s="1"/>
  <c r="K1011" i="5"/>
  <c r="L1011" i="5" s="1"/>
  <c r="F1011" i="5"/>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F997" i="5"/>
  <c r="K996" i="5"/>
  <c r="L996" i="5" s="1"/>
  <c r="K995" i="5"/>
  <c r="L995" i="5" s="1"/>
  <c r="F995" i="5"/>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F979" i="5"/>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F965" i="5"/>
  <c r="K964" i="5"/>
  <c r="L964" i="5" s="1"/>
  <c r="K963" i="5"/>
  <c r="L963" i="5" s="1"/>
  <c r="K962" i="5"/>
  <c r="L962" i="5" s="1"/>
  <c r="K961" i="5"/>
  <c r="L961" i="5" s="1"/>
  <c r="K960" i="5"/>
  <c r="L960" i="5" s="1"/>
  <c r="K959" i="5"/>
  <c r="L959" i="5" s="1"/>
  <c r="F959" i="5"/>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F941" i="5"/>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F905" i="5"/>
  <c r="K904" i="5"/>
  <c r="L904" i="5" s="1"/>
  <c r="K903" i="5"/>
  <c r="L903" i="5" s="1"/>
  <c r="K902" i="5"/>
  <c r="L902" i="5" s="1"/>
  <c r="K901" i="5"/>
  <c r="L901" i="5" s="1"/>
  <c r="K900" i="5"/>
  <c r="L900" i="5" s="1"/>
  <c r="K899" i="5"/>
  <c r="L899" i="5" s="1"/>
  <c r="K898" i="5"/>
  <c r="L898" i="5" s="1"/>
  <c r="K897" i="5"/>
  <c r="L897" i="5" s="1"/>
  <c r="K896" i="5"/>
  <c r="L896" i="5" s="1"/>
  <c r="K895" i="5"/>
  <c r="L895" i="5" s="1"/>
  <c r="F895" i="5"/>
  <c r="K894" i="5"/>
  <c r="L894" i="5" s="1"/>
  <c r="K893" i="5"/>
  <c r="L893" i="5" s="1"/>
  <c r="K892" i="5"/>
  <c r="L892" i="5" s="1"/>
  <c r="K891" i="5"/>
  <c r="L891" i="5" s="1"/>
  <c r="K890" i="5"/>
  <c r="L890" i="5" s="1"/>
  <c r="K889" i="5"/>
  <c r="L889" i="5" s="1"/>
  <c r="K888" i="5"/>
  <c r="L888" i="5" s="1"/>
  <c r="K887" i="5"/>
  <c r="L887" i="5" s="1"/>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F721" i="5"/>
  <c r="K720" i="5"/>
  <c r="L720" i="5" s="1"/>
  <c r="K719" i="5"/>
  <c r="L719" i="5" s="1"/>
  <c r="F719" i="5"/>
  <c r="K718" i="5"/>
  <c r="L718" i="5" s="1"/>
  <c r="K717" i="5"/>
  <c r="L717" i="5" s="1"/>
  <c r="F717" i="5"/>
  <c r="K716" i="5"/>
  <c r="L716" i="5" s="1"/>
  <c r="K715" i="5"/>
  <c r="L715" i="5" s="1"/>
  <c r="F715" i="5"/>
  <c r="K714" i="5"/>
  <c r="L714" i="5" s="1"/>
  <c r="K713" i="5"/>
  <c r="L713" i="5" s="1"/>
  <c r="F713" i="5"/>
  <c r="K712" i="5"/>
  <c r="L712" i="5" s="1"/>
  <c r="K711" i="5"/>
  <c r="L711" i="5" s="1"/>
  <c r="F711" i="5"/>
  <c r="K710" i="5"/>
  <c r="L710" i="5" s="1"/>
  <c r="K709" i="5"/>
  <c r="L709" i="5" s="1"/>
  <c r="F709" i="5"/>
  <c r="K708" i="5"/>
  <c r="L708" i="5" s="1"/>
  <c r="K707" i="5"/>
  <c r="L707" i="5" s="1"/>
  <c r="F707" i="5"/>
  <c r="K706" i="5"/>
  <c r="L706" i="5" s="1"/>
  <c r="K705" i="5"/>
  <c r="L705" i="5" s="1"/>
  <c r="F705" i="5"/>
  <c r="K704" i="5"/>
  <c r="L704" i="5" s="1"/>
  <c r="K703" i="5"/>
  <c r="L703" i="5" s="1"/>
  <c r="F703" i="5"/>
  <c r="K702" i="5"/>
  <c r="L702" i="5" s="1"/>
  <c r="K701" i="5"/>
  <c r="L701" i="5" s="1"/>
  <c r="F701" i="5"/>
  <c r="K700" i="5"/>
  <c r="L700" i="5" s="1"/>
  <c r="K699" i="5"/>
  <c r="L699" i="5" s="1"/>
  <c r="F699" i="5"/>
  <c r="K698" i="5"/>
  <c r="L698" i="5" s="1"/>
  <c r="K697" i="5"/>
  <c r="L697" i="5" s="1"/>
  <c r="F697" i="5"/>
  <c r="K696" i="5"/>
  <c r="L696" i="5" s="1"/>
  <c r="K695" i="5"/>
  <c r="L695" i="5" s="1"/>
  <c r="F695" i="5"/>
  <c r="K694" i="5"/>
  <c r="L694" i="5" s="1"/>
  <c r="K693" i="5"/>
  <c r="L693" i="5" s="1"/>
  <c r="F693" i="5"/>
  <c r="K692" i="5"/>
  <c r="L692" i="5" s="1"/>
  <c r="K691" i="5"/>
  <c r="L691" i="5" s="1"/>
  <c r="F691" i="5"/>
  <c r="K690" i="5"/>
  <c r="L690" i="5" s="1"/>
  <c r="K689" i="5"/>
  <c r="L689" i="5" s="1"/>
  <c r="F689" i="5"/>
  <c r="K688" i="5"/>
  <c r="L688" i="5" s="1"/>
  <c r="K687" i="5"/>
  <c r="L687" i="5" s="1"/>
  <c r="F687" i="5"/>
  <c r="K686" i="5"/>
  <c r="L686" i="5" s="1"/>
  <c r="K685" i="5"/>
  <c r="L685" i="5" s="1"/>
  <c r="F685" i="5"/>
  <c r="K684" i="5"/>
  <c r="L684" i="5" s="1"/>
  <c r="K683" i="5"/>
  <c r="L683" i="5" s="1"/>
  <c r="F683" i="5"/>
  <c r="K682" i="5"/>
  <c r="L682" i="5" s="1"/>
  <c r="K681" i="5"/>
  <c r="L681" i="5" s="1"/>
  <c r="F681" i="5"/>
  <c r="K680" i="5"/>
  <c r="L680" i="5" s="1"/>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F473" i="5"/>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F453" i="5"/>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F433" i="5"/>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F409" i="5"/>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F57" i="5"/>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KX6" i="7"/>
  <c r="DF5" i="7"/>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P20" i="2"/>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AN13" i="2"/>
  <c r="AJ13" i="2"/>
  <c r="AF13" i="2"/>
  <c r="M11" i="2"/>
  <c r="S5" i="2"/>
  <c r="MP13" i="7" s="1"/>
  <c r="H17" i="16"/>
  <c r="H15" i="16"/>
  <c r="C47" i="24"/>
  <c r="C49" i="24"/>
  <c r="C44" i="24"/>
  <c r="C43" i="24"/>
  <c r="C48" i="24"/>
  <c r="C46" i="24"/>
  <c r="C45" i="24"/>
  <c r="K17" i="2"/>
  <c r="C42" i="24"/>
  <c r="E49" i="24"/>
  <c r="E48" i="24"/>
  <c r="E47" i="24"/>
  <c r="E46" i="24"/>
  <c r="E45" i="24"/>
  <c r="E44" i="24"/>
  <c r="E43" i="24"/>
  <c r="E42" i="24"/>
  <c r="E41" i="24"/>
  <c r="C41" i="24"/>
  <c r="F889" i="5" l="1"/>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B121" i="2" l="1"/>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31"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E30" i="2" l="1"/>
  <c r="J32" i="2"/>
  <c r="E31" i="2" s="1"/>
  <c r="J196" i="2"/>
  <c r="E195" i="2" s="1"/>
  <c r="H139" i="2"/>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C138" i="2"/>
  <c r="H140" i="2"/>
  <c r="B20" i="2"/>
  <c r="G4" i="19" s="1"/>
  <c r="I20" i="2"/>
  <c r="J21" i="2"/>
  <c r="E20" i="2" s="1"/>
  <c r="C70" i="2"/>
  <c r="B178" i="2"/>
  <c r="J179" i="2"/>
  <c r="I178" i="2"/>
  <c r="E176" i="2"/>
  <c r="B32" i="2"/>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I32" i="2" l="1"/>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H142" i="2"/>
  <c r="C140" i="2" s="1"/>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E142" i="2" l="1"/>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B144" i="2"/>
  <c r="I144"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125" i="2"/>
  <c r="H90" i="2"/>
  <c r="C89" i="2" s="1"/>
  <c r="H57" i="2"/>
  <c r="C56" i="2" s="1"/>
  <c r="D56" i="2"/>
  <c r="I91" i="2"/>
  <c r="B91" i="2"/>
  <c r="J92" i="2"/>
  <c r="E91" i="2" s="1"/>
  <c r="J59" i="2"/>
  <c r="E58" i="2" s="1"/>
  <c r="I58" i="2"/>
  <c r="B58" i="2"/>
  <c r="J145" i="2" l="1"/>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J146" i="2"/>
  <c r="E145" i="2" s="1"/>
  <c r="B145" i="2"/>
  <c r="I145" i="2"/>
  <c r="E144" i="2"/>
  <c r="D90" i="2"/>
  <c r="C124" i="2"/>
  <c r="J200" i="2"/>
  <c r="E199" i="2" s="1"/>
  <c r="B199" i="2"/>
  <c r="I199" i="2"/>
  <c r="D197" i="2"/>
  <c r="H42" i="2"/>
  <c r="C41" i="2" s="1"/>
  <c r="D41" i="2"/>
  <c r="H162" i="2"/>
  <c r="C161" i="2" s="1"/>
  <c r="J164" i="2"/>
  <c r="E163" i="2" s="1"/>
  <c r="B163" i="2"/>
  <c r="I163" i="2"/>
  <c r="H144" i="2"/>
  <c r="D14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X141" i="2"/>
  <c r="Z205" i="2"/>
  <c r="Z100" i="2"/>
  <c r="Y171" i="2"/>
  <c r="Y155" i="2"/>
  <c r="Z85" i="2"/>
  <c r="X129" i="2"/>
  <c r="Y141" i="2"/>
  <c r="Y48" i="2"/>
  <c r="Z61" i="2"/>
  <c r="Z161" i="2"/>
  <c r="Y32" i="2"/>
  <c r="Z165" i="2"/>
  <c r="Y182" i="2"/>
  <c r="Z77" i="2"/>
  <c r="X64" i="2"/>
  <c r="X86" i="2"/>
  <c r="Z106" i="2"/>
  <c r="Z113" i="2"/>
  <c r="X107" i="2"/>
  <c r="X130" i="2"/>
  <c r="X121" i="2"/>
  <c r="Y191" i="2"/>
  <c r="X70" i="2"/>
  <c r="X206" i="2"/>
  <c r="X95" i="2"/>
  <c r="Z134" i="2"/>
  <c r="Y196" i="2"/>
  <c r="Z53" i="2"/>
  <c r="Y118" i="2"/>
  <c r="Y97" i="2"/>
  <c r="X61" i="2"/>
  <c r="Z108" i="2"/>
  <c r="X154" i="2"/>
  <c r="Y33" i="2"/>
  <c r="X27" i="2"/>
  <c r="Y121" i="2"/>
  <c r="Z60" i="2"/>
  <c r="X43" i="2"/>
  <c r="Y84" i="2"/>
  <c r="Y76" i="2"/>
  <c r="Z172" i="2"/>
  <c r="Y206" i="2"/>
  <c r="X177" i="2"/>
  <c r="Y55" i="2"/>
  <c r="Z136" i="2"/>
  <c r="X193" i="2"/>
  <c r="Z155" i="2"/>
  <c r="Y98" i="2"/>
  <c r="X71" i="2"/>
  <c r="Y109" i="2"/>
  <c r="X103" i="2"/>
  <c r="Z72" i="2"/>
  <c r="Z122" i="2"/>
  <c r="Y128" i="2"/>
  <c r="Y168" i="2"/>
  <c r="X18" i="2"/>
  <c r="Y147" i="2"/>
  <c r="X122" i="2"/>
  <c r="X167" i="2"/>
  <c r="Y179" i="2"/>
  <c r="Y29" i="2"/>
  <c r="X147" i="2"/>
  <c r="Y122" i="2"/>
  <c r="Y18" i="2"/>
  <c r="Z202" i="2"/>
  <c r="X39" i="2"/>
  <c r="X35" i="2"/>
  <c r="Y114" i="2"/>
  <c r="Y34" i="2"/>
  <c r="Z37" i="2"/>
  <c r="Z91" i="2"/>
  <c r="X157" i="2"/>
  <c r="Z194" i="2"/>
  <c r="X139" i="2"/>
  <c r="Y193" i="2"/>
  <c r="Z131" i="2"/>
  <c r="Y56" i="2"/>
  <c r="Z160" i="2"/>
  <c r="X125" i="2"/>
  <c r="X58" i="2"/>
  <c r="Z150" i="2"/>
  <c r="Y170" i="2"/>
  <c r="Z185" i="2"/>
  <c r="Z197" i="2"/>
  <c r="Y100" i="2"/>
  <c r="Y73" i="2"/>
  <c r="Y201" i="2"/>
  <c r="Y90" i="2"/>
  <c r="Z55" i="2"/>
  <c r="Z46" i="2"/>
  <c r="Y75" i="2"/>
  <c r="X24" i="2"/>
  <c r="Y197" i="2"/>
  <c r="Z142" i="2"/>
  <c r="Z59" i="2"/>
  <c r="X137" i="2"/>
  <c r="Z178" i="2"/>
  <c r="Y39" i="2"/>
  <c r="X33" i="2"/>
  <c r="Y190" i="2"/>
  <c r="X85" i="2"/>
  <c r="Y43" i="2"/>
  <c r="Z54" i="2"/>
  <c r="Z89" i="2"/>
  <c r="Z25" i="2"/>
  <c r="Y153" i="2"/>
  <c r="X126" i="2"/>
  <c r="Z92" i="2"/>
  <c r="X115" i="2"/>
  <c r="X113" i="2"/>
  <c r="Y46" i="2"/>
  <c r="X106" i="2"/>
  <c r="X48" i="2"/>
  <c r="Z177" i="2"/>
  <c r="X149" i="2"/>
  <c r="Y203" i="2"/>
  <c r="Z48" i="2"/>
  <c r="Z104" i="2"/>
  <c r="X187" i="2"/>
  <c r="Z149" i="2"/>
  <c r="Z118" i="2"/>
  <c r="X140" i="2"/>
  <c r="Z90" i="2"/>
  <c r="X160" i="2"/>
  <c r="Z120" i="2"/>
  <c r="Z179" i="2"/>
  <c r="X185" i="2"/>
  <c r="Z76" i="2"/>
  <c r="X116" i="2"/>
  <c r="X158" i="2"/>
  <c r="Z168" i="2"/>
  <c r="Z70" i="2"/>
  <c r="Z171" i="2"/>
  <c r="X53" i="2"/>
  <c r="Y93" i="2"/>
  <c r="X162" i="2"/>
  <c r="Z22" i="2"/>
  <c r="Z176" i="2"/>
  <c r="X146" i="2"/>
  <c r="Y199" i="2"/>
  <c r="Y148" i="2"/>
  <c r="X83" i="2"/>
  <c r="X80" i="2"/>
  <c r="Y89" i="2"/>
  <c r="Y20" i="2"/>
  <c r="X172" i="2"/>
  <c r="Y113" i="2"/>
  <c r="Y91" i="2"/>
  <c r="Y77" i="2"/>
  <c r="Y96" i="2"/>
  <c r="Y74" i="2"/>
  <c r="X171" i="2"/>
  <c r="Z145" i="2"/>
  <c r="X191" i="2"/>
  <c r="X84" i="2"/>
  <c r="X144" i="2"/>
  <c r="Z45" i="2"/>
  <c r="X195" i="2"/>
  <c r="Z159" i="2"/>
  <c r="Z52" i="2"/>
  <c r="Y183" i="2"/>
  <c r="Z189" i="2"/>
  <c r="X173" i="2"/>
  <c r="Z26" i="2"/>
  <c r="Y200" i="2"/>
  <c r="Y26" i="2"/>
  <c r="Z187" i="2"/>
  <c r="Y110" i="2"/>
  <c r="Y174" i="2"/>
  <c r="Y102" i="2"/>
  <c r="Y144" i="2"/>
  <c r="Z107" i="2"/>
  <c r="Z82" i="2"/>
  <c r="Z137" i="2"/>
  <c r="Y208" i="2"/>
  <c r="X25" i="2"/>
  <c r="X124" i="2"/>
  <c r="Y167" i="2"/>
  <c r="Z38" i="2"/>
  <c r="Z20" i="2"/>
  <c r="Z34" i="2"/>
  <c r="X49" i="2"/>
  <c r="Y66" i="2"/>
  <c r="X23" i="2"/>
  <c r="X101" i="2"/>
  <c r="Y134" i="2"/>
  <c r="Z125" i="2"/>
  <c r="Z141" i="2"/>
  <c r="Z198" i="2"/>
  <c r="X132" i="2"/>
  <c r="Z154" i="2"/>
  <c r="X192" i="2"/>
  <c r="Z157" i="2"/>
  <c r="X148" i="2"/>
  <c r="X32" i="2"/>
  <c r="Y86" i="2"/>
  <c r="Z114" i="2"/>
  <c r="X98" i="2"/>
  <c r="Y180" i="2"/>
  <c r="X57" i="2"/>
  <c r="Z123" i="2"/>
  <c r="Z143" i="2"/>
  <c r="Y101" i="2"/>
  <c r="Z58" i="2"/>
  <c r="X66" i="2"/>
  <c r="Y112" i="2"/>
  <c r="Y31" i="2"/>
  <c r="Y125" i="2"/>
  <c r="Z88" i="2"/>
  <c r="Z132" i="2"/>
  <c r="X72" i="2"/>
  <c r="Y151" i="2"/>
  <c r="Z146" i="2"/>
  <c r="X181" i="2"/>
  <c r="Z170" i="2"/>
  <c r="Y78" i="2"/>
  <c r="Y156" i="2"/>
  <c r="X79" i="2"/>
  <c r="Z30" i="2"/>
  <c r="Y24" i="2"/>
  <c r="X26" i="2"/>
  <c r="Y169" i="2"/>
  <c r="Y42" i="2"/>
  <c r="Y152" i="2"/>
  <c r="Y19" i="2"/>
  <c r="Z188" i="2"/>
  <c r="Z208" i="2"/>
  <c r="Z151" i="2"/>
  <c r="X176" i="2"/>
  <c r="X34" i="2"/>
  <c r="X19" i="2"/>
  <c r="Z49" i="2"/>
  <c r="Z75" i="2"/>
  <c r="Y172" i="2"/>
  <c r="Y69" i="2"/>
  <c r="Z41" i="2"/>
  <c r="Y133" i="2"/>
  <c r="X155" i="2"/>
  <c r="X75" i="2"/>
  <c r="Y54" i="2"/>
  <c r="X128" i="2"/>
  <c r="Y41" i="2"/>
  <c r="Y59" i="2"/>
  <c r="Z35" i="2"/>
  <c r="Z87" i="2"/>
  <c r="X156" i="2"/>
  <c r="Z124" i="2"/>
  <c r="X37" i="2"/>
  <c r="X159" i="2"/>
  <c r="X102" i="2"/>
  <c r="X67" i="2"/>
  <c r="X142" i="2"/>
  <c r="Y149" i="2"/>
  <c r="Y72" i="2"/>
  <c r="X94" i="2"/>
  <c r="Y92" i="2"/>
  <c r="Y104" i="2"/>
  <c r="Z153" i="2"/>
  <c r="X168" i="2"/>
  <c r="Y181" i="2"/>
  <c r="X90" i="2"/>
  <c r="Y132" i="2"/>
  <c r="Z147" i="2"/>
  <c r="Z173" i="2"/>
  <c r="Z28" i="2"/>
  <c r="X174" i="2"/>
  <c r="X74" i="2"/>
  <c r="X56" i="2"/>
  <c r="X179" i="2"/>
  <c r="Y202" i="2"/>
  <c r="Z78" i="2"/>
  <c r="X123" i="2"/>
  <c r="Y135" i="2"/>
  <c r="Z44" i="2"/>
  <c r="Y115" i="2"/>
  <c r="Z152" i="2"/>
  <c r="X42" i="2"/>
  <c r="Y68" i="2"/>
  <c r="Y99" i="2"/>
  <c r="Z68" i="2"/>
  <c r="Z184" i="2"/>
  <c r="Z64" i="2"/>
  <c r="X164" i="2"/>
  <c r="Z80" i="2"/>
  <c r="Y186" i="2"/>
  <c r="X202" i="2"/>
  <c r="Y95" i="2"/>
  <c r="X65" i="2"/>
  <c r="Z32" i="2"/>
  <c r="Y162" i="2"/>
  <c r="Z29" i="2"/>
  <c r="X97" i="2"/>
  <c r="Z79" i="2"/>
  <c r="Z116" i="2"/>
  <c r="Z135" i="2"/>
  <c r="Y136" i="2"/>
  <c r="Z196" i="2"/>
  <c r="Z156" i="2"/>
  <c r="X111" i="2"/>
  <c r="X100" i="2"/>
  <c r="X120" i="2"/>
  <c r="Y127" i="2"/>
  <c r="Y45" i="2"/>
  <c r="X96" i="2"/>
  <c r="X178" i="2"/>
  <c r="Z204" i="2"/>
  <c r="X63" i="2"/>
  <c r="Z200" i="2"/>
  <c r="Y204" i="2"/>
  <c r="X152" i="2"/>
  <c r="Z139" i="2"/>
  <c r="Y53" i="2"/>
  <c r="X47" i="2"/>
  <c r="Z209" i="2"/>
  <c r="Z47" i="2"/>
  <c r="Y35" i="2"/>
  <c r="X108" i="2"/>
  <c r="Y198" i="2"/>
  <c r="Y58" i="2"/>
  <c r="Z206" i="2"/>
  <c r="X127" i="2"/>
  <c r="X59" i="2"/>
  <c r="Z110" i="2"/>
  <c r="Y37" i="2"/>
  <c r="X186" i="2"/>
  <c r="X133" i="2"/>
  <c r="Y178" i="2"/>
  <c r="Z93" i="2"/>
  <c r="X82" i="2"/>
  <c r="X52" i="2"/>
  <c r="Y85" i="2"/>
  <c r="Y61" i="2"/>
  <c r="Y82" i="2"/>
  <c r="Z148" i="2"/>
  <c r="X22" i="2"/>
  <c r="Y52" i="2"/>
  <c r="Y137" i="2"/>
  <c r="Y80" i="2"/>
  <c r="Z69" i="2"/>
  <c r="Z166" i="2"/>
  <c r="Z144" i="2"/>
  <c r="X46" i="2"/>
  <c r="Z27" i="2"/>
  <c r="X182" i="2"/>
  <c r="Y184" i="2"/>
  <c r="X203" i="2"/>
  <c r="Y60" i="2"/>
  <c r="Y163" i="2"/>
  <c r="X44" i="2"/>
  <c r="Z102" i="2"/>
  <c r="Y116" i="2"/>
  <c r="Y21" i="2"/>
  <c r="Y176" i="2"/>
  <c r="Y119" i="2"/>
  <c r="X69" i="2"/>
  <c r="Z99" i="2"/>
  <c r="X28" i="2"/>
  <c r="X169" i="2"/>
  <c r="Y142" i="2"/>
  <c r="Y87" i="2"/>
  <c r="Y124" i="2"/>
  <c r="Y175" i="2"/>
  <c r="Z33" i="2"/>
  <c r="Y158" i="2"/>
  <c r="Z169" i="2"/>
  <c r="X163" i="2"/>
  <c r="Z129" i="2"/>
  <c r="Z105" i="2"/>
  <c r="Z74" i="2"/>
  <c r="Y28" i="2"/>
  <c r="X161" i="2"/>
  <c r="Z117" i="2"/>
  <c r="X92" i="2"/>
  <c r="Y129" i="2"/>
  <c r="X93" i="2"/>
  <c r="X194" i="2"/>
  <c r="Z167" i="2"/>
  <c r="Y79" i="2"/>
  <c r="Z36" i="2"/>
  <c r="Z190" i="2"/>
  <c r="X166" i="2"/>
  <c r="Z163" i="2"/>
  <c r="X112" i="2"/>
  <c r="Z97" i="2"/>
  <c r="X50" i="2"/>
  <c r="Y209" i="2"/>
  <c r="Y70" i="2"/>
  <c r="X197" i="2"/>
  <c r="X134" i="2"/>
  <c r="Z121" i="2"/>
  <c r="Z96" i="2"/>
  <c r="Z94" i="2"/>
  <c r="X110" i="2"/>
  <c r="Z98" i="2"/>
  <c r="Y192" i="2"/>
  <c r="Y30" i="2"/>
  <c r="Y117" i="2"/>
  <c r="Y120" i="2"/>
  <c r="Y71" i="2"/>
  <c r="Z62" i="2"/>
  <c r="Z201" i="2"/>
  <c r="X170" i="2"/>
  <c r="Z109" i="2"/>
  <c r="Z51" i="2"/>
  <c r="Z86" i="2"/>
  <c r="Z24" i="2"/>
  <c r="X190" i="2"/>
  <c r="Z164" i="2"/>
  <c r="X201" i="2"/>
  <c r="X51" i="2"/>
  <c r="X183" i="2"/>
  <c r="X21" i="2"/>
  <c r="Y161" i="2"/>
  <c r="Y50" i="2"/>
  <c r="Y150" i="2"/>
  <c r="Y51" i="2"/>
  <c r="X40" i="2"/>
  <c r="Y83" i="2"/>
  <c r="X41" i="2"/>
  <c r="X77" i="2"/>
  <c r="Z162" i="2"/>
  <c r="X209" i="2"/>
  <c r="X114" i="2"/>
  <c r="Z63" i="2"/>
  <c r="Y123" i="2"/>
  <c r="Y145" i="2"/>
  <c r="Y195" i="2"/>
  <c r="X38" i="2"/>
  <c r="Y36" i="2"/>
  <c r="Z127" i="2"/>
  <c r="Y65" i="2"/>
  <c r="X45" i="2"/>
  <c r="Y49" i="2"/>
  <c r="X62" i="2"/>
  <c r="X143" i="2"/>
  <c r="X29" i="2"/>
  <c r="X109" i="2"/>
  <c r="Z50" i="2"/>
  <c r="Z138" i="2"/>
  <c r="Y27" i="2"/>
  <c r="Z180" i="2"/>
  <c r="Y159" i="2"/>
  <c r="Y22" i="2"/>
  <c r="Z56" i="2"/>
  <c r="Y140" i="2"/>
  <c r="Z101" i="2"/>
  <c r="Y105" i="2"/>
  <c r="Y106" i="2"/>
  <c r="Z73" i="2"/>
  <c r="Z203" i="2"/>
  <c r="Z23" i="2"/>
  <c r="Z84" i="2"/>
  <c r="Y44" i="2"/>
  <c r="Y166" i="2"/>
  <c r="X118" i="2"/>
  <c r="Z65" i="2"/>
  <c r="X89" i="2"/>
  <c r="Z115" i="2"/>
  <c r="Z191" i="2"/>
  <c r="Z195" i="2"/>
  <c r="X199" i="2"/>
  <c r="X207" i="2"/>
  <c r="Y205" i="2"/>
  <c r="Y194" i="2"/>
  <c r="Y103" i="2"/>
  <c r="Y160" i="2"/>
  <c r="Z174" i="2"/>
  <c r="Z103" i="2"/>
  <c r="Y173" i="2"/>
  <c r="Z95" i="2"/>
  <c r="Y94" i="2"/>
  <c r="Z66" i="2"/>
  <c r="Z133" i="2"/>
  <c r="Y111" i="2"/>
  <c r="X76" i="2"/>
  <c r="Y154" i="2"/>
  <c r="Y157" i="2"/>
  <c r="Y177" i="2"/>
  <c r="X104" i="2"/>
  <c r="X81" i="2"/>
  <c r="Z43" i="2"/>
  <c r="Z40" i="2"/>
  <c r="Z158" i="2"/>
  <c r="Z119" i="2"/>
  <c r="Z39" i="2"/>
  <c r="X184" i="2"/>
  <c r="X91" i="2"/>
  <c r="Y138" i="2"/>
  <c r="X198" i="2"/>
  <c r="Y88" i="2"/>
  <c r="X73" i="2"/>
  <c r="Y64" i="2"/>
  <c r="Z111" i="2"/>
  <c r="Z140" i="2"/>
  <c r="Z199" i="2"/>
  <c r="Y67" i="2"/>
  <c r="X138" i="2"/>
  <c r="Z183" i="2"/>
  <c r="Y81" i="2"/>
  <c r="X78" i="2"/>
  <c r="Y207" i="2"/>
  <c r="Z126" i="2"/>
  <c r="X200" i="2"/>
  <c r="X88" i="2"/>
  <c r="X180" i="2"/>
  <c r="Z112" i="2"/>
  <c r="Z71" i="2"/>
  <c r="Z181" i="2"/>
  <c r="X196" i="2"/>
  <c r="Z207" i="2"/>
  <c r="X105" i="2"/>
  <c r="Z19" i="2"/>
  <c r="Y189" i="2"/>
  <c r="Y143" i="2"/>
  <c r="Y107" i="2"/>
  <c r="Z130" i="2"/>
  <c r="Z18" i="2"/>
  <c r="X131" i="2"/>
  <c r="Z31" i="2"/>
  <c r="Z83" i="2"/>
  <c r="X68" i="2"/>
  <c r="X175" i="2"/>
  <c r="X150" i="2"/>
  <c r="X204" i="2"/>
  <c r="Y126" i="2"/>
  <c r="Y40" i="2"/>
  <c r="X54" i="2"/>
  <c r="X151" i="2"/>
  <c r="Y165" i="2"/>
  <c r="X99" i="2"/>
  <c r="Y187" i="2"/>
  <c r="X153" i="2"/>
  <c r="Y57" i="2"/>
  <c r="X60" i="2"/>
  <c r="X87" i="2"/>
  <c r="X145" i="2"/>
  <c r="Y23" i="2"/>
  <c r="X55" i="2"/>
  <c r="X31" i="2"/>
  <c r="Y139" i="2"/>
  <c r="Y62" i="2"/>
  <c r="X188" i="2"/>
  <c r="X189" i="2"/>
  <c r="X119" i="2"/>
  <c r="X135" i="2"/>
  <c r="Y185" i="2"/>
  <c r="Z186" i="2"/>
  <c r="Z182" i="2"/>
  <c r="Y108" i="2"/>
  <c r="Y131" i="2"/>
  <c r="X36" i="2"/>
  <c r="Z42" i="2"/>
  <c r="Z81" i="2"/>
  <c r="X117" i="2"/>
  <c r="X30" i="2"/>
  <c r="X136" i="2"/>
  <c r="Y188" i="2"/>
  <c r="Y164" i="2"/>
  <c r="Z175" i="2"/>
  <c r="Y63" i="2"/>
  <c r="Z128" i="2"/>
  <c r="Y38" i="2"/>
  <c r="Y146" i="2"/>
  <c r="X205" i="2"/>
  <c r="Z67" i="2"/>
  <c r="X165" i="2"/>
  <c r="Y25" i="2"/>
  <c r="Y47" i="2"/>
  <c r="X208" i="2"/>
  <c r="Z57" i="2"/>
  <c r="Z21" i="2"/>
  <c r="Z193" i="2"/>
  <c r="Z192" i="2"/>
  <c r="Y130" i="2"/>
  <c r="Q20" i="2" l="1"/>
  <c r="S20" i="2"/>
  <c r="W142" i="2"/>
  <c r="W198" i="2"/>
  <c r="P118" i="2"/>
  <c r="Q118" i="2"/>
  <c r="S118" i="2"/>
  <c r="W24" i="2"/>
  <c r="W180" i="2"/>
  <c r="W146" i="2"/>
  <c r="W121" i="2"/>
  <c r="S32" i="2"/>
  <c r="P32" i="2"/>
  <c r="Q32" i="2"/>
  <c r="U20" i="2"/>
  <c r="W171" i="2"/>
  <c r="U147" i="2"/>
  <c r="U194" i="2"/>
  <c r="W192" i="2"/>
  <c r="W79" i="2"/>
  <c r="W21" i="2"/>
  <c r="U33" i="2"/>
  <c r="Q130" i="2"/>
  <c r="P130" i="2"/>
  <c r="S130" i="2"/>
  <c r="U48" i="2"/>
  <c r="U179" i="2"/>
  <c r="U127" i="2"/>
  <c r="U60" i="2"/>
  <c r="W102" i="2"/>
  <c r="W147" i="2"/>
  <c r="U90" i="2"/>
  <c r="Q205" i="2"/>
  <c r="P205" i="2"/>
  <c r="S205" i="2"/>
  <c r="U146" i="2"/>
  <c r="U34" i="2"/>
  <c r="W104" i="2"/>
  <c r="W201" i="2"/>
  <c r="W86" i="2"/>
  <c r="W93" i="2"/>
  <c r="Q172" i="2"/>
  <c r="S172" i="2"/>
  <c r="P172" i="2"/>
  <c r="S199" i="2"/>
  <c r="P199" i="2"/>
  <c r="Q199" i="2"/>
  <c r="W195" i="2"/>
  <c r="W149" i="2"/>
  <c r="Q79" i="2"/>
  <c r="S79" i="2"/>
  <c r="P79" i="2"/>
  <c r="W44" i="2"/>
  <c r="U195" i="2"/>
  <c r="U101" i="2"/>
  <c r="S53" i="2"/>
  <c r="P53" i="2"/>
  <c r="Q53" i="2"/>
  <c r="W110" i="2"/>
  <c r="W139" i="2"/>
  <c r="S117" i="2"/>
  <c r="P117" i="2"/>
  <c r="Q117" i="2"/>
  <c r="U78" i="2"/>
  <c r="W92" i="2"/>
  <c r="U150" i="2"/>
  <c r="W167" i="2"/>
  <c r="Q121" i="2"/>
  <c r="S121" i="2"/>
  <c r="P121" i="2"/>
  <c r="W117" i="2"/>
  <c r="U87" i="2"/>
  <c r="U126" i="2"/>
  <c r="U177" i="2"/>
  <c r="W82" i="2"/>
  <c r="W51" i="2"/>
  <c r="W189" i="2"/>
  <c r="W23" i="2"/>
  <c r="W87" i="2"/>
  <c r="W75" i="2"/>
  <c r="U193" i="2"/>
  <c r="W164" i="2"/>
  <c r="U98" i="2"/>
  <c r="P181" i="2"/>
  <c r="Q181" i="2"/>
  <c r="S181" i="2"/>
  <c r="S102" i="2"/>
  <c r="Q102" i="2"/>
  <c r="P102" i="2"/>
  <c r="W61" i="2"/>
  <c r="P148" i="2"/>
  <c r="S148" i="2"/>
  <c r="Q148" i="2"/>
  <c r="U201" i="2"/>
  <c r="W38" i="2"/>
  <c r="U99" i="2"/>
  <c r="W95" i="2"/>
  <c r="Q49" i="2"/>
  <c r="S49" i="2"/>
  <c r="P49" i="2"/>
  <c r="W60" i="2"/>
  <c r="P62" i="2"/>
  <c r="Q62" i="2"/>
  <c r="S62" i="2"/>
  <c r="U89" i="2"/>
  <c r="W70" i="2"/>
  <c r="U68" i="2"/>
  <c r="S42" i="2"/>
  <c r="Q42" i="2"/>
  <c r="P42" i="2"/>
  <c r="U63" i="2"/>
  <c r="Q35" i="2"/>
  <c r="P35" i="2"/>
  <c r="S35" i="2"/>
  <c r="P137" i="2"/>
  <c r="S137" i="2"/>
  <c r="Q137" i="2"/>
  <c r="U65" i="2"/>
  <c r="S107" i="2"/>
  <c r="P107" i="2"/>
  <c r="Q107" i="2"/>
  <c r="U141" i="2"/>
  <c r="S125" i="2"/>
  <c r="P125" i="2"/>
  <c r="Q125" i="2"/>
  <c r="U47" i="2"/>
  <c r="P209" i="2"/>
  <c r="Q209" i="2"/>
  <c r="S209" i="2"/>
  <c r="S160" i="2"/>
  <c r="Q160" i="2"/>
  <c r="P160" i="2"/>
  <c r="W50" i="2"/>
  <c r="S91" i="2"/>
  <c r="Q91" i="2"/>
  <c r="P91" i="2"/>
  <c r="U108" i="2"/>
  <c r="U185" i="2"/>
  <c r="Q88" i="2"/>
  <c r="P88" i="2"/>
  <c r="S88" i="2"/>
  <c r="U166" i="2"/>
  <c r="W62" i="2"/>
  <c r="U22" i="2"/>
  <c r="U77" i="2"/>
  <c r="U111" i="2"/>
  <c r="U187" i="2"/>
  <c r="S151" i="2"/>
  <c r="P151" i="2"/>
  <c r="Q151" i="2"/>
  <c r="W132" i="2"/>
  <c r="S30" i="2"/>
  <c r="P30" i="2"/>
  <c r="Q30" i="2"/>
  <c r="U135" i="2"/>
  <c r="U94" i="2"/>
  <c r="W193" i="2"/>
  <c r="W133" i="2"/>
  <c r="Q59" i="2"/>
  <c r="S59" i="2"/>
  <c r="P59" i="2"/>
  <c r="P152" i="2"/>
  <c r="S152" i="2"/>
  <c r="Q152" i="2"/>
  <c r="U136" i="2"/>
  <c r="W141" i="2"/>
  <c r="U125" i="2"/>
  <c r="U67" i="2"/>
  <c r="S206" i="2"/>
  <c r="P206" i="2"/>
  <c r="Q206" i="2"/>
  <c r="U37" i="2"/>
  <c r="P161" i="2"/>
  <c r="Q161" i="2"/>
  <c r="S161" i="2"/>
  <c r="U142" i="2"/>
  <c r="W131" i="2"/>
  <c r="W83" i="2"/>
  <c r="W107" i="2"/>
  <c r="P25" i="2"/>
  <c r="S25" i="2"/>
  <c r="Q25" i="2"/>
  <c r="W69" i="2"/>
  <c r="U52" i="2"/>
  <c r="W35" i="2"/>
  <c r="W49" i="2"/>
  <c r="S189" i="2"/>
  <c r="P189" i="2"/>
  <c r="Q189" i="2"/>
  <c r="P40" i="2"/>
  <c r="Q40" i="2"/>
  <c r="S40" i="2"/>
  <c r="W155" i="2"/>
  <c r="U139" i="2"/>
  <c r="W103" i="2"/>
  <c r="U53" i="2"/>
  <c r="U197" i="2"/>
  <c r="U73" i="2"/>
  <c r="P183" i="2"/>
  <c r="Q183" i="2"/>
  <c r="S183" i="2"/>
  <c r="Q65" i="2"/>
  <c r="P65" i="2"/>
  <c r="S65" i="2"/>
  <c r="S89" i="2"/>
  <c r="P89" i="2"/>
  <c r="Q89" i="2"/>
  <c r="U163" i="2"/>
  <c r="S134" i="2"/>
  <c r="P134" i="2"/>
  <c r="Q134" i="2"/>
  <c r="P92" i="2"/>
  <c r="Q92" i="2"/>
  <c r="S92" i="2"/>
  <c r="S80" i="2"/>
  <c r="Q80" i="2"/>
  <c r="P80" i="2"/>
  <c r="W168" i="2"/>
  <c r="Q113" i="2"/>
  <c r="P113" i="2"/>
  <c r="S113" i="2"/>
  <c r="Q103" i="2"/>
  <c r="P103" i="2"/>
  <c r="S103" i="2"/>
  <c r="P55" i="2"/>
  <c r="Q55" i="2"/>
  <c r="S55" i="2"/>
  <c r="U152" i="2"/>
  <c r="U164" i="2"/>
  <c r="U209" i="2"/>
  <c r="W113" i="2"/>
  <c r="P129" i="2"/>
  <c r="Q129" i="2"/>
  <c r="S129" i="2"/>
  <c r="W184" i="2"/>
  <c r="Q23" i="2"/>
  <c r="S23" i="2"/>
  <c r="P23" i="2"/>
  <c r="P203" i="2"/>
  <c r="Q203" i="2"/>
  <c r="S203" i="2"/>
  <c r="U128" i="2"/>
  <c r="U132" i="2"/>
  <c r="U124" i="2"/>
  <c r="W73" i="2"/>
  <c r="S138" i="2"/>
  <c r="P138" i="2"/>
  <c r="Q138" i="2"/>
  <c r="S72" i="2"/>
  <c r="P72" i="2"/>
  <c r="Q72" i="2"/>
  <c r="W140" i="2"/>
  <c r="U71" i="2"/>
  <c r="U143" i="2"/>
  <c r="U178" i="2"/>
  <c r="S168" i="2"/>
  <c r="Q168" i="2"/>
  <c r="P168" i="2"/>
  <c r="W158" i="2"/>
  <c r="S81" i="2"/>
  <c r="Q81" i="2"/>
  <c r="P81" i="2"/>
  <c r="W71" i="2"/>
  <c r="W156" i="2"/>
  <c r="Q123" i="2"/>
  <c r="P123" i="2"/>
  <c r="S123" i="2"/>
  <c r="W91" i="2"/>
  <c r="U43" i="2"/>
  <c r="P156" i="2"/>
  <c r="S156" i="2"/>
  <c r="Q156" i="2"/>
  <c r="S127" i="2"/>
  <c r="P127" i="2"/>
  <c r="Q127" i="2"/>
  <c r="U204" i="2"/>
  <c r="S187" i="2"/>
  <c r="Q187" i="2"/>
  <c r="P187" i="2"/>
  <c r="Q120" i="2"/>
  <c r="P120" i="2"/>
  <c r="S120" i="2"/>
  <c r="P126" i="2"/>
  <c r="Q126" i="2"/>
  <c r="S126" i="2"/>
  <c r="W111" i="2"/>
  <c r="U183" i="2"/>
  <c r="W123" i="2"/>
  <c r="U28" i="2"/>
  <c r="P169" i="2"/>
  <c r="Q169" i="2"/>
  <c r="S169" i="2"/>
  <c r="U114" i="2"/>
  <c r="S124" i="2"/>
  <c r="P124" i="2"/>
  <c r="Q124" i="2"/>
  <c r="U144" i="2"/>
  <c r="S31" i="2"/>
  <c r="P31" i="2"/>
  <c r="Q31" i="2"/>
  <c r="Q194" i="2"/>
  <c r="P194" i="2"/>
  <c r="S194" i="2"/>
  <c r="U172" i="2"/>
  <c r="U59" i="2"/>
  <c r="P19" i="2"/>
  <c r="S19" i="2"/>
  <c r="Q19" i="2"/>
  <c r="S97" i="2"/>
  <c r="Q97" i="2"/>
  <c r="P97" i="2"/>
  <c r="W128" i="2"/>
  <c r="P193" i="2"/>
  <c r="S193" i="2"/>
  <c r="Q193" i="2"/>
  <c r="U103" i="2"/>
  <c r="U121" i="2"/>
  <c r="P195" i="2"/>
  <c r="Q195" i="2"/>
  <c r="S195" i="2"/>
  <c r="W157" i="2"/>
  <c r="U100" i="2"/>
  <c r="U122" i="2"/>
  <c r="W101" i="2"/>
  <c r="W126" i="2"/>
  <c r="P140" i="2"/>
  <c r="Q140" i="2"/>
  <c r="S140" i="2"/>
  <c r="P159" i="2"/>
  <c r="Q159" i="2"/>
  <c r="S159" i="2"/>
  <c r="Q154" i="2"/>
  <c r="S154" i="2"/>
  <c r="P154" i="2"/>
  <c r="Q83" i="2"/>
  <c r="P83" i="2"/>
  <c r="S83" i="2"/>
  <c r="Q158" i="2"/>
  <c r="P158" i="2"/>
  <c r="S158" i="2"/>
  <c r="U157" i="2"/>
  <c r="S114" i="2"/>
  <c r="P114" i="2"/>
  <c r="Q114" i="2"/>
  <c r="U88" i="2"/>
  <c r="W48" i="2"/>
  <c r="U173" i="2"/>
  <c r="Q109" i="2"/>
  <c r="P109" i="2"/>
  <c r="S109" i="2"/>
  <c r="W106" i="2"/>
  <c r="W85" i="2"/>
  <c r="U162" i="2"/>
  <c r="S44" i="2"/>
  <c r="P44" i="2"/>
  <c r="Q44" i="2"/>
  <c r="W162" i="2"/>
  <c r="W80" i="2"/>
  <c r="W55" i="2"/>
  <c r="S76" i="2"/>
  <c r="P76" i="2"/>
  <c r="Q76" i="2"/>
  <c r="U49" i="2"/>
  <c r="W127" i="2"/>
  <c r="Q149" i="2"/>
  <c r="P149" i="2"/>
  <c r="S149" i="2"/>
  <c r="U50" i="2"/>
  <c r="U120" i="2"/>
  <c r="W72" i="2"/>
  <c r="U86" i="2"/>
  <c r="U83" i="2"/>
  <c r="P175" i="2"/>
  <c r="S175" i="2"/>
  <c r="Q175" i="2"/>
  <c r="S68" i="2"/>
  <c r="P68" i="2"/>
  <c r="Q68" i="2"/>
  <c r="W109" i="2"/>
  <c r="P139" i="2"/>
  <c r="S139" i="2"/>
  <c r="Q139" i="2"/>
  <c r="W78" i="2"/>
  <c r="U151" i="2"/>
  <c r="P162" i="2"/>
  <c r="S162" i="2"/>
  <c r="Q162" i="2"/>
  <c r="S50" i="2"/>
  <c r="P50" i="2"/>
  <c r="Q50" i="2"/>
  <c r="W206" i="2"/>
  <c r="W200" i="2"/>
  <c r="P167" i="2"/>
  <c r="Q167" i="2"/>
  <c r="S167" i="2"/>
  <c r="S200" i="2"/>
  <c r="Q200" i="2"/>
  <c r="P200" i="2"/>
  <c r="U31" i="2"/>
  <c r="U167" i="2"/>
  <c r="W175" i="2"/>
  <c r="W153" i="2"/>
  <c r="W74" i="2"/>
  <c r="S28" i="2"/>
  <c r="P28" i="2"/>
  <c r="Q28" i="2"/>
  <c r="U95" i="2"/>
  <c r="Q111" i="2"/>
  <c r="P111" i="2"/>
  <c r="S111" i="2"/>
  <c r="U102" i="2"/>
  <c r="W152" i="2"/>
  <c r="U91" i="2"/>
  <c r="U190" i="2"/>
  <c r="U41" i="2"/>
  <c r="S34" i="2"/>
  <c r="Q34" i="2"/>
  <c r="P34" i="2"/>
  <c r="S39" i="2"/>
  <c r="Q39" i="2"/>
  <c r="P39" i="2"/>
  <c r="W66" i="2"/>
  <c r="W136" i="2"/>
  <c r="W160" i="2"/>
  <c r="U32" i="2"/>
  <c r="W45" i="2"/>
  <c r="S24" i="2"/>
  <c r="Q24" i="2"/>
  <c r="P24" i="2"/>
  <c r="W197" i="2"/>
  <c r="W135" i="2"/>
  <c r="S38" i="2"/>
  <c r="P38" i="2"/>
  <c r="Q38" i="2"/>
  <c r="U27" i="2"/>
  <c r="W170" i="2"/>
  <c r="U80" i="2"/>
  <c r="W108" i="2"/>
  <c r="U148" i="2"/>
  <c r="Q116" i="2"/>
  <c r="P116" i="2"/>
  <c r="S116" i="2"/>
  <c r="U123" i="2"/>
  <c r="P115" i="2"/>
  <c r="Q115" i="2"/>
  <c r="S115" i="2"/>
  <c r="U154" i="2"/>
  <c r="Q180" i="2"/>
  <c r="P180" i="2"/>
  <c r="S180" i="2"/>
  <c r="Q70" i="2"/>
  <c r="P70" i="2"/>
  <c r="S70" i="2"/>
  <c r="W67" i="2"/>
  <c r="Q86" i="2"/>
  <c r="S86" i="2"/>
  <c r="P86" i="2"/>
  <c r="U155" i="2"/>
  <c r="U169" i="2"/>
  <c r="U42" i="2"/>
  <c r="U184" i="2"/>
  <c r="Q131" i="2"/>
  <c r="S131" i="2"/>
  <c r="P131" i="2"/>
  <c r="W186" i="2"/>
  <c r="Q207" i="2"/>
  <c r="S207" i="2"/>
  <c r="P207" i="2"/>
  <c r="W130" i="2"/>
  <c r="U107" i="2"/>
  <c r="W181" i="2"/>
  <c r="W118" i="2"/>
  <c r="U117" i="2"/>
  <c r="P171" i="2"/>
  <c r="S171" i="2"/>
  <c r="Q171" i="2"/>
  <c r="U131" i="2"/>
  <c r="Q22" i="2"/>
  <c r="P22" i="2"/>
  <c r="S22" i="2"/>
  <c r="W207" i="2"/>
  <c r="S196" i="2"/>
  <c r="P196" i="2"/>
  <c r="Q196" i="2"/>
  <c r="U134" i="2"/>
  <c r="Q201" i="2"/>
  <c r="S201" i="2"/>
  <c r="P201" i="2"/>
  <c r="U202" i="2"/>
  <c r="W19" i="2"/>
  <c r="P197" i="2"/>
  <c r="S197" i="2"/>
  <c r="Q197" i="2"/>
  <c r="W97" i="2"/>
  <c r="U58" i="2"/>
  <c r="S63" i="2"/>
  <c r="P63" i="2"/>
  <c r="Q63" i="2"/>
  <c r="U208" i="2"/>
  <c r="W199" i="2"/>
  <c r="U153" i="2"/>
  <c r="U196" i="2"/>
  <c r="Q153" i="2"/>
  <c r="S153" i="2"/>
  <c r="P153" i="2"/>
  <c r="U104" i="2"/>
  <c r="W105" i="2"/>
  <c r="W99" i="2"/>
  <c r="U203" i="2"/>
  <c r="Q190" i="2"/>
  <c r="S190" i="2"/>
  <c r="P190" i="2"/>
  <c r="U174" i="2"/>
  <c r="P36" i="2"/>
  <c r="S36" i="2"/>
  <c r="Q36" i="2"/>
  <c r="U165" i="2"/>
  <c r="Q57" i="2"/>
  <c r="P57" i="2"/>
  <c r="S57" i="2"/>
  <c r="S128" i="2"/>
  <c r="Q128" i="2"/>
  <c r="P128" i="2"/>
  <c r="Q176" i="2"/>
  <c r="P176" i="2"/>
  <c r="S176" i="2"/>
  <c r="S48" i="2"/>
  <c r="P48" i="2"/>
  <c r="Q48" i="2"/>
  <c r="W125" i="2"/>
  <c r="U55" i="2"/>
  <c r="P46" i="2"/>
  <c r="S46" i="2"/>
  <c r="Q46" i="2"/>
  <c r="Q90" i="2"/>
  <c r="S90" i="2"/>
  <c r="P90" i="2"/>
  <c r="Q144" i="2"/>
  <c r="P144" i="2"/>
  <c r="S144" i="2"/>
  <c r="U75" i="2"/>
  <c r="W185" i="2"/>
  <c r="U29" i="2"/>
  <c r="W31" i="2"/>
  <c r="P165" i="2"/>
  <c r="S165" i="2"/>
  <c r="Q165" i="2"/>
  <c r="U57" i="2"/>
  <c r="S133" i="2"/>
  <c r="P133" i="2"/>
  <c r="Q133" i="2"/>
  <c r="Q61" i="2"/>
  <c r="S61" i="2"/>
  <c r="P61" i="2"/>
  <c r="U199" i="2"/>
  <c r="W76" i="2"/>
  <c r="U109" i="2"/>
  <c r="W90" i="2"/>
  <c r="U205" i="2"/>
  <c r="W94" i="2"/>
  <c r="W143" i="2"/>
  <c r="W42" i="2"/>
  <c r="S64" i="2"/>
  <c r="P64" i="2"/>
  <c r="Q64" i="2"/>
  <c r="U171" i="2"/>
  <c r="U38" i="2"/>
  <c r="W37" i="2"/>
  <c r="S77" i="2"/>
  <c r="P77" i="2"/>
  <c r="Q77" i="2"/>
  <c r="Q52" i="2"/>
  <c r="P52" i="2"/>
  <c r="S52" i="2"/>
  <c r="W209" i="2"/>
  <c r="Q60" i="2"/>
  <c r="S60" i="2"/>
  <c r="P60" i="2"/>
  <c r="W182" i="2"/>
  <c r="Q135" i="2"/>
  <c r="P135" i="2"/>
  <c r="S135" i="2"/>
  <c r="U64" i="2"/>
  <c r="Q100" i="2"/>
  <c r="P100" i="2"/>
  <c r="S100" i="2"/>
  <c r="U30" i="2"/>
  <c r="W28" i="2"/>
  <c r="S93" i="2"/>
  <c r="P93" i="2"/>
  <c r="Q93" i="2"/>
  <c r="W148" i="2"/>
  <c r="Q99" i="2"/>
  <c r="S99" i="2"/>
  <c r="P99" i="2"/>
  <c r="P54" i="2"/>
  <c r="Q54" i="2"/>
  <c r="S54" i="2"/>
  <c r="W56" i="2"/>
  <c r="W64" i="2"/>
  <c r="S179" i="2"/>
  <c r="Q179" i="2"/>
  <c r="P179" i="2"/>
  <c r="W36" i="2"/>
  <c r="W52" i="2"/>
  <c r="Q112" i="2"/>
  <c r="P112" i="2"/>
  <c r="S112" i="2"/>
  <c r="U198" i="2"/>
  <c r="W204" i="2"/>
  <c r="U44" i="2"/>
  <c r="W196" i="2"/>
  <c r="U112" i="2"/>
  <c r="W58" i="2"/>
  <c r="W33" i="2"/>
  <c r="U92" i="2"/>
  <c r="W129" i="2"/>
  <c r="P69" i="2"/>
  <c r="S69" i="2"/>
  <c r="Q69" i="2"/>
  <c r="W20" i="2"/>
  <c r="W115" i="2"/>
  <c r="U110" i="2"/>
  <c r="Q142" i="2"/>
  <c r="S142" i="2"/>
  <c r="P142" i="2"/>
  <c r="S37" i="2"/>
  <c r="Q37" i="2"/>
  <c r="P37" i="2"/>
  <c r="P33" i="2"/>
  <c r="Q33" i="2"/>
  <c r="S33" i="2"/>
  <c r="U54" i="2"/>
  <c r="W151" i="2"/>
  <c r="W30" i="2"/>
  <c r="W122" i="2"/>
  <c r="Q177" i="2"/>
  <c r="S177" i="2"/>
  <c r="P177" i="2"/>
  <c r="W26" i="2"/>
  <c r="S27" i="2"/>
  <c r="P27" i="2"/>
  <c r="Q27" i="2"/>
  <c r="S84" i="2"/>
  <c r="Q84" i="2"/>
  <c r="P84" i="2"/>
  <c r="S192" i="2"/>
  <c r="P192" i="2"/>
  <c r="Q192" i="2"/>
  <c r="U170" i="2"/>
  <c r="U130" i="2"/>
  <c r="P106" i="2"/>
  <c r="Q106" i="2"/>
  <c r="S106" i="2"/>
  <c r="W81" i="2"/>
  <c r="W178" i="2"/>
  <c r="W41" i="2"/>
  <c r="U97" i="2"/>
  <c r="P146" i="2"/>
  <c r="S146" i="2"/>
  <c r="Q146" i="2"/>
  <c r="P185" i="2"/>
  <c r="Q185" i="2"/>
  <c r="S185" i="2"/>
  <c r="Q73" i="2"/>
  <c r="P73" i="2"/>
  <c r="S73" i="2"/>
  <c r="W29" i="2"/>
  <c r="U23" i="2"/>
  <c r="U84" i="2"/>
  <c r="W59" i="2"/>
  <c r="Q78" i="2"/>
  <c r="S78" i="2"/>
  <c r="P78" i="2"/>
  <c r="W77" i="2"/>
  <c r="W100" i="2"/>
  <c r="S21" i="2"/>
  <c r="Q21" i="2"/>
  <c r="P21" i="2"/>
  <c r="U51" i="2"/>
  <c r="S182" i="2"/>
  <c r="P182" i="2"/>
  <c r="Q182" i="2"/>
  <c r="U74" i="2"/>
  <c r="W65" i="2"/>
  <c r="Q184" i="2"/>
  <c r="S184" i="2"/>
  <c r="P184" i="2"/>
  <c r="W183" i="2"/>
  <c r="U105" i="2"/>
  <c r="Q188" i="2"/>
  <c r="S188" i="2"/>
  <c r="P188" i="2"/>
  <c r="Q51" i="2"/>
  <c r="P51" i="2"/>
  <c r="S51" i="2"/>
  <c r="U192" i="2"/>
  <c r="W112" i="2"/>
  <c r="Q132" i="2"/>
  <c r="S132" i="2"/>
  <c r="P132" i="2"/>
  <c r="U82" i="2"/>
  <c r="W40" i="2"/>
  <c r="Q104" i="2"/>
  <c r="S104" i="2"/>
  <c r="P104" i="2"/>
  <c r="U145" i="2"/>
  <c r="W34" i="2"/>
  <c r="P56" i="2"/>
  <c r="Q56" i="2"/>
  <c r="S56" i="2"/>
  <c r="W134" i="2"/>
  <c r="U113" i="2"/>
  <c r="W163" i="2"/>
  <c r="Q108" i="2"/>
  <c r="P108" i="2"/>
  <c r="S108" i="2"/>
  <c r="P178" i="2"/>
  <c r="S178" i="2"/>
  <c r="Q178" i="2"/>
  <c r="U24" i="2"/>
  <c r="U156" i="2"/>
  <c r="W25" i="2"/>
  <c r="Q145" i="2"/>
  <c r="S145" i="2"/>
  <c r="P145" i="2"/>
  <c r="Q87" i="2"/>
  <c r="P87" i="2"/>
  <c r="S87" i="2"/>
  <c r="Q94" i="2"/>
  <c r="S94" i="2"/>
  <c r="P94" i="2"/>
  <c r="S163" i="2"/>
  <c r="Q163" i="2"/>
  <c r="P163" i="2"/>
  <c r="U119" i="2"/>
  <c r="P157" i="2"/>
  <c r="Q157" i="2"/>
  <c r="S157" i="2"/>
  <c r="W68" i="2"/>
  <c r="W187" i="2"/>
  <c r="W203" i="2"/>
  <c r="U93" i="2"/>
  <c r="U180" i="2"/>
  <c r="P75" i="2"/>
  <c r="S75" i="2"/>
  <c r="Q75" i="2"/>
  <c r="W208" i="2"/>
  <c r="U66" i="2"/>
  <c r="S147" i="2"/>
  <c r="P147" i="2"/>
  <c r="Q147" i="2"/>
  <c r="U206" i="2"/>
  <c r="W144" i="2"/>
  <c r="U137" i="2"/>
  <c r="S191" i="2"/>
  <c r="Q191" i="2"/>
  <c r="P191" i="2"/>
  <c r="W46" i="2"/>
  <c r="W150" i="2"/>
  <c r="U161" i="2"/>
  <c r="S18" i="2"/>
  <c r="R18" i="2" s="1"/>
  <c r="Q18" i="2"/>
  <c r="M18" i="2" s="1"/>
  <c r="P18" i="2"/>
  <c r="L18" i="2" s="1"/>
  <c r="W84" i="2"/>
  <c r="W39" i="2"/>
  <c r="U191" i="2"/>
  <c r="U118" i="2"/>
  <c r="W176" i="2"/>
  <c r="W179" i="2"/>
  <c r="P170" i="2"/>
  <c r="Q170" i="2"/>
  <c r="S170" i="2"/>
  <c r="W194" i="2"/>
  <c r="P198" i="2"/>
  <c r="S198" i="2"/>
  <c r="Q198" i="2"/>
  <c r="W96" i="2"/>
  <c r="W161" i="2"/>
  <c r="S29" i="2"/>
  <c r="P29" i="2"/>
  <c r="Q29" i="2"/>
  <c r="U182" i="2"/>
  <c r="W205" i="2"/>
  <c r="W191" i="2"/>
  <c r="P119" i="2"/>
  <c r="S119" i="2"/>
  <c r="Q119" i="2"/>
  <c r="W27" i="2"/>
  <c r="S82" i="2"/>
  <c r="P82" i="2"/>
  <c r="Q82" i="2"/>
  <c r="U70" i="2"/>
  <c r="P150" i="2"/>
  <c r="S150" i="2"/>
  <c r="Q150" i="2"/>
  <c r="P45" i="2"/>
  <c r="S45" i="2"/>
  <c r="Q45" i="2"/>
  <c r="U36" i="2"/>
  <c r="W63" i="2"/>
  <c r="W116" i="2"/>
  <c r="W98" i="2"/>
  <c r="W173" i="2"/>
  <c r="U81" i="2"/>
  <c r="U61" i="2"/>
  <c r="W57" i="2"/>
  <c r="Q208" i="2"/>
  <c r="P208" i="2"/>
  <c r="S208" i="2"/>
  <c r="Q202" i="2"/>
  <c r="S202" i="2"/>
  <c r="P202" i="2"/>
  <c r="U25" i="2"/>
  <c r="P74" i="2"/>
  <c r="S74" i="2"/>
  <c r="Q74" i="2"/>
  <c r="U79" i="2"/>
  <c r="U106" i="2"/>
  <c r="Q166" i="2"/>
  <c r="S166" i="2"/>
  <c r="P166" i="2"/>
  <c r="U35" i="2"/>
  <c r="Q96" i="2"/>
  <c r="S96" i="2"/>
  <c r="P96" i="2"/>
  <c r="U115" i="2"/>
  <c r="W202" i="2"/>
  <c r="Q66" i="2"/>
  <c r="S66" i="2"/>
  <c r="P66" i="2"/>
  <c r="W54" i="2"/>
  <c r="U181" i="2"/>
  <c r="U72" i="2"/>
  <c r="W169" i="2"/>
  <c r="U176" i="2"/>
  <c r="U168" i="2"/>
  <c r="W32" i="2"/>
  <c r="U26" i="2"/>
  <c r="P67" i="2"/>
  <c r="Q67" i="2"/>
  <c r="S67" i="2"/>
  <c r="W43" i="2"/>
  <c r="U39" i="2"/>
  <c r="P155" i="2"/>
  <c r="Q155" i="2"/>
  <c r="S155" i="2"/>
  <c r="W188" i="2"/>
  <c r="U56" i="2"/>
  <c r="P164" i="2"/>
  <c r="S164" i="2"/>
  <c r="Q164" i="2"/>
  <c r="W172" i="2"/>
  <c r="S173" i="2"/>
  <c r="P173" i="2"/>
  <c r="Q173" i="2"/>
  <c r="W119" i="2"/>
  <c r="W145" i="2"/>
  <c r="W154" i="2"/>
  <c r="Q58" i="2"/>
  <c r="S58" i="2"/>
  <c r="P58" i="2"/>
  <c r="W177" i="2"/>
  <c r="U189" i="2"/>
  <c r="W138" i="2"/>
  <c r="W114" i="2"/>
  <c r="S85" i="2"/>
  <c r="P85" i="2"/>
  <c r="Q85" i="2"/>
  <c r="W53" i="2"/>
  <c r="W22" i="2"/>
  <c r="W120" i="2"/>
  <c r="W88" i="2"/>
  <c r="U140" i="2"/>
  <c r="S204" i="2"/>
  <c r="P204" i="2"/>
  <c r="Q204" i="2"/>
  <c r="S43" i="2"/>
  <c r="Q43" i="2"/>
  <c r="P43" i="2"/>
  <c r="S47" i="2"/>
  <c r="Q47" i="2"/>
  <c r="P47" i="2"/>
  <c r="W18" i="2"/>
  <c r="V18" i="2" s="1"/>
  <c r="W165" i="2"/>
  <c r="P141" i="2"/>
  <c r="Q141" i="2"/>
  <c r="S141" i="2"/>
  <c r="U186" i="2"/>
  <c r="U62" i="2"/>
  <c r="Q41" i="2"/>
  <c r="P41" i="2"/>
  <c r="S41" i="2"/>
  <c r="U96" i="2"/>
  <c r="P186" i="2"/>
  <c r="S186" i="2"/>
  <c r="Q186" i="2"/>
  <c r="P105" i="2"/>
  <c r="Q105" i="2"/>
  <c r="S105" i="2"/>
  <c r="W174" i="2"/>
  <c r="U160" i="2"/>
  <c r="U116" i="2"/>
  <c r="U159" i="2"/>
  <c r="P110" i="2"/>
  <c r="Q110" i="2"/>
  <c r="S110" i="2"/>
  <c r="U207" i="2"/>
  <c r="U175" i="2"/>
  <c r="U85" i="2"/>
  <c r="U188" i="2"/>
  <c r="Q136" i="2"/>
  <c r="S136" i="2"/>
  <c r="P136" i="2"/>
  <c r="Q101" i="2"/>
  <c r="S101" i="2"/>
  <c r="P101" i="2"/>
  <c r="Q26" i="2"/>
  <c r="P26" i="2"/>
  <c r="S26" i="2"/>
  <c r="P174" i="2"/>
  <c r="S174" i="2"/>
  <c r="Q174" i="2"/>
  <c r="U138" i="2"/>
  <c r="U129" i="2"/>
  <c r="W190" i="2"/>
  <c r="W47" i="2"/>
  <c r="U45" i="2"/>
  <c r="W137" i="2"/>
  <c r="U40" i="2"/>
  <c r="W89" i="2"/>
  <c r="Q95" i="2"/>
  <c r="S95" i="2"/>
  <c r="P95" i="2"/>
  <c r="W159" i="2"/>
  <c r="U149" i="2"/>
  <c r="U158" i="2"/>
  <c r="U21" i="2"/>
  <c r="U18" i="2"/>
  <c r="T18" i="2" s="1"/>
  <c r="U46" i="2"/>
  <c r="U200" i="2"/>
  <c r="W166" i="2"/>
  <c r="W124" i="2"/>
  <c r="P98" i="2"/>
  <c r="Q98" i="2"/>
  <c r="S98" i="2"/>
  <c r="U133" i="2"/>
  <c r="U19" i="2"/>
  <c r="P122" i="2"/>
  <c r="Q122" i="2"/>
  <c r="S122" i="2"/>
  <c r="Q71" i="2"/>
  <c r="P71" i="2"/>
  <c r="S71" i="2"/>
  <c r="U76" i="2"/>
  <c r="P143" i="2"/>
  <c r="Q143" i="2"/>
  <c r="S143" i="2"/>
  <c r="U69"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J129" i="2"/>
  <c r="E128"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D145" i="2" s="1"/>
  <c r="J61" i="2"/>
  <c r="E60" i="2" s="1"/>
  <c r="B60" i="2"/>
  <c r="I60" i="2"/>
  <c r="D59" i="2" s="1"/>
  <c r="B182" i="2"/>
  <c r="J183" i="2"/>
  <c r="E182" i="2" s="1"/>
  <c r="I182" i="2"/>
  <c r="D181" i="2" s="1"/>
  <c r="H43" i="2"/>
  <c r="C107" i="2"/>
  <c r="B77" i="2"/>
  <c r="J78" i="2"/>
  <c r="E77" i="2" s="1"/>
  <c r="I77" i="2"/>
  <c r="D76" i="2" s="1"/>
  <c r="H23" i="2"/>
  <c r="C22" i="2" s="1"/>
  <c r="D75" i="2"/>
  <c r="H35" i="2"/>
  <c r="H163" i="2"/>
  <c r="C162" i="2" s="1"/>
  <c r="E127" i="2"/>
  <c r="D162" i="2"/>
  <c r="C4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44" i="2"/>
  <c r="D198" i="2"/>
  <c r="E59" i="2"/>
  <c r="C33" i="2"/>
  <c r="B44" i="2"/>
  <c r="I44" i="2"/>
  <c r="J45" i="2"/>
  <c r="E92" i="2"/>
  <c r="R19" i="2" l="1"/>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H127" i="2"/>
  <c r="C126"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L19" i="2"/>
  <c r="L20" i="2" s="1"/>
  <c r="L21" i="2" s="1"/>
  <c r="L22" i="2" s="1"/>
  <c r="L23" i="2" s="1"/>
  <c r="L24" i="2" s="1"/>
  <c r="L25" i="2" s="1"/>
  <c r="L26" i="2" s="1"/>
  <c r="M19" i="2"/>
  <c r="M20" i="2" s="1"/>
  <c r="M21" i="2" s="1"/>
  <c r="M22" i="2" s="1"/>
  <c r="M23" i="2" s="1"/>
  <c r="M24" i="2" s="1"/>
  <c r="M25" i="2" s="1"/>
  <c r="M26" i="2" s="1"/>
  <c r="T19" i="2"/>
  <c r="T20" i="2" s="1"/>
  <c r="T21" i="2" s="1"/>
  <c r="T22" i="2" s="1"/>
  <c r="T23" i="2" s="1"/>
  <c r="T24" i="2" s="1"/>
  <c r="N18" i="2"/>
  <c r="N19" i="2" s="1"/>
  <c r="N20" i="2" s="1"/>
  <c r="N21" i="2" s="1"/>
  <c r="N22" i="2" s="1"/>
  <c r="N23" i="2" s="1"/>
  <c r="O18" i="2"/>
  <c r="O19" i="2" s="1"/>
  <c r="O20" i="2" s="1"/>
  <c r="O21" i="2" s="1"/>
  <c r="O22" i="2" s="1"/>
  <c r="O23"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L38" i="2"/>
  <c r="L39" i="2" s="1"/>
  <c r="L40" i="2" s="1"/>
  <c r="L41" i="2" s="1"/>
  <c r="L42" i="2" s="1"/>
  <c r="L43" i="2" s="1"/>
  <c r="L44" i="2" s="1"/>
  <c r="L45" i="2" s="1"/>
  <c r="M38" i="2"/>
  <c r="M39" i="2" s="1"/>
  <c r="M40" i="2" s="1"/>
  <c r="M41" i="2" s="1"/>
  <c r="M42" i="2" s="1"/>
  <c r="M43" i="2" s="1"/>
  <c r="M44" i="2" s="1"/>
  <c r="M45" i="2" s="1"/>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I129" i="2"/>
  <c r="B129" i="2"/>
  <c r="J130" i="2"/>
  <c r="E129" i="2" s="1"/>
  <c r="C144" i="2"/>
  <c r="H36" i="2"/>
  <c r="C35" i="2" s="1"/>
  <c r="H24" i="2"/>
  <c r="C23" i="2" s="1"/>
  <c r="C34" i="2"/>
  <c r="R4" i="5" l="1"/>
  <c r="Q4" i="6" s="1"/>
  <c r="R29" i="5"/>
  <c r="R26" i="5"/>
  <c r="T37" i="5"/>
  <c r="R11" i="5"/>
  <c r="R44" i="5"/>
  <c r="R23" i="5"/>
  <c r="R39" i="5"/>
  <c r="T11" i="5"/>
  <c r="R42" i="5"/>
  <c r="R40" i="5"/>
  <c r="R31" i="5"/>
  <c r="R46" i="5"/>
  <c r="R38" i="5"/>
  <c r="R43" i="5"/>
  <c r="R21" i="5"/>
  <c r="R34" i="5"/>
  <c r="R48" i="5"/>
  <c r="R15" i="5"/>
  <c r="R28" i="5"/>
  <c r="R12" i="5"/>
  <c r="R27" i="5"/>
  <c r="T22" i="5"/>
  <c r="T30" i="5"/>
  <c r="R35" i="5"/>
  <c r="R9" i="5"/>
  <c r="R30" i="5"/>
  <c r="R10" i="5"/>
  <c r="R51" i="5"/>
  <c r="R7" i="5"/>
  <c r="R45" i="5"/>
  <c r="R13" i="5"/>
  <c r="R41" i="5"/>
  <c r="R37" i="5"/>
  <c r="R53" i="5"/>
  <c r="R49" i="5"/>
  <c r="T5" i="5"/>
  <c r="T50" i="5"/>
  <c r="T29" i="5"/>
  <c r="R52" i="5"/>
  <c r="R6" i="5"/>
  <c r="R47" i="5"/>
  <c r="R14" i="5"/>
  <c r="R33" i="5"/>
  <c r="R17" i="5"/>
  <c r="R5" i="5"/>
  <c r="R22" i="5"/>
  <c r="R19" i="5"/>
  <c r="R8" i="5"/>
  <c r="R32" i="5"/>
  <c r="R18" i="5"/>
  <c r="R24" i="5"/>
  <c r="R25" i="5"/>
  <c r="R20" i="5"/>
  <c r="R36" i="5"/>
  <c r="R16" i="5"/>
  <c r="T7" i="5"/>
  <c r="T35" i="5"/>
  <c r="T9" i="5"/>
  <c r="T8" i="5"/>
  <c r="T19" i="5"/>
  <c r="T36" i="5"/>
  <c r="T32" i="5"/>
  <c r="T39" i="5"/>
  <c r="T33" i="5"/>
  <c r="T12" i="5"/>
  <c r="T34" i="5"/>
  <c r="T42" i="5"/>
  <c r="T17" i="5"/>
  <c r="T46" i="5"/>
  <c r="T28" i="5"/>
  <c r="T45" i="5"/>
  <c r="T14" i="5"/>
  <c r="T40" i="5"/>
  <c r="T48" i="5"/>
  <c r="T43" i="5"/>
  <c r="T27" i="5"/>
  <c r="T25" i="5"/>
  <c r="T6" i="5"/>
  <c r="T24" i="5"/>
  <c r="T53" i="5"/>
  <c r="T23" i="5"/>
  <c r="T47" i="5"/>
  <c r="T16" i="5"/>
  <c r="T20" i="5"/>
  <c r="T26" i="5"/>
  <c r="T31" i="5"/>
  <c r="T4" i="5"/>
  <c r="S4" i="6" s="1"/>
  <c r="T13" i="5"/>
  <c r="T10" i="5"/>
  <c r="T49" i="5"/>
  <c r="T51" i="5"/>
  <c r="T38" i="5"/>
  <c r="T52" i="5"/>
  <c r="T21" i="5"/>
  <c r="T18" i="5"/>
  <c r="T44" i="5"/>
  <c r="T41" i="5"/>
  <c r="T25" i="2"/>
  <c r="AA194" i="2"/>
  <c r="A5" i="9" s="1"/>
  <c r="AA195" i="2"/>
  <c r="AA196" i="2" s="1"/>
  <c r="AA197" i="2" s="1"/>
  <c r="AA198" i="2" s="1"/>
  <c r="AA199" i="2" s="1"/>
  <c r="AA200" i="2" s="1"/>
  <c r="AA201" i="2" s="1"/>
  <c r="AA202" i="2" s="1"/>
  <c r="AA203" i="2" s="1"/>
  <c r="AA204" i="2" s="1"/>
  <c r="AA205" i="2" s="1"/>
  <c r="AA206" i="2" s="1"/>
  <c r="AA207" i="2" s="1"/>
  <c r="AA208" i="2" s="1"/>
  <c r="AA209" i="2" s="1"/>
  <c r="M46" i="2"/>
  <c r="L46" i="2"/>
  <c r="N24" i="2"/>
  <c r="H78" i="2"/>
  <c r="J63" i="2"/>
  <c r="E62" i="2" s="1"/>
  <c r="I62" i="2"/>
  <c r="B62" i="2"/>
  <c r="H61" i="2"/>
  <c r="B184" i="2"/>
  <c r="J185" i="2"/>
  <c r="I184" i="2"/>
  <c r="D183" i="2" s="1"/>
  <c r="O24" i="2"/>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L27" i="2" s="1"/>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O5" i="5" l="1"/>
  <c r="O6" i="5" s="1"/>
  <c r="O7" i="5" s="1"/>
  <c r="O8" i="5" s="1"/>
  <c r="G4" i="23"/>
  <c r="I4" i="23"/>
  <c r="Q5" i="5"/>
  <c r="Q6" i="5" s="1"/>
  <c r="Q7" i="5" s="1"/>
  <c r="Q8" i="5" s="1"/>
  <c r="T26" i="2"/>
  <c r="F10" i="19"/>
  <c r="H10" i="19"/>
  <c r="E11" i="9"/>
  <c r="D11" i="9" s="1"/>
  <c r="F11" i="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M27" i="2"/>
  <c r="M47" i="2"/>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L47" i="2"/>
  <c r="L48" i="2" s="1"/>
  <c r="I27" i="2"/>
  <c r="B27" i="2"/>
  <c r="J28" i="2"/>
  <c r="E27" i="2" s="1"/>
  <c r="C36" i="2"/>
  <c r="J204" i="2"/>
  <c r="E203" i="2" s="1"/>
  <c r="B203" i="2"/>
  <c r="I203" i="2"/>
  <c r="D202" i="2" s="1"/>
  <c r="D201" i="2"/>
  <c r="J97" i="2"/>
  <c r="E96" i="2" s="1"/>
  <c r="B96" i="2"/>
  <c r="I96" i="2"/>
  <c r="D95" i="2" s="1"/>
  <c r="E184" i="2"/>
  <c r="D61" i="2"/>
  <c r="B63" i="2"/>
  <c r="J64" i="2"/>
  <c r="E63" i="2" s="1"/>
  <c r="I63" i="2"/>
  <c r="D78" i="2"/>
  <c r="T27" i="2" l="1"/>
  <c r="Q9" i="5"/>
  <c r="O9" i="5"/>
  <c r="M48" i="2"/>
  <c r="N46" i="2"/>
  <c r="O26" i="2"/>
  <c r="O46" i="2"/>
  <c r="F12" i="9"/>
  <c r="J11" i="9"/>
  <c r="G11" i="9"/>
  <c r="E12" i="9"/>
  <c r="D12" i="9" s="1"/>
  <c r="K11" i="9"/>
  <c r="I11" i="9"/>
  <c r="B11" i="9"/>
  <c r="C11" i="9" s="1"/>
  <c r="H11" i="9" s="1"/>
  <c r="N26" i="2"/>
  <c r="I28" i="2"/>
  <c r="D27" i="2" s="1"/>
  <c r="E28" i="2"/>
  <c r="B28" i="2"/>
  <c r="G21" i="19" s="1"/>
  <c r="L29" i="2"/>
  <c r="L30" i="2" s="1"/>
  <c r="L31" i="2" s="1"/>
  <c r="L32" i="2" s="1"/>
  <c r="L33" i="2" s="1"/>
  <c r="L34" i="2" s="1"/>
  <c r="L35" i="2" s="1"/>
  <c r="L36" i="2" s="1"/>
  <c r="L37" i="2" s="1"/>
  <c r="M29" i="2"/>
  <c r="M30" i="2" s="1"/>
  <c r="M31" i="2" s="1"/>
  <c r="M32" i="2" s="1"/>
  <c r="M33" i="2" s="1"/>
  <c r="M34" i="2" s="1"/>
  <c r="M35" i="2" s="1"/>
  <c r="M36" i="2" s="1"/>
  <c r="M37" i="2" s="1"/>
  <c r="H27" i="2"/>
  <c r="C26" i="2" s="1"/>
  <c r="B81" i="2"/>
  <c r="J82" i="2"/>
  <c r="E81" i="2" s="1"/>
  <c r="I81" i="2"/>
  <c r="B168" i="2"/>
  <c r="J169" i="2"/>
  <c r="E168" i="2" s="1"/>
  <c r="I168" i="2"/>
  <c r="D167" i="2" s="1"/>
  <c r="B150" i="2"/>
  <c r="J151" i="2"/>
  <c r="E150" i="2" s="1"/>
  <c r="I150" i="2"/>
  <c r="H63" i="2"/>
  <c r="C62" i="2" s="1"/>
  <c r="I97" i="2"/>
  <c r="B97" i="2"/>
  <c r="J98" i="2"/>
  <c r="E97" i="2" s="1"/>
  <c r="H80" i="2"/>
  <c r="C79" i="2" s="1"/>
  <c r="D80" i="2"/>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M28" i="2"/>
  <c r="H131" i="2"/>
  <c r="C130" i="2" s="1"/>
  <c r="C94" i="2"/>
  <c r="H203" i="2"/>
  <c r="C202" i="2" s="1"/>
  <c r="H47" i="2"/>
  <c r="C46" i="2" s="1"/>
  <c r="C165" i="2"/>
  <c r="J133" i="2"/>
  <c r="E132" i="2" s="1"/>
  <c r="I132" i="2"/>
  <c r="D131" i="2" s="1"/>
  <c r="B132" i="2"/>
  <c r="L28" i="2"/>
  <c r="J115" i="2"/>
  <c r="E114" i="2" s="1"/>
  <c r="B114" i="2"/>
  <c r="I114" i="2"/>
  <c r="D113" i="2" s="1"/>
  <c r="H113" i="2"/>
  <c r="C112" i="2" s="1"/>
  <c r="C183" i="2"/>
  <c r="D26" i="2"/>
  <c r="D148" i="2"/>
  <c r="D7" i="15" l="1"/>
  <c r="T28" i="2"/>
  <c r="E19" i="19"/>
  <c r="F19" i="19"/>
  <c r="E20" i="19"/>
  <c r="E22" i="19"/>
  <c r="G20" i="19"/>
  <c r="G17" i="19"/>
  <c r="Q10" i="5"/>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M49" i="2"/>
  <c r="H132" i="2"/>
  <c r="C131" i="2" s="1"/>
  <c r="I115" i="2"/>
  <c r="D114" i="2" s="1"/>
  <c r="B115" i="2"/>
  <c r="J116" i="2"/>
  <c r="E115" i="2" s="1"/>
  <c r="J134" i="2"/>
  <c r="E133" i="2" s="1"/>
  <c r="I133" i="2"/>
  <c r="D132" i="2" s="1"/>
  <c r="B133" i="2"/>
  <c r="O47" i="2"/>
  <c r="H186" i="2"/>
  <c r="C185" i="2" s="1"/>
  <c r="H48" i="2"/>
  <c r="C47" i="2" s="1"/>
  <c r="H168" i="2"/>
  <c r="C148" i="2"/>
  <c r="H12" i="9" l="1"/>
  <c r="J2" i="7" s="1"/>
  <c r="T29" i="2"/>
  <c r="L50" i="2"/>
  <c r="M50"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T30" i="2" l="1"/>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E84" i="2" s="1"/>
  <c r="I84" i="2"/>
  <c r="B84" i="2"/>
  <c r="H116" i="2"/>
  <c r="C115" i="2" s="1"/>
  <c r="D115" i="2"/>
  <c r="B67" i="2"/>
  <c r="J68" i="2"/>
  <c r="E67" i="2" s="1"/>
  <c r="I67" i="2"/>
  <c r="D66" i="2" s="1"/>
  <c r="I51" i="2"/>
  <c r="D50" i="2" s="1"/>
  <c r="J52" i="2"/>
  <c r="E51" i="2" s="1"/>
  <c r="B51" i="2"/>
  <c r="J190" i="2"/>
  <c r="E189" i="2" s="1"/>
  <c r="B189" i="2"/>
  <c r="I189" i="2"/>
  <c r="D188" i="2" s="1"/>
  <c r="E66" i="2"/>
  <c r="H50" i="2"/>
  <c r="J101" i="2"/>
  <c r="E100" i="2" s="1"/>
  <c r="B100" i="2"/>
  <c r="I100" i="2"/>
  <c r="D99" i="2" s="1"/>
  <c r="E188" i="2"/>
  <c r="D49" i="2"/>
  <c r="H170" i="2"/>
  <c r="C169" i="2" s="1"/>
  <c r="H152" i="2"/>
  <c r="C151" i="2" s="1"/>
  <c r="H134" i="2"/>
  <c r="C133" i="2" s="1"/>
  <c r="H99" i="2"/>
  <c r="C98" i="2" s="1"/>
  <c r="H83" i="2"/>
  <c r="M51" i="2"/>
  <c r="H206" i="2"/>
  <c r="C205" i="2" s="1"/>
  <c r="H66" i="2"/>
  <c r="C65" i="2" s="1"/>
  <c r="I117" i="2"/>
  <c r="D116" i="2" s="1"/>
  <c r="B117" i="2"/>
  <c r="J118" i="2"/>
  <c r="E117" i="2" s="1"/>
  <c r="J208" i="2"/>
  <c r="E207" i="2" s="1"/>
  <c r="B207" i="2"/>
  <c r="I207" i="2"/>
  <c r="D206" i="2" s="1"/>
  <c r="D205" i="2"/>
  <c r="H188" i="2"/>
  <c r="C187" i="2" s="1"/>
  <c r="D133" i="2"/>
  <c r="L51" i="2"/>
  <c r="J172" i="2"/>
  <c r="E171" i="2" s="1"/>
  <c r="B171" i="2"/>
  <c r="I171" i="2"/>
  <c r="D169" i="2"/>
  <c r="C204" i="2"/>
  <c r="T31" i="2" l="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L52" i="2"/>
  <c r="M52" i="2"/>
  <c r="F16" i="9"/>
  <c r="J15" i="9"/>
  <c r="G15" i="9"/>
  <c r="K15" i="9"/>
  <c r="I15" i="9"/>
  <c r="E16" i="9"/>
  <c r="D16" i="9" s="1"/>
  <c r="B15" i="9"/>
  <c r="C15" i="9" s="1"/>
  <c r="H15" i="9" s="1"/>
  <c r="N50" i="2"/>
  <c r="C49" i="2"/>
  <c r="H189" i="2"/>
  <c r="B52" i="2"/>
  <c r="I52" i="2"/>
  <c r="J53" i="2"/>
  <c r="I85" i="2"/>
  <c r="D84" i="2" s="1"/>
  <c r="E85" i="2"/>
  <c r="B85" i="2"/>
  <c r="M86" i="2"/>
  <c r="M87" i="2" s="1"/>
  <c r="M88" i="2" s="1"/>
  <c r="M89" i="2" s="1"/>
  <c r="M90" i="2" s="1"/>
  <c r="M91" i="2" s="1"/>
  <c r="M92" i="2" s="1"/>
  <c r="M93" i="2" s="1"/>
  <c r="M94" i="2" s="1"/>
  <c r="M95" i="2" s="1"/>
  <c r="M96" i="2" s="1"/>
  <c r="M97" i="2" s="1"/>
  <c r="M98" i="2" s="1"/>
  <c r="M99" i="2" s="1"/>
  <c r="M100" i="2" s="1"/>
  <c r="M101" i="2" s="1"/>
  <c r="L86" i="2"/>
  <c r="L87" i="2" s="1"/>
  <c r="L88" i="2" s="1"/>
  <c r="L89" i="2" s="1"/>
  <c r="L90" i="2" s="1"/>
  <c r="L91" i="2" s="1"/>
  <c r="L92" i="2" s="1"/>
  <c r="L93" i="2" s="1"/>
  <c r="L94" i="2" s="1"/>
  <c r="L95" i="2" s="1"/>
  <c r="L96" i="2" s="1"/>
  <c r="L97" i="2" s="1"/>
  <c r="L98" i="2" s="1"/>
  <c r="L99" i="2" s="1"/>
  <c r="L100" i="2" s="1"/>
  <c r="L101" i="2" s="1"/>
  <c r="H135" i="2"/>
  <c r="B136" i="2"/>
  <c r="I136" i="2"/>
  <c r="J137" i="2"/>
  <c r="B190" i="2"/>
  <c r="J191" i="2"/>
  <c r="I190" i="2"/>
  <c r="J69" i="2"/>
  <c r="E68" i="2" s="1"/>
  <c r="I68" i="2"/>
  <c r="B68" i="2"/>
  <c r="H84" i="2"/>
  <c r="C83" i="2" s="1"/>
  <c r="H153" i="2"/>
  <c r="C152" i="2" s="1"/>
  <c r="B172" i="2"/>
  <c r="J173" i="2"/>
  <c r="E172" i="2" s="1"/>
  <c r="I172" i="2"/>
  <c r="D171" i="2" s="1"/>
  <c r="C188" i="2"/>
  <c r="H100" i="2"/>
  <c r="C99" i="2" s="1"/>
  <c r="H171" i="2"/>
  <c r="C170" i="2" s="1"/>
  <c r="H117" i="2"/>
  <c r="C116" i="2" s="1"/>
  <c r="D170" i="2"/>
  <c r="C82" i="2"/>
  <c r="B208" i="2"/>
  <c r="J209" i="2"/>
  <c r="E208" i="2" s="1"/>
  <c r="I208" i="2"/>
  <c r="D207" i="2" s="1"/>
  <c r="J119" i="2"/>
  <c r="B118" i="2"/>
  <c r="I118" i="2"/>
  <c r="D83" i="2"/>
  <c r="I101" i="2"/>
  <c r="E101" i="2"/>
  <c r="B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51" i="2"/>
  <c r="C50" i="2" s="1"/>
  <c r="H67" i="2"/>
  <c r="B154" i="2"/>
  <c r="J155" i="2"/>
  <c r="I154" i="2"/>
  <c r="O50" i="2"/>
  <c r="H207" i="2"/>
  <c r="C206" i="2" s="1"/>
  <c r="L3" i="7" l="1"/>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53" i="2"/>
  <c r="M4" i="7"/>
  <c r="M2" i="7"/>
  <c r="M119" i="2"/>
  <c r="K16" i="9"/>
  <c r="F17" i="9"/>
  <c r="I16" i="9"/>
  <c r="E17" i="9"/>
  <c r="D17" i="9" s="1"/>
  <c r="J16" i="9"/>
  <c r="G16" i="9"/>
  <c r="B16" i="9"/>
  <c r="C16" i="9" s="1"/>
  <c r="M3" i="7"/>
  <c r="L119" i="2"/>
  <c r="B155" i="2"/>
  <c r="E155" i="2"/>
  <c r="I155" i="2"/>
  <c r="D154" i="2" s="1"/>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18" i="2"/>
  <c r="C117" i="2" s="1"/>
  <c r="H172" i="2"/>
  <c r="C171" i="2" s="1"/>
  <c r="H68" i="2"/>
  <c r="B191" i="2"/>
  <c r="E191" i="2"/>
  <c r="I191" i="2"/>
  <c r="D190"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I137" i="2"/>
  <c r="D136" i="2" s="1"/>
  <c r="B137" i="2"/>
  <c r="E137" i="2"/>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H52" i="2"/>
  <c r="C51" i="2" s="1"/>
  <c r="D67" i="2"/>
  <c r="B209" i="2"/>
  <c r="E209" i="2"/>
  <c r="I209" i="2"/>
  <c r="D208" i="2" s="1"/>
  <c r="C66" i="2"/>
  <c r="H190" i="2"/>
  <c r="D189" i="2"/>
  <c r="H154" i="2"/>
  <c r="C153" i="2" s="1"/>
  <c r="D51" i="2"/>
  <c r="D101" i="2"/>
  <c r="H101" i="2"/>
  <c r="C100" i="2" s="1"/>
  <c r="I119" i="2"/>
  <c r="D118" i="2" s="1"/>
  <c r="E119" i="2"/>
  <c r="B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D100" i="2"/>
  <c r="B173" i="2"/>
  <c r="E173" i="2"/>
  <c r="I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D153" i="2"/>
  <c r="B69" i="2"/>
  <c r="E69" i="2"/>
  <c r="I69" i="2"/>
  <c r="D68" i="2" s="1"/>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E190" i="2"/>
  <c r="H136" i="2"/>
  <c r="H85" i="2"/>
  <c r="C85" i="2" s="1"/>
  <c r="D85" i="2"/>
  <c r="I53" i="2"/>
  <c r="E53" i="2"/>
  <c r="B53" i="2"/>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C189" i="2"/>
  <c r="L53" i="2"/>
  <c r="E154" i="2"/>
  <c r="E118" i="2"/>
  <c r="H208" i="2"/>
  <c r="C207" i="2" s="1"/>
  <c r="C134" i="2"/>
  <c r="D117" i="2"/>
  <c r="E136" i="2"/>
  <c r="D135" i="2"/>
  <c r="E52" i="2"/>
  <c r="N51" i="2"/>
  <c r="H16" i="9" l="1"/>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G31" i="23"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D13" i="15"/>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H17" i="9" l="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Q6" i="6"/>
  <c r="G26" i="23"/>
  <c r="G37" i="23"/>
  <c r="G44" i="23"/>
  <c r="G11" i="23"/>
  <c r="Q12" i="6"/>
  <c r="G21" i="23"/>
  <c r="Q8" i="6"/>
  <c r="Q18" i="6"/>
  <c r="Q29" i="6"/>
  <c r="Q28" i="6"/>
  <c r="O4" i="7"/>
  <c r="E19" i="9"/>
  <c r="D19" i="9" s="1"/>
  <c r="I18" i="9"/>
  <c r="F19" i="9"/>
  <c r="G18" i="9"/>
  <c r="K18" i="9"/>
  <c r="J18" i="9"/>
  <c r="B18" i="9"/>
  <c r="C18" i="9" s="1"/>
  <c r="O2" i="7"/>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P2"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s="1"/>
  <c r="F28" i="9" l="1"/>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s="1"/>
  <c r="K36" i="9" l="1"/>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s="1"/>
  <c r="E63" i="9" l="1"/>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s="1"/>
  <c r="E71" i="9" l="1"/>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s="1"/>
  <c r="G84" i="9" l="1"/>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s="1"/>
  <c r="G91" i="9" l="1"/>
  <c r="J91" i="9"/>
  <c r="E92" i="9"/>
  <c r="D92" i="9" s="1"/>
  <c r="F92" i="9"/>
  <c r="K91" i="9"/>
  <c r="I91" i="9"/>
  <c r="B91" i="9"/>
  <c r="C91" i="9" s="1"/>
  <c r="H91" i="9" s="1"/>
  <c r="G92" i="9" l="1"/>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s="1"/>
  <c r="G98" i="9" l="1"/>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s="1"/>
  <c r="G102" i="9" l="1"/>
  <c r="F103" i="9"/>
  <c r="J102" i="9"/>
  <c r="I102" i="9"/>
  <c r="E103" i="9"/>
  <c r="D103" i="9" s="1"/>
  <c r="K102" i="9"/>
  <c r="B102" i="9"/>
  <c r="C102" i="9" s="1"/>
  <c r="H102" i="9" l="1"/>
  <c r="G103" i="9"/>
  <c r="F104" i="9"/>
  <c r="I103" i="9"/>
  <c r="K103" i="9"/>
  <c r="E104" i="9"/>
  <c r="D104" i="9" s="1"/>
  <c r="J103" i="9"/>
  <c r="B103" i="9"/>
  <c r="C103" i="9" s="1"/>
  <c r="H103" i="9" s="1"/>
  <c r="G104" i="9" l="1"/>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s="1"/>
  <c r="G108" i="9" l="1"/>
  <c r="F109" i="9"/>
  <c r="J108" i="9"/>
  <c r="K108" i="9"/>
  <c r="E109" i="9"/>
  <c r="D109" i="9" s="1"/>
  <c r="I108" i="9"/>
  <c r="B108" i="9"/>
  <c r="C108" i="9" s="1"/>
  <c r="H108" i="9" l="1"/>
  <c r="G109" i="9"/>
  <c r="J109" i="9"/>
  <c r="F110" i="9"/>
  <c r="K109" i="9"/>
  <c r="I109" i="9"/>
  <c r="E110" i="9"/>
  <c r="D110" i="9" s="1"/>
  <c r="B109" i="9"/>
  <c r="C109" i="9" s="1"/>
  <c r="H109" i="9" s="1"/>
  <c r="G110" i="9" l="1"/>
  <c r="F111" i="9"/>
  <c r="J110" i="9"/>
  <c r="I110" i="9"/>
  <c r="E111" i="9"/>
  <c r="D111" i="9" s="1"/>
  <c r="K110" i="9"/>
  <c r="B110" i="9"/>
  <c r="C110" i="9" s="1"/>
  <c r="H110" i="9" l="1"/>
  <c r="G111" i="9"/>
  <c r="F112" i="9"/>
  <c r="I111" i="9"/>
  <c r="J111" i="9"/>
  <c r="E112" i="9"/>
  <c r="D112" i="9" s="1"/>
  <c r="K111" i="9"/>
  <c r="B111" i="9"/>
  <c r="C111" i="9" s="1"/>
  <c r="H111" i="9" s="1"/>
  <c r="G112" i="9" l="1"/>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s="1"/>
  <c r="G123" i="9" l="1"/>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s="1"/>
  <c r="G140" i="9" l="1"/>
  <c r="F141" i="9"/>
  <c r="J140" i="9"/>
  <c r="K140" i="9"/>
  <c r="E141" i="9"/>
  <c r="D141" i="9" s="1"/>
  <c r="I140" i="9"/>
  <c r="B140" i="9"/>
  <c r="C140" i="9" s="1"/>
  <c r="H140" i="9" l="1"/>
  <c r="G141" i="9"/>
  <c r="J141" i="9"/>
  <c r="F142" i="9"/>
  <c r="K141" i="9"/>
  <c r="E142" i="9"/>
  <c r="D142" i="9" s="1"/>
  <c r="I141" i="9"/>
  <c r="B141" i="9"/>
  <c r="C141" i="9" s="1"/>
  <c r="H141" i="9" s="1"/>
  <c r="G142" i="9" l="1"/>
  <c r="F143" i="9"/>
  <c r="J142" i="9"/>
  <c r="I142" i="9"/>
  <c r="K142" i="9"/>
  <c r="E143" i="9"/>
  <c r="D143" i="9" s="1"/>
  <c r="B142" i="9"/>
  <c r="C142" i="9" s="1"/>
  <c r="H142" i="9" s="1"/>
  <c r="G143" i="9" l="1"/>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s="1"/>
  <c r="G148" i="9" l="1"/>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s="1"/>
  <c r="G155" i="9" l="1"/>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s="1"/>
  <c r="G174" i="9" l="1"/>
  <c r="F175" i="9"/>
  <c r="J174" i="9"/>
  <c r="I174" i="9"/>
  <c r="E175" i="9"/>
  <c r="D175" i="9" s="1"/>
  <c r="K174" i="9"/>
  <c r="B174" i="9"/>
  <c r="C174" i="9" s="1"/>
  <c r="H174" i="9" l="1"/>
  <c r="G175" i="9"/>
  <c r="E176" i="9"/>
  <c r="D176" i="9" s="1"/>
  <c r="I175" i="9"/>
  <c r="J175" i="9"/>
  <c r="F176" i="9"/>
  <c r="K175" i="9"/>
  <c r="B175" i="9"/>
  <c r="C175" i="9" s="1"/>
  <c r="H175" i="9" s="1"/>
  <c r="E177" i="9" l="1"/>
  <c r="D177" i="9" s="1"/>
  <c r="I176" i="9"/>
  <c r="K176" i="9"/>
  <c r="G176" i="9"/>
  <c r="F177" i="9"/>
  <c r="J176" i="9"/>
  <c r="B176" i="9"/>
  <c r="C176" i="9" s="1"/>
  <c r="H176" i="9" s="1"/>
  <c r="F178" i="9" l="1"/>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s="1"/>
  <c r="E189" i="9" l="1"/>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s="1"/>
  <c r="F194" i="9" l="1"/>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s="1"/>
  <c r="F198" i="9" l="1"/>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s="1"/>
  <c r="K226" i="9" l="1"/>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s="1"/>
  <c r="F250" i="9" l="1"/>
  <c r="J249" i="9"/>
  <c r="I249" i="9"/>
  <c r="E250" i="9"/>
  <c r="D250" i="9" s="1"/>
  <c r="G249" i="9"/>
  <c r="K249" i="9"/>
  <c r="B249" i="9"/>
  <c r="C249" i="9" s="1"/>
  <c r="H249" i="9" s="1"/>
  <c r="K250" i="9" l="1"/>
  <c r="J250" i="9"/>
  <c r="I250" i="9"/>
  <c r="F251" i="9"/>
  <c r="E251" i="9"/>
  <c r="D251" i="9" s="1"/>
  <c r="G250" i="9"/>
  <c r="B250" i="9"/>
  <c r="C250" i="9" s="1"/>
  <c r="H250" i="9" s="1"/>
  <c r="G251" i="9" l="1"/>
  <c r="F252" i="9"/>
  <c r="I251" i="9"/>
  <c r="J251" i="9"/>
  <c r="E252" i="9"/>
  <c r="D252" i="9" s="1"/>
  <c r="K251" i="9"/>
  <c r="B251" i="9"/>
  <c r="C251" i="9" s="1"/>
  <c r="H251" i="9" s="1"/>
  <c r="E253" i="9" l="1"/>
  <c r="D253" i="9" s="1"/>
  <c r="I252" i="9"/>
  <c r="J252" i="9"/>
  <c r="K252" i="9"/>
  <c r="F253" i="9"/>
  <c r="G252" i="9"/>
  <c r="B252" i="9"/>
  <c r="C252" i="9" s="1"/>
  <c r="H252" i="9" s="1"/>
  <c r="F254" i="9" l="1"/>
  <c r="J253" i="9"/>
  <c r="K253" i="9"/>
  <c r="I253" i="9"/>
  <c r="E254" i="9"/>
  <c r="D254" i="9" s="1"/>
  <c r="G253" i="9"/>
  <c r="B253" i="9"/>
  <c r="C253" i="9" s="1"/>
  <c r="H253" i="9" s="1"/>
  <c r="K254" i="9" l="1"/>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s="1"/>
  <c r="E273" i="9" l="1"/>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s="1"/>
  <c r="G279" i="9" l="1"/>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s="1"/>
  <c r="K290" i="9" l="1"/>
  <c r="E291" i="9"/>
  <c r="D291" i="9" s="1"/>
  <c r="G290" i="9"/>
  <c r="F291" i="9"/>
  <c r="J290" i="9"/>
  <c r="I290" i="9"/>
  <c r="B290" i="9"/>
  <c r="C290" i="9" s="1"/>
  <c r="H290" i="9" s="1"/>
  <c r="G291" i="9" l="1"/>
  <c r="K291" i="9"/>
  <c r="F292" i="9"/>
  <c r="J291" i="9"/>
  <c r="I291" i="9"/>
  <c r="E292" i="9"/>
  <c r="D292" i="9" s="1"/>
  <c r="B291" i="9"/>
  <c r="C291" i="9" s="1"/>
  <c r="H291" i="9" s="1"/>
  <c r="E293" i="9" l="1"/>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s="1"/>
  <c r="E301" i="9" l="1"/>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s="1"/>
  <c r="G303" i="9" l="1"/>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s="1"/>
  <c r="K306" i="9" l="1"/>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s="1"/>
  <c r="E316" i="9" l="1"/>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s="1"/>
  <c r="F325" i="9" l="1"/>
  <c r="J324" i="9"/>
  <c r="I324" i="9"/>
  <c r="G324" i="9"/>
  <c r="K324" i="9"/>
  <c r="E325" i="9"/>
  <c r="D325" i="9" s="1"/>
  <c r="B324" i="9"/>
  <c r="C324" i="9" s="1"/>
  <c r="H324" i="9" l="1"/>
  <c r="K325" i="9"/>
  <c r="E326" i="9"/>
  <c r="D326" i="9" s="1"/>
  <c r="G325" i="9"/>
  <c r="I325" i="9"/>
  <c r="F326" i="9"/>
  <c r="J325" i="9"/>
  <c r="B325" i="9"/>
  <c r="C325" i="9" s="1"/>
  <c r="H325" i="9" s="1"/>
  <c r="G326" i="9" l="1"/>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s="1"/>
  <c r="K337" i="9" l="1"/>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s="1"/>
  <c r="E356" i="9" l="1"/>
  <c r="D356" i="9" s="1"/>
  <c r="I355" i="9"/>
  <c r="K355" i="9"/>
  <c r="J355" i="9"/>
  <c r="F356" i="9"/>
  <c r="G355" i="9"/>
  <c r="B355" i="9"/>
  <c r="C355" i="9" s="1"/>
  <c r="H355" i="9" s="1"/>
  <c r="F357" i="9" l="1"/>
  <c r="J356" i="9"/>
  <c r="I356" i="9"/>
  <c r="E357" i="9"/>
  <c r="D357" i="9" s="1"/>
  <c r="G356" i="9"/>
  <c r="K356" i="9"/>
  <c r="B356" i="9"/>
  <c r="C356" i="9" s="1"/>
  <c r="H356" i="9" l="1"/>
  <c r="K357" i="9"/>
  <c r="E358" i="9"/>
  <c r="D358" i="9" s="1"/>
  <c r="G357" i="9"/>
  <c r="J357" i="9"/>
  <c r="I357" i="9"/>
  <c r="F358" i="9"/>
  <c r="B357" i="9"/>
  <c r="C357" i="9" s="1"/>
  <c r="H357" i="9" s="1"/>
  <c r="G358" i="9" l="1"/>
  <c r="K358" i="9"/>
  <c r="E359" i="9"/>
  <c r="D359" i="9" s="1"/>
  <c r="I358" i="9"/>
  <c r="F359" i="9"/>
  <c r="J358" i="9"/>
  <c r="B358" i="9"/>
  <c r="C358" i="9" s="1"/>
  <c r="H358" i="9" s="1"/>
  <c r="E360" i="9" l="1"/>
  <c r="D360" i="9" s="1"/>
  <c r="I359" i="9"/>
  <c r="J359" i="9"/>
  <c r="K359" i="9"/>
  <c r="F360" i="9"/>
  <c r="G359" i="9"/>
  <c r="B359" i="9"/>
  <c r="C359" i="9" s="1"/>
  <c r="H359" i="9" s="1"/>
  <c r="F361" i="9" l="1"/>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s="1"/>
  <c r="E364" i="9" l="1"/>
  <c r="D364" i="9" s="1"/>
  <c r="I363" i="9"/>
  <c r="F364" i="9"/>
  <c r="G363" i="9"/>
  <c r="K363" i="9"/>
  <c r="J363" i="9"/>
  <c r="B363" i="9"/>
  <c r="C363" i="9" s="1"/>
  <c r="H363" i="9" l="1"/>
  <c r="F365" i="9"/>
  <c r="J364" i="9"/>
  <c r="E365" i="9"/>
  <c r="D365" i="9" s="1"/>
  <c r="I364" i="9"/>
  <c r="G364" i="9"/>
  <c r="K364" i="9"/>
  <c r="B364" i="9"/>
  <c r="C364" i="9" s="1"/>
  <c r="H364" i="9" s="1"/>
  <c r="K365" i="9" l="1"/>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s="1"/>
  <c r="K369" i="9" l="1"/>
  <c r="F370" i="9"/>
  <c r="I369" i="9"/>
  <c r="E370" i="9"/>
  <c r="D370" i="9" s="1"/>
  <c r="G369" i="9"/>
  <c r="J369" i="9"/>
  <c r="B369" i="9"/>
  <c r="C369" i="9" s="1"/>
  <c r="H369" i="9" l="1"/>
  <c r="G370" i="9"/>
  <c r="E371" i="9"/>
  <c r="D371" i="9" s="1"/>
  <c r="F371" i="9"/>
  <c r="J370" i="9"/>
  <c r="K370" i="9"/>
  <c r="I370" i="9"/>
  <c r="B370" i="9"/>
  <c r="C370" i="9" s="1"/>
  <c r="H370" i="9" s="1"/>
  <c r="E372" i="9" l="1"/>
  <c r="D372" i="9" s="1"/>
  <c r="I371" i="9"/>
  <c r="K371" i="9"/>
  <c r="F372" i="9"/>
  <c r="G371" i="9"/>
  <c r="J371" i="9"/>
  <c r="B371" i="9"/>
  <c r="C371" i="9" s="1"/>
  <c r="H371" i="9" s="1"/>
  <c r="F373" i="9" l="1"/>
  <c r="J372" i="9"/>
  <c r="I372" i="9"/>
  <c r="E373" i="9"/>
  <c r="D373" i="9" s="1"/>
  <c r="K372" i="9"/>
  <c r="G372" i="9"/>
  <c r="B372" i="9"/>
  <c r="C372" i="9" s="1"/>
  <c r="H372" i="9" s="1"/>
  <c r="K373" i="9" l="1"/>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s="1"/>
  <c r="K377" i="9" l="1"/>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s="1"/>
  <c r="K381" i="9" l="1"/>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s="1"/>
  <c r="E388" i="9" l="1"/>
  <c r="D388" i="9" s="1"/>
  <c r="I387" i="9"/>
  <c r="K387" i="9"/>
  <c r="G387" i="9"/>
  <c r="F388" i="9"/>
  <c r="J387" i="9"/>
  <c r="B387" i="9"/>
  <c r="C387" i="9" s="1"/>
  <c r="H387" i="9" s="1"/>
  <c r="F389" i="9" l="1"/>
  <c r="J388" i="9"/>
  <c r="I388" i="9"/>
  <c r="G388" i="9"/>
  <c r="K388" i="9"/>
  <c r="E389" i="9"/>
  <c r="D389" i="9" s="1"/>
  <c r="B388" i="9"/>
  <c r="C388" i="9" s="1"/>
  <c r="H388" i="9" s="1"/>
  <c r="K389" i="9" l="1"/>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s="1"/>
  <c r="F393" i="9" l="1"/>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s="1"/>
  <c r="K397" i="9" l="1"/>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s="1"/>
  <c r="K401" i="9" l="1"/>
  <c r="F402" i="9"/>
  <c r="I401" i="9"/>
  <c r="J401" i="9"/>
  <c r="E402" i="9"/>
  <c r="D402" i="9" s="1"/>
  <c r="G401" i="9"/>
  <c r="B401" i="9"/>
  <c r="C401" i="9" s="1"/>
  <c r="H401" i="9" s="1"/>
  <c r="G402" i="9" l="1"/>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s="1"/>
  <c r="F409" i="9" l="1"/>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s="1"/>
  <c r="E416" i="9" l="1"/>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s="1"/>
  <c r="K429" i="9" l="1"/>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s="1"/>
  <c r="K433" i="9" l="1"/>
  <c r="F434" i="9"/>
  <c r="I433" i="9"/>
  <c r="E434" i="9"/>
  <c r="D434" i="9" s="1"/>
  <c r="J433" i="9"/>
  <c r="G433" i="9"/>
  <c r="B433" i="9"/>
  <c r="C433" i="9" s="1"/>
  <c r="H433" i="9" s="1"/>
  <c r="G434" i="9" l="1"/>
  <c r="E435" i="9"/>
  <c r="D435" i="9" s="1"/>
  <c r="F435" i="9"/>
  <c r="J434" i="9"/>
  <c r="I434" i="9"/>
  <c r="K434" i="9"/>
  <c r="B434" i="9"/>
  <c r="C434" i="9" s="1"/>
  <c r="H434" i="9" l="1"/>
  <c r="E436" i="9"/>
  <c r="D436" i="9" s="1"/>
  <c r="I435" i="9"/>
  <c r="K435" i="9"/>
  <c r="F436" i="9"/>
  <c r="J435" i="9"/>
  <c r="G435" i="9"/>
  <c r="B435" i="9"/>
  <c r="C435" i="9" s="1"/>
  <c r="H435" i="9" s="1"/>
  <c r="F437" i="9" l="1"/>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s="1"/>
  <c r="F441" i="9" l="1"/>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s="1"/>
  <c r="E448" i="9" l="1"/>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s="1"/>
  <c r="K465" i="9" l="1"/>
  <c r="F466" i="9"/>
  <c r="I465" i="9"/>
  <c r="J465" i="9"/>
  <c r="E466" i="9"/>
  <c r="D466" i="9" s="1"/>
  <c r="G465" i="9"/>
  <c r="B465" i="9"/>
  <c r="C465" i="9" s="1"/>
  <c r="H465" i="9" s="1"/>
  <c r="G466" i="9" l="1"/>
  <c r="E467" i="9"/>
  <c r="D467" i="9" s="1"/>
  <c r="J466" i="9"/>
  <c r="F467" i="9"/>
  <c r="K466" i="9"/>
  <c r="I466" i="9"/>
  <c r="B466" i="9"/>
  <c r="C466" i="9" s="1"/>
  <c r="H466" i="9" s="1"/>
  <c r="E468" i="9" l="1"/>
  <c r="D468" i="9" s="1"/>
  <c r="I467" i="9"/>
  <c r="K467" i="9"/>
  <c r="J467" i="9"/>
  <c r="F468" i="9"/>
  <c r="G467" i="9"/>
  <c r="B467" i="9"/>
  <c r="C467" i="9" s="1"/>
  <c r="H467" i="9" s="1"/>
  <c r="F469" i="9" l="1"/>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s="1"/>
  <c r="K473" i="9" l="1"/>
  <c r="J473" i="9"/>
  <c r="F474" i="9"/>
  <c r="G473" i="9"/>
  <c r="E474" i="9"/>
  <c r="D474" i="9" s="1"/>
  <c r="I473" i="9"/>
  <c r="B473" i="9"/>
  <c r="C473" i="9" s="1"/>
  <c r="H473" i="9" s="1"/>
  <c r="G474" i="9" l="1"/>
  <c r="J474" i="9"/>
  <c r="K474" i="9"/>
  <c r="F475" i="9"/>
  <c r="E475" i="9"/>
  <c r="D475" i="9" s="1"/>
  <c r="I474" i="9"/>
  <c r="B474" i="9"/>
  <c r="C474" i="9" s="1"/>
  <c r="H474" i="9" s="1"/>
  <c r="E476" i="9" l="1"/>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s="1"/>
  <c r="E480" i="9" l="1"/>
  <c r="D480" i="9" s="1"/>
  <c r="I479" i="9"/>
  <c r="K479" i="9"/>
  <c r="G479" i="9"/>
  <c r="F480" i="9"/>
  <c r="J479" i="9"/>
  <c r="B479" i="9"/>
  <c r="C479" i="9" s="1"/>
  <c r="H479" i="9" l="1"/>
  <c r="F481" i="9"/>
  <c r="J480" i="9"/>
  <c r="K480" i="9"/>
  <c r="G480" i="9"/>
  <c r="E481" i="9"/>
  <c r="D481" i="9" s="1"/>
  <c r="I480" i="9"/>
  <c r="B480" i="9"/>
  <c r="C480" i="9" s="1"/>
  <c r="H480" i="9" s="1"/>
  <c r="K481" i="9" l="1"/>
  <c r="F482" i="9"/>
  <c r="I481" i="9"/>
  <c r="G481" i="9"/>
  <c r="E482" i="9"/>
  <c r="D482" i="9" s="1"/>
  <c r="J481" i="9"/>
  <c r="B481" i="9"/>
  <c r="C481" i="9" s="1"/>
  <c r="H481" i="9" l="1"/>
  <c r="G482" i="9"/>
  <c r="E483" i="9"/>
  <c r="D483" i="9" s="1"/>
  <c r="K482" i="9"/>
  <c r="I482" i="9"/>
  <c r="F483" i="9"/>
  <c r="J482" i="9"/>
  <c r="B482" i="9"/>
  <c r="C482" i="9" s="1"/>
  <c r="H482" i="9" s="1"/>
  <c r="E484" i="9" l="1"/>
  <c r="D484" i="9" s="1"/>
  <c r="I483" i="9"/>
  <c r="K483" i="9"/>
  <c r="G483" i="9"/>
  <c r="F484" i="9"/>
  <c r="J483" i="9"/>
  <c r="B483" i="9"/>
  <c r="C483" i="9" s="1"/>
  <c r="H483" i="9" l="1"/>
  <c r="F485" i="9"/>
  <c r="J484" i="9"/>
  <c r="I484" i="9"/>
  <c r="G484" i="9"/>
  <c r="E485" i="9"/>
  <c r="D485" i="9" s="1"/>
  <c r="K484" i="9"/>
  <c r="B484" i="9"/>
  <c r="C484" i="9" s="1"/>
  <c r="H484" i="9" s="1"/>
  <c r="K485" i="9" l="1"/>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s="1"/>
  <c r="E492" i="9" l="1"/>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s="1"/>
  <c r="F497" i="9" l="1"/>
  <c r="J496" i="9"/>
  <c r="K496" i="9"/>
  <c r="E497" i="9"/>
  <c r="D497" i="9" s="1"/>
  <c r="I496" i="9"/>
  <c r="G496" i="9"/>
  <c r="B496" i="9"/>
  <c r="C496" i="9" s="1"/>
  <c r="H496" i="9" s="1"/>
  <c r="K497" i="9" l="1"/>
  <c r="F498" i="9"/>
  <c r="I497" i="9"/>
  <c r="E498" i="9"/>
  <c r="D498" i="9" s="1"/>
  <c r="J497" i="9"/>
  <c r="G497" i="9"/>
  <c r="B497" i="9"/>
  <c r="C497" i="9" s="1"/>
  <c r="H497" i="9" s="1"/>
  <c r="G498" i="9" l="1"/>
  <c r="E499" i="9"/>
  <c r="D499" i="9" s="1"/>
  <c r="F499" i="9"/>
  <c r="J498" i="9"/>
  <c r="I498" i="9"/>
  <c r="K498" i="9"/>
  <c r="B498" i="9"/>
  <c r="C498" i="9" s="1"/>
  <c r="H498" i="9" s="1"/>
  <c r="E500" i="9" l="1"/>
  <c r="D500" i="9" s="1"/>
  <c r="I499" i="9"/>
  <c r="K499" i="9"/>
  <c r="F500" i="9"/>
  <c r="J499" i="9"/>
  <c r="G499" i="9"/>
  <c r="B499" i="9"/>
  <c r="C499" i="9" s="1"/>
  <c r="H499" i="9" s="1"/>
  <c r="F501" i="9" l="1"/>
  <c r="J500" i="9"/>
  <c r="I500" i="9"/>
  <c r="E501" i="9"/>
  <c r="D501" i="9" s="1"/>
  <c r="K500" i="9"/>
  <c r="G500" i="9"/>
  <c r="B500" i="9"/>
  <c r="C500" i="9" s="1"/>
  <c r="H500" i="9" l="1"/>
  <c r="K501" i="9"/>
  <c r="G501" i="9"/>
  <c r="J501" i="9"/>
  <c r="I501" i="9"/>
  <c r="B501" i="9"/>
  <c r="C501" i="9" s="1"/>
  <c r="H501" i="9" s="1"/>
  <c r="X3" i="7" l="1"/>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<sst xmlns="http://schemas.openxmlformats.org/spreadsheetml/2006/main" count="5907" uniqueCount="1099">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</sst>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4">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30" fillId="15" borderId="0" xfId="0" applyFont="1" applyFill="1" applyAlignment="1" applyProtection="1"/>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223905920"/>
        <c:axId val="223906480"/>
      </c:barChart>
      <c:catAx>
        <c:axId val="223905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3906480"/>
        <c:crosses val="autoZero"/>
        <c:auto val="1"/>
        <c:lblAlgn val="ctr"/>
        <c:lblOffset val="100"/>
        <c:noMultiLvlLbl val="0"/>
      </c:catAx>
      <c:valAx>
        <c:axId val="2239064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39059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271190544"/>
        <c:axId val="271191104"/>
      </c:barChart>
      <c:catAx>
        <c:axId val="2711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191104"/>
        <c:crosses val="autoZero"/>
        <c:auto val="1"/>
        <c:lblAlgn val="ctr"/>
        <c:lblOffset val="100"/>
        <c:noMultiLvlLbl val="0"/>
      </c:catAx>
      <c:valAx>
        <c:axId val="2711911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1905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71195584"/>
        <c:axId val="271196144"/>
      </c:barChart>
      <c:catAx>
        <c:axId val="271195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71196144"/>
        <c:crosses val="autoZero"/>
        <c:auto val="1"/>
        <c:lblAlgn val="ctr"/>
        <c:lblOffset val="100"/>
        <c:noMultiLvlLbl val="0"/>
      </c:catAx>
      <c:valAx>
        <c:axId val="2711961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19558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71200064"/>
        <c:axId val="271200624"/>
      </c:barChart>
      <c:catAx>
        <c:axId val="271200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200624"/>
        <c:crosses val="autoZero"/>
        <c:auto val="1"/>
        <c:lblAlgn val="ctr"/>
        <c:lblOffset val="100"/>
        <c:noMultiLvlLbl val="0"/>
      </c:catAx>
      <c:valAx>
        <c:axId val="2712006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20006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72219856"/>
        <c:axId val="272220416"/>
      </c:barChart>
      <c:catAx>
        <c:axId val="272219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220416"/>
        <c:crosses val="autoZero"/>
        <c:auto val="1"/>
        <c:lblAlgn val="ctr"/>
        <c:lblOffset val="100"/>
        <c:noMultiLvlLbl val="0"/>
      </c:catAx>
      <c:valAx>
        <c:axId val="2722204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21985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72224336"/>
        <c:axId val="272224896"/>
      </c:barChart>
      <c:catAx>
        <c:axId val="27222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224896"/>
        <c:crosses val="autoZero"/>
        <c:auto val="1"/>
        <c:lblAlgn val="ctr"/>
        <c:lblOffset val="100"/>
        <c:noMultiLvlLbl val="0"/>
      </c:catAx>
      <c:valAx>
        <c:axId val="2722248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2243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72229376"/>
        <c:axId val="272229936"/>
      </c:barChart>
      <c:catAx>
        <c:axId val="27222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72229936"/>
        <c:crosses val="autoZero"/>
        <c:auto val="1"/>
        <c:lblAlgn val="ctr"/>
        <c:lblOffset val="100"/>
        <c:noMultiLvlLbl val="0"/>
      </c:catAx>
      <c:valAx>
        <c:axId val="2722299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2293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72233856"/>
        <c:axId val="272234416"/>
      </c:barChart>
      <c:catAx>
        <c:axId val="27223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72234416"/>
        <c:crosses val="autoZero"/>
        <c:auto val="1"/>
        <c:lblAlgn val="ctr"/>
        <c:lblOffset val="100"/>
        <c:noMultiLvlLbl val="0"/>
      </c:catAx>
      <c:valAx>
        <c:axId val="2722344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223385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73017456"/>
        <c:axId val="273018016"/>
      </c:barChart>
      <c:catAx>
        <c:axId val="27301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73018016"/>
        <c:crosses val="autoZero"/>
        <c:auto val="1"/>
        <c:lblAlgn val="ctr"/>
        <c:lblOffset val="100"/>
        <c:noMultiLvlLbl val="0"/>
      </c:catAx>
      <c:valAx>
        <c:axId val="2730180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01745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73021936"/>
        <c:axId val="273022496"/>
      </c:barChart>
      <c:catAx>
        <c:axId val="27302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73022496"/>
        <c:crosses val="autoZero"/>
        <c:auto val="1"/>
        <c:lblAlgn val="ctr"/>
        <c:lblOffset val="100"/>
        <c:noMultiLvlLbl val="0"/>
      </c:catAx>
      <c:valAx>
        <c:axId val="2730224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0219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73026416"/>
        <c:axId val="273026976"/>
      </c:barChart>
      <c:catAx>
        <c:axId val="27302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73026976"/>
        <c:crosses val="autoZero"/>
        <c:auto val="1"/>
        <c:lblAlgn val="ctr"/>
        <c:lblOffset val="100"/>
        <c:noMultiLvlLbl val="0"/>
      </c:catAx>
      <c:valAx>
        <c:axId val="2730269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0264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73407888"/>
        <c:axId val="273408448"/>
      </c:barChart>
      <c:catAx>
        <c:axId val="27340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73408448"/>
        <c:crosses val="autoZero"/>
        <c:auto val="1"/>
        <c:lblAlgn val="ctr"/>
        <c:lblOffset val="100"/>
        <c:noMultiLvlLbl val="0"/>
      </c:catAx>
      <c:valAx>
        <c:axId val="2734084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4078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2" sqref="C2"/>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activeCell="C10" sqref="C10"/>
      <selection pane="topRight" activeCell="C10" sqref="C10"/>
      <selection pane="bottomLeft" activeCell="C10" sqref="C10"/>
      <selection pane="bottomRight" activeCell="AF30" sqref="AF30"/>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1091</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1092</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1093</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1094</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1095</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1096</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"")&amp;IF(P18=1, IF(L17="",  "", ", ")&amp;$AC18, "")</f>
        <v/>
      </c>
      <c r="M18" s="23" t="str">
        <f ca="1">IF($J18=$J17, M17, "")&amp;IF(Q18=1,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5">INDIRECT(ADDRESS(ROW(), lastAssessCol))</f>
        <v>0</v>
      </c>
      <c r="Y18" s="24" t="str">
        <f t="shared" ref="Y18:Y49" ca="1" si="6">T(INDIRECT(ADDRESS(ROW(), lastAssessCol+2)))</f>
        <v/>
      </c>
      <c r="Z18" s="24" t="str">
        <f t="shared" ref="Z18:Z49" ca="1" si="7">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8">IF(H19&lt;&gt;H20, H19, "")</f>
        <v/>
      </c>
      <c r="D19" s="23" t="str">
        <f t="shared" si="1"/>
        <v/>
      </c>
      <c r="E19" s="23" t="str">
        <f t="shared" si="1"/>
        <v/>
      </c>
      <c r="F19" s="82">
        <f t="shared" si="2"/>
        <v>1</v>
      </c>
      <c r="G19" s="23">
        <f t="shared" si="3"/>
        <v>1</v>
      </c>
      <c r="H19" s="23" t="str">
        <f t="shared" ref="H19:H82" si="9">IF(OR(I19="FF", I19="CGA"), "FF/CGA", I19)</f>
        <v>FF/CGA</v>
      </c>
      <c r="I19" s="23" t="str">
        <f t="shared" ref="I19:I82" si="10">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1">IF($J19=$J18, L18, "")&amp;IF(P19=1, IF(L18="",  "", ", ")&amp;$AC19, "")</f>
        <v/>
      </c>
      <c r="M19" s="23" t="str">
        <f t="shared" ref="M19:M82" ca="1" si="12">IF($J19=$J18, M18, "")&amp;IF(Q19=1, IF(M18="",  "", ", ")&amp;$AC19, "")</f>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5"/>
        <v>0</v>
      </c>
      <c r="Y19" s="24" t="str">
        <f t="shared" ca="1" si="6"/>
        <v/>
      </c>
      <c r="Z19" s="24" t="str">
        <f t="shared" ca="1" si="7"/>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8"/>
        <v/>
      </c>
      <c r="D20" s="23" t="str">
        <f t="shared" si="1"/>
        <v/>
      </c>
      <c r="E20" s="23" t="str">
        <f t="shared" si="1"/>
        <v/>
      </c>
      <c r="F20" s="82">
        <f t="shared" si="2"/>
        <v>1</v>
      </c>
      <c r="G20" s="23">
        <f t="shared" si="3"/>
        <v>2</v>
      </c>
      <c r="H20" s="23" t="str">
        <f t="shared" si="9"/>
        <v>FF/CGA</v>
      </c>
      <c r="I20" s="23" t="str">
        <f t="shared" si="10"/>
        <v>FF</v>
      </c>
      <c r="J20" s="23" t="str">
        <f t="shared" si="4"/>
        <v>Family Functioning</v>
      </c>
      <c r="K20" s="93">
        <v>1</v>
      </c>
      <c r="L20" s="82" t="str">
        <f t="shared" ca="1" si="11"/>
        <v/>
      </c>
      <c r="M20" s="23" t="str">
        <f t="shared" ca="1" si="12"/>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5"/>
        <v>0</v>
      </c>
      <c r="Y20" s="24" t="str">
        <f t="shared" ca="1" si="6"/>
        <v/>
      </c>
      <c r="Z20" s="24" t="str">
        <f t="shared" ca="1" si="7"/>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8"/>
        <v/>
      </c>
      <c r="D21" s="23" t="str">
        <f t="shared" si="1"/>
        <v/>
      </c>
      <c r="E21" s="23" t="str">
        <f t="shared" si="1"/>
        <v/>
      </c>
      <c r="F21" s="82">
        <f t="shared" si="2"/>
        <v>1</v>
      </c>
      <c r="G21" s="23">
        <f t="shared" si="3"/>
        <v>3</v>
      </c>
      <c r="H21" s="23" t="str">
        <f t="shared" si="9"/>
        <v>FF/CGA</v>
      </c>
      <c r="I21" s="23" t="str">
        <f t="shared" si="10"/>
        <v>FF</v>
      </c>
      <c r="J21" s="23" t="str">
        <f t="shared" si="4"/>
        <v>Family Functioning</v>
      </c>
      <c r="K21" s="93">
        <v>1</v>
      </c>
      <c r="L21" s="82" t="str">
        <f t="shared" ca="1" si="11"/>
        <v/>
      </c>
      <c r="M21" s="23" t="str">
        <f t="shared" ca="1" si="12"/>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5"/>
        <v>0</v>
      </c>
      <c r="Y21" s="24" t="str">
        <f t="shared" ca="1" si="6"/>
        <v/>
      </c>
      <c r="Z21" s="24" t="str">
        <f t="shared" ca="1" si="7"/>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8"/>
        <v/>
      </c>
      <c r="D22" s="23" t="str">
        <f t="shared" si="1"/>
        <v/>
      </c>
      <c r="E22" s="23" t="str">
        <f t="shared" si="1"/>
        <v/>
      </c>
      <c r="F22" s="82">
        <f t="shared" si="2"/>
        <v>1</v>
      </c>
      <c r="G22" s="23">
        <f t="shared" si="3"/>
        <v>4</v>
      </c>
      <c r="H22" s="23" t="str">
        <f t="shared" si="9"/>
        <v>FF/CGA</v>
      </c>
      <c r="I22" s="23" t="str">
        <f t="shared" si="10"/>
        <v>FF</v>
      </c>
      <c r="J22" s="23" t="str">
        <f t="shared" si="4"/>
        <v>Family Functioning</v>
      </c>
      <c r="K22" s="93">
        <v>1</v>
      </c>
      <c r="L22" s="82" t="str">
        <f t="shared" ca="1" si="11"/>
        <v/>
      </c>
      <c r="M22" s="23" t="str">
        <f t="shared" ca="1" si="12"/>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5"/>
        <v>0</v>
      </c>
      <c r="Y22" s="24" t="str">
        <f t="shared" ca="1" si="6"/>
        <v/>
      </c>
      <c r="Z22" s="24" t="str">
        <f t="shared" ca="1" si="7"/>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8"/>
        <v/>
      </c>
      <c r="D23" s="23" t="str">
        <f t="shared" si="1"/>
        <v/>
      </c>
      <c r="E23" s="23" t="str">
        <f t="shared" si="1"/>
        <v/>
      </c>
      <c r="F23" s="82">
        <f t="shared" si="2"/>
        <v>1</v>
      </c>
      <c r="G23" s="23">
        <f t="shared" si="3"/>
        <v>5</v>
      </c>
      <c r="H23" s="23" t="str">
        <f t="shared" si="9"/>
        <v>FF/CGA</v>
      </c>
      <c r="I23" s="23" t="str">
        <f t="shared" si="10"/>
        <v>FF</v>
      </c>
      <c r="J23" s="23" t="str">
        <f t="shared" si="4"/>
        <v>Family Functioning</v>
      </c>
      <c r="K23" s="93">
        <v>1</v>
      </c>
      <c r="L23" s="82" t="str">
        <f t="shared" ca="1" si="11"/>
        <v/>
      </c>
      <c r="M23" s="23" t="str">
        <f t="shared" ca="1" si="12"/>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5"/>
        <v>0</v>
      </c>
      <c r="Y23" s="24" t="str">
        <f t="shared" ca="1" si="6"/>
        <v/>
      </c>
      <c r="Z23" s="24" t="str">
        <f t="shared" ca="1" si="7"/>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8"/>
        <v/>
      </c>
      <c r="D24" s="23" t="str">
        <f t="shared" si="1"/>
        <v/>
      </c>
      <c r="E24" s="23" t="str">
        <f t="shared" si="1"/>
        <v/>
      </c>
      <c r="F24" s="82">
        <f t="shared" si="2"/>
        <v>1</v>
      </c>
      <c r="G24" s="23">
        <f t="shared" si="3"/>
        <v>6</v>
      </c>
      <c r="H24" s="23" t="str">
        <f t="shared" si="9"/>
        <v>FF/CGA</v>
      </c>
      <c r="I24" s="23" t="str">
        <f t="shared" si="10"/>
        <v>FF</v>
      </c>
      <c r="J24" s="23" t="str">
        <f t="shared" si="4"/>
        <v>Family Functioning</v>
      </c>
      <c r="K24" s="93">
        <v>1</v>
      </c>
      <c r="L24" s="82" t="str">
        <f t="shared" ca="1" si="11"/>
        <v/>
      </c>
      <c r="M24" s="23" t="str">
        <f t="shared" ca="1" si="12"/>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5"/>
        <v>0</v>
      </c>
      <c r="Y24" s="24" t="str">
        <f t="shared" ca="1" si="6"/>
        <v/>
      </c>
      <c r="Z24" s="24" t="str">
        <f t="shared" ca="1" si="7"/>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8"/>
        <v/>
      </c>
      <c r="D25" s="23" t="str">
        <f t="shared" si="1"/>
        <v/>
      </c>
      <c r="E25" s="23" t="str">
        <f t="shared" si="1"/>
        <v/>
      </c>
      <c r="F25" s="82">
        <f t="shared" si="2"/>
        <v>1</v>
      </c>
      <c r="G25" s="23">
        <f t="shared" si="3"/>
        <v>7</v>
      </c>
      <c r="H25" s="23" t="str">
        <f t="shared" si="9"/>
        <v>FF/CGA</v>
      </c>
      <c r="I25" s="23" t="str">
        <f t="shared" si="10"/>
        <v>FF</v>
      </c>
      <c r="J25" s="23" t="str">
        <f t="shared" si="4"/>
        <v>Family Functioning</v>
      </c>
      <c r="K25" s="93">
        <v>1</v>
      </c>
      <c r="L25" s="82" t="str">
        <f t="shared" ca="1" si="11"/>
        <v/>
      </c>
      <c r="M25" s="23" t="str">
        <f t="shared" ca="1" si="12"/>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5"/>
        <v>0</v>
      </c>
      <c r="Y25" s="24" t="str">
        <f t="shared" ca="1" si="6"/>
        <v/>
      </c>
      <c r="Z25" s="24" t="str">
        <f t="shared" ca="1" si="7"/>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8"/>
        <v/>
      </c>
      <c r="D26" s="23" t="str">
        <f t="shared" si="1"/>
        <v/>
      </c>
      <c r="E26" s="23" t="str">
        <f t="shared" si="1"/>
        <v/>
      </c>
      <c r="F26" s="82">
        <f t="shared" si="2"/>
        <v>1</v>
      </c>
      <c r="G26" s="23">
        <f t="shared" si="3"/>
        <v>8</v>
      </c>
      <c r="H26" s="23" t="str">
        <f t="shared" si="9"/>
        <v>FF/CGA</v>
      </c>
      <c r="I26" s="23" t="str">
        <f t="shared" si="10"/>
        <v>FF</v>
      </c>
      <c r="J26" s="23" t="str">
        <f t="shared" si="4"/>
        <v>Family Functioning</v>
      </c>
      <c r="K26" s="93">
        <v>1</v>
      </c>
      <c r="L26" s="82" t="str">
        <f t="shared" ca="1" si="11"/>
        <v/>
      </c>
      <c r="M26" s="23" t="str">
        <f t="shared" ca="1" si="12"/>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5"/>
        <v>0</v>
      </c>
      <c r="Y26" s="24" t="str">
        <f t="shared" ca="1" si="6"/>
        <v/>
      </c>
      <c r="Z26" s="24" t="str">
        <f t="shared" ca="1" si="7"/>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8"/>
        <v/>
      </c>
      <c r="D27" s="23" t="str">
        <f t="shared" si="1"/>
        <v/>
      </c>
      <c r="E27" s="23" t="str">
        <f t="shared" si="1"/>
        <v/>
      </c>
      <c r="F27" s="82">
        <f t="shared" si="2"/>
        <v>1</v>
      </c>
      <c r="G27" s="23">
        <f t="shared" si="3"/>
        <v>9</v>
      </c>
      <c r="H27" s="23" t="str">
        <f t="shared" si="9"/>
        <v>FF/CGA</v>
      </c>
      <c r="I27" s="23" t="str">
        <f t="shared" si="10"/>
        <v>FF</v>
      </c>
      <c r="J27" s="23" t="str">
        <f t="shared" si="4"/>
        <v>Family Functioning</v>
      </c>
      <c r="K27" s="93">
        <v>1</v>
      </c>
      <c r="L27" s="82" t="str">
        <f t="shared" ca="1" si="11"/>
        <v/>
      </c>
      <c r="M27" s="23" t="str">
        <f t="shared" ca="1" si="12"/>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5"/>
        <v>0</v>
      </c>
      <c r="Y27" s="24" t="str">
        <f t="shared" ca="1" si="6"/>
        <v/>
      </c>
      <c r="Z27" s="24" t="str">
        <f t="shared" ca="1" si="7"/>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8"/>
        <v/>
      </c>
      <c r="D28" s="23" t="str">
        <f t="shared" si="1"/>
        <v>FF</v>
      </c>
      <c r="E28" s="23" t="str">
        <f t="shared" si="1"/>
        <v>Family Functioning</v>
      </c>
      <c r="F28" s="82">
        <f t="shared" si="2"/>
        <v>1</v>
      </c>
      <c r="G28" s="23">
        <f t="shared" si="3"/>
        <v>10</v>
      </c>
      <c r="H28" s="23" t="str">
        <f t="shared" si="9"/>
        <v>FF/CGA</v>
      </c>
      <c r="I28" s="23" t="str">
        <f t="shared" si="10"/>
        <v>FF</v>
      </c>
      <c r="J28" s="23" t="str">
        <f t="shared" si="4"/>
        <v>Family Functioning</v>
      </c>
      <c r="K28" s="93">
        <v>1</v>
      </c>
      <c r="L28" s="82" t="str">
        <f t="shared" ca="1" si="11"/>
        <v/>
      </c>
      <c r="M28" s="23" t="str">
        <f t="shared" ca="1" si="12"/>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5"/>
        <v>0</v>
      </c>
      <c r="Y28" s="24" t="str">
        <f t="shared" ca="1" si="6"/>
        <v/>
      </c>
      <c r="Z28" s="24" t="str">
        <f t="shared" ca="1" si="7"/>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8"/>
        <v/>
      </c>
      <c r="D29" s="23" t="str">
        <f t="shared" si="1"/>
        <v/>
      </c>
      <c r="E29" s="23" t="str">
        <f t="shared" si="1"/>
        <v/>
      </c>
      <c r="F29" s="82">
        <f t="shared" ref="F29:F92" si="19">IF(K29=0, IF(ISNUMBER(F28), F28+1, 1), F28)</f>
        <v>2</v>
      </c>
      <c r="G29" s="23">
        <f t="shared" ref="G29:G92" si="20">IF(K29=0, 0, IF(K29=1, G28+1, G28))</f>
        <v>0</v>
      </c>
      <c r="H29" s="23" t="str">
        <f t="shared" si="9"/>
        <v>FF/CGA</v>
      </c>
      <c r="I29" s="23" t="str">
        <f t="shared" si="10"/>
        <v>CGA</v>
      </c>
      <c r="J29" s="23" t="str">
        <f t="shared" si="4"/>
        <v>Caregiver Advocacy</v>
      </c>
      <c r="K29" s="93">
        <v>0</v>
      </c>
      <c r="L29" s="82" t="str">
        <f t="shared" ca="1" si="11"/>
        <v/>
      </c>
      <c r="M29" s="23" t="str">
        <f t="shared" ca="1" si="12"/>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5"/>
        <v>0</v>
      </c>
      <c r="Y29" s="24" t="str">
        <f t="shared" ca="1" si="6"/>
        <v/>
      </c>
      <c r="Z29" s="24" t="str">
        <f t="shared" ca="1" si="7"/>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8"/>
        <v/>
      </c>
      <c r="D30" s="23" t="str">
        <f t="shared" si="1"/>
        <v/>
      </c>
      <c r="E30" s="23" t="str">
        <f t="shared" si="1"/>
        <v/>
      </c>
      <c r="F30" s="82">
        <f t="shared" si="19"/>
        <v>2</v>
      </c>
      <c r="G30" s="23">
        <f t="shared" si="20"/>
        <v>1</v>
      </c>
      <c r="H30" s="23" t="str">
        <f t="shared" si="9"/>
        <v>FF/CGA</v>
      </c>
      <c r="I30" s="23" t="str">
        <f t="shared" si="10"/>
        <v>CGA</v>
      </c>
      <c r="J30" s="23" t="str">
        <f t="shared" si="4"/>
        <v>Caregiver Advocacy</v>
      </c>
      <c r="K30" s="93">
        <v>1</v>
      </c>
      <c r="L30" s="82" t="str">
        <f t="shared" ca="1" si="11"/>
        <v/>
      </c>
      <c r="M30" s="23" t="str">
        <f t="shared" ca="1" si="12"/>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5"/>
        <v>0</v>
      </c>
      <c r="Y30" s="24" t="str">
        <f t="shared" ca="1" si="6"/>
        <v/>
      </c>
      <c r="Z30" s="24" t="str">
        <f t="shared" ca="1" si="7"/>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8"/>
        <v/>
      </c>
      <c r="D31" s="23" t="str">
        <f t="shared" si="1"/>
        <v/>
      </c>
      <c r="E31" s="23" t="str">
        <f t="shared" si="1"/>
        <v/>
      </c>
      <c r="F31" s="82">
        <f t="shared" si="19"/>
        <v>2</v>
      </c>
      <c r="G31" s="23">
        <f t="shared" si="20"/>
        <v>2</v>
      </c>
      <c r="H31" s="23" t="str">
        <f t="shared" si="9"/>
        <v>FF/CGA</v>
      </c>
      <c r="I31" s="23" t="str">
        <f t="shared" si="10"/>
        <v>CGA</v>
      </c>
      <c r="J31" s="23" t="str">
        <f t="shared" si="4"/>
        <v>Caregiver Advocacy</v>
      </c>
      <c r="K31" s="93">
        <v>1</v>
      </c>
      <c r="L31" s="82" t="str">
        <f t="shared" ca="1" si="11"/>
        <v/>
      </c>
      <c r="M31" s="23" t="str">
        <f t="shared" ca="1" si="12"/>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5"/>
        <v>0</v>
      </c>
      <c r="Y31" s="24" t="str">
        <f t="shared" ca="1" si="6"/>
        <v/>
      </c>
      <c r="Z31" s="24" t="str">
        <f t="shared" ca="1" si="7"/>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8"/>
        <v/>
      </c>
      <c r="D32" s="23" t="str">
        <f t="shared" si="1"/>
        <v/>
      </c>
      <c r="E32" s="23" t="str">
        <f t="shared" si="1"/>
        <v/>
      </c>
      <c r="F32" s="82">
        <f t="shared" si="19"/>
        <v>2</v>
      </c>
      <c r="G32" s="23">
        <f t="shared" si="20"/>
        <v>3</v>
      </c>
      <c r="H32" s="23" t="str">
        <f t="shared" si="9"/>
        <v>FF/CGA</v>
      </c>
      <c r="I32" s="23" t="str">
        <f t="shared" si="10"/>
        <v>CGA</v>
      </c>
      <c r="J32" s="23" t="str">
        <f t="shared" si="4"/>
        <v>Caregiver Advocacy</v>
      </c>
      <c r="K32" s="93">
        <v>1</v>
      </c>
      <c r="L32" s="82" t="str">
        <f t="shared" ca="1" si="11"/>
        <v/>
      </c>
      <c r="M32" s="23" t="str">
        <f t="shared" ca="1" si="12"/>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5"/>
        <v>0</v>
      </c>
      <c r="Y32" s="24" t="str">
        <f t="shared" ca="1" si="6"/>
        <v/>
      </c>
      <c r="Z32" s="24" t="str">
        <f t="shared" ca="1" si="7"/>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8"/>
        <v/>
      </c>
      <c r="D33" s="23" t="str">
        <f t="shared" si="1"/>
        <v/>
      </c>
      <c r="E33" s="23" t="str">
        <f t="shared" si="1"/>
        <v/>
      </c>
      <c r="F33" s="82">
        <f t="shared" si="19"/>
        <v>2</v>
      </c>
      <c r="G33" s="23">
        <f t="shared" si="20"/>
        <v>4</v>
      </c>
      <c r="H33" s="23" t="str">
        <f t="shared" si="9"/>
        <v>FF/CGA</v>
      </c>
      <c r="I33" s="23" t="str">
        <f t="shared" si="10"/>
        <v>CGA</v>
      </c>
      <c r="J33" s="23" t="str">
        <f t="shared" si="4"/>
        <v>Caregiver Advocacy</v>
      </c>
      <c r="K33" s="93">
        <v>1</v>
      </c>
      <c r="L33" s="82" t="str">
        <f t="shared" ca="1" si="11"/>
        <v/>
      </c>
      <c r="M33" s="23" t="str">
        <f t="shared" ca="1" si="12"/>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5"/>
        <v>0</v>
      </c>
      <c r="Y33" s="24" t="str">
        <f t="shared" ca="1" si="6"/>
        <v/>
      </c>
      <c r="Z33" s="24" t="str">
        <f t="shared" ca="1" si="7"/>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8"/>
        <v/>
      </c>
      <c r="D34" s="23" t="str">
        <f t="shared" si="1"/>
        <v/>
      </c>
      <c r="E34" s="23" t="str">
        <f t="shared" si="1"/>
        <v/>
      </c>
      <c r="F34" s="82">
        <f t="shared" si="19"/>
        <v>2</v>
      </c>
      <c r="G34" s="23">
        <f t="shared" si="20"/>
        <v>5</v>
      </c>
      <c r="H34" s="23" t="str">
        <f t="shared" si="9"/>
        <v>FF/CGA</v>
      </c>
      <c r="I34" s="23" t="str">
        <f t="shared" si="10"/>
        <v>CGA</v>
      </c>
      <c r="J34" s="23" t="str">
        <f t="shared" si="4"/>
        <v>Caregiver Advocacy</v>
      </c>
      <c r="K34" s="93">
        <v>1</v>
      </c>
      <c r="L34" s="82" t="str">
        <f t="shared" ca="1" si="11"/>
        <v/>
      </c>
      <c r="M34" s="23" t="str">
        <f t="shared" ca="1" si="12"/>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5"/>
        <v>0</v>
      </c>
      <c r="Y34" s="24" t="str">
        <f t="shared" ca="1" si="6"/>
        <v/>
      </c>
      <c r="Z34" s="24" t="str">
        <f t="shared" ca="1" si="7"/>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8"/>
        <v/>
      </c>
      <c r="D35" s="23" t="str">
        <f t="shared" si="1"/>
        <v/>
      </c>
      <c r="E35" s="23" t="str">
        <f t="shared" si="1"/>
        <v/>
      </c>
      <c r="F35" s="82">
        <f t="shared" si="19"/>
        <v>2</v>
      </c>
      <c r="G35" s="23">
        <f t="shared" si="20"/>
        <v>6</v>
      </c>
      <c r="H35" s="23" t="str">
        <f t="shared" si="9"/>
        <v>FF/CGA</v>
      </c>
      <c r="I35" s="23" t="str">
        <f t="shared" si="10"/>
        <v>CGA</v>
      </c>
      <c r="J35" s="23" t="str">
        <f t="shared" si="4"/>
        <v>Caregiver Advocacy</v>
      </c>
      <c r="K35" s="93">
        <v>1</v>
      </c>
      <c r="L35" s="82" t="str">
        <f t="shared" ca="1" si="11"/>
        <v/>
      </c>
      <c r="M35" s="23" t="str">
        <f t="shared" ca="1" si="12"/>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5"/>
        <v>0</v>
      </c>
      <c r="Y35" s="24" t="str">
        <f t="shared" ca="1" si="6"/>
        <v/>
      </c>
      <c r="Z35" s="24" t="str">
        <f t="shared" ca="1" si="7"/>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8"/>
        <v/>
      </c>
      <c r="D36" s="23" t="str">
        <f t="shared" si="1"/>
        <v/>
      </c>
      <c r="E36" s="23" t="str">
        <f t="shared" si="1"/>
        <v/>
      </c>
      <c r="F36" s="82">
        <f t="shared" si="19"/>
        <v>2</v>
      </c>
      <c r="G36" s="23">
        <f t="shared" si="20"/>
        <v>7</v>
      </c>
      <c r="H36" s="23" t="str">
        <f t="shared" si="9"/>
        <v>FF/CGA</v>
      </c>
      <c r="I36" s="23" t="str">
        <f t="shared" si="10"/>
        <v>CGA</v>
      </c>
      <c r="J36" s="23" t="str">
        <f t="shared" si="4"/>
        <v>Caregiver Advocacy</v>
      </c>
      <c r="K36" s="93">
        <v>1</v>
      </c>
      <c r="L36" s="82" t="str">
        <f t="shared" ca="1" si="11"/>
        <v/>
      </c>
      <c r="M36" s="23" t="str">
        <f t="shared" ca="1" si="12"/>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5"/>
        <v>0</v>
      </c>
      <c r="Y36" s="24" t="str">
        <f t="shared" ca="1" si="6"/>
        <v/>
      </c>
      <c r="Z36" s="24" t="str">
        <f t="shared" ca="1" si="7"/>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8"/>
        <v>FF/CGA</v>
      </c>
      <c r="D37" s="23" t="str">
        <f t="shared" si="1"/>
        <v>CGA</v>
      </c>
      <c r="E37" s="23" t="str">
        <f t="shared" si="1"/>
        <v>Caregiver Advocacy</v>
      </c>
      <c r="F37" s="82">
        <f t="shared" si="19"/>
        <v>2</v>
      </c>
      <c r="G37" s="23">
        <f t="shared" si="20"/>
        <v>8</v>
      </c>
      <c r="H37" s="23" t="str">
        <f t="shared" si="9"/>
        <v>FF/CGA</v>
      </c>
      <c r="I37" s="23" t="str">
        <f t="shared" si="10"/>
        <v>CGA</v>
      </c>
      <c r="J37" s="23" t="str">
        <f t="shared" si="4"/>
        <v>Caregiver Advocacy</v>
      </c>
      <c r="K37" s="93">
        <v>1</v>
      </c>
      <c r="L37" s="82" t="str">
        <f t="shared" ca="1" si="11"/>
        <v/>
      </c>
      <c r="M37" s="23" t="str">
        <f t="shared" ca="1" si="12"/>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5"/>
        <v>0</v>
      </c>
      <c r="Y37" s="24" t="str">
        <f t="shared" ca="1" si="6"/>
        <v/>
      </c>
      <c r="Z37" s="24" t="str">
        <f t="shared" ca="1" si="7"/>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8"/>
        <v/>
      </c>
      <c r="D38" s="23" t="str">
        <f t="shared" si="1"/>
        <v/>
      </c>
      <c r="E38" s="23" t="str">
        <f t="shared" si="1"/>
        <v/>
      </c>
      <c r="F38" s="82">
        <f t="shared" si="19"/>
        <v>3</v>
      </c>
      <c r="G38" s="23">
        <f t="shared" si="20"/>
        <v>0</v>
      </c>
      <c r="H38" s="23" t="str">
        <f t="shared" si="9"/>
        <v>CGF</v>
      </c>
      <c r="I38" s="23" t="str">
        <f t="shared" si="10"/>
        <v>CGF</v>
      </c>
      <c r="J38" s="23" t="str">
        <f t="shared" si="4"/>
        <v>Caregiver Functioning - Caregiver #1</v>
      </c>
      <c r="K38" s="93">
        <v>0</v>
      </c>
      <c r="L38" s="82" t="str">
        <f t="shared" ca="1" si="11"/>
        <v/>
      </c>
      <c r="M38" s="23" t="str">
        <f t="shared" ca="1" si="12"/>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5"/>
        <v>0</v>
      </c>
      <c r="Y38" s="24" t="str">
        <f t="shared" ca="1" si="6"/>
        <v/>
      </c>
      <c r="Z38" s="24" t="str">
        <f t="shared" ca="1" si="7"/>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8"/>
        <v/>
      </c>
      <c r="D39" s="23" t="str">
        <f t="shared" si="1"/>
        <v/>
      </c>
      <c r="E39" s="23" t="str">
        <f t="shared" si="1"/>
        <v/>
      </c>
      <c r="F39" s="82">
        <f t="shared" si="19"/>
        <v>3</v>
      </c>
      <c r="G39" s="23">
        <f t="shared" si="20"/>
        <v>0</v>
      </c>
      <c r="H39" s="23" t="str">
        <f t="shared" si="9"/>
        <v>CGF</v>
      </c>
      <c r="I39" s="23" t="str">
        <f t="shared" si="10"/>
        <v>CGF</v>
      </c>
      <c r="J39" s="23" t="str">
        <f t="shared" si="4"/>
        <v>Caregiver Functioning - Caregiver #1</v>
      </c>
      <c r="K39" s="93">
        <v>2</v>
      </c>
      <c r="L39" s="82" t="str">
        <f t="shared" ca="1" si="11"/>
        <v/>
      </c>
      <c r="M39" s="23" t="str">
        <f t="shared" ca="1" si="12"/>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5"/>
        <v>0</v>
      </c>
      <c r="Y39" s="24" t="str">
        <f t="shared" ca="1" si="6"/>
        <v/>
      </c>
      <c r="Z39" s="24" t="str">
        <f t="shared" ca="1" si="7"/>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8"/>
        <v/>
      </c>
      <c r="D40" s="23" t="str">
        <f t="shared" si="1"/>
        <v/>
      </c>
      <c r="E40" s="23" t="str">
        <f t="shared" si="1"/>
        <v/>
      </c>
      <c r="F40" s="82">
        <f t="shared" si="19"/>
        <v>3</v>
      </c>
      <c r="G40" s="23">
        <f t="shared" si="20"/>
        <v>1</v>
      </c>
      <c r="H40" s="23" t="str">
        <f t="shared" si="9"/>
        <v>CGF</v>
      </c>
      <c r="I40" s="23" t="str">
        <f t="shared" si="10"/>
        <v>CGF</v>
      </c>
      <c r="J40" s="23" t="str">
        <f t="shared" si="4"/>
        <v>Caregiver Functioning - Caregiver #1</v>
      </c>
      <c r="K40" s="93">
        <v>1</v>
      </c>
      <c r="L40" s="82" t="str">
        <f t="shared" ca="1" si="11"/>
        <v/>
      </c>
      <c r="M40" s="23" t="str">
        <f t="shared" ca="1" si="12"/>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5"/>
        <v>0</v>
      </c>
      <c r="Y40" s="24" t="str">
        <f t="shared" ca="1" si="6"/>
        <v/>
      </c>
      <c r="Z40" s="24" t="str">
        <f t="shared" ca="1" si="7"/>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8"/>
        <v/>
      </c>
      <c r="D41" s="23" t="str">
        <f t="shared" si="1"/>
        <v/>
      </c>
      <c r="E41" s="23" t="str">
        <f t="shared" si="1"/>
        <v/>
      </c>
      <c r="F41" s="82">
        <f t="shared" si="19"/>
        <v>3</v>
      </c>
      <c r="G41" s="23">
        <f t="shared" si="20"/>
        <v>2</v>
      </c>
      <c r="H41" s="23" t="str">
        <f t="shared" si="9"/>
        <v>CGF</v>
      </c>
      <c r="I41" s="23" t="str">
        <f t="shared" si="10"/>
        <v>CGF</v>
      </c>
      <c r="J41" s="23" t="str">
        <f t="shared" si="4"/>
        <v>Caregiver Functioning - Caregiver #1</v>
      </c>
      <c r="K41" s="93">
        <v>1</v>
      </c>
      <c r="L41" s="82" t="str">
        <f t="shared" ca="1" si="11"/>
        <v/>
      </c>
      <c r="M41" s="23" t="str">
        <f t="shared" ca="1" si="12"/>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5"/>
        <v>0</v>
      </c>
      <c r="Y41" s="24" t="str">
        <f t="shared" ca="1" si="6"/>
        <v/>
      </c>
      <c r="Z41" s="24" t="str">
        <f t="shared" ca="1" si="7"/>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8"/>
        <v/>
      </c>
      <c r="D42" s="23" t="str">
        <f t="shared" si="1"/>
        <v/>
      </c>
      <c r="E42" s="23" t="str">
        <f t="shared" si="1"/>
        <v/>
      </c>
      <c r="F42" s="82">
        <f t="shared" si="19"/>
        <v>3</v>
      </c>
      <c r="G42" s="23">
        <f t="shared" si="20"/>
        <v>3</v>
      </c>
      <c r="H42" s="23" t="str">
        <f t="shared" si="9"/>
        <v>CGF</v>
      </c>
      <c r="I42" s="23" t="str">
        <f t="shared" si="10"/>
        <v>CGF</v>
      </c>
      <c r="J42" s="23" t="str">
        <f t="shared" si="4"/>
        <v>Caregiver Functioning - Caregiver #1</v>
      </c>
      <c r="K42" s="93">
        <v>1</v>
      </c>
      <c r="L42" s="82" t="str">
        <f t="shared" ca="1" si="11"/>
        <v/>
      </c>
      <c r="M42" s="23" t="str">
        <f t="shared" ca="1" si="12"/>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5"/>
        <v>0</v>
      </c>
      <c r="Y42" s="24" t="str">
        <f t="shared" ca="1" si="6"/>
        <v/>
      </c>
      <c r="Z42" s="24" t="str">
        <f t="shared" ca="1" si="7"/>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8"/>
        <v/>
      </c>
      <c r="D43" s="23" t="str">
        <f t="shared" si="1"/>
        <v/>
      </c>
      <c r="E43" s="23" t="str">
        <f t="shared" si="1"/>
        <v/>
      </c>
      <c r="F43" s="82">
        <f t="shared" si="19"/>
        <v>3</v>
      </c>
      <c r="G43" s="23">
        <f t="shared" si="20"/>
        <v>4</v>
      </c>
      <c r="H43" s="23" t="str">
        <f t="shared" si="9"/>
        <v>CGF</v>
      </c>
      <c r="I43" s="23" t="str">
        <f t="shared" si="10"/>
        <v>CGF</v>
      </c>
      <c r="J43" s="23" t="str">
        <f t="shared" si="4"/>
        <v>Caregiver Functioning - Caregiver #1</v>
      </c>
      <c r="K43" s="93">
        <v>1</v>
      </c>
      <c r="L43" s="82" t="str">
        <f t="shared" ca="1" si="11"/>
        <v/>
      </c>
      <c r="M43" s="23" t="str">
        <f t="shared" ca="1" si="12"/>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5"/>
        <v>0</v>
      </c>
      <c r="Y43" s="24" t="str">
        <f t="shared" ca="1" si="6"/>
        <v/>
      </c>
      <c r="Z43" s="24" t="str">
        <f t="shared" ca="1" si="7"/>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8"/>
        <v/>
      </c>
      <c r="D44" s="23" t="str">
        <f t="shared" si="1"/>
        <v/>
      </c>
      <c r="E44" s="23" t="str">
        <f t="shared" si="1"/>
        <v/>
      </c>
      <c r="F44" s="82">
        <f t="shared" si="19"/>
        <v>3</v>
      </c>
      <c r="G44" s="23">
        <f t="shared" si="20"/>
        <v>5</v>
      </c>
      <c r="H44" s="23" t="str">
        <f t="shared" si="9"/>
        <v>CGF</v>
      </c>
      <c r="I44" s="23" t="str">
        <f t="shared" si="10"/>
        <v>CGF</v>
      </c>
      <c r="J44" s="23" t="str">
        <f t="shared" si="4"/>
        <v>Caregiver Functioning - Caregiver #1</v>
      </c>
      <c r="K44" s="93">
        <v>1</v>
      </c>
      <c r="L44" s="82" t="str">
        <f t="shared" ca="1" si="11"/>
        <v/>
      </c>
      <c r="M44" s="23" t="str">
        <f t="shared" ca="1" si="12"/>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5"/>
        <v>0</v>
      </c>
      <c r="Y44" s="24" t="str">
        <f t="shared" ca="1" si="6"/>
        <v/>
      </c>
      <c r="Z44" s="24" t="str">
        <f t="shared" ca="1" si="7"/>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8"/>
        <v/>
      </c>
      <c r="D45" s="23" t="str">
        <f t="shared" si="1"/>
        <v/>
      </c>
      <c r="E45" s="23" t="str">
        <f t="shared" si="1"/>
        <v/>
      </c>
      <c r="F45" s="82">
        <f t="shared" si="19"/>
        <v>3</v>
      </c>
      <c r="G45" s="23">
        <f t="shared" si="20"/>
        <v>6</v>
      </c>
      <c r="H45" s="23" t="str">
        <f t="shared" si="9"/>
        <v>CGF</v>
      </c>
      <c r="I45" s="23" t="str">
        <f t="shared" si="10"/>
        <v>CGF</v>
      </c>
      <c r="J45" s="23" t="str">
        <f t="shared" si="4"/>
        <v>Caregiver Functioning - Caregiver #1</v>
      </c>
      <c r="K45" s="93">
        <v>1</v>
      </c>
      <c r="L45" s="82" t="str">
        <f t="shared" ca="1" si="11"/>
        <v/>
      </c>
      <c r="M45" s="23" t="str">
        <f t="shared" ca="1" si="12"/>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5"/>
        <v>0</v>
      </c>
      <c r="Y45" s="24" t="str">
        <f t="shared" ca="1" si="6"/>
        <v/>
      </c>
      <c r="Z45" s="24" t="str">
        <f t="shared" ca="1" si="7"/>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8"/>
        <v/>
      </c>
      <c r="D46" s="23" t="str">
        <f t="shared" si="1"/>
        <v/>
      </c>
      <c r="E46" s="23" t="str">
        <f t="shared" si="1"/>
        <v/>
      </c>
      <c r="F46" s="82">
        <f t="shared" si="19"/>
        <v>3</v>
      </c>
      <c r="G46" s="23">
        <f t="shared" si="20"/>
        <v>7</v>
      </c>
      <c r="H46" s="23" t="str">
        <f t="shared" si="9"/>
        <v>CGF</v>
      </c>
      <c r="I46" s="23" t="str">
        <f t="shared" si="10"/>
        <v>CGF</v>
      </c>
      <c r="J46" s="23" t="str">
        <f t="shared" si="4"/>
        <v>Caregiver Functioning - Caregiver #1</v>
      </c>
      <c r="K46" s="93">
        <v>1</v>
      </c>
      <c r="L46" s="82" t="str">
        <f t="shared" ca="1" si="11"/>
        <v/>
      </c>
      <c r="M46" s="23" t="str">
        <f t="shared" ca="1" si="12"/>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5"/>
        <v>0</v>
      </c>
      <c r="Y46" s="24" t="str">
        <f t="shared" ca="1" si="6"/>
        <v/>
      </c>
      <c r="Z46" s="24" t="str">
        <f t="shared" ca="1" si="7"/>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8"/>
        <v/>
      </c>
      <c r="D47" s="23" t="str">
        <f t="shared" si="1"/>
        <v/>
      </c>
      <c r="E47" s="23" t="str">
        <f t="shared" si="1"/>
        <v/>
      </c>
      <c r="F47" s="82">
        <f t="shared" si="19"/>
        <v>3</v>
      </c>
      <c r="G47" s="23">
        <f t="shared" si="20"/>
        <v>8</v>
      </c>
      <c r="H47" s="23" t="str">
        <f t="shared" si="9"/>
        <v>CGF</v>
      </c>
      <c r="I47" s="23" t="str">
        <f t="shared" si="10"/>
        <v>CGF</v>
      </c>
      <c r="J47" s="23" t="str">
        <f t="shared" si="4"/>
        <v>Caregiver Functioning - Caregiver #1</v>
      </c>
      <c r="K47" s="93">
        <v>1</v>
      </c>
      <c r="L47" s="82" t="str">
        <f t="shared" ca="1" si="11"/>
        <v/>
      </c>
      <c r="M47" s="23" t="str">
        <f t="shared" ca="1" si="12"/>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5"/>
        <v>0</v>
      </c>
      <c r="Y47" s="24" t="str">
        <f t="shared" ca="1" si="6"/>
        <v/>
      </c>
      <c r="Z47" s="24" t="str">
        <f t="shared" ca="1" si="7"/>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8"/>
        <v/>
      </c>
      <c r="D48" s="23" t="str">
        <f t="shared" si="1"/>
        <v/>
      </c>
      <c r="E48" s="23" t="str">
        <f t="shared" si="1"/>
        <v/>
      </c>
      <c r="F48" s="82">
        <f t="shared" si="19"/>
        <v>3</v>
      </c>
      <c r="G48" s="23">
        <f t="shared" si="20"/>
        <v>9</v>
      </c>
      <c r="H48" s="23" t="str">
        <f t="shared" si="9"/>
        <v>CGF</v>
      </c>
      <c r="I48" s="23" t="str">
        <f t="shared" si="10"/>
        <v>CGF</v>
      </c>
      <c r="J48" s="23" t="str">
        <f t="shared" si="4"/>
        <v>Caregiver Functioning - Caregiver #1</v>
      </c>
      <c r="K48" s="93">
        <v>1</v>
      </c>
      <c r="L48" s="82" t="str">
        <f t="shared" ca="1" si="11"/>
        <v/>
      </c>
      <c r="M48" s="23" t="str">
        <f t="shared" ca="1" si="12"/>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5"/>
        <v>0</v>
      </c>
      <c r="Y48" s="24" t="str">
        <f t="shared" ca="1" si="6"/>
        <v/>
      </c>
      <c r="Z48" s="24" t="str">
        <f t="shared" ca="1" si="7"/>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8"/>
        <v/>
      </c>
      <c r="D49" s="23" t="str">
        <f t="shared" si="1"/>
        <v/>
      </c>
      <c r="E49" s="23" t="str">
        <f t="shared" si="1"/>
        <v/>
      </c>
      <c r="F49" s="82">
        <f t="shared" si="19"/>
        <v>3</v>
      </c>
      <c r="G49" s="23">
        <f t="shared" si="20"/>
        <v>10</v>
      </c>
      <c r="H49" s="23" t="str">
        <f t="shared" si="9"/>
        <v>CGF</v>
      </c>
      <c r="I49" s="23" t="str">
        <f t="shared" si="10"/>
        <v>CGF</v>
      </c>
      <c r="J49" s="23" t="str">
        <f t="shared" si="4"/>
        <v>Caregiver Functioning - Caregiver #1</v>
      </c>
      <c r="K49" s="93">
        <v>1</v>
      </c>
      <c r="L49" s="82" t="str">
        <f t="shared" ca="1" si="11"/>
        <v/>
      </c>
      <c r="M49" s="23" t="str">
        <f t="shared" ca="1" si="12"/>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5"/>
        <v>0</v>
      </c>
      <c r="Y49" s="24" t="str">
        <f t="shared" ca="1" si="6"/>
        <v/>
      </c>
      <c r="Z49" s="24" t="str">
        <f t="shared" ca="1" si="7"/>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8"/>
        <v/>
      </c>
      <c r="D50" s="23" t="str">
        <f t="shared" si="1"/>
        <v/>
      </c>
      <c r="E50" s="23" t="str">
        <f t="shared" si="1"/>
        <v/>
      </c>
      <c r="F50" s="82">
        <f t="shared" si="19"/>
        <v>3</v>
      </c>
      <c r="G50" s="23">
        <f t="shared" si="20"/>
        <v>11</v>
      </c>
      <c r="H50" s="23" t="str">
        <f t="shared" si="9"/>
        <v>CGF</v>
      </c>
      <c r="I50" s="23" t="str">
        <f t="shared" si="10"/>
        <v>CGF</v>
      </c>
      <c r="J50" s="23" t="str">
        <f t="shared" ref="J50:J81" si="21">IF(K50=0, AC50, J49)</f>
        <v>Caregiver Functioning - Caregiver #1</v>
      </c>
      <c r="K50" s="93">
        <v>1</v>
      </c>
      <c r="L50" s="82" t="str">
        <f t="shared" ca="1" si="11"/>
        <v/>
      </c>
      <c r="M50" s="23" t="str">
        <f t="shared" ca="1" si="12"/>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5"/>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8"/>
        <v/>
      </c>
      <c r="D51" s="23" t="str">
        <f t="shared" si="1"/>
        <v/>
      </c>
      <c r="E51" s="23" t="str">
        <f t="shared" si="1"/>
        <v/>
      </c>
      <c r="F51" s="82">
        <f t="shared" si="19"/>
        <v>3</v>
      </c>
      <c r="G51" s="23">
        <f t="shared" si="20"/>
        <v>12</v>
      </c>
      <c r="H51" s="23" t="str">
        <f t="shared" si="9"/>
        <v>CGF</v>
      </c>
      <c r="I51" s="23" t="str">
        <f t="shared" si="10"/>
        <v>CGF</v>
      </c>
      <c r="J51" s="23" t="str">
        <f t="shared" si="21"/>
        <v>Caregiver Functioning - Caregiver #1</v>
      </c>
      <c r="K51" s="93">
        <v>1</v>
      </c>
      <c r="L51" s="82" t="str">
        <f t="shared" ca="1" si="11"/>
        <v/>
      </c>
      <c r="M51" s="23" t="str">
        <f t="shared" ca="1" si="12"/>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5"/>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8"/>
        <v/>
      </c>
      <c r="D52" s="23" t="str">
        <f t="shared" si="1"/>
        <v/>
      </c>
      <c r="E52" s="23" t="str">
        <f t="shared" si="1"/>
        <v/>
      </c>
      <c r="F52" s="82">
        <f t="shared" si="19"/>
        <v>3</v>
      </c>
      <c r="G52" s="23">
        <f t="shared" si="20"/>
        <v>13</v>
      </c>
      <c r="H52" s="23" t="str">
        <f t="shared" si="9"/>
        <v>CGF</v>
      </c>
      <c r="I52" s="23" t="str">
        <f t="shared" si="10"/>
        <v>CGF</v>
      </c>
      <c r="J52" s="23" t="str">
        <f t="shared" si="21"/>
        <v>Caregiver Functioning - Caregiver #1</v>
      </c>
      <c r="K52" s="93">
        <v>1</v>
      </c>
      <c r="L52" s="82" t="str">
        <f t="shared" ca="1" si="11"/>
        <v/>
      </c>
      <c r="M52" s="23" t="str">
        <f t="shared" ca="1" si="12"/>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5"/>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8"/>
        <v/>
      </c>
      <c r="D53" s="23" t="str">
        <f t="shared" si="1"/>
        <v/>
      </c>
      <c r="E53" s="23" t="str">
        <f t="shared" si="1"/>
        <v>Caregiver Functioning - Caregiver #1</v>
      </c>
      <c r="F53" s="82">
        <f t="shared" si="19"/>
        <v>3</v>
      </c>
      <c r="G53" s="23">
        <f t="shared" si="20"/>
        <v>14</v>
      </c>
      <c r="H53" s="23" t="str">
        <f t="shared" si="9"/>
        <v>CGF</v>
      </c>
      <c r="I53" s="23" t="str">
        <f t="shared" si="10"/>
        <v>CGF</v>
      </c>
      <c r="J53" s="23" t="str">
        <f t="shared" si="21"/>
        <v>Caregiver Functioning - Caregiver #1</v>
      </c>
      <c r="K53" s="93">
        <v>1</v>
      </c>
      <c r="L53" s="82" t="str">
        <f t="shared" ca="1" si="11"/>
        <v/>
      </c>
      <c r="M53" s="23" t="str">
        <f t="shared" ca="1" si="12"/>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5"/>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8"/>
        <v/>
      </c>
      <c r="D54" s="23" t="str">
        <f t="shared" si="1"/>
        <v/>
      </c>
      <c r="E54" s="23" t="str">
        <f t="shared" si="1"/>
        <v/>
      </c>
      <c r="F54" s="82">
        <f t="shared" si="19"/>
        <v>4</v>
      </c>
      <c r="G54" s="23">
        <f t="shared" si="20"/>
        <v>0</v>
      </c>
      <c r="H54" s="23" t="str">
        <f t="shared" si="9"/>
        <v>CGF</v>
      </c>
      <c r="I54" s="23" t="str">
        <f t="shared" si="10"/>
        <v>CGF</v>
      </c>
      <c r="J54" s="23" t="str">
        <f t="shared" si="21"/>
        <v>Caregiver Functioning - Caregiver #2</v>
      </c>
      <c r="K54" s="93">
        <v>0</v>
      </c>
      <c r="L54" s="82" t="str">
        <f t="shared" ca="1" si="11"/>
        <v/>
      </c>
      <c r="M54" s="23" t="str">
        <f t="shared" ca="1" si="12"/>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5"/>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8"/>
        <v/>
      </c>
      <c r="D55" s="23" t="str">
        <f t="shared" si="1"/>
        <v/>
      </c>
      <c r="E55" s="23" t="str">
        <f t="shared" si="1"/>
        <v/>
      </c>
      <c r="F55" s="82">
        <f t="shared" si="19"/>
        <v>4</v>
      </c>
      <c r="G55" s="23">
        <f t="shared" si="20"/>
        <v>0</v>
      </c>
      <c r="H55" s="23" t="str">
        <f t="shared" si="9"/>
        <v>CGF</v>
      </c>
      <c r="I55" s="23" t="str">
        <f t="shared" si="10"/>
        <v>CGF</v>
      </c>
      <c r="J55" s="23" t="str">
        <f t="shared" si="21"/>
        <v>Caregiver Functioning - Caregiver #2</v>
      </c>
      <c r="K55" s="93">
        <v>2</v>
      </c>
      <c r="L55" s="82" t="str">
        <f t="shared" ca="1" si="11"/>
        <v/>
      </c>
      <c r="M55" s="23" t="str">
        <f t="shared" ca="1" si="12"/>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5"/>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8"/>
        <v/>
      </c>
      <c r="D56" s="23" t="str">
        <f t="shared" si="1"/>
        <v/>
      </c>
      <c r="E56" s="23" t="str">
        <f t="shared" si="1"/>
        <v/>
      </c>
      <c r="F56" s="82">
        <f t="shared" si="19"/>
        <v>4</v>
      </c>
      <c r="G56" s="23">
        <f t="shared" si="20"/>
        <v>1</v>
      </c>
      <c r="H56" s="23" t="str">
        <f t="shared" si="9"/>
        <v>CGF</v>
      </c>
      <c r="I56" s="23" t="str">
        <f t="shared" si="10"/>
        <v>CGF</v>
      </c>
      <c r="J56" s="23" t="str">
        <f t="shared" si="21"/>
        <v>Caregiver Functioning - Caregiver #2</v>
      </c>
      <c r="K56" s="93">
        <v>1</v>
      </c>
      <c r="L56" s="82" t="str">
        <f t="shared" ca="1" si="11"/>
        <v/>
      </c>
      <c r="M56" s="23" t="str">
        <f t="shared" ca="1" si="12"/>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5"/>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8"/>
        <v/>
      </c>
      <c r="D57" s="23" t="str">
        <f t="shared" si="1"/>
        <v/>
      </c>
      <c r="E57" s="23" t="str">
        <f t="shared" si="1"/>
        <v/>
      </c>
      <c r="F57" s="82">
        <f t="shared" si="19"/>
        <v>4</v>
      </c>
      <c r="G57" s="23">
        <f t="shared" si="20"/>
        <v>2</v>
      </c>
      <c r="H57" s="23" t="str">
        <f t="shared" si="9"/>
        <v>CGF</v>
      </c>
      <c r="I57" s="23" t="str">
        <f t="shared" si="10"/>
        <v>CGF</v>
      </c>
      <c r="J57" s="23" t="str">
        <f t="shared" si="21"/>
        <v>Caregiver Functioning - Caregiver #2</v>
      </c>
      <c r="K57" s="93">
        <v>1</v>
      </c>
      <c r="L57" s="82" t="str">
        <f t="shared" ca="1" si="11"/>
        <v/>
      </c>
      <c r="M57" s="23" t="str">
        <f t="shared" ca="1" si="12"/>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5"/>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8"/>
        <v/>
      </c>
      <c r="D58" s="23" t="str">
        <f t="shared" si="1"/>
        <v/>
      </c>
      <c r="E58" s="23" t="str">
        <f t="shared" si="1"/>
        <v/>
      </c>
      <c r="F58" s="82">
        <f t="shared" si="19"/>
        <v>4</v>
      </c>
      <c r="G58" s="23">
        <f t="shared" si="20"/>
        <v>3</v>
      </c>
      <c r="H58" s="23" t="str">
        <f t="shared" si="9"/>
        <v>CGF</v>
      </c>
      <c r="I58" s="23" t="str">
        <f t="shared" si="10"/>
        <v>CGF</v>
      </c>
      <c r="J58" s="23" t="str">
        <f t="shared" si="21"/>
        <v>Caregiver Functioning - Caregiver #2</v>
      </c>
      <c r="K58" s="93">
        <v>1</v>
      </c>
      <c r="L58" s="82" t="str">
        <f t="shared" ca="1" si="11"/>
        <v/>
      </c>
      <c r="M58" s="23" t="str">
        <f t="shared" ca="1" si="12"/>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5"/>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8"/>
        <v/>
      </c>
      <c r="D59" s="23" t="str">
        <f t="shared" si="1"/>
        <v/>
      </c>
      <c r="E59" s="23" t="str">
        <f t="shared" si="1"/>
        <v/>
      </c>
      <c r="F59" s="82">
        <f t="shared" si="19"/>
        <v>4</v>
      </c>
      <c r="G59" s="23">
        <f t="shared" si="20"/>
        <v>4</v>
      </c>
      <c r="H59" s="23" t="str">
        <f t="shared" si="9"/>
        <v>CGF</v>
      </c>
      <c r="I59" s="23" t="str">
        <f t="shared" si="10"/>
        <v>CGF</v>
      </c>
      <c r="J59" s="23" t="str">
        <f t="shared" si="21"/>
        <v>Caregiver Functioning - Caregiver #2</v>
      </c>
      <c r="K59" s="93">
        <v>1</v>
      </c>
      <c r="L59" s="82" t="str">
        <f t="shared" ca="1" si="11"/>
        <v/>
      </c>
      <c r="M59" s="23" t="str">
        <f t="shared" ca="1" si="12"/>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5"/>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8"/>
        <v/>
      </c>
      <c r="D60" s="23" t="str">
        <f t="shared" si="1"/>
        <v/>
      </c>
      <c r="E60" s="23" t="str">
        <f t="shared" si="1"/>
        <v/>
      </c>
      <c r="F60" s="82">
        <f t="shared" si="19"/>
        <v>4</v>
      </c>
      <c r="G60" s="23">
        <f t="shared" si="20"/>
        <v>5</v>
      </c>
      <c r="H60" s="23" t="str">
        <f t="shared" si="9"/>
        <v>CGF</v>
      </c>
      <c r="I60" s="23" t="str">
        <f t="shared" si="10"/>
        <v>CGF</v>
      </c>
      <c r="J60" s="23" t="str">
        <f t="shared" si="21"/>
        <v>Caregiver Functioning - Caregiver #2</v>
      </c>
      <c r="K60" s="93">
        <v>1</v>
      </c>
      <c r="L60" s="82" t="str">
        <f t="shared" ca="1" si="11"/>
        <v/>
      </c>
      <c r="M60" s="23" t="str">
        <f t="shared" ca="1" si="12"/>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5"/>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8"/>
        <v/>
      </c>
      <c r="D61" s="23" t="str">
        <f t="shared" si="1"/>
        <v/>
      </c>
      <c r="E61" s="23" t="str">
        <f t="shared" si="1"/>
        <v/>
      </c>
      <c r="F61" s="82">
        <f t="shared" si="19"/>
        <v>4</v>
      </c>
      <c r="G61" s="23">
        <f t="shared" si="20"/>
        <v>6</v>
      </c>
      <c r="H61" s="23" t="str">
        <f t="shared" si="9"/>
        <v>CGF</v>
      </c>
      <c r="I61" s="23" t="str">
        <f t="shared" si="10"/>
        <v>CGF</v>
      </c>
      <c r="J61" s="23" t="str">
        <f t="shared" si="21"/>
        <v>Caregiver Functioning - Caregiver #2</v>
      </c>
      <c r="K61" s="93">
        <v>1</v>
      </c>
      <c r="L61" s="82" t="str">
        <f t="shared" ca="1" si="11"/>
        <v/>
      </c>
      <c r="M61" s="23" t="str">
        <f t="shared" ca="1" si="12"/>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5"/>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8"/>
        <v/>
      </c>
      <c r="D62" s="23" t="str">
        <f t="shared" si="1"/>
        <v/>
      </c>
      <c r="E62" s="23" t="str">
        <f t="shared" si="1"/>
        <v/>
      </c>
      <c r="F62" s="82">
        <f t="shared" si="19"/>
        <v>4</v>
      </c>
      <c r="G62" s="23">
        <f t="shared" si="20"/>
        <v>7</v>
      </c>
      <c r="H62" s="23" t="str">
        <f t="shared" si="9"/>
        <v>CGF</v>
      </c>
      <c r="I62" s="23" t="str">
        <f t="shared" si="10"/>
        <v>CGF</v>
      </c>
      <c r="J62" s="23" t="str">
        <f t="shared" si="21"/>
        <v>Caregiver Functioning - Caregiver #2</v>
      </c>
      <c r="K62" s="93">
        <v>1</v>
      </c>
      <c r="L62" s="82" t="str">
        <f t="shared" ca="1" si="11"/>
        <v/>
      </c>
      <c r="M62" s="23" t="str">
        <f t="shared" ca="1" si="12"/>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5"/>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8"/>
        <v/>
      </c>
      <c r="D63" s="23" t="str">
        <f t="shared" si="1"/>
        <v/>
      </c>
      <c r="E63" s="23" t="str">
        <f t="shared" si="1"/>
        <v/>
      </c>
      <c r="F63" s="82">
        <f t="shared" si="19"/>
        <v>4</v>
      </c>
      <c r="G63" s="23">
        <f t="shared" si="20"/>
        <v>8</v>
      </c>
      <c r="H63" s="23" t="str">
        <f t="shared" si="9"/>
        <v>CGF</v>
      </c>
      <c r="I63" s="23" t="str">
        <f t="shared" si="10"/>
        <v>CGF</v>
      </c>
      <c r="J63" s="23" t="str">
        <f t="shared" si="21"/>
        <v>Caregiver Functioning - Caregiver #2</v>
      </c>
      <c r="K63" s="93">
        <v>1</v>
      </c>
      <c r="L63" s="82" t="str">
        <f t="shared" ca="1" si="11"/>
        <v/>
      </c>
      <c r="M63" s="23" t="str">
        <f t="shared" ca="1" si="12"/>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5"/>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8"/>
        <v/>
      </c>
      <c r="D64" s="23" t="str">
        <f t="shared" si="1"/>
        <v/>
      </c>
      <c r="E64" s="23" t="str">
        <f t="shared" si="1"/>
        <v/>
      </c>
      <c r="F64" s="82">
        <f t="shared" si="19"/>
        <v>4</v>
      </c>
      <c r="G64" s="23">
        <f t="shared" si="20"/>
        <v>9</v>
      </c>
      <c r="H64" s="23" t="str">
        <f t="shared" si="9"/>
        <v>CGF</v>
      </c>
      <c r="I64" s="23" t="str">
        <f t="shared" si="10"/>
        <v>CGF</v>
      </c>
      <c r="J64" s="23" t="str">
        <f t="shared" si="21"/>
        <v>Caregiver Functioning - Caregiver #2</v>
      </c>
      <c r="K64" s="93">
        <v>1</v>
      </c>
      <c r="L64" s="82" t="str">
        <f t="shared" ca="1" si="11"/>
        <v/>
      </c>
      <c r="M64" s="23" t="str">
        <f t="shared" ca="1" si="12"/>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5"/>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8"/>
        <v/>
      </c>
      <c r="D65" s="23" t="str">
        <f t="shared" si="1"/>
        <v/>
      </c>
      <c r="E65" s="23" t="str">
        <f t="shared" si="1"/>
        <v/>
      </c>
      <c r="F65" s="82">
        <f t="shared" si="19"/>
        <v>4</v>
      </c>
      <c r="G65" s="23">
        <f t="shared" si="20"/>
        <v>10</v>
      </c>
      <c r="H65" s="23" t="str">
        <f t="shared" si="9"/>
        <v>CGF</v>
      </c>
      <c r="I65" s="23" t="str">
        <f t="shared" si="10"/>
        <v>CGF</v>
      </c>
      <c r="J65" s="23" t="str">
        <f t="shared" si="21"/>
        <v>Caregiver Functioning - Caregiver #2</v>
      </c>
      <c r="K65" s="93">
        <v>1</v>
      </c>
      <c r="L65" s="82" t="str">
        <f t="shared" ca="1" si="11"/>
        <v/>
      </c>
      <c r="M65" s="23" t="str">
        <f t="shared" ca="1" si="12"/>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5"/>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8"/>
        <v/>
      </c>
      <c r="D66" s="23" t="str">
        <f t="shared" si="1"/>
        <v/>
      </c>
      <c r="E66" s="23" t="str">
        <f t="shared" si="1"/>
        <v/>
      </c>
      <c r="F66" s="82">
        <f t="shared" si="19"/>
        <v>4</v>
      </c>
      <c r="G66" s="23">
        <f t="shared" si="20"/>
        <v>11</v>
      </c>
      <c r="H66" s="23" t="str">
        <f t="shared" si="9"/>
        <v>CGF</v>
      </c>
      <c r="I66" s="23" t="str">
        <f t="shared" si="10"/>
        <v>CGF</v>
      </c>
      <c r="J66" s="23" t="str">
        <f t="shared" si="21"/>
        <v>Caregiver Functioning - Caregiver #2</v>
      </c>
      <c r="K66" s="93">
        <v>1</v>
      </c>
      <c r="L66" s="82" t="str">
        <f t="shared" ca="1" si="11"/>
        <v/>
      </c>
      <c r="M66" s="23" t="str">
        <f t="shared" ca="1" si="12"/>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5"/>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8"/>
        <v/>
      </c>
      <c r="D67" s="23" t="str">
        <f t="shared" si="1"/>
        <v/>
      </c>
      <c r="E67" s="23" t="str">
        <f t="shared" si="1"/>
        <v/>
      </c>
      <c r="F67" s="82">
        <f t="shared" si="19"/>
        <v>4</v>
      </c>
      <c r="G67" s="23">
        <f t="shared" si="20"/>
        <v>12</v>
      </c>
      <c r="H67" s="23" t="str">
        <f t="shared" si="9"/>
        <v>CGF</v>
      </c>
      <c r="I67" s="23" t="str">
        <f t="shared" si="10"/>
        <v>CGF</v>
      </c>
      <c r="J67" s="23" t="str">
        <f t="shared" si="21"/>
        <v>Caregiver Functioning - Caregiver #2</v>
      </c>
      <c r="K67" s="93">
        <v>1</v>
      </c>
      <c r="L67" s="82" t="str">
        <f t="shared" ca="1" si="11"/>
        <v/>
      </c>
      <c r="M67" s="23" t="str">
        <f t="shared" ca="1" si="12"/>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5"/>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8"/>
        <v/>
      </c>
      <c r="D68" s="23" t="str">
        <f t="shared" si="1"/>
        <v/>
      </c>
      <c r="E68" s="23" t="str">
        <f t="shared" si="1"/>
        <v/>
      </c>
      <c r="F68" s="82">
        <f t="shared" si="19"/>
        <v>4</v>
      </c>
      <c r="G68" s="23">
        <f t="shared" si="20"/>
        <v>13</v>
      </c>
      <c r="H68" s="23" t="str">
        <f t="shared" si="9"/>
        <v>CGF</v>
      </c>
      <c r="I68" s="23" t="str">
        <f t="shared" si="10"/>
        <v>CGF</v>
      </c>
      <c r="J68" s="23" t="str">
        <f t="shared" si="21"/>
        <v>Caregiver Functioning - Caregiver #2</v>
      </c>
      <c r="K68" s="93">
        <v>1</v>
      </c>
      <c r="L68" s="82" t="str">
        <f t="shared" ca="1" si="11"/>
        <v/>
      </c>
      <c r="M68" s="23" t="str">
        <f t="shared" ca="1" si="12"/>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5"/>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8"/>
        <v/>
      </c>
      <c r="D69" s="23" t="str">
        <f t="shared" si="1"/>
        <v/>
      </c>
      <c r="E69" s="23" t="str">
        <f t="shared" si="1"/>
        <v>Caregiver Functioning - Caregiver #2</v>
      </c>
      <c r="F69" s="82">
        <f t="shared" si="19"/>
        <v>4</v>
      </c>
      <c r="G69" s="23">
        <f t="shared" si="20"/>
        <v>14</v>
      </c>
      <c r="H69" s="23" t="str">
        <f t="shared" si="9"/>
        <v>CGF</v>
      </c>
      <c r="I69" s="23" t="str">
        <f t="shared" si="10"/>
        <v>CGF</v>
      </c>
      <c r="J69" s="23" t="str">
        <f t="shared" si="21"/>
        <v>Caregiver Functioning - Caregiver #2</v>
      </c>
      <c r="K69" s="93">
        <v>1</v>
      </c>
      <c r="L69" s="82" t="str">
        <f t="shared" ca="1" si="11"/>
        <v/>
      </c>
      <c r="M69" s="23" t="str">
        <f t="shared" ca="1" si="12"/>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5"/>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8"/>
        <v/>
      </c>
      <c r="D70" s="23" t="str">
        <f t="shared" si="1"/>
        <v/>
      </c>
      <c r="E70" s="23" t="str">
        <f t="shared" si="1"/>
        <v/>
      </c>
      <c r="F70" s="82">
        <f t="shared" si="19"/>
        <v>5</v>
      </c>
      <c r="G70" s="23">
        <f t="shared" si="20"/>
        <v>0</v>
      </c>
      <c r="H70" s="23" t="str">
        <f t="shared" si="9"/>
        <v>CGF</v>
      </c>
      <c r="I70" s="23" t="str">
        <f t="shared" si="10"/>
        <v>CGF</v>
      </c>
      <c r="J70" s="23" t="str">
        <f t="shared" si="21"/>
        <v>Caregiver Functioning - Caregiver #3</v>
      </c>
      <c r="K70" s="93">
        <v>0</v>
      </c>
      <c r="L70" s="82" t="str">
        <f t="shared" ca="1" si="11"/>
        <v/>
      </c>
      <c r="M70" s="23" t="str">
        <f t="shared" ca="1" si="12"/>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5"/>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8"/>
        <v/>
      </c>
      <c r="D71" s="23" t="str">
        <f t="shared" si="1"/>
        <v/>
      </c>
      <c r="E71" s="23" t="str">
        <f t="shared" si="1"/>
        <v/>
      </c>
      <c r="F71" s="82">
        <f t="shared" si="19"/>
        <v>5</v>
      </c>
      <c r="G71" s="23">
        <f t="shared" si="20"/>
        <v>0</v>
      </c>
      <c r="H71" s="23" t="str">
        <f t="shared" si="9"/>
        <v>CGF</v>
      </c>
      <c r="I71" s="23" t="str">
        <f t="shared" si="10"/>
        <v>CGF</v>
      </c>
      <c r="J71" s="23" t="str">
        <f t="shared" si="21"/>
        <v>Caregiver Functioning - Caregiver #3</v>
      </c>
      <c r="K71" s="93">
        <v>2</v>
      </c>
      <c r="L71" s="82" t="str">
        <f t="shared" ca="1" si="11"/>
        <v/>
      </c>
      <c r="M71" s="23" t="str">
        <f t="shared" ca="1" si="12"/>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5"/>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8"/>
        <v/>
      </c>
      <c r="D72" s="23" t="str">
        <f t="shared" si="1"/>
        <v/>
      </c>
      <c r="E72" s="23" t="str">
        <f t="shared" si="1"/>
        <v/>
      </c>
      <c r="F72" s="82">
        <f t="shared" si="19"/>
        <v>5</v>
      </c>
      <c r="G72" s="23">
        <f t="shared" si="20"/>
        <v>1</v>
      </c>
      <c r="H72" s="23" t="str">
        <f t="shared" si="9"/>
        <v>CGF</v>
      </c>
      <c r="I72" s="23" t="str">
        <f t="shared" si="10"/>
        <v>CGF</v>
      </c>
      <c r="J72" s="23" t="str">
        <f t="shared" si="21"/>
        <v>Caregiver Functioning - Caregiver #3</v>
      </c>
      <c r="K72" s="93">
        <v>1</v>
      </c>
      <c r="L72" s="82" t="str">
        <f t="shared" ca="1" si="11"/>
        <v/>
      </c>
      <c r="M72" s="23" t="str">
        <f t="shared" ca="1" si="12"/>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5"/>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8"/>
        <v/>
      </c>
      <c r="D73" s="23" t="str">
        <f t="shared" si="1"/>
        <v/>
      </c>
      <c r="E73" s="23" t="str">
        <f t="shared" si="1"/>
        <v/>
      </c>
      <c r="F73" s="82">
        <f t="shared" si="19"/>
        <v>5</v>
      </c>
      <c r="G73" s="23">
        <f t="shared" si="20"/>
        <v>2</v>
      </c>
      <c r="H73" s="23" t="str">
        <f t="shared" si="9"/>
        <v>CGF</v>
      </c>
      <c r="I73" s="23" t="str">
        <f t="shared" si="10"/>
        <v>CGF</v>
      </c>
      <c r="J73" s="23" t="str">
        <f t="shared" si="21"/>
        <v>Caregiver Functioning - Caregiver #3</v>
      </c>
      <c r="K73" s="93">
        <v>1</v>
      </c>
      <c r="L73" s="82" t="str">
        <f t="shared" ca="1" si="11"/>
        <v/>
      </c>
      <c r="M73" s="23" t="str">
        <f t="shared" ca="1" si="12"/>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5"/>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8"/>
        <v/>
      </c>
      <c r="D74" s="23" t="str">
        <f t="shared" si="1"/>
        <v/>
      </c>
      <c r="E74" s="23" t="str">
        <f t="shared" si="1"/>
        <v/>
      </c>
      <c r="F74" s="82">
        <f t="shared" si="19"/>
        <v>5</v>
      </c>
      <c r="G74" s="23">
        <f t="shared" si="20"/>
        <v>3</v>
      </c>
      <c r="H74" s="23" t="str">
        <f t="shared" si="9"/>
        <v>CGF</v>
      </c>
      <c r="I74" s="23" t="str">
        <f t="shared" si="10"/>
        <v>CGF</v>
      </c>
      <c r="J74" s="23" t="str">
        <f t="shared" si="21"/>
        <v>Caregiver Functioning - Caregiver #3</v>
      </c>
      <c r="K74" s="93">
        <v>1</v>
      </c>
      <c r="L74" s="82" t="str">
        <f t="shared" ca="1" si="11"/>
        <v/>
      </c>
      <c r="M74" s="23" t="str">
        <f t="shared" ca="1" si="12"/>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5"/>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8"/>
        <v/>
      </c>
      <c r="D75" s="23" t="str">
        <f t="shared" si="1"/>
        <v/>
      </c>
      <c r="E75" s="23" t="str">
        <f t="shared" si="1"/>
        <v/>
      </c>
      <c r="F75" s="82">
        <f t="shared" si="19"/>
        <v>5</v>
      </c>
      <c r="G75" s="23">
        <f t="shared" si="20"/>
        <v>4</v>
      </c>
      <c r="H75" s="23" t="str">
        <f t="shared" si="9"/>
        <v>CGF</v>
      </c>
      <c r="I75" s="23" t="str">
        <f t="shared" si="10"/>
        <v>CGF</v>
      </c>
      <c r="J75" s="23" t="str">
        <f t="shared" si="21"/>
        <v>Caregiver Functioning - Caregiver #3</v>
      </c>
      <c r="K75" s="93">
        <v>1</v>
      </c>
      <c r="L75" s="82" t="str">
        <f t="shared" ca="1" si="11"/>
        <v/>
      </c>
      <c r="M75" s="23" t="str">
        <f t="shared" ca="1" si="12"/>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5"/>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8"/>
        <v/>
      </c>
      <c r="D76" s="23" t="str">
        <f t="shared" si="1"/>
        <v/>
      </c>
      <c r="E76" s="23" t="str">
        <f t="shared" si="1"/>
        <v/>
      </c>
      <c r="F76" s="82">
        <f t="shared" si="19"/>
        <v>5</v>
      </c>
      <c r="G76" s="23">
        <f t="shared" si="20"/>
        <v>5</v>
      </c>
      <c r="H76" s="23" t="str">
        <f t="shared" si="9"/>
        <v>CGF</v>
      </c>
      <c r="I76" s="23" t="str">
        <f t="shared" si="10"/>
        <v>CGF</v>
      </c>
      <c r="J76" s="23" t="str">
        <f t="shared" si="21"/>
        <v>Caregiver Functioning - Caregiver #3</v>
      </c>
      <c r="K76" s="93">
        <v>1</v>
      </c>
      <c r="L76" s="82" t="str">
        <f t="shared" ca="1" si="11"/>
        <v/>
      </c>
      <c r="M76" s="23" t="str">
        <f t="shared" ca="1" si="12"/>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5"/>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8"/>
        <v/>
      </c>
      <c r="D77" s="23" t="str">
        <f t="shared" si="1"/>
        <v/>
      </c>
      <c r="E77" s="23" t="str">
        <f t="shared" si="1"/>
        <v/>
      </c>
      <c r="F77" s="82">
        <f t="shared" si="19"/>
        <v>5</v>
      </c>
      <c r="G77" s="23">
        <f t="shared" si="20"/>
        <v>6</v>
      </c>
      <c r="H77" s="23" t="str">
        <f t="shared" si="9"/>
        <v>CGF</v>
      </c>
      <c r="I77" s="23" t="str">
        <f t="shared" si="10"/>
        <v>CGF</v>
      </c>
      <c r="J77" s="23" t="str">
        <f t="shared" si="21"/>
        <v>Caregiver Functioning - Caregiver #3</v>
      </c>
      <c r="K77" s="93">
        <v>1</v>
      </c>
      <c r="L77" s="82" t="str">
        <f t="shared" ca="1" si="11"/>
        <v/>
      </c>
      <c r="M77" s="23" t="str">
        <f t="shared" ca="1" si="12"/>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5"/>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8"/>
        <v/>
      </c>
      <c r="D78" s="23" t="str">
        <f t="shared" si="1"/>
        <v/>
      </c>
      <c r="E78" s="23" t="str">
        <f t="shared" si="1"/>
        <v/>
      </c>
      <c r="F78" s="82">
        <f t="shared" si="19"/>
        <v>5</v>
      </c>
      <c r="G78" s="23">
        <f t="shared" si="20"/>
        <v>7</v>
      </c>
      <c r="H78" s="23" t="str">
        <f t="shared" si="9"/>
        <v>CGF</v>
      </c>
      <c r="I78" s="23" t="str">
        <f t="shared" si="10"/>
        <v>CGF</v>
      </c>
      <c r="J78" s="23" t="str">
        <f t="shared" si="21"/>
        <v>Caregiver Functioning - Caregiver #3</v>
      </c>
      <c r="K78" s="93">
        <v>1</v>
      </c>
      <c r="L78" s="82" t="str">
        <f t="shared" ca="1" si="11"/>
        <v/>
      </c>
      <c r="M78" s="23" t="str">
        <f t="shared" ca="1" si="12"/>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5"/>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8"/>
        <v/>
      </c>
      <c r="D79" s="23" t="str">
        <f t="shared" si="1"/>
        <v/>
      </c>
      <c r="E79" s="23" t="str">
        <f t="shared" si="1"/>
        <v/>
      </c>
      <c r="F79" s="82">
        <f t="shared" si="19"/>
        <v>5</v>
      </c>
      <c r="G79" s="23">
        <f t="shared" si="20"/>
        <v>8</v>
      </c>
      <c r="H79" s="23" t="str">
        <f t="shared" si="9"/>
        <v>CGF</v>
      </c>
      <c r="I79" s="23" t="str">
        <f t="shared" si="10"/>
        <v>CGF</v>
      </c>
      <c r="J79" s="23" t="str">
        <f t="shared" si="21"/>
        <v>Caregiver Functioning - Caregiver #3</v>
      </c>
      <c r="K79" s="93">
        <v>1</v>
      </c>
      <c r="L79" s="82" t="str">
        <f t="shared" ca="1" si="11"/>
        <v/>
      </c>
      <c r="M79" s="23" t="str">
        <f t="shared" ca="1" si="12"/>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5"/>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8"/>
        <v/>
      </c>
      <c r="D80" s="23" t="str">
        <f t="shared" si="1"/>
        <v/>
      </c>
      <c r="E80" s="23" t="str">
        <f t="shared" si="1"/>
        <v/>
      </c>
      <c r="F80" s="82">
        <f t="shared" si="19"/>
        <v>5</v>
      </c>
      <c r="G80" s="23">
        <f t="shared" si="20"/>
        <v>9</v>
      </c>
      <c r="H80" s="23" t="str">
        <f t="shared" si="9"/>
        <v>CGF</v>
      </c>
      <c r="I80" s="23" t="str">
        <f t="shared" si="10"/>
        <v>CGF</v>
      </c>
      <c r="J80" s="23" t="str">
        <f t="shared" si="21"/>
        <v>Caregiver Functioning - Caregiver #3</v>
      </c>
      <c r="K80" s="93">
        <v>1</v>
      </c>
      <c r="L80" s="82" t="str">
        <f t="shared" ca="1" si="11"/>
        <v/>
      </c>
      <c r="M80" s="23" t="str">
        <f t="shared" ca="1" si="12"/>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5"/>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8"/>
        <v/>
      </c>
      <c r="D81" s="23" t="str">
        <f t="shared" si="1"/>
        <v/>
      </c>
      <c r="E81" s="23" t="str">
        <f t="shared" si="1"/>
        <v/>
      </c>
      <c r="F81" s="82">
        <f t="shared" si="19"/>
        <v>5</v>
      </c>
      <c r="G81" s="23">
        <f t="shared" si="20"/>
        <v>10</v>
      </c>
      <c r="H81" s="23" t="str">
        <f t="shared" si="9"/>
        <v>CGF</v>
      </c>
      <c r="I81" s="23" t="str">
        <f t="shared" si="10"/>
        <v>CGF</v>
      </c>
      <c r="J81" s="23" t="str">
        <f t="shared" si="21"/>
        <v>Caregiver Functioning - Caregiver #3</v>
      </c>
      <c r="K81" s="93">
        <v>1</v>
      </c>
      <c r="L81" s="82" t="str">
        <f t="shared" ca="1" si="11"/>
        <v/>
      </c>
      <c r="M81" s="23" t="str">
        <f t="shared" ca="1" si="12"/>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5"/>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8"/>
        <v/>
      </c>
      <c r="D82" s="23" t="str">
        <f t="shared" ref="D82:E148" si="26">IF(I82&lt;&gt;I83, I82, "")</f>
        <v/>
      </c>
      <c r="E82" s="23" t="str">
        <f t="shared" si="26"/>
        <v/>
      </c>
      <c r="F82" s="82">
        <f t="shared" si="19"/>
        <v>5</v>
      </c>
      <c r="G82" s="23">
        <f t="shared" si="20"/>
        <v>11</v>
      </c>
      <c r="H82" s="23" t="str">
        <f t="shared" si="9"/>
        <v>CGF</v>
      </c>
      <c r="I82" s="23" t="str">
        <f t="shared" si="10"/>
        <v>CGF</v>
      </c>
      <c r="J82" s="23" t="str">
        <f t="shared" ref="J82:J104" si="27">IF(K82=0, AC82, J81)</f>
        <v>Caregiver Functioning - Caregiver #3</v>
      </c>
      <c r="K82" s="93">
        <v>1</v>
      </c>
      <c r="L82" s="82" t="str">
        <f t="shared" ca="1" si="11"/>
        <v/>
      </c>
      <c r="M82" s="23" t="str">
        <f t="shared" ca="1" si="12"/>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5"/>
        <v>0</v>
      </c>
      <c r="Y82" s="24" t="str">
        <f t="shared" ref="Y82:Y114" ca="1" si="28">T(INDIRECT(ADDRESS(ROW(), lastAssessCol+2)))</f>
        <v/>
      </c>
      <c r="Z82" s="24" t="str">
        <f t="shared" ref="Z82:Z114" ca="1" si="29">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0">IF(H83&lt;&gt;H84, H83, "")</f>
        <v/>
      </c>
      <c r="D83" s="23" t="str">
        <f t="shared" si="26"/>
        <v/>
      </c>
      <c r="E83" s="23" t="str">
        <f t="shared" si="26"/>
        <v/>
      </c>
      <c r="F83" s="82">
        <f t="shared" si="19"/>
        <v>5</v>
      </c>
      <c r="G83" s="23">
        <f t="shared" si="20"/>
        <v>12</v>
      </c>
      <c r="H83" s="23" t="str">
        <f t="shared" ref="H83:H149" si="31">IF(OR(I83="FF", I83="CGA"), "FF/CGA", I83)</f>
        <v>CGF</v>
      </c>
      <c r="I83" s="23" t="str">
        <f t="shared" ref="I83:I149" si="32">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3">IF($J83=$J82, L82, "")&amp;IF(P83=1, IF(L82="",  "", ", ")&amp;$AC83, "")</f>
        <v/>
      </c>
      <c r="M83" s="23" t="str">
        <f t="shared" ref="M83:M146" ca="1" si="34">IF($J83=$J82, M82, "")&amp;IF(Q83=1, IF(M82="",  "", ", ")&amp;$AC83, "")</f>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5"/>
        <v>0</v>
      </c>
      <c r="Y83" s="24" t="str">
        <f t="shared" ca="1" si="28"/>
        <v/>
      </c>
      <c r="Z83" s="24" t="str">
        <f t="shared" ca="1" si="29"/>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0"/>
        <v/>
      </c>
      <c r="D84" s="23" t="str">
        <f t="shared" si="26"/>
        <v/>
      </c>
      <c r="E84" s="23" t="str">
        <f t="shared" si="26"/>
        <v/>
      </c>
      <c r="F84" s="82">
        <f t="shared" si="19"/>
        <v>5</v>
      </c>
      <c r="G84" s="23">
        <f t="shared" si="20"/>
        <v>13</v>
      </c>
      <c r="H84" s="23" t="str">
        <f t="shared" si="31"/>
        <v>CGF</v>
      </c>
      <c r="I84" s="23" t="str">
        <f t="shared" si="32"/>
        <v>CGF</v>
      </c>
      <c r="J84" s="23" t="str">
        <f t="shared" si="27"/>
        <v>Caregiver Functioning - Caregiver #3</v>
      </c>
      <c r="K84" s="93">
        <v>1</v>
      </c>
      <c r="L84" s="82" t="str">
        <f t="shared" ca="1" si="33"/>
        <v/>
      </c>
      <c r="M84" s="23" t="str">
        <f t="shared" ca="1" si="34"/>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5"/>
        <v>0</v>
      </c>
      <c r="Y84" s="24" t="str">
        <f t="shared" ca="1" si="28"/>
        <v/>
      </c>
      <c r="Z84" s="24" t="str">
        <f t="shared" ca="1" si="29"/>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0"/>
        <v/>
      </c>
      <c r="D85" s="23" t="str">
        <f t="shared" si="26"/>
        <v/>
      </c>
      <c r="E85" s="23" t="str">
        <f t="shared" si="26"/>
        <v>Caregiver Functioning - Caregiver #3</v>
      </c>
      <c r="F85" s="82">
        <f t="shared" si="19"/>
        <v>5</v>
      </c>
      <c r="G85" s="23">
        <f t="shared" si="20"/>
        <v>14</v>
      </c>
      <c r="H85" s="23" t="str">
        <f t="shared" si="31"/>
        <v>CGF</v>
      </c>
      <c r="I85" s="23" t="str">
        <f t="shared" si="32"/>
        <v>CGF</v>
      </c>
      <c r="J85" s="23" t="str">
        <f t="shared" si="27"/>
        <v>Caregiver Functioning - Caregiver #3</v>
      </c>
      <c r="K85" s="93">
        <v>1</v>
      </c>
      <c r="L85" s="82" t="str">
        <f t="shared" ca="1" si="33"/>
        <v/>
      </c>
      <c r="M85" s="23" t="str">
        <f t="shared" ca="1" si="34"/>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5"/>
        <v>0</v>
      </c>
      <c r="Y85" s="24" t="str">
        <f t="shared" ca="1" si="28"/>
        <v/>
      </c>
      <c r="Z85" s="24" t="str">
        <f t="shared" ca="1" si="29"/>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0"/>
        <v/>
      </c>
      <c r="D86" s="23" t="str">
        <f t="shared" si="26"/>
        <v/>
      </c>
      <c r="E86" s="23" t="str">
        <f t="shared" si="26"/>
        <v/>
      </c>
      <c r="F86" s="82">
        <f t="shared" si="19"/>
        <v>6</v>
      </c>
      <c r="G86" s="23">
        <f t="shared" si="20"/>
        <v>0</v>
      </c>
      <c r="H86" s="23" t="str">
        <f t="shared" si="31"/>
        <v>CGF</v>
      </c>
      <c r="I86" s="23" t="str">
        <f t="shared" si="32"/>
        <v>CGF</v>
      </c>
      <c r="J86" s="23" t="str">
        <f t="shared" si="27"/>
        <v>Caregiver Functioning - Caregiver #4</v>
      </c>
      <c r="K86" s="93">
        <v>0</v>
      </c>
      <c r="L86" s="82" t="str">
        <f t="shared" ca="1" si="33"/>
        <v/>
      </c>
      <c r="M86" s="23" t="str">
        <f t="shared" ca="1" si="34"/>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5"/>
        <v>0</v>
      </c>
      <c r="Y86" s="24" t="str">
        <f t="shared" ca="1" si="28"/>
        <v/>
      </c>
      <c r="Z86" s="24" t="str">
        <f t="shared" ca="1" si="29"/>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0"/>
        <v/>
      </c>
      <c r="D87" s="23" t="str">
        <f t="shared" si="26"/>
        <v/>
      </c>
      <c r="E87" s="23" t="str">
        <f t="shared" si="26"/>
        <v/>
      </c>
      <c r="F87" s="82">
        <f t="shared" si="19"/>
        <v>6</v>
      </c>
      <c r="G87" s="23">
        <f t="shared" si="20"/>
        <v>0</v>
      </c>
      <c r="H87" s="23" t="str">
        <f t="shared" si="31"/>
        <v>CGF</v>
      </c>
      <c r="I87" s="23" t="str">
        <f t="shared" si="32"/>
        <v>CGF</v>
      </c>
      <c r="J87" s="23" t="str">
        <f t="shared" si="27"/>
        <v>Caregiver Functioning - Caregiver #4</v>
      </c>
      <c r="K87" s="93">
        <v>2</v>
      </c>
      <c r="L87" s="82" t="str">
        <f t="shared" ca="1" si="33"/>
        <v/>
      </c>
      <c r="M87" s="23" t="str">
        <f t="shared" ca="1" si="34"/>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5"/>
        <v>0</v>
      </c>
      <c r="Y87" s="24" t="str">
        <f t="shared" ca="1" si="28"/>
        <v/>
      </c>
      <c r="Z87" s="24" t="str">
        <f t="shared" ca="1" si="29"/>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0"/>
        <v/>
      </c>
      <c r="D88" s="23" t="str">
        <f t="shared" si="26"/>
        <v/>
      </c>
      <c r="E88" s="23" t="str">
        <f t="shared" si="26"/>
        <v/>
      </c>
      <c r="F88" s="82">
        <f t="shared" si="19"/>
        <v>6</v>
      </c>
      <c r="G88" s="23">
        <f t="shared" si="20"/>
        <v>1</v>
      </c>
      <c r="H88" s="23" t="str">
        <f t="shared" si="31"/>
        <v>CGF</v>
      </c>
      <c r="I88" s="23" t="str">
        <f t="shared" si="32"/>
        <v>CGF</v>
      </c>
      <c r="J88" s="23" t="str">
        <f t="shared" si="27"/>
        <v>Caregiver Functioning - Caregiver #4</v>
      </c>
      <c r="K88" s="93">
        <v>1</v>
      </c>
      <c r="L88" s="82" t="str">
        <f t="shared" ca="1" si="33"/>
        <v/>
      </c>
      <c r="M88" s="23" t="str">
        <f t="shared" ca="1" si="34"/>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5"/>
        <v>0</v>
      </c>
      <c r="Y88" s="24" t="str">
        <f t="shared" ca="1" si="28"/>
        <v/>
      </c>
      <c r="Z88" s="24" t="str">
        <f t="shared" ca="1" si="29"/>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0"/>
        <v/>
      </c>
      <c r="D89" s="23" t="str">
        <f t="shared" si="26"/>
        <v/>
      </c>
      <c r="E89" s="23" t="str">
        <f t="shared" si="26"/>
        <v/>
      </c>
      <c r="F89" s="82">
        <f t="shared" si="19"/>
        <v>6</v>
      </c>
      <c r="G89" s="23">
        <f t="shared" si="20"/>
        <v>2</v>
      </c>
      <c r="H89" s="23" t="str">
        <f t="shared" si="31"/>
        <v>CGF</v>
      </c>
      <c r="I89" s="23" t="str">
        <f t="shared" si="32"/>
        <v>CGF</v>
      </c>
      <c r="J89" s="23" t="str">
        <f t="shared" si="27"/>
        <v>Caregiver Functioning - Caregiver #4</v>
      </c>
      <c r="K89" s="93">
        <v>1</v>
      </c>
      <c r="L89" s="82" t="str">
        <f t="shared" ca="1" si="33"/>
        <v/>
      </c>
      <c r="M89" s="23" t="str">
        <f t="shared" ca="1" si="34"/>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5"/>
        <v>0</v>
      </c>
      <c r="Y89" s="24" t="str">
        <f t="shared" ca="1" si="28"/>
        <v/>
      </c>
      <c r="Z89" s="24" t="str">
        <f t="shared" ca="1" si="29"/>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0"/>
        <v/>
      </c>
      <c r="D90" s="23" t="str">
        <f t="shared" si="26"/>
        <v/>
      </c>
      <c r="E90" s="23" t="str">
        <f t="shared" si="26"/>
        <v/>
      </c>
      <c r="F90" s="82">
        <f t="shared" si="19"/>
        <v>6</v>
      </c>
      <c r="G90" s="23">
        <f t="shared" si="20"/>
        <v>3</v>
      </c>
      <c r="H90" s="23" t="str">
        <f t="shared" si="31"/>
        <v>CGF</v>
      </c>
      <c r="I90" s="23" t="str">
        <f t="shared" si="32"/>
        <v>CGF</v>
      </c>
      <c r="J90" s="23" t="str">
        <f t="shared" si="27"/>
        <v>Caregiver Functioning - Caregiver #4</v>
      </c>
      <c r="K90" s="93">
        <v>1</v>
      </c>
      <c r="L90" s="82" t="str">
        <f t="shared" ca="1" si="33"/>
        <v/>
      </c>
      <c r="M90" s="23" t="str">
        <f t="shared" ca="1" si="34"/>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5"/>
        <v>0</v>
      </c>
      <c r="Y90" s="24" t="str">
        <f t="shared" ca="1" si="28"/>
        <v/>
      </c>
      <c r="Z90" s="24" t="str">
        <f t="shared" ca="1" si="29"/>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0"/>
        <v/>
      </c>
      <c r="D91" s="23" t="str">
        <f t="shared" si="26"/>
        <v/>
      </c>
      <c r="E91" s="23" t="str">
        <f t="shared" si="26"/>
        <v/>
      </c>
      <c r="F91" s="82">
        <f t="shared" si="19"/>
        <v>6</v>
      </c>
      <c r="G91" s="23">
        <f t="shared" si="20"/>
        <v>4</v>
      </c>
      <c r="H91" s="23" t="str">
        <f t="shared" si="31"/>
        <v>CGF</v>
      </c>
      <c r="I91" s="23" t="str">
        <f t="shared" si="32"/>
        <v>CGF</v>
      </c>
      <c r="J91" s="23" t="str">
        <f t="shared" si="27"/>
        <v>Caregiver Functioning - Caregiver #4</v>
      </c>
      <c r="K91" s="93">
        <v>1</v>
      </c>
      <c r="L91" s="82" t="str">
        <f t="shared" ca="1" si="33"/>
        <v/>
      </c>
      <c r="M91" s="23" t="str">
        <f t="shared" ca="1" si="34"/>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5"/>
        <v>0</v>
      </c>
      <c r="Y91" s="24" t="str">
        <f t="shared" ca="1" si="28"/>
        <v/>
      </c>
      <c r="Z91" s="24" t="str">
        <f t="shared" ca="1" si="29"/>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0"/>
        <v/>
      </c>
      <c r="D92" s="23" t="str">
        <f t="shared" si="26"/>
        <v/>
      </c>
      <c r="E92" s="23" t="str">
        <f t="shared" si="26"/>
        <v/>
      </c>
      <c r="F92" s="82">
        <f t="shared" si="19"/>
        <v>6</v>
      </c>
      <c r="G92" s="23">
        <f t="shared" si="20"/>
        <v>5</v>
      </c>
      <c r="H92" s="23" t="str">
        <f t="shared" si="31"/>
        <v>CGF</v>
      </c>
      <c r="I92" s="23" t="str">
        <f t="shared" si="32"/>
        <v>CGF</v>
      </c>
      <c r="J92" s="23" t="str">
        <f t="shared" si="27"/>
        <v>Caregiver Functioning - Caregiver #4</v>
      </c>
      <c r="K92" s="93">
        <v>1</v>
      </c>
      <c r="L92" s="82" t="str">
        <f t="shared" ca="1" si="33"/>
        <v/>
      </c>
      <c r="M92" s="23" t="str">
        <f t="shared" ca="1" si="34"/>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5"/>
        <v>0</v>
      </c>
      <c r="Y92" s="24" t="str">
        <f t="shared" ca="1" si="28"/>
        <v/>
      </c>
      <c r="Z92" s="24" t="str">
        <f t="shared" ca="1" si="29"/>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0"/>
        <v/>
      </c>
      <c r="D93" s="23" t="str">
        <f t="shared" si="26"/>
        <v/>
      </c>
      <c r="E93" s="23" t="str">
        <f t="shared" si="26"/>
        <v/>
      </c>
      <c r="F93" s="82">
        <f t="shared" ref="F93:F160" si="41">IF(K93=0, IF(ISNUMBER(F92), F92+1, 1), F92)</f>
        <v>6</v>
      </c>
      <c r="G93" s="23">
        <f t="shared" ref="G93:G160" si="42">IF(K93=0, 0, IF(K93=1, G92+1, G92))</f>
        <v>6</v>
      </c>
      <c r="H93" s="23" t="str">
        <f t="shared" si="31"/>
        <v>CGF</v>
      </c>
      <c r="I93" s="23" t="str">
        <f t="shared" si="32"/>
        <v>CGF</v>
      </c>
      <c r="J93" s="23" t="str">
        <f t="shared" si="27"/>
        <v>Caregiver Functioning - Caregiver #4</v>
      </c>
      <c r="K93" s="93">
        <v>1</v>
      </c>
      <c r="L93" s="82" t="str">
        <f t="shared" ca="1" si="33"/>
        <v/>
      </c>
      <c r="M93" s="23" t="str">
        <f t="shared" ca="1" si="34"/>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5"/>
        <v>0</v>
      </c>
      <c r="Y93" s="24" t="str">
        <f t="shared" ca="1" si="28"/>
        <v/>
      </c>
      <c r="Z93" s="24" t="str">
        <f t="shared" ca="1" si="29"/>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0"/>
        <v/>
      </c>
      <c r="D94" s="23" t="str">
        <f t="shared" si="26"/>
        <v/>
      </c>
      <c r="E94" s="23" t="str">
        <f t="shared" si="26"/>
        <v/>
      </c>
      <c r="F94" s="82">
        <f t="shared" si="41"/>
        <v>6</v>
      </c>
      <c r="G94" s="23">
        <f t="shared" si="42"/>
        <v>7</v>
      </c>
      <c r="H94" s="23" t="str">
        <f t="shared" si="31"/>
        <v>CGF</v>
      </c>
      <c r="I94" s="23" t="str">
        <f t="shared" si="32"/>
        <v>CGF</v>
      </c>
      <c r="J94" s="23" t="str">
        <f t="shared" si="27"/>
        <v>Caregiver Functioning - Caregiver #4</v>
      </c>
      <c r="K94" s="93">
        <v>1</v>
      </c>
      <c r="L94" s="82" t="str">
        <f t="shared" ca="1" si="33"/>
        <v/>
      </c>
      <c r="M94" s="23" t="str">
        <f t="shared" ca="1" si="34"/>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5"/>
        <v>0</v>
      </c>
      <c r="Y94" s="24" t="str">
        <f t="shared" ca="1" si="28"/>
        <v/>
      </c>
      <c r="Z94" s="24" t="str">
        <f t="shared" ca="1" si="29"/>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0"/>
        <v/>
      </c>
      <c r="D95" s="23" t="str">
        <f t="shared" si="26"/>
        <v/>
      </c>
      <c r="E95" s="23" t="str">
        <f t="shared" si="26"/>
        <v/>
      </c>
      <c r="F95" s="82">
        <f t="shared" si="41"/>
        <v>6</v>
      </c>
      <c r="G95" s="23">
        <f t="shared" si="42"/>
        <v>8</v>
      </c>
      <c r="H95" s="23" t="str">
        <f t="shared" si="31"/>
        <v>CGF</v>
      </c>
      <c r="I95" s="23" t="str">
        <f t="shared" si="32"/>
        <v>CGF</v>
      </c>
      <c r="J95" s="23" t="str">
        <f t="shared" si="27"/>
        <v>Caregiver Functioning - Caregiver #4</v>
      </c>
      <c r="K95" s="93">
        <v>1</v>
      </c>
      <c r="L95" s="82" t="str">
        <f t="shared" ca="1" si="33"/>
        <v/>
      </c>
      <c r="M95" s="23" t="str">
        <f t="shared" ca="1" si="34"/>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5"/>
        <v>0</v>
      </c>
      <c r="Y95" s="24" t="str">
        <f t="shared" ca="1" si="28"/>
        <v/>
      </c>
      <c r="Z95" s="24" t="str">
        <f t="shared" ca="1" si="29"/>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0"/>
        <v/>
      </c>
      <c r="D96" s="23" t="str">
        <f t="shared" si="26"/>
        <v/>
      </c>
      <c r="E96" s="23" t="str">
        <f t="shared" si="26"/>
        <v/>
      </c>
      <c r="F96" s="82">
        <f t="shared" si="41"/>
        <v>6</v>
      </c>
      <c r="G96" s="23">
        <f t="shared" si="42"/>
        <v>9</v>
      </c>
      <c r="H96" s="23" t="str">
        <f t="shared" si="31"/>
        <v>CGF</v>
      </c>
      <c r="I96" s="23" t="str">
        <f t="shared" si="32"/>
        <v>CGF</v>
      </c>
      <c r="J96" s="23" t="str">
        <f t="shared" si="27"/>
        <v>Caregiver Functioning - Caregiver #4</v>
      </c>
      <c r="K96" s="93">
        <v>1</v>
      </c>
      <c r="L96" s="82" t="str">
        <f t="shared" ca="1" si="33"/>
        <v/>
      </c>
      <c r="M96" s="23" t="str">
        <f t="shared" ca="1" si="34"/>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5"/>
        <v>0</v>
      </c>
      <c r="Y96" s="24" t="str">
        <f t="shared" ca="1" si="28"/>
        <v/>
      </c>
      <c r="Z96" s="24" t="str">
        <f t="shared" ca="1" si="29"/>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0"/>
        <v/>
      </c>
      <c r="D97" s="23" t="str">
        <f t="shared" si="26"/>
        <v/>
      </c>
      <c r="E97" s="23" t="str">
        <f t="shared" si="26"/>
        <v/>
      </c>
      <c r="F97" s="82">
        <f t="shared" si="41"/>
        <v>6</v>
      </c>
      <c r="G97" s="23">
        <f t="shared" si="42"/>
        <v>10</v>
      </c>
      <c r="H97" s="23" t="str">
        <f t="shared" si="31"/>
        <v>CGF</v>
      </c>
      <c r="I97" s="23" t="str">
        <f t="shared" si="32"/>
        <v>CGF</v>
      </c>
      <c r="J97" s="23" t="str">
        <f t="shared" si="27"/>
        <v>Caregiver Functioning - Caregiver #4</v>
      </c>
      <c r="K97" s="93">
        <v>1</v>
      </c>
      <c r="L97" s="82" t="str">
        <f t="shared" ca="1" si="33"/>
        <v/>
      </c>
      <c r="M97" s="23" t="str">
        <f t="shared" ca="1" si="34"/>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5"/>
        <v>0</v>
      </c>
      <c r="Y97" s="24" t="str">
        <f t="shared" ca="1" si="28"/>
        <v/>
      </c>
      <c r="Z97" s="24" t="str">
        <f t="shared" ca="1" si="29"/>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0"/>
        <v/>
      </c>
      <c r="D98" s="23" t="str">
        <f t="shared" si="26"/>
        <v/>
      </c>
      <c r="E98" s="23" t="str">
        <f t="shared" si="26"/>
        <v/>
      </c>
      <c r="F98" s="82">
        <f t="shared" si="41"/>
        <v>6</v>
      </c>
      <c r="G98" s="23">
        <f t="shared" si="42"/>
        <v>11</v>
      </c>
      <c r="H98" s="23" t="str">
        <f t="shared" si="31"/>
        <v>CGF</v>
      </c>
      <c r="I98" s="23" t="str">
        <f t="shared" si="32"/>
        <v>CGF</v>
      </c>
      <c r="J98" s="23" t="str">
        <f t="shared" si="27"/>
        <v>Caregiver Functioning - Caregiver #4</v>
      </c>
      <c r="K98" s="93">
        <v>1</v>
      </c>
      <c r="L98" s="82" t="str">
        <f t="shared" ca="1" si="33"/>
        <v/>
      </c>
      <c r="M98" s="23" t="str">
        <f t="shared" ca="1" si="34"/>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5"/>
        <v>0</v>
      </c>
      <c r="Y98" s="24" t="str">
        <f t="shared" ca="1" si="28"/>
        <v/>
      </c>
      <c r="Z98" s="24" t="str">
        <f t="shared" ca="1" si="29"/>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0"/>
        <v/>
      </c>
      <c r="D99" s="23" t="str">
        <f t="shared" si="26"/>
        <v/>
      </c>
      <c r="E99" s="23" t="str">
        <f t="shared" si="26"/>
        <v/>
      </c>
      <c r="F99" s="82">
        <f t="shared" si="41"/>
        <v>6</v>
      </c>
      <c r="G99" s="23">
        <f t="shared" si="42"/>
        <v>12</v>
      </c>
      <c r="H99" s="23" t="str">
        <f t="shared" si="31"/>
        <v>CGF</v>
      </c>
      <c r="I99" s="23" t="str">
        <f t="shared" si="32"/>
        <v>CGF</v>
      </c>
      <c r="J99" s="23" t="str">
        <f t="shared" si="27"/>
        <v>Caregiver Functioning - Caregiver #4</v>
      </c>
      <c r="K99" s="93">
        <v>1</v>
      </c>
      <c r="L99" s="82" t="str">
        <f t="shared" ca="1" si="33"/>
        <v/>
      </c>
      <c r="M99" s="23" t="str">
        <f t="shared" ca="1" si="34"/>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5"/>
        <v>0</v>
      </c>
      <c r="Y99" s="24" t="str">
        <f t="shared" ca="1" si="28"/>
        <v/>
      </c>
      <c r="Z99" s="24" t="str">
        <f t="shared" ca="1" si="29"/>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0"/>
        <v/>
      </c>
      <c r="D100" s="23" t="str">
        <f t="shared" si="26"/>
        <v/>
      </c>
      <c r="E100" s="23" t="str">
        <f t="shared" si="26"/>
        <v/>
      </c>
      <c r="F100" s="82">
        <f t="shared" si="41"/>
        <v>6</v>
      </c>
      <c r="G100" s="23">
        <f t="shared" si="42"/>
        <v>13</v>
      </c>
      <c r="H100" s="23" t="str">
        <f t="shared" si="31"/>
        <v>CGF</v>
      </c>
      <c r="I100" s="23" t="str">
        <f t="shared" si="32"/>
        <v>CGF</v>
      </c>
      <c r="J100" s="23" t="str">
        <f t="shared" si="27"/>
        <v>Caregiver Functioning - Caregiver #4</v>
      </c>
      <c r="K100" s="93">
        <v>1</v>
      </c>
      <c r="L100" s="82" t="str">
        <f t="shared" ca="1" si="33"/>
        <v/>
      </c>
      <c r="M100" s="23" t="str">
        <f t="shared" ca="1" si="34"/>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5"/>
        <v>0</v>
      </c>
      <c r="Y100" s="24" t="str">
        <f t="shared" ca="1" si="28"/>
        <v/>
      </c>
      <c r="Z100" s="24" t="str">
        <f t="shared" ca="1" si="29"/>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0"/>
        <v>CGF</v>
      </c>
      <c r="D101" s="23" t="str">
        <f t="shared" si="26"/>
        <v>CGF</v>
      </c>
      <c r="E101" s="23" t="str">
        <f t="shared" si="26"/>
        <v>Caregiver Functioning - Caregiver #4</v>
      </c>
      <c r="F101" s="82">
        <f t="shared" si="41"/>
        <v>6</v>
      </c>
      <c r="G101" s="23">
        <f t="shared" si="42"/>
        <v>14</v>
      </c>
      <c r="H101" s="23" t="str">
        <f t="shared" si="31"/>
        <v>CGF</v>
      </c>
      <c r="I101" s="23" t="str">
        <f t="shared" si="32"/>
        <v>CGF</v>
      </c>
      <c r="J101" s="23" t="str">
        <f t="shared" si="27"/>
        <v>Caregiver Functioning - Caregiver #4</v>
      </c>
      <c r="K101" s="93">
        <v>1</v>
      </c>
      <c r="L101" s="82" t="str">
        <f t="shared" ca="1" si="33"/>
        <v/>
      </c>
      <c r="M101" s="23" t="str">
        <f t="shared" ca="1" si="34"/>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5"/>
        <v>0</v>
      </c>
      <c r="Y101" s="24" t="str">
        <f t="shared" ca="1" si="28"/>
        <v/>
      </c>
      <c r="Z101" s="24" t="str">
        <f t="shared" ca="1" si="29"/>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0"/>
        <v/>
      </c>
      <c r="D102" s="23" t="str">
        <f t="shared" si="26"/>
        <v/>
      </c>
      <c r="E102" s="23" t="str">
        <f t="shared" si="26"/>
        <v/>
      </c>
      <c r="F102" s="82">
        <f t="shared" si="41"/>
        <v>7</v>
      </c>
      <c r="G102" s="23">
        <f t="shared" si="42"/>
        <v>0</v>
      </c>
      <c r="H102" s="23" t="str">
        <f t="shared" si="31"/>
        <v>CF</v>
      </c>
      <c r="I102" s="23" t="str">
        <f t="shared" si="32"/>
        <v>CF</v>
      </c>
      <c r="J102" s="23" t="str">
        <f t="shared" si="27"/>
        <v>Child Functioning -- Child #1</v>
      </c>
      <c r="K102" s="93">
        <v>0</v>
      </c>
      <c r="L102" s="82" t="str">
        <f t="shared" ca="1" si="33"/>
        <v/>
      </c>
      <c r="M102" s="23" t="str">
        <f t="shared" ca="1" si="34"/>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5"/>
        <v>0</v>
      </c>
      <c r="Y102" s="24" t="str">
        <f t="shared" ca="1" si="28"/>
        <v/>
      </c>
      <c r="Z102" s="24" t="str">
        <f t="shared" ca="1" si="29"/>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1"/>
        <v>CF</v>
      </c>
      <c r="I103" s="23" t="str">
        <f t="shared" si="32"/>
        <v>CF</v>
      </c>
      <c r="J103" s="23" t="str">
        <f t="shared" si="27"/>
        <v>Child Functioning -- Child #1</v>
      </c>
      <c r="K103" s="93">
        <v>2</v>
      </c>
      <c r="L103" s="82" t="str">
        <f t="shared" ca="1" si="33"/>
        <v/>
      </c>
      <c r="M103" s="23" t="str">
        <f t="shared" ca="1" si="34"/>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5"/>
        <v>0</v>
      </c>
      <c r="Y103" s="24" t="str">
        <f t="shared" ca="1" si="28"/>
        <v/>
      </c>
      <c r="Z103" s="24" t="str">
        <f t="shared" ca="1" si="29"/>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3"/>
        <v/>
      </c>
      <c r="M104" s="23" t="str">
        <f t="shared" ca="1" si="34"/>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5"/>
        <v>0</v>
      </c>
      <c r="Y104" s="24" t="str">
        <f t="shared" ca="1" si="28"/>
        <v/>
      </c>
      <c r="Z104" s="24" t="str">
        <f t="shared" ca="1" si="29"/>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0"/>
        <v/>
      </c>
      <c r="D105" s="23" t="str">
        <f t="shared" si="26"/>
        <v/>
      </c>
      <c r="E105" s="23" t="str">
        <f t="shared" si="26"/>
        <v/>
      </c>
      <c r="F105" s="82">
        <f>IF(K105=0, IF(ISNUMBER(F103), F103+1, 1), F103)</f>
        <v>7</v>
      </c>
      <c r="G105" s="23">
        <f>IF(K105=0, 0, IF(K105=1, G103+1, G103))</f>
        <v>1</v>
      </c>
      <c r="H105" s="23" t="str">
        <f t="shared" si="31"/>
        <v>CF</v>
      </c>
      <c r="I105" s="23" t="str">
        <f t="shared" si="32"/>
        <v>CF</v>
      </c>
      <c r="J105" s="23" t="str">
        <f>IF(K105=0, AC105, J103)</f>
        <v>Child Functioning -- Child #1</v>
      </c>
      <c r="K105" s="93">
        <v>1</v>
      </c>
      <c r="L105" s="82" t="str">
        <f t="shared" ca="1" si="33"/>
        <v/>
      </c>
      <c r="M105" s="23" t="str">
        <f t="shared" ca="1" si="34"/>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5"/>
        <v>0</v>
      </c>
      <c r="Y105" s="24" t="str">
        <f t="shared" ca="1" si="28"/>
        <v/>
      </c>
      <c r="Z105" s="24" t="str">
        <f t="shared" ca="1" si="29"/>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0"/>
        <v/>
      </c>
      <c r="D106" s="23" t="str">
        <f t="shared" si="26"/>
        <v/>
      </c>
      <c r="E106" s="23" t="str">
        <f t="shared" si="26"/>
        <v/>
      </c>
      <c r="F106" s="82">
        <f t="shared" si="41"/>
        <v>7</v>
      </c>
      <c r="G106" s="23">
        <f t="shared" si="42"/>
        <v>2</v>
      </c>
      <c r="H106" s="23" t="str">
        <f t="shared" si="31"/>
        <v>CF</v>
      </c>
      <c r="I106" s="23" t="str">
        <f t="shared" si="32"/>
        <v>CF</v>
      </c>
      <c r="J106" s="23" t="str">
        <f t="shared" ref="J106:J122" si="44">IF(K106=0, AC106, J105)</f>
        <v>Child Functioning -- Child #1</v>
      </c>
      <c r="K106" s="93">
        <v>1</v>
      </c>
      <c r="L106" s="82" t="str">
        <f t="shared" ca="1" si="33"/>
        <v/>
      </c>
      <c r="M106" s="23" t="str">
        <f t="shared" ca="1" si="34"/>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5"/>
        <v>0</v>
      </c>
      <c r="Y106" s="24" t="str">
        <f t="shared" ca="1" si="28"/>
        <v/>
      </c>
      <c r="Z106" s="24" t="str">
        <f t="shared" ca="1" si="29"/>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0"/>
        <v/>
      </c>
      <c r="D107" s="23" t="str">
        <f t="shared" si="26"/>
        <v/>
      </c>
      <c r="E107" s="23" t="str">
        <f t="shared" si="26"/>
        <v/>
      </c>
      <c r="F107" s="82">
        <f t="shared" si="41"/>
        <v>7</v>
      </c>
      <c r="G107" s="23">
        <f t="shared" si="42"/>
        <v>3</v>
      </c>
      <c r="H107" s="23" t="str">
        <f t="shared" si="31"/>
        <v>CF</v>
      </c>
      <c r="I107" s="23" t="str">
        <f t="shared" si="32"/>
        <v>CF</v>
      </c>
      <c r="J107" s="23" t="str">
        <f t="shared" si="44"/>
        <v>Child Functioning -- Child #1</v>
      </c>
      <c r="K107" s="93">
        <v>1</v>
      </c>
      <c r="L107" s="82" t="str">
        <f t="shared" ca="1" si="33"/>
        <v/>
      </c>
      <c r="M107" s="23" t="str">
        <f t="shared" ca="1" si="34"/>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5"/>
        <v>0</v>
      </c>
      <c r="Y107" s="24" t="str">
        <f t="shared" ca="1" si="28"/>
        <v/>
      </c>
      <c r="Z107" s="24" t="str">
        <f t="shared" ca="1" si="29"/>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0"/>
        <v/>
      </c>
      <c r="D108" s="23" t="str">
        <f t="shared" si="26"/>
        <v/>
      </c>
      <c r="E108" s="23" t="str">
        <f t="shared" si="26"/>
        <v/>
      </c>
      <c r="F108" s="82">
        <f t="shared" si="41"/>
        <v>7</v>
      </c>
      <c r="G108" s="23">
        <f t="shared" si="42"/>
        <v>4</v>
      </c>
      <c r="H108" s="23" t="str">
        <f t="shared" si="31"/>
        <v>CF</v>
      </c>
      <c r="I108" s="23" t="str">
        <f t="shared" si="32"/>
        <v>CF</v>
      </c>
      <c r="J108" s="23" t="str">
        <f t="shared" si="44"/>
        <v>Child Functioning -- Child #1</v>
      </c>
      <c r="K108" s="93">
        <v>1</v>
      </c>
      <c r="L108" s="82" t="str">
        <f t="shared" ca="1" si="33"/>
        <v/>
      </c>
      <c r="M108" s="23" t="str">
        <f t="shared" ca="1" si="34"/>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5"/>
        <v>0</v>
      </c>
      <c r="Y108" s="24" t="str">
        <f t="shared" ca="1" si="28"/>
        <v/>
      </c>
      <c r="Z108" s="24" t="str">
        <f t="shared" ca="1" si="29"/>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0"/>
        <v/>
      </c>
      <c r="D109" s="23" t="str">
        <f t="shared" si="26"/>
        <v/>
      </c>
      <c r="E109" s="23" t="str">
        <f t="shared" si="26"/>
        <v/>
      </c>
      <c r="F109" s="82">
        <f t="shared" si="41"/>
        <v>7</v>
      </c>
      <c r="G109" s="23">
        <f t="shared" si="42"/>
        <v>5</v>
      </c>
      <c r="H109" s="23" t="str">
        <f t="shared" si="31"/>
        <v>CF</v>
      </c>
      <c r="I109" s="23" t="str">
        <f t="shared" si="32"/>
        <v>CF</v>
      </c>
      <c r="J109" s="23" t="str">
        <f t="shared" si="44"/>
        <v>Child Functioning -- Child #1</v>
      </c>
      <c r="K109" s="93">
        <v>1</v>
      </c>
      <c r="L109" s="82" t="str">
        <f t="shared" ca="1" si="33"/>
        <v/>
      </c>
      <c r="M109" s="23" t="str">
        <f t="shared" ca="1" si="34"/>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5"/>
        <v>0</v>
      </c>
      <c r="Y109" s="24" t="str">
        <f t="shared" ca="1" si="28"/>
        <v/>
      </c>
      <c r="Z109" s="24" t="str">
        <f t="shared" ca="1" si="29"/>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0"/>
        <v/>
      </c>
      <c r="D110" s="23" t="str">
        <f t="shared" si="26"/>
        <v/>
      </c>
      <c r="E110" s="23" t="str">
        <f t="shared" si="26"/>
        <v/>
      </c>
      <c r="F110" s="82">
        <f t="shared" si="41"/>
        <v>7</v>
      </c>
      <c r="G110" s="23">
        <f t="shared" si="42"/>
        <v>6</v>
      </c>
      <c r="H110" s="23" t="str">
        <f t="shared" si="31"/>
        <v>CF</v>
      </c>
      <c r="I110" s="23" t="str">
        <f t="shared" si="32"/>
        <v>CF</v>
      </c>
      <c r="J110" s="23" t="str">
        <f t="shared" si="44"/>
        <v>Child Functioning -- Child #1</v>
      </c>
      <c r="K110" s="93">
        <v>1</v>
      </c>
      <c r="L110" s="82" t="str">
        <f t="shared" ca="1" si="33"/>
        <v/>
      </c>
      <c r="M110" s="23" t="str">
        <f t="shared" ca="1" si="34"/>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5"/>
        <v>0</v>
      </c>
      <c r="Y110" s="24" t="str">
        <f t="shared" ca="1" si="28"/>
        <v/>
      </c>
      <c r="Z110" s="24" t="str">
        <f t="shared" ca="1" si="29"/>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0"/>
        <v/>
      </c>
      <c r="D111" s="23" t="str">
        <f t="shared" si="26"/>
        <v/>
      </c>
      <c r="E111" s="23" t="str">
        <f t="shared" si="26"/>
        <v/>
      </c>
      <c r="F111" s="82">
        <f t="shared" si="41"/>
        <v>7</v>
      </c>
      <c r="G111" s="23">
        <f t="shared" si="42"/>
        <v>7</v>
      </c>
      <c r="H111" s="23" t="str">
        <f t="shared" si="31"/>
        <v>CF</v>
      </c>
      <c r="I111" s="23" t="str">
        <f t="shared" si="32"/>
        <v>CF</v>
      </c>
      <c r="J111" s="23" t="str">
        <f t="shared" si="44"/>
        <v>Child Functioning -- Child #1</v>
      </c>
      <c r="K111" s="93">
        <v>1</v>
      </c>
      <c r="L111" s="82" t="str">
        <f t="shared" ca="1" si="33"/>
        <v/>
      </c>
      <c r="M111" s="23" t="str">
        <f t="shared" ca="1" si="34"/>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5"/>
        <v>0</v>
      </c>
      <c r="Y111" s="24" t="str">
        <f t="shared" ca="1" si="28"/>
        <v/>
      </c>
      <c r="Z111" s="24" t="str">
        <f t="shared" ca="1" si="29"/>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0"/>
        <v/>
      </c>
      <c r="D112" s="23" t="str">
        <f t="shared" si="26"/>
        <v/>
      </c>
      <c r="E112" s="23" t="str">
        <f t="shared" si="26"/>
        <v/>
      </c>
      <c r="F112" s="82">
        <f t="shared" si="41"/>
        <v>7</v>
      </c>
      <c r="G112" s="23">
        <f t="shared" si="42"/>
        <v>8</v>
      </c>
      <c r="H112" s="23" t="str">
        <f t="shared" si="31"/>
        <v>CF</v>
      </c>
      <c r="I112" s="23" t="str">
        <f t="shared" si="32"/>
        <v>CF</v>
      </c>
      <c r="J112" s="23" t="str">
        <f t="shared" si="44"/>
        <v>Child Functioning -- Child #1</v>
      </c>
      <c r="K112" s="93">
        <v>1</v>
      </c>
      <c r="L112" s="82" t="str">
        <f t="shared" ca="1" si="33"/>
        <v/>
      </c>
      <c r="M112" s="23" t="str">
        <f t="shared" ca="1" si="34"/>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5"/>
        <v>0</v>
      </c>
      <c r="Y112" s="24" t="str">
        <f t="shared" ca="1" si="28"/>
        <v/>
      </c>
      <c r="Z112" s="24" t="str">
        <f t="shared" ca="1" si="29"/>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0"/>
        <v/>
      </c>
      <c r="D113" s="23" t="str">
        <f t="shared" si="26"/>
        <v/>
      </c>
      <c r="E113" s="23" t="str">
        <f t="shared" si="26"/>
        <v/>
      </c>
      <c r="F113" s="82">
        <f t="shared" si="41"/>
        <v>7</v>
      </c>
      <c r="G113" s="23">
        <f t="shared" si="42"/>
        <v>9</v>
      </c>
      <c r="H113" s="23" t="str">
        <f t="shared" si="31"/>
        <v>CF</v>
      </c>
      <c r="I113" s="23" t="str">
        <f t="shared" si="32"/>
        <v>CF</v>
      </c>
      <c r="J113" s="23" t="str">
        <f t="shared" si="44"/>
        <v>Child Functioning -- Child #1</v>
      </c>
      <c r="K113" s="93">
        <v>1</v>
      </c>
      <c r="L113" s="82" t="str">
        <f t="shared" ca="1" si="33"/>
        <v/>
      </c>
      <c r="M113" s="23" t="str">
        <f t="shared" ca="1" si="34"/>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5"/>
        <v>0</v>
      </c>
      <c r="Y113" s="24" t="str">
        <f t="shared" ca="1" si="28"/>
        <v/>
      </c>
      <c r="Z113" s="24" t="str">
        <f t="shared" ca="1" si="29"/>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0"/>
        <v/>
      </c>
      <c r="D114" s="23" t="str">
        <f t="shared" si="26"/>
        <v/>
      </c>
      <c r="E114" s="23" t="str">
        <f t="shared" si="26"/>
        <v/>
      </c>
      <c r="F114" s="82">
        <f t="shared" si="41"/>
        <v>7</v>
      </c>
      <c r="G114" s="23">
        <f t="shared" si="42"/>
        <v>10</v>
      </c>
      <c r="H114" s="23" t="str">
        <f t="shared" si="31"/>
        <v>CF</v>
      </c>
      <c r="I114" s="23" t="str">
        <f t="shared" si="32"/>
        <v>CF</v>
      </c>
      <c r="J114" s="23" t="str">
        <f t="shared" si="44"/>
        <v>Child Functioning -- Child #1</v>
      </c>
      <c r="K114" s="93">
        <v>1</v>
      </c>
      <c r="L114" s="82" t="str">
        <f t="shared" ca="1" si="33"/>
        <v/>
      </c>
      <c r="M114" s="23" t="str">
        <f t="shared" ca="1" si="34"/>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5"/>
        <v>0</v>
      </c>
      <c r="Y114" s="24" t="str">
        <f t="shared" ca="1" si="28"/>
        <v/>
      </c>
      <c r="Z114" s="24" t="str">
        <f t="shared" ca="1" si="29"/>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0"/>
        <v/>
      </c>
      <c r="D115" s="23" t="str">
        <f t="shared" si="26"/>
        <v/>
      </c>
      <c r="E115" s="23" t="str">
        <f t="shared" si="26"/>
        <v/>
      </c>
      <c r="F115" s="82">
        <f t="shared" si="41"/>
        <v>7</v>
      </c>
      <c r="G115" s="23">
        <f t="shared" si="42"/>
        <v>11</v>
      </c>
      <c r="H115" s="23" t="str">
        <f t="shared" si="31"/>
        <v>CF</v>
      </c>
      <c r="I115" s="23" t="str">
        <f t="shared" si="32"/>
        <v>CF</v>
      </c>
      <c r="J115" s="23" t="str">
        <f t="shared" si="44"/>
        <v>Child Functioning -- Child #1</v>
      </c>
      <c r="K115" s="93">
        <v>1</v>
      </c>
      <c r="L115" s="82" t="str">
        <f t="shared" ca="1" si="33"/>
        <v/>
      </c>
      <c r="M115" s="23" t="str">
        <f t="shared" ca="1" si="34"/>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0"/>
        <v/>
      </c>
      <c r="D116" s="23" t="str">
        <f t="shared" si="26"/>
        <v/>
      </c>
      <c r="E116" s="23" t="str">
        <f t="shared" si="26"/>
        <v/>
      </c>
      <c r="F116" s="82">
        <f t="shared" si="41"/>
        <v>7</v>
      </c>
      <c r="G116" s="23">
        <f t="shared" si="42"/>
        <v>12</v>
      </c>
      <c r="H116" s="23" t="str">
        <f t="shared" si="31"/>
        <v>CF</v>
      </c>
      <c r="I116" s="23" t="str">
        <f t="shared" si="32"/>
        <v>CF</v>
      </c>
      <c r="J116" s="23" t="str">
        <f t="shared" si="44"/>
        <v>Child Functioning -- Child #1</v>
      </c>
      <c r="K116" s="93">
        <v>1</v>
      </c>
      <c r="L116" s="82" t="str">
        <f t="shared" ca="1" si="33"/>
        <v/>
      </c>
      <c r="M116" s="23" t="str">
        <f t="shared" ca="1" si="34"/>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0"/>
        <v/>
      </c>
      <c r="D117" s="23" t="str">
        <f t="shared" si="26"/>
        <v/>
      </c>
      <c r="E117" s="23" t="str">
        <f t="shared" si="26"/>
        <v/>
      </c>
      <c r="F117" s="82">
        <f t="shared" si="41"/>
        <v>7</v>
      </c>
      <c r="G117" s="23">
        <f t="shared" si="42"/>
        <v>13</v>
      </c>
      <c r="H117" s="23" t="str">
        <f t="shared" si="31"/>
        <v>CF</v>
      </c>
      <c r="I117" s="23" t="str">
        <f t="shared" si="32"/>
        <v>CF</v>
      </c>
      <c r="J117" s="23" t="str">
        <f t="shared" si="44"/>
        <v>Child Functioning -- Child #1</v>
      </c>
      <c r="K117" s="93">
        <v>1</v>
      </c>
      <c r="L117" s="82" t="str">
        <f t="shared" ca="1" si="33"/>
        <v/>
      </c>
      <c r="M117" s="23" t="str">
        <f t="shared" ca="1" si="34"/>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0"/>
        <v/>
      </c>
      <c r="D118" s="23" t="str">
        <f t="shared" si="26"/>
        <v/>
      </c>
      <c r="E118" s="23" t="str">
        <f t="shared" si="26"/>
        <v/>
      </c>
      <c r="F118" s="82">
        <f t="shared" si="41"/>
        <v>7</v>
      </c>
      <c r="G118" s="23">
        <f t="shared" si="42"/>
        <v>14</v>
      </c>
      <c r="H118" s="23" t="str">
        <f t="shared" si="31"/>
        <v>CF</v>
      </c>
      <c r="I118" s="23" t="str">
        <f t="shared" si="32"/>
        <v>CF</v>
      </c>
      <c r="J118" s="23" t="str">
        <f t="shared" si="44"/>
        <v>Child Functioning -- Child #1</v>
      </c>
      <c r="K118" s="93">
        <v>1</v>
      </c>
      <c r="L118" s="82" t="str">
        <f t="shared" ca="1" si="33"/>
        <v/>
      </c>
      <c r="M118" s="23" t="str">
        <f t="shared" ca="1" si="34"/>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0"/>
        <v/>
      </c>
      <c r="D119" s="23" t="str">
        <f t="shared" si="26"/>
        <v/>
      </c>
      <c r="E119" s="23" t="str">
        <f t="shared" si="26"/>
        <v>Child Functioning -- Child #1</v>
      </c>
      <c r="F119" s="82">
        <f t="shared" si="41"/>
        <v>7</v>
      </c>
      <c r="G119" s="23">
        <f t="shared" si="42"/>
        <v>15</v>
      </c>
      <c r="H119" s="23" t="str">
        <f t="shared" si="31"/>
        <v>CF</v>
      </c>
      <c r="I119" s="23" t="str">
        <f t="shared" si="32"/>
        <v>CF</v>
      </c>
      <c r="J119" s="23" t="str">
        <f t="shared" si="44"/>
        <v>Child Functioning -- Child #1</v>
      </c>
      <c r="K119" s="93">
        <v>1</v>
      </c>
      <c r="L119" s="82" t="str">
        <f t="shared" ca="1" si="33"/>
        <v/>
      </c>
      <c r="M119" s="23" t="str">
        <f t="shared" ca="1" si="34"/>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0"/>
        <v/>
      </c>
      <c r="D120" s="23" t="str">
        <f t="shared" si="26"/>
        <v/>
      </c>
      <c r="E120" s="23" t="str">
        <f t="shared" si="26"/>
        <v/>
      </c>
      <c r="F120" s="82">
        <f t="shared" si="41"/>
        <v>8</v>
      </c>
      <c r="G120" s="23">
        <f t="shared" si="42"/>
        <v>0</v>
      </c>
      <c r="H120" s="23" t="str">
        <f t="shared" si="31"/>
        <v>CF</v>
      </c>
      <c r="I120" s="23" t="str">
        <f t="shared" si="32"/>
        <v>CF</v>
      </c>
      <c r="J120" s="23" t="str">
        <f t="shared" si="44"/>
        <v>Child Functioning -- Child #2</v>
      </c>
      <c r="K120" s="93">
        <v>0</v>
      </c>
      <c r="L120" s="82" t="str">
        <f t="shared" ca="1" si="33"/>
        <v/>
      </c>
      <c r="M120" s="23" t="str">
        <f t="shared" ca="1" si="34"/>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1"/>
        <v>CF</v>
      </c>
      <c r="I121" s="23" t="str">
        <f t="shared" si="32"/>
        <v>CF</v>
      </c>
      <c r="J121" s="23" t="str">
        <f t="shared" si="44"/>
        <v>Child Functioning -- Child #2</v>
      </c>
      <c r="K121" s="93">
        <v>2</v>
      </c>
      <c r="L121" s="82" t="str">
        <f t="shared" ca="1" si="33"/>
        <v/>
      </c>
      <c r="M121" s="23" t="str">
        <f t="shared" ca="1" si="34"/>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3"/>
        <v/>
      </c>
      <c r="M122" s="23" t="str">
        <f t="shared" ca="1" si="34"/>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0"/>
        <v/>
      </c>
      <c r="D123" s="23" t="str">
        <f t="shared" si="26"/>
        <v/>
      </c>
      <c r="E123" s="23" t="str">
        <f t="shared" si="26"/>
        <v/>
      </c>
      <c r="F123" s="82">
        <f>IF(K123=0, IF(ISNUMBER(F121), F121+1, 1), F121)</f>
        <v>8</v>
      </c>
      <c r="G123" s="23">
        <f>IF(K123=0, 0, IF(K123=1, G121+1, G121))</f>
        <v>1</v>
      </c>
      <c r="H123" s="23" t="str">
        <f t="shared" si="31"/>
        <v>CF</v>
      </c>
      <c r="I123" s="23" t="str">
        <f t="shared" si="32"/>
        <v>CF</v>
      </c>
      <c r="J123" s="23" t="str">
        <f>IF(K123=0, AC123, J121)</f>
        <v>Child Functioning -- Child #2</v>
      </c>
      <c r="K123" s="93">
        <v>1</v>
      </c>
      <c r="L123" s="82" t="str">
        <f t="shared" ca="1" si="33"/>
        <v/>
      </c>
      <c r="M123" s="23" t="str">
        <f t="shared" ca="1" si="34"/>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0"/>
        <v/>
      </c>
      <c r="D124" s="23" t="str">
        <f t="shared" si="26"/>
        <v/>
      </c>
      <c r="E124" s="23" t="str">
        <f t="shared" si="26"/>
        <v/>
      </c>
      <c r="F124" s="82">
        <f t="shared" si="41"/>
        <v>8</v>
      </c>
      <c r="G124" s="23">
        <f t="shared" si="42"/>
        <v>2</v>
      </c>
      <c r="H124" s="23" t="str">
        <f t="shared" si="31"/>
        <v>CF</v>
      </c>
      <c r="I124" s="23" t="str">
        <f t="shared" si="32"/>
        <v>CF</v>
      </c>
      <c r="J124" s="23" t="str">
        <f t="shared" ref="J124:J140" si="50">IF(K124=0, AC124, J123)</f>
        <v>Child Functioning -- Child #2</v>
      </c>
      <c r="K124" s="93">
        <v>1</v>
      </c>
      <c r="L124" s="82" t="str">
        <f t="shared" ca="1" si="33"/>
        <v/>
      </c>
      <c r="M124" s="23" t="str">
        <f t="shared" ca="1" si="34"/>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0"/>
        <v/>
      </c>
      <c r="D125" s="23" t="str">
        <f t="shared" si="26"/>
        <v/>
      </c>
      <c r="E125" s="23" t="str">
        <f t="shared" si="26"/>
        <v/>
      </c>
      <c r="F125" s="82">
        <f t="shared" si="41"/>
        <v>8</v>
      </c>
      <c r="G125" s="23">
        <f t="shared" si="42"/>
        <v>3</v>
      </c>
      <c r="H125" s="23" t="str">
        <f t="shared" si="31"/>
        <v>CF</v>
      </c>
      <c r="I125" s="23" t="str">
        <f t="shared" si="32"/>
        <v>CF</v>
      </c>
      <c r="J125" s="23" t="str">
        <f t="shared" si="50"/>
        <v>Child Functioning -- Child #2</v>
      </c>
      <c r="K125" s="93">
        <v>1</v>
      </c>
      <c r="L125" s="82" t="str">
        <f t="shared" ca="1" si="33"/>
        <v/>
      </c>
      <c r="M125" s="23" t="str">
        <f t="shared" ca="1" si="34"/>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0"/>
        <v/>
      </c>
      <c r="D126" s="23" t="str">
        <f t="shared" si="26"/>
        <v/>
      </c>
      <c r="E126" s="23" t="str">
        <f t="shared" si="26"/>
        <v/>
      </c>
      <c r="F126" s="82">
        <f t="shared" si="41"/>
        <v>8</v>
      </c>
      <c r="G126" s="23">
        <f t="shared" si="42"/>
        <v>4</v>
      </c>
      <c r="H126" s="23" t="str">
        <f t="shared" si="31"/>
        <v>CF</v>
      </c>
      <c r="I126" s="23" t="str">
        <f t="shared" si="32"/>
        <v>CF</v>
      </c>
      <c r="J126" s="23" t="str">
        <f t="shared" si="50"/>
        <v>Child Functioning -- Child #2</v>
      </c>
      <c r="K126" s="93">
        <v>1</v>
      </c>
      <c r="L126" s="82" t="str">
        <f t="shared" ca="1" si="33"/>
        <v/>
      </c>
      <c r="M126" s="23" t="str">
        <f t="shared" ca="1" si="34"/>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0"/>
        <v/>
      </c>
      <c r="D127" s="23" t="str">
        <f t="shared" si="26"/>
        <v/>
      </c>
      <c r="E127" s="23" t="str">
        <f t="shared" si="26"/>
        <v/>
      </c>
      <c r="F127" s="82">
        <f t="shared" si="41"/>
        <v>8</v>
      </c>
      <c r="G127" s="23">
        <f t="shared" si="42"/>
        <v>5</v>
      </c>
      <c r="H127" s="23" t="str">
        <f t="shared" si="31"/>
        <v>CF</v>
      </c>
      <c r="I127" s="23" t="str">
        <f t="shared" si="32"/>
        <v>CF</v>
      </c>
      <c r="J127" s="23" t="str">
        <f t="shared" si="50"/>
        <v>Child Functioning -- Child #2</v>
      </c>
      <c r="K127" s="93">
        <v>1</v>
      </c>
      <c r="L127" s="82" t="str">
        <f t="shared" ca="1" si="33"/>
        <v/>
      </c>
      <c r="M127" s="23" t="str">
        <f t="shared" ca="1" si="34"/>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0"/>
        <v/>
      </c>
      <c r="D128" s="23" t="str">
        <f t="shared" si="26"/>
        <v/>
      </c>
      <c r="E128" s="23" t="str">
        <f t="shared" si="26"/>
        <v/>
      </c>
      <c r="F128" s="82">
        <f t="shared" si="41"/>
        <v>8</v>
      </c>
      <c r="G128" s="23">
        <f t="shared" si="42"/>
        <v>6</v>
      </c>
      <c r="H128" s="23" t="str">
        <f t="shared" si="31"/>
        <v>CF</v>
      </c>
      <c r="I128" s="23" t="str">
        <f t="shared" si="32"/>
        <v>CF</v>
      </c>
      <c r="J128" s="23" t="str">
        <f t="shared" si="50"/>
        <v>Child Functioning -- Child #2</v>
      </c>
      <c r="K128" s="93">
        <v>1</v>
      </c>
      <c r="L128" s="82" t="str">
        <f t="shared" ca="1" si="33"/>
        <v/>
      </c>
      <c r="M128" s="23" t="str">
        <f t="shared" ca="1" si="34"/>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0"/>
        <v/>
      </c>
      <c r="D129" s="23" t="str">
        <f t="shared" si="26"/>
        <v/>
      </c>
      <c r="E129" s="23" t="str">
        <f t="shared" si="26"/>
        <v/>
      </c>
      <c r="F129" s="82">
        <f t="shared" si="41"/>
        <v>8</v>
      </c>
      <c r="G129" s="23">
        <f t="shared" si="42"/>
        <v>7</v>
      </c>
      <c r="H129" s="23" t="str">
        <f t="shared" si="31"/>
        <v>CF</v>
      </c>
      <c r="I129" s="23" t="str">
        <f t="shared" si="32"/>
        <v>CF</v>
      </c>
      <c r="J129" s="23" t="str">
        <f t="shared" si="50"/>
        <v>Child Functioning -- Child #2</v>
      </c>
      <c r="K129" s="93">
        <v>1</v>
      </c>
      <c r="L129" s="82" t="str">
        <f t="shared" ca="1" si="33"/>
        <v/>
      </c>
      <c r="M129" s="23" t="str">
        <f t="shared" ca="1" si="34"/>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0"/>
        <v/>
      </c>
      <c r="D130" s="23" t="str">
        <f t="shared" si="26"/>
        <v/>
      </c>
      <c r="E130" s="23" t="str">
        <f t="shared" si="26"/>
        <v/>
      </c>
      <c r="F130" s="82">
        <f t="shared" si="41"/>
        <v>8</v>
      </c>
      <c r="G130" s="23">
        <f t="shared" si="42"/>
        <v>8</v>
      </c>
      <c r="H130" s="23" t="str">
        <f t="shared" si="31"/>
        <v>CF</v>
      </c>
      <c r="I130" s="23" t="str">
        <f t="shared" si="32"/>
        <v>CF</v>
      </c>
      <c r="J130" s="23" t="str">
        <f t="shared" si="50"/>
        <v>Child Functioning -- Child #2</v>
      </c>
      <c r="K130" s="93">
        <v>1</v>
      </c>
      <c r="L130" s="82" t="str">
        <f t="shared" ca="1" si="33"/>
        <v/>
      </c>
      <c r="M130" s="23" t="str">
        <f t="shared" ca="1" si="34"/>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0"/>
        <v/>
      </c>
      <c r="D131" s="23" t="str">
        <f t="shared" si="26"/>
        <v/>
      </c>
      <c r="E131" s="23" t="str">
        <f t="shared" si="26"/>
        <v/>
      </c>
      <c r="F131" s="82">
        <f t="shared" si="41"/>
        <v>8</v>
      </c>
      <c r="G131" s="23">
        <f t="shared" si="42"/>
        <v>9</v>
      </c>
      <c r="H131" s="23" t="str">
        <f t="shared" si="31"/>
        <v>CF</v>
      </c>
      <c r="I131" s="23" t="str">
        <f t="shared" si="32"/>
        <v>CF</v>
      </c>
      <c r="J131" s="23" t="str">
        <f t="shared" si="50"/>
        <v>Child Functioning -- Child #2</v>
      </c>
      <c r="K131" s="93">
        <v>1</v>
      </c>
      <c r="L131" s="82" t="str">
        <f t="shared" ca="1" si="33"/>
        <v/>
      </c>
      <c r="M131" s="23" t="str">
        <f t="shared" ca="1" si="34"/>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0"/>
        <v/>
      </c>
      <c r="D132" s="23" t="str">
        <f t="shared" si="26"/>
        <v/>
      </c>
      <c r="E132" s="23" t="str">
        <f t="shared" si="26"/>
        <v/>
      </c>
      <c r="F132" s="82">
        <f t="shared" si="41"/>
        <v>8</v>
      </c>
      <c r="G132" s="23">
        <f t="shared" si="42"/>
        <v>10</v>
      </c>
      <c r="H132" s="23" t="str">
        <f t="shared" si="31"/>
        <v>CF</v>
      </c>
      <c r="I132" s="23" t="str">
        <f t="shared" si="32"/>
        <v>CF</v>
      </c>
      <c r="J132" s="23" t="str">
        <f t="shared" si="50"/>
        <v>Child Functioning -- Child #2</v>
      </c>
      <c r="K132" s="93">
        <v>1</v>
      </c>
      <c r="L132" s="82" t="str">
        <f t="shared" ca="1" si="33"/>
        <v/>
      </c>
      <c r="M132" s="23" t="str">
        <f t="shared" ca="1" si="34"/>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0"/>
        <v/>
      </c>
      <c r="D133" s="23" t="str">
        <f t="shared" si="26"/>
        <v/>
      </c>
      <c r="E133" s="23" t="str">
        <f t="shared" si="26"/>
        <v/>
      </c>
      <c r="F133" s="82">
        <f t="shared" si="41"/>
        <v>8</v>
      </c>
      <c r="G133" s="23">
        <f t="shared" si="42"/>
        <v>11</v>
      </c>
      <c r="H133" s="23" t="str">
        <f t="shared" si="31"/>
        <v>CF</v>
      </c>
      <c r="I133" s="23" t="str">
        <f t="shared" si="32"/>
        <v>CF</v>
      </c>
      <c r="J133" s="23" t="str">
        <f t="shared" si="50"/>
        <v>Child Functioning -- Child #2</v>
      </c>
      <c r="K133" s="93">
        <v>1</v>
      </c>
      <c r="L133" s="82" t="str">
        <f t="shared" ca="1" si="33"/>
        <v/>
      </c>
      <c r="M133" s="23" t="str">
        <f t="shared" ca="1" si="34"/>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0"/>
        <v/>
      </c>
      <c r="D134" s="23" t="str">
        <f t="shared" si="26"/>
        <v/>
      </c>
      <c r="E134" s="23" t="str">
        <f t="shared" si="26"/>
        <v/>
      </c>
      <c r="F134" s="82">
        <f t="shared" si="41"/>
        <v>8</v>
      </c>
      <c r="G134" s="23">
        <f t="shared" si="42"/>
        <v>12</v>
      </c>
      <c r="H134" s="23" t="str">
        <f t="shared" si="31"/>
        <v>CF</v>
      </c>
      <c r="I134" s="23" t="str">
        <f t="shared" si="32"/>
        <v>CF</v>
      </c>
      <c r="J134" s="23" t="str">
        <f t="shared" si="50"/>
        <v>Child Functioning -- Child #2</v>
      </c>
      <c r="K134" s="93">
        <v>1</v>
      </c>
      <c r="L134" s="82" t="str">
        <f t="shared" ca="1" si="33"/>
        <v/>
      </c>
      <c r="M134" s="23" t="str">
        <f t="shared" ca="1" si="34"/>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0"/>
        <v/>
      </c>
      <c r="D135" s="23" t="str">
        <f t="shared" si="26"/>
        <v/>
      </c>
      <c r="E135" s="23" t="str">
        <f t="shared" si="26"/>
        <v/>
      </c>
      <c r="F135" s="82">
        <f t="shared" si="41"/>
        <v>8</v>
      </c>
      <c r="G135" s="23">
        <f t="shared" si="42"/>
        <v>13</v>
      </c>
      <c r="H135" s="23" t="str">
        <f t="shared" si="31"/>
        <v>CF</v>
      </c>
      <c r="I135" s="23" t="str">
        <f t="shared" si="32"/>
        <v>CF</v>
      </c>
      <c r="J135" s="23" t="str">
        <f t="shared" si="50"/>
        <v>Child Functioning -- Child #2</v>
      </c>
      <c r="K135" s="93">
        <v>1</v>
      </c>
      <c r="L135" s="82" t="str">
        <f t="shared" ca="1" si="33"/>
        <v/>
      </c>
      <c r="M135" s="23" t="str">
        <f t="shared" ca="1" si="34"/>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0"/>
        <v/>
      </c>
      <c r="D136" s="23" t="str">
        <f t="shared" si="26"/>
        <v/>
      </c>
      <c r="E136" s="23" t="str">
        <f t="shared" si="26"/>
        <v/>
      </c>
      <c r="F136" s="82">
        <f t="shared" si="41"/>
        <v>8</v>
      </c>
      <c r="G136" s="23">
        <f t="shared" si="42"/>
        <v>14</v>
      </c>
      <c r="H136" s="23" t="str">
        <f t="shared" si="31"/>
        <v>CF</v>
      </c>
      <c r="I136" s="23" t="str">
        <f t="shared" si="32"/>
        <v>CF</v>
      </c>
      <c r="J136" s="23" t="str">
        <f t="shared" si="50"/>
        <v>Child Functioning -- Child #2</v>
      </c>
      <c r="K136" s="93">
        <v>1</v>
      </c>
      <c r="L136" s="82" t="str">
        <f t="shared" ca="1" si="33"/>
        <v/>
      </c>
      <c r="M136" s="23" t="str">
        <f t="shared" ca="1" si="34"/>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0"/>
        <v/>
      </c>
      <c r="D137" s="23" t="str">
        <f t="shared" si="26"/>
        <v/>
      </c>
      <c r="E137" s="23" t="str">
        <f t="shared" si="26"/>
        <v>Child Functioning -- Child #2</v>
      </c>
      <c r="F137" s="82">
        <f t="shared" si="41"/>
        <v>8</v>
      </c>
      <c r="G137" s="23">
        <f t="shared" si="42"/>
        <v>15</v>
      </c>
      <c r="H137" s="23" t="str">
        <f t="shared" si="31"/>
        <v>CF</v>
      </c>
      <c r="I137" s="23" t="str">
        <f t="shared" si="32"/>
        <v>CF</v>
      </c>
      <c r="J137" s="23" t="str">
        <f t="shared" si="50"/>
        <v>Child Functioning -- Child #2</v>
      </c>
      <c r="K137" s="93">
        <v>1</v>
      </c>
      <c r="L137" s="82" t="str">
        <f t="shared" ca="1" si="33"/>
        <v/>
      </c>
      <c r="M137" s="23" t="str">
        <f t="shared" ca="1" si="34"/>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0"/>
        <v/>
      </c>
      <c r="D138" s="23" t="str">
        <f t="shared" si="26"/>
        <v/>
      </c>
      <c r="E138" s="23" t="str">
        <f t="shared" si="26"/>
        <v/>
      </c>
      <c r="F138" s="82">
        <f t="shared" si="41"/>
        <v>9</v>
      </c>
      <c r="G138" s="23">
        <f t="shared" si="42"/>
        <v>0</v>
      </c>
      <c r="H138" s="23" t="str">
        <f t="shared" si="31"/>
        <v>CF</v>
      </c>
      <c r="I138" s="23" t="str">
        <f t="shared" si="32"/>
        <v>CF</v>
      </c>
      <c r="J138" s="23" t="str">
        <f t="shared" si="50"/>
        <v>Child Functioning -- Child #3</v>
      </c>
      <c r="K138" s="93">
        <v>0</v>
      </c>
      <c r="L138" s="82" t="str">
        <f t="shared" ca="1" si="33"/>
        <v/>
      </c>
      <c r="M138" s="23" t="str">
        <f t="shared" ca="1" si="34"/>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2">IF(H139&lt;&gt;H141, H139, "")</f>
        <v/>
      </c>
      <c r="D139" s="23" t="str">
        <f t="shared" si="52"/>
        <v/>
      </c>
      <c r="E139" s="23" t="str">
        <f t="shared" si="52"/>
        <v/>
      </c>
      <c r="F139" s="82">
        <f t="shared" si="41"/>
        <v>9</v>
      </c>
      <c r="G139" s="23">
        <f t="shared" si="42"/>
        <v>0</v>
      </c>
      <c r="H139" s="23" t="str">
        <f t="shared" si="31"/>
        <v>CF</v>
      </c>
      <c r="I139" s="23" t="str">
        <f t="shared" si="32"/>
        <v>CF</v>
      </c>
      <c r="J139" s="23" t="str">
        <f t="shared" si="50"/>
        <v>Child Functioning -- Child #3</v>
      </c>
      <c r="K139" s="93">
        <v>2</v>
      </c>
      <c r="L139" s="82" t="str">
        <f t="shared" ca="1" si="33"/>
        <v/>
      </c>
      <c r="M139" s="23" t="str">
        <f t="shared" ca="1" si="34"/>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2"/>
        <v/>
      </c>
      <c r="D140" s="23" t="str">
        <f t="shared" si="52"/>
        <v/>
      </c>
      <c r="E140" s="23" t="str">
        <f t="shared" si="52"/>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3"/>
        <v/>
      </c>
      <c r="M140" s="23" t="str">
        <f t="shared" ca="1" si="34"/>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0"/>
        <v/>
      </c>
      <c r="D141" s="23" t="str">
        <f t="shared" si="26"/>
        <v/>
      </c>
      <c r="E141" s="23" t="str">
        <f t="shared" si="26"/>
        <v/>
      </c>
      <c r="F141" s="82">
        <f>IF(K141=0, IF(ISNUMBER(F139), F139+1, 1), F139)</f>
        <v>9</v>
      </c>
      <c r="G141" s="23">
        <f>IF(K141=0, 0, IF(K141=1, G139+1, G139))</f>
        <v>1</v>
      </c>
      <c r="H141" s="23" t="str">
        <f t="shared" si="31"/>
        <v>CF</v>
      </c>
      <c r="I141" s="23" t="str">
        <f t="shared" si="32"/>
        <v>CF</v>
      </c>
      <c r="J141" s="23" t="str">
        <f>IF(K141=0, AC141, J139)</f>
        <v>Child Functioning -- Child #3</v>
      </c>
      <c r="K141" s="93">
        <v>1</v>
      </c>
      <c r="L141" s="82" t="str">
        <f t="shared" ca="1" si="33"/>
        <v/>
      </c>
      <c r="M141" s="23" t="str">
        <f t="shared" ca="1" si="34"/>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0"/>
        <v/>
      </c>
      <c r="D142" s="23" t="str">
        <f t="shared" si="26"/>
        <v/>
      </c>
      <c r="E142" s="23" t="str">
        <f t="shared" si="26"/>
        <v/>
      </c>
      <c r="F142" s="82">
        <f t="shared" si="41"/>
        <v>9</v>
      </c>
      <c r="G142" s="23">
        <f t="shared" si="42"/>
        <v>2</v>
      </c>
      <c r="H142" s="23" t="str">
        <f t="shared" si="31"/>
        <v>CF</v>
      </c>
      <c r="I142" s="23" t="str">
        <f t="shared" si="32"/>
        <v>CF</v>
      </c>
      <c r="J142" s="23" t="str">
        <f t="shared" ref="J142:J158" si="53">IF(K142=0, AC142, J141)</f>
        <v>Child Functioning -- Child #3</v>
      </c>
      <c r="K142" s="93">
        <v>1</v>
      </c>
      <c r="L142" s="82" t="str">
        <f t="shared" ca="1" si="33"/>
        <v/>
      </c>
      <c r="M142" s="23" t="str">
        <f t="shared" ca="1" si="34"/>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4">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0"/>
        <v/>
      </c>
      <c r="D143" s="23" t="str">
        <f t="shared" si="26"/>
        <v/>
      </c>
      <c r="E143" s="23" t="str">
        <f t="shared" si="26"/>
        <v/>
      </c>
      <c r="F143" s="82">
        <f t="shared" si="41"/>
        <v>9</v>
      </c>
      <c r="G143" s="23">
        <f t="shared" si="42"/>
        <v>3</v>
      </c>
      <c r="H143" s="23" t="str">
        <f t="shared" si="31"/>
        <v>CF</v>
      </c>
      <c r="I143" s="23" t="str">
        <f t="shared" si="32"/>
        <v>CF</v>
      </c>
      <c r="J143" s="23" t="str">
        <f t="shared" si="53"/>
        <v>Child Functioning -- Child #3</v>
      </c>
      <c r="K143" s="93">
        <v>1</v>
      </c>
      <c r="L143" s="82" t="str">
        <f t="shared" ca="1" si="33"/>
        <v/>
      </c>
      <c r="M143" s="23" t="str">
        <f t="shared" ca="1" si="34"/>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4"/>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0"/>
        <v/>
      </c>
      <c r="D144" s="23" t="str">
        <f t="shared" si="26"/>
        <v/>
      </c>
      <c r="E144" s="23" t="str">
        <f t="shared" si="26"/>
        <v/>
      </c>
      <c r="F144" s="82">
        <f t="shared" si="41"/>
        <v>9</v>
      </c>
      <c r="G144" s="23">
        <f t="shared" si="42"/>
        <v>4</v>
      </c>
      <c r="H144" s="23" t="str">
        <f t="shared" si="31"/>
        <v>CF</v>
      </c>
      <c r="I144" s="23" t="str">
        <f t="shared" si="32"/>
        <v>CF</v>
      </c>
      <c r="J144" s="23" t="str">
        <f t="shared" si="53"/>
        <v>Child Functioning -- Child #3</v>
      </c>
      <c r="K144" s="93">
        <v>1</v>
      </c>
      <c r="L144" s="82" t="str">
        <f t="shared" ca="1" si="33"/>
        <v/>
      </c>
      <c r="M144" s="23" t="str">
        <f t="shared" ca="1" si="34"/>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4"/>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0"/>
        <v/>
      </c>
      <c r="D145" s="23" t="str">
        <f t="shared" si="26"/>
        <v/>
      </c>
      <c r="E145" s="23" t="str">
        <f t="shared" si="26"/>
        <v/>
      </c>
      <c r="F145" s="82">
        <f t="shared" si="41"/>
        <v>9</v>
      </c>
      <c r="G145" s="23">
        <f t="shared" si="42"/>
        <v>5</v>
      </c>
      <c r="H145" s="23" t="str">
        <f t="shared" si="31"/>
        <v>CF</v>
      </c>
      <c r="I145" s="23" t="str">
        <f t="shared" si="32"/>
        <v>CF</v>
      </c>
      <c r="J145" s="23" t="str">
        <f t="shared" si="53"/>
        <v>Child Functioning -- Child #3</v>
      </c>
      <c r="K145" s="93">
        <v>1</v>
      </c>
      <c r="L145" s="82" t="str">
        <f t="shared" ca="1" si="33"/>
        <v/>
      </c>
      <c r="M145" s="23" t="str">
        <f t="shared" ca="1" si="34"/>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4"/>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0"/>
        <v/>
      </c>
      <c r="D146" s="23" t="str">
        <f t="shared" si="26"/>
        <v/>
      </c>
      <c r="E146" s="23" t="str">
        <f t="shared" si="26"/>
        <v/>
      </c>
      <c r="F146" s="82">
        <f t="shared" si="41"/>
        <v>9</v>
      </c>
      <c r="G146" s="23">
        <f t="shared" si="42"/>
        <v>6</v>
      </c>
      <c r="H146" s="23" t="str">
        <f t="shared" si="31"/>
        <v>CF</v>
      </c>
      <c r="I146" s="23" t="str">
        <f t="shared" si="32"/>
        <v>CF</v>
      </c>
      <c r="J146" s="23" t="str">
        <f t="shared" si="53"/>
        <v>Child Functioning -- Child #3</v>
      </c>
      <c r="K146" s="93">
        <v>1</v>
      </c>
      <c r="L146" s="82" t="str">
        <f t="shared" ca="1" si="33"/>
        <v/>
      </c>
      <c r="M146" s="23" t="str">
        <f t="shared" ca="1" si="34"/>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4"/>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0"/>
        <v/>
      </c>
      <c r="D147" s="23" t="str">
        <f t="shared" si="26"/>
        <v/>
      </c>
      <c r="E147" s="23" t="str">
        <f t="shared" si="26"/>
        <v/>
      </c>
      <c r="F147" s="82">
        <f t="shared" si="41"/>
        <v>9</v>
      </c>
      <c r="G147" s="23">
        <f t="shared" si="42"/>
        <v>7</v>
      </c>
      <c r="H147" s="23" t="str">
        <f t="shared" si="31"/>
        <v>CF</v>
      </c>
      <c r="I147" s="23" t="str">
        <f t="shared" si="32"/>
        <v>CF</v>
      </c>
      <c r="J147" s="23" t="str">
        <f t="shared" si="53"/>
        <v>Child Functioning -- Child #3</v>
      </c>
      <c r="K147" s="93">
        <v>1</v>
      </c>
      <c r="L147" s="82" t="str">
        <f t="shared" ref="L147:L209" ca="1" si="55">IF($J147=$J146, L146, "")&amp;IF(P147=1, IF(L146="",  "", ", ")&amp;$AC147, "")</f>
        <v/>
      </c>
      <c r="M147" s="23" t="str">
        <f t="shared" ref="M147:M209" ca="1" si="56">IF($J147=$J146, M146, "")&amp;IF(Q147=1, IF(M146="",  "", ", ")&amp;$AC147, "")</f>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4"/>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0"/>
        <v/>
      </c>
      <c r="D148" s="23" t="str">
        <f t="shared" si="26"/>
        <v/>
      </c>
      <c r="E148" s="23" t="str">
        <f t="shared" si="26"/>
        <v/>
      </c>
      <c r="F148" s="82">
        <f t="shared" si="41"/>
        <v>9</v>
      </c>
      <c r="G148" s="23">
        <f t="shared" si="42"/>
        <v>8</v>
      </c>
      <c r="H148" s="23" t="str">
        <f t="shared" si="31"/>
        <v>CF</v>
      </c>
      <c r="I148" s="23" t="str">
        <f t="shared" si="32"/>
        <v>CF</v>
      </c>
      <c r="J148" s="23" t="str">
        <f t="shared" si="53"/>
        <v>Child Functioning -- Child #3</v>
      </c>
      <c r="K148" s="93">
        <v>1</v>
      </c>
      <c r="L148" s="82" t="str">
        <f t="shared" ca="1" si="55"/>
        <v/>
      </c>
      <c r="M148" s="23" t="str">
        <f t="shared" ca="1" si="56"/>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4"/>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0"/>
        <v/>
      </c>
      <c r="D149" s="23" t="str">
        <f t="shared" ref="D149:E209" si="63">IF(I149&lt;&gt;I150, I149, "")</f>
        <v/>
      </c>
      <c r="E149" s="23" t="str">
        <f t="shared" si="63"/>
        <v/>
      </c>
      <c r="F149" s="82">
        <f t="shared" si="41"/>
        <v>9</v>
      </c>
      <c r="G149" s="23">
        <f t="shared" si="42"/>
        <v>9</v>
      </c>
      <c r="H149" s="23" t="str">
        <f t="shared" si="31"/>
        <v>CF</v>
      </c>
      <c r="I149" s="23" t="str">
        <f t="shared" si="32"/>
        <v>CF</v>
      </c>
      <c r="J149" s="23" t="str">
        <f t="shared" si="53"/>
        <v>Child Functioning -- Child #3</v>
      </c>
      <c r="K149" s="93">
        <v>1</v>
      </c>
      <c r="L149" s="82" t="str">
        <f t="shared" ca="1" si="55"/>
        <v/>
      </c>
      <c r="M149" s="23" t="str">
        <f t="shared" ca="1" si="56"/>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4"/>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3"/>
        <v>Child Functioning -- Child #3</v>
      </c>
      <c r="K150" s="93">
        <v>1</v>
      </c>
      <c r="L150" s="82" t="str">
        <f t="shared" ca="1" si="55"/>
        <v/>
      </c>
      <c r="M150" s="23" t="str">
        <f t="shared" ca="1" si="56"/>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4"/>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3"/>
        <v>Child Functioning -- Child #3</v>
      </c>
      <c r="K151" s="93">
        <v>1</v>
      </c>
      <c r="L151" s="82" t="str">
        <f t="shared" ca="1" si="55"/>
        <v/>
      </c>
      <c r="M151" s="23" t="str">
        <f t="shared" ca="1" si="56"/>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4"/>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3"/>
        <v>Child Functioning -- Child #3</v>
      </c>
      <c r="K152" s="93">
        <v>1</v>
      </c>
      <c r="L152" s="82" t="str">
        <f t="shared" ca="1" si="55"/>
        <v/>
      </c>
      <c r="M152" s="23" t="str">
        <f t="shared" ca="1" si="56"/>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4"/>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3"/>
        <v>Child Functioning -- Child #3</v>
      </c>
      <c r="K153" s="93">
        <v>1</v>
      </c>
      <c r="L153" s="82" t="str">
        <f t="shared" ca="1" si="55"/>
        <v/>
      </c>
      <c r="M153" s="23" t="str">
        <f t="shared" ca="1" si="56"/>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4"/>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3"/>
        <v>Child Functioning -- Child #3</v>
      </c>
      <c r="K154" s="93">
        <v>1</v>
      </c>
      <c r="L154" s="82" t="str">
        <f t="shared" ca="1" si="55"/>
        <v/>
      </c>
      <c r="M154" s="23" t="str">
        <f t="shared" ca="1" si="56"/>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4"/>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3"/>
        <v>Child Functioning -- Child #3</v>
      </c>
      <c r="K155" s="93">
        <v>1</v>
      </c>
      <c r="L155" s="82" t="str">
        <f t="shared" ca="1" si="55"/>
        <v/>
      </c>
      <c r="M155" s="23" t="str">
        <f t="shared" ca="1" si="56"/>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4"/>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3"/>
        <v>Child Functioning -- Child #4</v>
      </c>
      <c r="K156" s="93">
        <v>0</v>
      </c>
      <c r="L156" s="82" t="str">
        <f t="shared" ca="1" si="55"/>
        <v/>
      </c>
      <c r="M156" s="23" t="str">
        <f t="shared" ca="1" si="56"/>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4"/>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3"/>
        <v>Child Functioning -- Child #4</v>
      </c>
      <c r="K157" s="93">
        <v>2</v>
      </c>
      <c r="L157" s="82" t="str">
        <f t="shared" ca="1" si="55"/>
        <v/>
      </c>
      <c r="M157" s="23" t="str">
        <f t="shared" ca="1" si="56"/>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4"/>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3"/>
        <v>Child Functioning -- Child #4</v>
      </c>
      <c r="K158" s="93">
        <v>2</v>
      </c>
      <c r="L158" s="82" t="str">
        <f t="shared" ca="1" si="55"/>
        <v/>
      </c>
      <c r="M158" s="23" t="str">
        <f t="shared" ca="1" si="56"/>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4"/>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5"/>
        <v/>
      </c>
      <c r="M159" s="23" t="str">
        <f t="shared" ca="1" si="56"/>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5"/>
        <v/>
      </c>
      <c r="M160" s="23" t="str">
        <f t="shared" ca="1" si="56"/>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5"/>
        <v/>
      </c>
      <c r="M161" s="23" t="str">
        <f t="shared" ca="1" si="56"/>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5"/>
        <v/>
      </c>
      <c r="M162" s="23" t="str">
        <f t="shared" ca="1" si="56"/>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5"/>
        <v/>
      </c>
      <c r="M163" s="23" t="str">
        <f t="shared" ca="1" si="56"/>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5"/>
        <v/>
      </c>
      <c r="M164" s="23" t="str">
        <f t="shared" ca="1" si="56"/>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5"/>
        <v/>
      </c>
      <c r="M165" s="23" t="str">
        <f t="shared" ca="1" si="56"/>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5"/>
        <v/>
      </c>
      <c r="M166" s="23" t="str">
        <f t="shared" ca="1" si="56"/>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5"/>
        <v/>
      </c>
      <c r="M167" s="23" t="str">
        <f t="shared" ca="1" si="56"/>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5"/>
        <v/>
      </c>
      <c r="M168" s="23" t="str">
        <f t="shared" ca="1" si="56"/>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5"/>
        <v/>
      </c>
      <c r="M169" s="23" t="str">
        <f t="shared" ca="1" si="56"/>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5"/>
        <v/>
      </c>
      <c r="M170" s="23" t="str">
        <f t="shared" ca="1" si="56"/>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5"/>
        <v/>
      </c>
      <c r="M171" s="23" t="str">
        <f t="shared" ca="1" si="56"/>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5"/>
        <v/>
      </c>
      <c r="M172" s="23" t="str">
        <f t="shared" ca="1" si="56"/>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5"/>
        <v/>
      </c>
      <c r="M173" s="23" t="str">
        <f t="shared" ca="1" si="56"/>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5"/>
        <v/>
      </c>
      <c r="M174" s="23" t="str">
        <f t="shared" ca="1" si="56"/>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5"/>
        <v/>
      </c>
      <c r="M175" s="23" t="str">
        <f t="shared" ca="1" si="56"/>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5"/>
        <v/>
      </c>
      <c r="M176" s="23" t="str">
        <f t="shared" ca="1" si="56"/>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5"/>
        <v/>
      </c>
      <c r="M177" s="23" t="str">
        <f t="shared" ca="1" si="56"/>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5"/>
        <v/>
      </c>
      <c r="M178" s="23" t="str">
        <f t="shared" ca="1" si="56"/>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5"/>
        <v/>
      </c>
      <c r="M179" s="23" t="str">
        <f t="shared" ca="1" si="56"/>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5"/>
        <v/>
      </c>
      <c r="M180" s="23" t="str">
        <f t="shared" ca="1" si="56"/>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5"/>
        <v/>
      </c>
      <c r="M181" s="23" t="str">
        <f t="shared" ca="1" si="56"/>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5"/>
        <v/>
      </c>
      <c r="M182" s="23" t="str">
        <f t="shared" ca="1" si="56"/>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5"/>
        <v/>
      </c>
      <c r="M183" s="23" t="str">
        <f t="shared" ca="1" si="56"/>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5"/>
        <v/>
      </c>
      <c r="M184" s="23" t="str">
        <f t="shared" ca="1" si="56"/>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5"/>
        <v/>
      </c>
      <c r="M185" s="23" t="str">
        <f t="shared" ca="1" si="56"/>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5"/>
        <v/>
      </c>
      <c r="M186" s="23" t="str">
        <f t="shared" ca="1" si="56"/>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5"/>
        <v/>
      </c>
      <c r="M187" s="23" t="str">
        <f t="shared" ca="1" si="56"/>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5"/>
        <v/>
      </c>
      <c r="M188" s="23" t="str">
        <f t="shared" ca="1" si="56"/>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5"/>
        <v/>
      </c>
      <c r="M189" s="23" t="str">
        <f t="shared" ca="1" si="56"/>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5"/>
        <v/>
      </c>
      <c r="M190" s="23" t="str">
        <f t="shared" ca="1" si="56"/>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5"/>
        <v/>
      </c>
      <c r="M191" s="23" t="str">
        <f t="shared" ca="1" si="56"/>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5"/>
        <v/>
      </c>
      <c r="M192" s="23" t="str">
        <f t="shared" ca="1" si="56"/>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0">IF(H193&lt;&gt;H195, H193, "")</f>
        <v/>
      </c>
      <c r="D193" s="23" t="str">
        <f t="shared" si="80"/>
        <v/>
      </c>
      <c r="E193" s="23" t="str">
        <f t="shared" si="80"/>
        <v/>
      </c>
      <c r="F193" s="82">
        <f t="shared" si="72"/>
        <v>12</v>
      </c>
      <c r="G193" s="23">
        <f t="shared" si="73"/>
        <v>0</v>
      </c>
      <c r="H193" s="23" t="str">
        <f t="shared" si="67"/>
        <v>CF</v>
      </c>
      <c r="I193" s="23" t="str">
        <f t="shared" si="68"/>
        <v>CF</v>
      </c>
      <c r="J193" s="23" t="str">
        <f t="shared" si="75"/>
        <v>Child Functioning -- Child #6</v>
      </c>
      <c r="K193" s="93">
        <v>2</v>
      </c>
      <c r="L193" s="82" t="str">
        <f t="shared" ca="1" si="55"/>
        <v/>
      </c>
      <c r="M193" s="23" t="str">
        <f t="shared" ca="1" si="56"/>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0"/>
        <v/>
      </c>
      <c r="D194" s="23" t="str">
        <f t="shared" si="80"/>
        <v/>
      </c>
      <c r="E194" s="23" t="str">
        <f t="shared" si="80"/>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5"/>
        <v/>
      </c>
      <c r="M194" s="23" t="str">
        <f t="shared" ca="1" si="56"/>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5"/>
        <v/>
      </c>
      <c r="M195" s="23" t="str">
        <f t="shared" ca="1" si="56"/>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1">IF(K196=0, AC196, J195)</f>
        <v>Child Functioning -- Child #6</v>
      </c>
      <c r="K196" s="93">
        <v>1</v>
      </c>
      <c r="L196" s="82" t="str">
        <f t="shared" ca="1" si="55"/>
        <v/>
      </c>
      <c r="M196" s="23" t="str">
        <f t="shared" ca="1" si="56"/>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2">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1"/>
        <v>Child Functioning -- Child #6</v>
      </c>
      <c r="K197" s="93">
        <v>1</v>
      </c>
      <c r="L197" s="82" t="str">
        <f t="shared" ca="1" si="55"/>
        <v/>
      </c>
      <c r="M197" s="23" t="str">
        <f t="shared" ca="1" si="56"/>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2"/>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1"/>
        <v>Child Functioning -- Child #6</v>
      </c>
      <c r="K198" s="93">
        <v>1</v>
      </c>
      <c r="L198" s="82" t="str">
        <f t="shared" ca="1" si="55"/>
        <v/>
      </c>
      <c r="M198" s="23" t="str">
        <f t="shared" ca="1" si="56"/>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2"/>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1"/>
        <v>Child Functioning -- Child #6</v>
      </c>
      <c r="K199" s="93">
        <v>1</v>
      </c>
      <c r="L199" s="82" t="str">
        <f t="shared" ca="1" si="55"/>
        <v/>
      </c>
      <c r="M199" s="23" t="str">
        <f t="shared" ca="1" si="56"/>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2"/>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1"/>
        <v>Child Functioning -- Child #6</v>
      </c>
      <c r="K200" s="93">
        <v>1</v>
      </c>
      <c r="L200" s="82" t="str">
        <f t="shared" ca="1" si="55"/>
        <v/>
      </c>
      <c r="M200" s="23" t="str">
        <f t="shared" ca="1" si="56"/>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2"/>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1"/>
        <v>Child Functioning -- Child #6</v>
      </c>
      <c r="K201" s="93">
        <v>1</v>
      </c>
      <c r="L201" s="82" t="str">
        <f t="shared" ca="1" si="55"/>
        <v/>
      </c>
      <c r="M201" s="23" t="str">
        <f t="shared" ca="1" si="56"/>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2"/>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1"/>
        <v>Child Functioning -- Child #6</v>
      </c>
      <c r="K202" s="93">
        <v>1</v>
      </c>
      <c r="L202" s="82" t="str">
        <f t="shared" ca="1" si="55"/>
        <v/>
      </c>
      <c r="M202" s="23" t="str">
        <f t="shared" ca="1" si="56"/>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2"/>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1"/>
        <v>Child Functioning -- Child #6</v>
      </c>
      <c r="K203" s="93">
        <v>1</v>
      </c>
      <c r="L203" s="82" t="str">
        <f t="shared" ca="1" si="55"/>
        <v/>
      </c>
      <c r="M203" s="23" t="str">
        <f t="shared" ca="1" si="56"/>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2"/>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1"/>
        <v>Child Functioning -- Child #6</v>
      </c>
      <c r="K204" s="93">
        <v>1</v>
      </c>
      <c r="L204" s="82" t="str">
        <f t="shared" ca="1" si="55"/>
        <v/>
      </c>
      <c r="M204" s="23" t="str">
        <f t="shared" ca="1" si="56"/>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2"/>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1"/>
        <v>Child Functioning -- Child #6</v>
      </c>
      <c r="K205" s="93">
        <v>1</v>
      </c>
      <c r="L205" s="82" t="str">
        <f t="shared" ca="1" si="55"/>
        <v/>
      </c>
      <c r="M205" s="23" t="str">
        <f t="shared" ca="1" si="56"/>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2"/>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1"/>
        <v>Child Functioning -- Child #6</v>
      </c>
      <c r="K206" s="93">
        <v>1</v>
      </c>
      <c r="L206" s="82" t="str">
        <f t="shared" ca="1" si="55"/>
        <v/>
      </c>
      <c r="M206" s="23" t="str">
        <f t="shared" ca="1" si="56"/>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2"/>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1"/>
        <v>Child Functioning -- Child #6</v>
      </c>
      <c r="K207" s="93">
        <v>1</v>
      </c>
      <c r="L207" s="82" t="str">
        <f t="shared" ca="1" si="55"/>
        <v/>
      </c>
      <c r="M207" s="23" t="str">
        <f t="shared" ca="1" si="56"/>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2"/>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1"/>
        <v>Child Functioning -- Child #6</v>
      </c>
      <c r="K208" s="93">
        <v>1</v>
      </c>
      <c r="L208" s="82" t="str">
        <f t="shared" ca="1" si="55"/>
        <v/>
      </c>
      <c r="M208" s="23" t="str">
        <f t="shared" ca="1" si="56"/>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2"/>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12</v>
      </c>
      <c r="G209" s="159">
        <f t="shared" si="73"/>
        <v>15</v>
      </c>
      <c r="H209" s="159" t="str">
        <f t="shared" si="67"/>
        <v>CF</v>
      </c>
      <c r="I209" s="159" t="str">
        <f t="shared" si="68"/>
        <v>CF</v>
      </c>
      <c r="J209" s="159" t="str">
        <f t="shared" si="81"/>
        <v>Child Functioning -- Child #6</v>
      </c>
      <c r="K209" s="160">
        <v>1</v>
      </c>
      <c r="L209" s="82" t="str">
        <f t="shared" ca="1" si="55"/>
        <v/>
      </c>
      <c r="M209" s="23" t="str">
        <f t="shared" ca="1" si="56"/>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2"/>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0" sqref="C10"/>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75" zoomScaleNormal="7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t="s">
        <v>65</v>
      </c>
      <c r="J13" s="241"/>
      <c r="K13" s="239"/>
      <c r="L13" s="242" t="s">
        <v>65</v>
      </c>
      <c r="M13" s="241"/>
      <c r="N13" s="242" t="s">
        <v>65</v>
      </c>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t="s">
        <v>66</v>
      </c>
      <c r="J14" s="241"/>
      <c r="K14" s="239"/>
      <c r="L14" s="242" t="s">
        <v>66</v>
      </c>
      <c r="M14" s="241"/>
      <c r="N14" s="242" t="s">
        <v>66</v>
      </c>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t="s">
        <v>67</v>
      </c>
      <c r="J15" s="241"/>
      <c r="K15" s="239"/>
      <c r="L15" s="242" t="s">
        <v>67</v>
      </c>
      <c r="M15" s="241"/>
      <c r="N15" s="242" t="s">
        <v>67</v>
      </c>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t="s">
        <v>68</v>
      </c>
      <c r="J16" s="241"/>
      <c r="K16" s="239"/>
      <c r="L16" s="242" t="s">
        <v>68</v>
      </c>
      <c r="M16" s="241"/>
      <c r="N16" s="242" t="s">
        <v>68</v>
      </c>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t="s">
        <v>69</v>
      </c>
      <c r="J17" s="241"/>
      <c r="K17" s="239"/>
      <c r="L17" s="242" t="s">
        <v>69</v>
      </c>
      <c r="M17" s="241"/>
      <c r="N17" s="242" t="s">
        <v>69</v>
      </c>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t="s">
        <v>70</v>
      </c>
      <c r="J18" s="246"/>
      <c r="K18" s="244"/>
      <c r="L18" s="245" t="s">
        <v>70</v>
      </c>
      <c r="M18" s="246"/>
      <c r="N18" s="245" t="s">
        <v>70</v>
      </c>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disablePrompts="1"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19" sqref="D19:H19"/>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298" t="s">
        <v>944</v>
      </c>
      <c r="E3" s="298"/>
      <c r="F3" s="298"/>
      <c r="G3" s="298"/>
      <c r="H3" s="298"/>
      <c r="I3" s="117"/>
    </row>
    <row r="4" spans="1:9" x14ac:dyDescent="0.25">
      <c r="A4" s="116"/>
      <c r="B4" s="177">
        <f>D4</f>
        <v>0</v>
      </c>
      <c r="C4" s="177"/>
      <c r="D4" s="295"/>
      <c r="E4" s="295"/>
      <c r="F4" s="295"/>
      <c r="G4" s="295"/>
      <c r="H4" s="295"/>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298" t="s">
        <v>935</v>
      </c>
      <c r="E6" s="298"/>
      <c r="F6" s="298"/>
      <c r="G6" s="298"/>
      <c r="H6" s="298"/>
      <c r="I6" s="117"/>
    </row>
    <row r="7" spans="1:9" x14ac:dyDescent="0.25">
      <c r="A7" s="116"/>
      <c r="B7" s="177">
        <f>D7</f>
        <v>0</v>
      </c>
      <c r="C7" s="177"/>
      <c r="D7" s="295"/>
      <c r="E7" s="295"/>
      <c r="F7" s="295"/>
      <c r="G7" s="295"/>
      <c r="H7" s="295"/>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298" t="s">
        <v>936</v>
      </c>
      <c r="E9" s="298"/>
      <c r="F9" s="298"/>
      <c r="G9" s="298"/>
      <c r="H9" s="298"/>
      <c r="I9" s="117"/>
    </row>
    <row r="10" spans="1:9" ht="45" x14ac:dyDescent="0.25">
      <c r="A10" s="116"/>
      <c r="B10" s="177" t="str">
        <f>D10</f>
        <v>1.
2.
3.</v>
      </c>
      <c r="C10" s="177"/>
      <c r="D10" s="295" t="s">
        <v>937</v>
      </c>
      <c r="E10" s="295"/>
      <c r="F10" s="295"/>
      <c r="G10" s="295"/>
      <c r="H10" s="295"/>
      <c r="I10" s="117"/>
    </row>
    <row r="11" spans="1:9" x14ac:dyDescent="0.25">
      <c r="A11" s="116"/>
      <c r="B11" s="177"/>
      <c r="C11" s="177"/>
      <c r="D11" s="172"/>
      <c r="E11" s="172"/>
      <c r="F11" s="172"/>
      <c r="G11" s="172"/>
      <c r="H11" s="172"/>
      <c r="I11" s="117"/>
    </row>
    <row r="12" spans="1:9" x14ac:dyDescent="0.25">
      <c r="A12" s="116"/>
      <c r="B12" s="177"/>
      <c r="C12" s="177"/>
      <c r="D12" s="300" t="s">
        <v>938</v>
      </c>
      <c r="E12" s="300"/>
      <c r="F12" s="300"/>
      <c r="G12" s="300"/>
      <c r="H12" s="300"/>
      <c r="I12" s="117"/>
    </row>
    <row r="13" spans="1:9" ht="45" x14ac:dyDescent="0.25">
      <c r="A13" s="116"/>
      <c r="B13" s="177" t="str">
        <f>D13</f>
        <v>1.
2.
3.</v>
      </c>
      <c r="C13" s="177"/>
      <c r="D13" s="295" t="s">
        <v>937</v>
      </c>
      <c r="E13" s="295"/>
      <c r="F13" s="295"/>
      <c r="G13" s="295"/>
      <c r="H13" s="295"/>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298" t="s">
        <v>939</v>
      </c>
      <c r="E15" s="298"/>
      <c r="F15" s="298"/>
      <c r="G15" s="298"/>
      <c r="H15" s="298"/>
      <c r="I15" s="117"/>
    </row>
    <row r="16" spans="1:9" ht="45" x14ac:dyDescent="0.25">
      <c r="A16" s="116"/>
      <c r="B16" s="177" t="str">
        <f>D16</f>
        <v>1.
2.
3.</v>
      </c>
      <c r="C16" s="177"/>
      <c r="D16" s="295" t="s">
        <v>937</v>
      </c>
      <c r="E16" s="295"/>
      <c r="F16" s="295"/>
      <c r="G16" s="295"/>
      <c r="H16" s="295"/>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298" t="s">
        <v>943</v>
      </c>
      <c r="E18" s="298"/>
      <c r="F18" s="298"/>
      <c r="G18" s="298"/>
      <c r="H18" s="298"/>
      <c r="I18" s="117"/>
    </row>
    <row r="19" spans="1:12" ht="45" x14ac:dyDescent="0.25">
      <c r="A19" s="116"/>
      <c r="B19" s="177" t="str">
        <f>D19</f>
        <v>1.
2.
3.</v>
      </c>
      <c r="C19" s="177"/>
      <c r="D19" s="295" t="s">
        <v>937</v>
      </c>
      <c r="E19" s="295"/>
      <c r="F19" s="295"/>
      <c r="G19" s="295"/>
      <c r="H19" s="295"/>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298" t="s">
        <v>940</v>
      </c>
      <c r="E21" s="298"/>
      <c r="F21" s="298"/>
      <c r="G21" s="298"/>
      <c r="H21" s="298"/>
      <c r="I21" s="117"/>
    </row>
    <row r="22" spans="1:12" x14ac:dyDescent="0.25">
      <c r="A22" s="116"/>
      <c r="B22" s="177">
        <f>D22</f>
        <v>0</v>
      </c>
      <c r="C22" s="177"/>
      <c r="D22" s="295"/>
      <c r="E22" s="295"/>
      <c r="F22" s="295"/>
      <c r="G22" s="295"/>
      <c r="H22" s="295"/>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298" t="s">
        <v>945</v>
      </c>
      <c r="E24" s="298"/>
      <c r="F24" s="298"/>
      <c r="G24" s="298"/>
      <c r="H24" s="298"/>
      <c r="I24" s="117"/>
    </row>
    <row r="25" spans="1:12" x14ac:dyDescent="0.25">
      <c r="A25" s="116"/>
      <c r="B25" s="177">
        <f>D25</f>
        <v>0</v>
      </c>
      <c r="C25" s="177"/>
      <c r="D25" s="295"/>
      <c r="E25" s="295"/>
      <c r="F25" s="295"/>
      <c r="G25" s="295"/>
      <c r="H25" s="295"/>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298" t="s">
        <v>941</v>
      </c>
      <c r="E27" s="298"/>
      <c r="F27" s="298"/>
      <c r="G27" s="298"/>
      <c r="H27" s="298"/>
      <c r="I27" s="117"/>
    </row>
    <row r="28" spans="1:12" ht="45" x14ac:dyDescent="0.25">
      <c r="A28" s="116"/>
      <c r="B28" s="177" t="str">
        <f>D28</f>
        <v>1.
2.
3.</v>
      </c>
      <c r="C28" s="177"/>
      <c r="D28" s="295" t="s">
        <v>937</v>
      </c>
      <c r="E28" s="295"/>
      <c r="F28" s="295"/>
      <c r="G28" s="295"/>
      <c r="H28" s="295"/>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298" t="s">
        <v>942</v>
      </c>
      <c r="E30" s="298"/>
      <c r="F30" s="298"/>
      <c r="G30" s="298"/>
      <c r="H30" s="298"/>
      <c r="I30" s="117"/>
    </row>
    <row r="31" spans="1:12" ht="45" x14ac:dyDescent="0.25">
      <c r="A31" s="116"/>
      <c r="B31" s="177" t="str">
        <f>D31</f>
        <v>1.
2.
3.</v>
      </c>
      <c r="C31" s="177"/>
      <c r="D31" s="295" t="s">
        <v>937</v>
      </c>
      <c r="E31" s="295"/>
      <c r="F31" s="295"/>
      <c r="G31" s="295"/>
      <c r="H31" s="295"/>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6" t="s">
        <v>954</v>
      </c>
      <c r="H33" s="296"/>
      <c r="I33" s="117"/>
    </row>
    <row r="34" spans="1:9" x14ac:dyDescent="0.25">
      <c r="A34" s="116"/>
      <c r="B34" s="176"/>
      <c r="C34" s="176"/>
      <c r="D34" s="301" t="str">
        <f>IF(CGName1="", "", CGName1)</f>
        <v/>
      </c>
      <c r="E34" s="301"/>
      <c r="F34" s="185"/>
      <c r="G34" s="299" t="s">
        <v>956</v>
      </c>
      <c r="H34" s="299"/>
      <c r="I34" s="117"/>
    </row>
    <row r="35" spans="1:9" x14ac:dyDescent="0.25">
      <c r="A35" s="116"/>
      <c r="B35" s="176"/>
      <c r="C35" s="176"/>
      <c r="D35" s="301" t="str">
        <f>IF(CGName2="", "", CGName2)</f>
        <v/>
      </c>
      <c r="E35" s="301"/>
      <c r="F35" s="185"/>
      <c r="G35" s="299" t="s">
        <v>956</v>
      </c>
      <c r="H35" s="299"/>
      <c r="I35" s="117"/>
    </row>
    <row r="36" spans="1:9" x14ac:dyDescent="0.25">
      <c r="A36" s="116"/>
      <c r="B36" s="176"/>
      <c r="C36" s="176"/>
      <c r="D36" s="301" t="str">
        <f>IF(CGName3="", "", CGName3)</f>
        <v/>
      </c>
      <c r="E36" s="301"/>
      <c r="F36" s="185"/>
      <c r="G36" s="299" t="s">
        <v>956</v>
      </c>
      <c r="H36" s="299"/>
      <c r="I36" s="117"/>
    </row>
    <row r="37" spans="1:9" x14ac:dyDescent="0.25">
      <c r="A37" s="116"/>
      <c r="B37" s="176"/>
      <c r="C37" s="176"/>
      <c r="D37" s="301" t="str">
        <f>IF(CGName4="", "", CGName4)</f>
        <v/>
      </c>
      <c r="E37" s="301"/>
      <c r="F37" s="185"/>
      <c r="G37" s="299" t="s">
        <v>956</v>
      </c>
      <c r="H37" s="299"/>
      <c r="I37" s="117"/>
    </row>
    <row r="38" spans="1:9" x14ac:dyDescent="0.25">
      <c r="A38" s="116"/>
      <c r="B38" s="176"/>
      <c r="C38" s="176"/>
      <c r="D38" s="117"/>
      <c r="E38" s="117"/>
      <c r="F38" s="117"/>
      <c r="G38" s="117"/>
      <c r="H38" s="117"/>
      <c r="I38" s="117"/>
    </row>
    <row r="39" spans="1:9" x14ac:dyDescent="0.25">
      <c r="A39" s="116"/>
      <c r="B39" s="176"/>
      <c r="C39" s="176"/>
      <c r="D39" s="296" t="s">
        <v>1089</v>
      </c>
      <c r="E39" s="296"/>
      <c r="F39" s="296"/>
      <c r="G39" s="297" t="s">
        <v>956</v>
      </c>
      <c r="H39" s="297"/>
      <c r="I39" s="117"/>
    </row>
    <row r="40" spans="1:9" x14ac:dyDescent="0.25">
      <c r="A40" s="116"/>
      <c r="B40" s="178"/>
      <c r="C40" s="178"/>
      <c r="D40" s="183" t="s">
        <v>969</v>
      </c>
      <c r="E40" s="302" t="s">
        <v>63</v>
      </c>
      <c r="F40" s="302"/>
      <c r="G40" s="302"/>
      <c r="H40" s="183" t="s">
        <v>968</v>
      </c>
      <c r="I40" s="117"/>
    </row>
    <row r="41" spans="1:9" x14ac:dyDescent="0.25">
      <c r="A41" s="116"/>
      <c r="B41" s="178"/>
      <c r="C41" s="187" t="str">
        <f>catrange(ActionSteps1)</f>
        <v/>
      </c>
      <c r="D41" s="188" t="str">
        <f>IF(IntGoal1="", "", IntGoal1)</f>
        <v/>
      </c>
      <c r="E41" s="303" t="str">
        <f>catrange(ActionSteps1)</f>
        <v/>
      </c>
      <c r="F41" s="303"/>
      <c r="G41" s="303"/>
      <c r="H41" s="186" t="s">
        <v>963</v>
      </c>
      <c r="I41" s="117"/>
    </row>
    <row r="42" spans="1:9" x14ac:dyDescent="0.25">
      <c r="A42" s="116"/>
      <c r="B42" s="178"/>
      <c r="C42" s="187" t="e">
        <f>catrange(ActionSteps2)</f>
        <v>#VALUE!</v>
      </c>
      <c r="D42" s="188" t="str">
        <f>IF(IntGoal2="", "", IntGoal2)</f>
        <v/>
      </c>
      <c r="E42" s="303" t="str">
        <f>catrange(ActionSteps2)</f>
        <v/>
      </c>
      <c r="F42" s="303"/>
      <c r="G42" s="303"/>
      <c r="H42" s="186" t="s">
        <v>963</v>
      </c>
      <c r="I42" s="117"/>
    </row>
    <row r="43" spans="1:9" x14ac:dyDescent="0.25">
      <c r="A43" s="116"/>
      <c r="B43" s="178"/>
      <c r="C43" s="187" t="e">
        <f>catrange(ActionSteps3)</f>
        <v>#VALUE!</v>
      </c>
      <c r="D43" s="188" t="str">
        <f>IF(IntGoal3="", "", IntGoal3)</f>
        <v/>
      </c>
      <c r="E43" s="303" t="str">
        <f>catrange(ActionSteps3)</f>
        <v/>
      </c>
      <c r="F43" s="303"/>
      <c r="G43" s="303"/>
      <c r="H43" s="186" t="s">
        <v>963</v>
      </c>
      <c r="I43" s="117"/>
    </row>
    <row r="44" spans="1:9" x14ac:dyDescent="0.25">
      <c r="A44" s="116"/>
      <c r="B44" s="178"/>
      <c r="C44" s="187" t="e">
        <f>catrange(ActionSteps4)</f>
        <v>#VALUE!</v>
      </c>
      <c r="D44" s="188" t="str">
        <f>IF(IntGoal4="", "", IntGoal4)</f>
        <v/>
      </c>
      <c r="E44" s="303" t="str">
        <f>catrange(ActionSteps4)</f>
        <v/>
      </c>
      <c r="F44" s="303"/>
      <c r="G44" s="303"/>
      <c r="H44" s="186" t="s">
        <v>963</v>
      </c>
      <c r="I44" s="117"/>
    </row>
    <row r="45" spans="1:9" x14ac:dyDescent="0.25">
      <c r="A45" s="116"/>
      <c r="B45" s="178"/>
      <c r="C45" s="187" t="e">
        <f>catrange(ActionSteps5)</f>
        <v>#VALUE!</v>
      </c>
      <c r="D45" s="188" t="str">
        <f>IF(IntGoal5="", "", IntGoal5)</f>
        <v/>
      </c>
      <c r="E45" s="303" t="str">
        <f>catrange(ActionSteps5)</f>
        <v/>
      </c>
      <c r="F45" s="303"/>
      <c r="G45" s="303"/>
      <c r="H45" s="186" t="s">
        <v>963</v>
      </c>
      <c r="I45" s="117"/>
    </row>
    <row r="46" spans="1:9" x14ac:dyDescent="0.25">
      <c r="A46" s="116"/>
      <c r="B46" s="178"/>
      <c r="C46" s="187" t="e">
        <f>catrange(ActionSteps6)</f>
        <v>#VALUE!</v>
      </c>
      <c r="D46" s="188" t="str">
        <f>IF(IntGoal6="", "", IntGoal6)</f>
        <v/>
      </c>
      <c r="E46" s="303" t="str">
        <f>catrange(ActionSteps6)</f>
        <v/>
      </c>
      <c r="F46" s="303"/>
      <c r="G46" s="303"/>
      <c r="H46" s="186" t="s">
        <v>963</v>
      </c>
      <c r="I46" s="117"/>
    </row>
    <row r="47" spans="1:9" x14ac:dyDescent="0.25">
      <c r="A47" s="116"/>
      <c r="B47" s="178"/>
      <c r="C47" s="187" t="e">
        <f>catrange(ActionSteps7)</f>
        <v>#VALUE!</v>
      </c>
      <c r="D47" s="188" t="str">
        <f>IF(IntGoal7="", "", IntGoal7)</f>
        <v/>
      </c>
      <c r="E47" s="303" t="str">
        <f>catrange(ActionSteps7)</f>
        <v/>
      </c>
      <c r="F47" s="303"/>
      <c r="G47" s="303"/>
      <c r="H47" s="186" t="s">
        <v>963</v>
      </c>
      <c r="I47" s="117"/>
    </row>
    <row r="48" spans="1:9" x14ac:dyDescent="0.25">
      <c r="A48" s="116"/>
      <c r="B48" s="178"/>
      <c r="C48" s="187" t="e">
        <f>catrange(ActionSteps8)</f>
        <v>#VALUE!</v>
      </c>
      <c r="D48" s="188" t="str">
        <f>IF(IntGoal8="", "", IntGoal8)</f>
        <v/>
      </c>
      <c r="E48" s="303" t="str">
        <f>catrange(ActionSteps8)</f>
        <v/>
      </c>
      <c r="F48" s="303"/>
      <c r="G48" s="303"/>
      <c r="H48" s="186" t="s">
        <v>963</v>
      </c>
      <c r="I48" s="117"/>
    </row>
    <row r="49" spans="1:9" x14ac:dyDescent="0.25">
      <c r="A49" s="116"/>
      <c r="B49" s="178"/>
      <c r="C49" s="187" t="e">
        <f>catrange(ActionSteps9)</f>
        <v>#VALUE!</v>
      </c>
      <c r="D49" s="188" t="str">
        <f>IF(IntGoal9="", "", IntGoal9)</f>
        <v/>
      </c>
      <c r="E49" s="303" t="str">
        <f>catrange(ActionSteps9)</f>
        <v/>
      </c>
      <c r="F49" s="303"/>
      <c r="G49" s="303"/>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0"/>
  <sheetViews>
    <sheetView topLeftCell="A52" workbookViewId="0">
      <selection activeCell="C81" sqref="C81"/>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1090</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1097</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987</v>
      </c>
    </row>
    <row r="18" spans="2:3" x14ac:dyDescent="0.25">
      <c r="B18" t="s">
        <v>883</v>
      </c>
      <c r="C18" t="s">
        <v>988</v>
      </c>
    </row>
    <row r="19" spans="2:3" x14ac:dyDescent="0.25">
      <c r="B19" t="s">
        <v>884</v>
      </c>
      <c r="C19" t="s">
        <v>989</v>
      </c>
    </row>
    <row r="20" spans="2:3" x14ac:dyDescent="0.25">
      <c r="B20" t="s">
        <v>885</v>
      </c>
      <c r="C20" t="s">
        <v>990</v>
      </c>
    </row>
    <row r="21" spans="2:3" x14ac:dyDescent="0.25">
      <c r="B21" t="s">
        <v>886</v>
      </c>
      <c r="C21" t="s">
        <v>991</v>
      </c>
    </row>
    <row r="22" spans="2:3" x14ac:dyDescent="0.25">
      <c r="B22" t="s">
        <v>887</v>
      </c>
      <c r="C22" t="s">
        <v>992</v>
      </c>
    </row>
    <row r="23" spans="2:3" x14ac:dyDescent="0.25">
      <c r="B23" t="s">
        <v>888</v>
      </c>
      <c r="C23" t="s">
        <v>993</v>
      </c>
    </row>
    <row r="24" spans="2:3" x14ac:dyDescent="0.25">
      <c r="B24" t="s">
        <v>889</v>
      </c>
      <c r="C24" t="s">
        <v>994</v>
      </c>
    </row>
    <row r="25" spans="2:3" x14ac:dyDescent="0.25">
      <c r="B25" t="s">
        <v>890</v>
      </c>
      <c r="C25" t="s">
        <v>995</v>
      </c>
    </row>
    <row r="26" spans="2:3" x14ac:dyDescent="0.25">
      <c r="B26" t="s">
        <v>891</v>
      </c>
      <c r="C26" t="s">
        <v>996</v>
      </c>
    </row>
    <row r="27" spans="2:3" x14ac:dyDescent="0.25">
      <c r="B27" t="s">
        <v>892</v>
      </c>
      <c r="C27" t="s">
        <v>997</v>
      </c>
    </row>
    <row r="28" spans="2:3" x14ac:dyDescent="0.25">
      <c r="B28" t="s">
        <v>893</v>
      </c>
      <c r="C28" t="s">
        <v>998</v>
      </c>
    </row>
    <row r="29" spans="2:3" ht="15.75" customHeight="1" x14ac:dyDescent="0.25">
      <c r="B29" t="s">
        <v>894</v>
      </c>
      <c r="C29" t="s">
        <v>999</v>
      </c>
    </row>
    <row r="30" spans="2:3" x14ac:dyDescent="0.25">
      <c r="B30" t="s">
        <v>895</v>
      </c>
      <c r="C30" t="s">
        <v>1000</v>
      </c>
    </row>
    <row r="31" spans="2:3" x14ac:dyDescent="0.25">
      <c r="B31" t="s">
        <v>896</v>
      </c>
      <c r="C31" t="s">
        <v>1001</v>
      </c>
    </row>
    <row r="32" spans="2:3" x14ac:dyDescent="0.25">
      <c r="B32" t="s">
        <v>897</v>
      </c>
      <c r="C32" t="s">
        <v>1002</v>
      </c>
    </row>
    <row r="33" spans="2:3" x14ac:dyDescent="0.25">
      <c r="B33" t="s">
        <v>898</v>
      </c>
      <c r="C33" t="s">
        <v>1003</v>
      </c>
    </row>
    <row r="34" spans="2:3" x14ac:dyDescent="0.25">
      <c r="B34" t="s">
        <v>899</v>
      </c>
      <c r="C34" t="s">
        <v>1087</v>
      </c>
    </row>
    <row r="35" spans="2:3" x14ac:dyDescent="0.25">
      <c r="B35" t="s">
        <v>900</v>
      </c>
      <c r="C35" t="s">
        <v>1004</v>
      </c>
    </row>
    <row r="36" spans="2:3" x14ac:dyDescent="0.25">
      <c r="B36" t="s">
        <v>901</v>
      </c>
      <c r="C36" t="s">
        <v>1005</v>
      </c>
    </row>
    <row r="37" spans="2:3" x14ac:dyDescent="0.25">
      <c r="B37" t="s">
        <v>902</v>
      </c>
      <c r="C37" t="s">
        <v>1006</v>
      </c>
    </row>
    <row r="38" spans="2:3" x14ac:dyDescent="0.25">
      <c r="B38" t="s">
        <v>903</v>
      </c>
      <c r="C38" t="s">
        <v>1007</v>
      </c>
    </row>
    <row r="39" spans="2:3" x14ac:dyDescent="0.25">
      <c r="B39" t="s">
        <v>904</v>
      </c>
      <c r="C39" t="s">
        <v>1008</v>
      </c>
    </row>
    <row r="40" spans="2:3" x14ac:dyDescent="0.25">
      <c r="B40" t="s">
        <v>905</v>
      </c>
      <c r="C40" t="s">
        <v>1009</v>
      </c>
    </row>
    <row r="41" spans="2:3" x14ac:dyDescent="0.25">
      <c r="B41" t="s">
        <v>906</v>
      </c>
      <c r="C41" t="s">
        <v>1010</v>
      </c>
    </row>
    <row r="42" spans="2:3" x14ac:dyDescent="0.25">
      <c r="B42" t="s">
        <v>907</v>
      </c>
      <c r="C42" t="s">
        <v>1011</v>
      </c>
    </row>
    <row r="43" spans="2:3" x14ac:dyDescent="0.25">
      <c r="B43" t="s">
        <v>908</v>
      </c>
      <c r="C43" t="s">
        <v>1012</v>
      </c>
    </row>
    <row r="44" spans="2:3" x14ac:dyDescent="0.25">
      <c r="B44" t="s">
        <v>909</v>
      </c>
      <c r="C44" t="s">
        <v>1013</v>
      </c>
    </row>
    <row r="45" spans="2:3" x14ac:dyDescent="0.25">
      <c r="B45" t="s">
        <v>910</v>
      </c>
      <c r="C45" t="s">
        <v>1014</v>
      </c>
    </row>
    <row r="46" spans="2:3" ht="15.75" customHeight="1" x14ac:dyDescent="0.25">
      <c r="B46" t="s">
        <v>911</v>
      </c>
      <c r="C46" t="s">
        <v>1015</v>
      </c>
    </row>
    <row r="47" spans="2:3" x14ac:dyDescent="0.25">
      <c r="B47" t="s">
        <v>912</v>
      </c>
      <c r="C47" t="s">
        <v>1016</v>
      </c>
    </row>
    <row r="48" spans="2:3" x14ac:dyDescent="0.25">
      <c r="B48" t="s">
        <v>913</v>
      </c>
      <c r="C48" t="s">
        <v>1017</v>
      </c>
    </row>
    <row r="49" spans="2:3" x14ac:dyDescent="0.25">
      <c r="B49" t="s">
        <v>914</v>
      </c>
      <c r="C49" t="s">
        <v>1085</v>
      </c>
    </row>
    <row r="50" spans="2:3" x14ac:dyDescent="0.25">
      <c r="B50" t="s">
        <v>915</v>
      </c>
      <c r="C50" t="s">
        <v>1018</v>
      </c>
    </row>
    <row r="51" spans="2:3" x14ac:dyDescent="0.25">
      <c r="C51" t="s">
        <v>1019</v>
      </c>
    </row>
    <row r="52" spans="2:3" x14ac:dyDescent="0.25">
      <c r="C52" t="s">
        <v>1020</v>
      </c>
    </row>
    <row r="53" spans="2:3" x14ac:dyDescent="0.25">
      <c r="C53" t="s">
        <v>1021</v>
      </c>
    </row>
    <row r="54" spans="2:3" x14ac:dyDescent="0.25">
      <c r="C54" t="s">
        <v>1022</v>
      </c>
    </row>
    <row r="55" spans="2:3" x14ac:dyDescent="0.25">
      <c r="C55" t="s">
        <v>1023</v>
      </c>
    </row>
    <row r="56" spans="2:3" x14ac:dyDescent="0.25">
      <c r="C56" t="s">
        <v>1024</v>
      </c>
    </row>
    <row r="57" spans="2:3" x14ac:dyDescent="0.25">
      <c r="C57" t="s">
        <v>1025</v>
      </c>
    </row>
    <row r="58" spans="2:3" x14ac:dyDescent="0.25">
      <c r="C58" t="s">
        <v>1026</v>
      </c>
    </row>
    <row r="59" spans="2:3" x14ac:dyDescent="0.25">
      <c r="C59" t="s">
        <v>1027</v>
      </c>
    </row>
    <row r="60" spans="2:3" x14ac:dyDescent="0.25">
      <c r="C60" t="s">
        <v>1028</v>
      </c>
    </row>
    <row r="61" spans="2:3" x14ac:dyDescent="0.25">
      <c r="C61" t="s">
        <v>1029</v>
      </c>
    </row>
    <row r="62" spans="2:3" x14ac:dyDescent="0.25">
      <c r="C62" t="s">
        <v>1030</v>
      </c>
    </row>
    <row r="63" spans="2:3" x14ac:dyDescent="0.25">
      <c r="C63" t="s">
        <v>1086</v>
      </c>
    </row>
    <row r="64" spans="2:3" x14ac:dyDescent="0.25">
      <c r="C64" t="s">
        <v>1031</v>
      </c>
    </row>
    <row r="65" spans="3:3" x14ac:dyDescent="0.25">
      <c r="C65" t="s">
        <v>1032</v>
      </c>
    </row>
    <row r="66" spans="3:3" x14ac:dyDescent="0.25">
      <c r="C66" t="s">
        <v>1033</v>
      </c>
    </row>
    <row r="67" spans="3:3" x14ac:dyDescent="0.25">
      <c r="C67" t="s">
        <v>1034</v>
      </c>
    </row>
    <row r="68" spans="3:3" x14ac:dyDescent="0.25">
      <c r="C68" t="s">
        <v>1035</v>
      </c>
    </row>
    <row r="69" spans="3:3" x14ac:dyDescent="0.25">
      <c r="C69" t="s">
        <v>1036</v>
      </c>
    </row>
    <row r="70" spans="3:3" x14ac:dyDescent="0.25">
      <c r="C70" t="s">
        <v>1037</v>
      </c>
    </row>
    <row r="71" spans="3:3" x14ac:dyDescent="0.25">
      <c r="C71" t="s">
        <v>1038</v>
      </c>
    </row>
    <row r="72" spans="3:3" x14ac:dyDescent="0.25">
      <c r="C72" t="s">
        <v>1083</v>
      </c>
    </row>
    <row r="73" spans="3:3" x14ac:dyDescent="0.25">
      <c r="C73" t="s">
        <v>970</v>
      </c>
    </row>
    <row r="74" spans="3:3" x14ac:dyDescent="0.25">
      <c r="C74" t="s">
        <v>1039</v>
      </c>
    </row>
    <row r="75" spans="3:3" x14ac:dyDescent="0.25">
      <c r="C75" t="s">
        <v>1040</v>
      </c>
    </row>
    <row r="76" spans="3:3" x14ac:dyDescent="0.25">
      <c r="C76" t="s">
        <v>1041</v>
      </c>
    </row>
    <row r="77" spans="3:3" x14ac:dyDescent="0.25">
      <c r="C77" t="s">
        <v>1042</v>
      </c>
    </row>
    <row r="78" spans="3:3" x14ac:dyDescent="0.25">
      <c r="C78" t="s">
        <v>1043</v>
      </c>
    </row>
    <row r="79" spans="3:3" x14ac:dyDescent="0.25">
      <c r="C79" t="s">
        <v>1044</v>
      </c>
    </row>
    <row r="80" spans="3:3" x14ac:dyDescent="0.25">
      <c r="C80" t="s">
        <v>1045</v>
      </c>
    </row>
    <row r="81" spans="3:3" x14ac:dyDescent="0.25">
      <c r="C81" s="270" t="s">
        <v>1098</v>
      </c>
    </row>
    <row r="82" spans="3:3" x14ac:dyDescent="0.25">
      <c r="C82" t="s">
        <v>1046</v>
      </c>
    </row>
    <row r="83" spans="3:3" x14ac:dyDescent="0.25">
      <c r="C83" t="s">
        <v>1047</v>
      </c>
    </row>
    <row r="84" spans="3:3" x14ac:dyDescent="0.25">
      <c r="C84" t="s">
        <v>1048</v>
      </c>
    </row>
    <row r="85" spans="3:3" x14ac:dyDescent="0.25">
      <c r="C85" t="s">
        <v>1049</v>
      </c>
    </row>
    <row r="86" spans="3:3" x14ac:dyDescent="0.25">
      <c r="C86" t="s">
        <v>1050</v>
      </c>
    </row>
    <row r="87" spans="3:3" x14ac:dyDescent="0.25">
      <c r="C87" t="s">
        <v>1051</v>
      </c>
    </row>
    <row r="88" spans="3:3" x14ac:dyDescent="0.25">
      <c r="C88" t="s">
        <v>1052</v>
      </c>
    </row>
    <row r="89" spans="3:3" x14ac:dyDescent="0.25">
      <c r="C89" t="s">
        <v>1053</v>
      </c>
    </row>
    <row r="90" spans="3:3" x14ac:dyDescent="0.25">
      <c r="C90" t="s">
        <v>1054</v>
      </c>
    </row>
    <row r="91" spans="3:3" x14ac:dyDescent="0.25">
      <c r="C91" t="s">
        <v>1055</v>
      </c>
    </row>
    <row r="92" spans="3:3" x14ac:dyDescent="0.25">
      <c r="C92" t="s">
        <v>1056</v>
      </c>
    </row>
    <row r="93" spans="3:3" x14ac:dyDescent="0.25">
      <c r="C93" t="s">
        <v>1057</v>
      </c>
    </row>
    <row r="94" spans="3:3" x14ac:dyDescent="0.25">
      <c r="C94" t="s">
        <v>1058</v>
      </c>
    </row>
    <row r="95" spans="3:3" x14ac:dyDescent="0.25">
      <c r="C95" t="s">
        <v>1059</v>
      </c>
    </row>
    <row r="96" spans="3:3" x14ac:dyDescent="0.25">
      <c r="C96" t="s">
        <v>1060</v>
      </c>
    </row>
    <row r="97" spans="3:3" x14ac:dyDescent="0.25">
      <c r="C97" t="s">
        <v>1061</v>
      </c>
    </row>
    <row r="98" spans="3:3" x14ac:dyDescent="0.25">
      <c r="C98" t="s">
        <v>1062</v>
      </c>
    </row>
    <row r="99" spans="3:3" x14ac:dyDescent="0.25">
      <c r="C99" t="s">
        <v>1063</v>
      </c>
    </row>
    <row r="100" spans="3:3" x14ac:dyDescent="0.25">
      <c r="C100" t="s">
        <v>1064</v>
      </c>
    </row>
    <row r="101" spans="3:3" x14ac:dyDescent="0.25">
      <c r="C101" t="s">
        <v>1065</v>
      </c>
    </row>
    <row r="102" spans="3:3" x14ac:dyDescent="0.25">
      <c r="C102" t="s">
        <v>1066</v>
      </c>
    </row>
    <row r="103" spans="3:3" x14ac:dyDescent="0.25">
      <c r="C103" t="s">
        <v>1067</v>
      </c>
    </row>
    <row r="104" spans="3:3" x14ac:dyDescent="0.25">
      <c r="C104" t="s">
        <v>1068</v>
      </c>
    </row>
    <row r="105" spans="3:3" x14ac:dyDescent="0.25">
      <c r="C105" t="s">
        <v>1069</v>
      </c>
    </row>
    <row r="106" spans="3:3" x14ac:dyDescent="0.25">
      <c r="C106" t="s">
        <v>1070</v>
      </c>
    </row>
    <row r="107" spans="3:3" x14ac:dyDescent="0.25">
      <c r="C107" t="s">
        <v>1071</v>
      </c>
    </row>
    <row r="108" spans="3:3" x14ac:dyDescent="0.25">
      <c r="C108" t="s">
        <v>1072</v>
      </c>
    </row>
    <row r="109" spans="3:3" x14ac:dyDescent="0.25">
      <c r="C109" t="s">
        <v>1084</v>
      </c>
    </row>
    <row r="110" spans="3:3" x14ac:dyDescent="0.25">
      <c r="C110" t="s">
        <v>1073</v>
      </c>
    </row>
    <row r="111" spans="3:3" x14ac:dyDescent="0.25">
      <c r="C111" t="s">
        <v>1074</v>
      </c>
    </row>
    <row r="112" spans="3:3" x14ac:dyDescent="0.25">
      <c r="C112" t="s">
        <v>1075</v>
      </c>
    </row>
    <row r="113" spans="3:3" x14ac:dyDescent="0.25">
      <c r="C113" t="s">
        <v>1076</v>
      </c>
    </row>
    <row r="114" spans="3:3" x14ac:dyDescent="0.25">
      <c r="C114" t="s">
        <v>1077</v>
      </c>
    </row>
    <row r="115" spans="3:3" x14ac:dyDescent="0.25">
      <c r="C115" t="s">
        <v>1078</v>
      </c>
    </row>
    <row r="116" spans="3:3" x14ac:dyDescent="0.25">
      <c r="C116" t="s">
        <v>1079</v>
      </c>
    </row>
    <row r="117" spans="3:3" x14ac:dyDescent="0.25">
      <c r="C117" t="s">
        <v>1088</v>
      </c>
    </row>
    <row r="118" spans="3:3" x14ac:dyDescent="0.25">
      <c r="C118" t="s">
        <v>1080</v>
      </c>
    </row>
    <row r="119" spans="3:3" x14ac:dyDescent="0.25">
      <c r="C119" t="s">
        <v>1081</v>
      </c>
    </row>
    <row r="120" spans="3:3" x14ac:dyDescent="0.25">
      <c r="C120" t="s">
        <v>1082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905A6-0F9B-4EC5-B88C-9F24DC482E49}">
  <ds:schemaRefs>
    <ds:schemaRef ds:uri="http://schemas.microsoft.com/PowerBIAddIn"/>
  </ds:schemaRefs>
</ds:datastoreItem>
</file>

<file path=customXml/itemProps3.xml><?xml version="1.0" encoding="utf-8"?>
<ds:datastoreItem xmlns:ds="http://schemas.openxmlformats.org/officeDocument/2006/customXml" ds:itemID="{9260E2A2-458A-4131-974D-90B8E3F0314B}">
  <ds:schemaRefs>
    <ds:schemaRef ds:uri="http://schemas.microsoft.com/office/2006/metadata/properties"/>
    <ds:schemaRef ds:uri="http://schemas.microsoft.com/office/2006/documentManagement/types"/>
    <ds:schemaRef ds:uri="http://purl.org/dc/terms/"/>
    <ds:schemaRef ds:uri="http://www.w3.org/XML/1998/namespace"/>
    <ds:schemaRef ds:uri="http://schemas.microsoft.com/office/infopath/2007/PartnerControls"/>
    <ds:schemaRef ds:uri="http://purl.org/dc/elements/1.1/"/>
    <ds:schemaRef ds:uri="http://schemas.openxmlformats.org/package/2006/metadata/core-properties"/>
    <ds:schemaRef ds:uri="68a064a4-a90a-4333-83be-93c6a56d91fc"/>
    <ds:schemaRef ds:uri="0744c089-3c8b-41d7-9a15-aa5041886147"/>
    <ds:schemaRef ds:uri="http://purl.org/dc/dcmitype/"/>
  </ds:schemaRefs>
</ds:datastoreItem>
</file>

<file path=customXml/itemProps4.xml><?xml version="1.0" encoding="utf-8"?>
<ds:datastoreItem xmlns:ds="http://schemas.openxmlformats.org/officeDocument/2006/customXml" ds:itemID="{522C73E8-B7AC-4336-8CAF-7BE2549B00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2018-11-16T05:17:25Z</cp:lastPrinted>
  <dcterms:created xsi:type="dcterms:W3CDTF">2017-09-29T17:34:34Z</dcterms:created>
  <dcterms:modified xsi:type="dcterms:W3CDTF">2018-12-05T21:53:42Z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