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Meta!$C$2:$C$119</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5" i="3" l="1"/>
  <c r="U15" i="3" s="1"/>
  <c r="F1039" i="5" s="1"/>
  <c r="T14" i="3"/>
  <c r="U14" i="3" s="1"/>
  <c r="F963" i="5" s="1"/>
  <c r="T13" i="3"/>
  <c r="U13" i="3" s="1"/>
  <c r="F869" i="5" s="1"/>
  <c r="T12" i="3"/>
  <c r="U12" i="3" s="1"/>
  <c r="T11" i="3"/>
  <c r="U11" i="3" s="1"/>
  <c r="F11" i="3"/>
  <c r="T10" i="3"/>
  <c r="U10" i="3" s="1"/>
  <c r="F601" i="5" s="1"/>
  <c r="T9" i="3"/>
  <c r="U9" i="3" s="1"/>
  <c r="T8" i="3"/>
  <c r="U8" i="3" s="1"/>
  <c r="T7" i="3"/>
  <c r="U7" i="3" s="1"/>
  <c r="T6" i="3"/>
  <c r="U6" i="3" s="1"/>
  <c r="F317" i="5" s="1"/>
  <c r="T3" i="3"/>
  <c r="U3" i="3" s="1"/>
  <c r="F79"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F1043" i="5"/>
  <c r="K1042" i="5"/>
  <c r="L1042" i="5" s="1"/>
  <c r="K1041" i="5"/>
  <c r="L1041" i="5" s="1"/>
  <c r="K1040" i="5"/>
  <c r="L1040" i="5" s="1"/>
  <c r="K1039" i="5"/>
  <c r="L1039" i="5" s="1"/>
  <c r="K1038" i="5"/>
  <c r="L1038" i="5" s="1"/>
  <c r="K1037" i="5"/>
  <c r="L1037" i="5" s="1"/>
  <c r="F1037" i="5"/>
  <c r="K1036" i="5"/>
  <c r="L1036" i="5" s="1"/>
  <c r="K1035" i="5"/>
  <c r="L1035" i="5" s="1"/>
  <c r="F1035" i="5"/>
  <c r="K1034" i="5"/>
  <c r="L1034" i="5" s="1"/>
  <c r="K1033" i="5"/>
  <c r="L1033" i="5" s="1"/>
  <c r="K1032" i="5"/>
  <c r="L1032" i="5" s="1"/>
  <c r="K1031" i="5"/>
  <c r="L1031" i="5" s="1"/>
  <c r="K1030" i="5"/>
  <c r="L1030" i="5" s="1"/>
  <c r="K1029" i="5"/>
  <c r="L1029" i="5" s="1"/>
  <c r="F1029" i="5"/>
  <c r="K1028" i="5"/>
  <c r="L1028" i="5" s="1"/>
  <c r="K1027" i="5"/>
  <c r="L1027" i="5" s="1"/>
  <c r="F1027" i="5"/>
  <c r="K1026" i="5"/>
  <c r="L1026" i="5" s="1"/>
  <c r="K1025" i="5"/>
  <c r="L1025" i="5" s="1"/>
  <c r="K1024" i="5"/>
  <c r="L1024" i="5" s="1"/>
  <c r="K1023" i="5"/>
  <c r="L1023" i="5" s="1"/>
  <c r="K1022" i="5"/>
  <c r="L1022" i="5" s="1"/>
  <c r="K1021" i="5"/>
  <c r="L1021" i="5" s="1"/>
  <c r="F1021" i="5"/>
  <c r="K1020" i="5"/>
  <c r="L1020" i="5" s="1"/>
  <c r="K1019" i="5"/>
  <c r="L1019" i="5" s="1"/>
  <c r="F1019" i="5"/>
  <c r="K1018" i="5"/>
  <c r="L1018" i="5" s="1"/>
  <c r="K1017" i="5"/>
  <c r="L1017" i="5" s="1"/>
  <c r="K1016" i="5"/>
  <c r="L1016" i="5" s="1"/>
  <c r="K1015" i="5"/>
  <c r="L1015" i="5" s="1"/>
  <c r="K1014" i="5"/>
  <c r="L1014" i="5" s="1"/>
  <c r="K1013" i="5"/>
  <c r="L1013" i="5" s="1"/>
  <c r="F1013" i="5"/>
  <c r="K1012" i="5"/>
  <c r="L1012" i="5" s="1"/>
  <c r="K1011" i="5"/>
  <c r="L1011" i="5" s="1"/>
  <c r="F1011" i="5"/>
  <c r="K1010" i="5"/>
  <c r="L1010" i="5" s="1"/>
  <c r="K1009" i="5"/>
  <c r="L1009" i="5" s="1"/>
  <c r="K1008" i="5"/>
  <c r="L1008" i="5" s="1"/>
  <c r="K1007" i="5"/>
  <c r="L1007" i="5" s="1"/>
  <c r="K1006" i="5"/>
  <c r="L1006" i="5" s="1"/>
  <c r="K1005" i="5"/>
  <c r="L1005" i="5" s="1"/>
  <c r="F1005" i="5"/>
  <c r="K1004" i="5"/>
  <c r="L1004" i="5" s="1"/>
  <c r="K1003" i="5"/>
  <c r="L1003" i="5" s="1"/>
  <c r="F1003" i="5"/>
  <c r="K1002" i="5"/>
  <c r="L1002" i="5" s="1"/>
  <c r="K1001" i="5"/>
  <c r="L1001" i="5" s="1"/>
  <c r="K1000" i="5"/>
  <c r="L1000" i="5" s="1"/>
  <c r="K999" i="5"/>
  <c r="L999" i="5" s="1"/>
  <c r="K998" i="5"/>
  <c r="L998" i="5" s="1"/>
  <c r="K997" i="5"/>
  <c r="L997" i="5" s="1"/>
  <c r="F997" i="5"/>
  <c r="K996" i="5"/>
  <c r="L996" i="5" s="1"/>
  <c r="K995" i="5"/>
  <c r="L995" i="5" s="1"/>
  <c r="F995" i="5"/>
  <c r="K994" i="5"/>
  <c r="L994" i="5" s="1"/>
  <c r="K993" i="5"/>
  <c r="L993" i="5" s="1"/>
  <c r="K992" i="5"/>
  <c r="L992" i="5" s="1"/>
  <c r="K991" i="5"/>
  <c r="L991" i="5" s="1"/>
  <c r="K990" i="5"/>
  <c r="L990" i="5" s="1"/>
  <c r="K989" i="5"/>
  <c r="L989" i="5" s="1"/>
  <c r="F989" i="5"/>
  <c r="K988" i="5"/>
  <c r="L988" i="5" s="1"/>
  <c r="K987" i="5"/>
  <c r="L987" i="5" s="1"/>
  <c r="F987" i="5"/>
  <c r="K986" i="5"/>
  <c r="L986" i="5" s="1"/>
  <c r="K985" i="5"/>
  <c r="L985" i="5" s="1"/>
  <c r="K984" i="5"/>
  <c r="L984" i="5" s="1"/>
  <c r="K983" i="5"/>
  <c r="L983" i="5" s="1"/>
  <c r="K982" i="5"/>
  <c r="L982" i="5" s="1"/>
  <c r="K981" i="5"/>
  <c r="L981" i="5" s="1"/>
  <c r="F981" i="5"/>
  <c r="K980" i="5"/>
  <c r="L980" i="5" s="1"/>
  <c r="K979" i="5"/>
  <c r="L979" i="5" s="1"/>
  <c r="F979" i="5"/>
  <c r="K978" i="5"/>
  <c r="L978" i="5" s="1"/>
  <c r="K977" i="5"/>
  <c r="L977" i="5" s="1"/>
  <c r="K976" i="5"/>
  <c r="L976" i="5" s="1"/>
  <c r="K975" i="5"/>
  <c r="L975" i="5" s="1"/>
  <c r="K974" i="5"/>
  <c r="L974" i="5" s="1"/>
  <c r="K973" i="5"/>
  <c r="L973" i="5" s="1"/>
  <c r="F973" i="5"/>
  <c r="K972" i="5"/>
  <c r="L972" i="5" s="1"/>
  <c r="K971" i="5"/>
  <c r="L971" i="5" s="1"/>
  <c r="F971" i="5"/>
  <c r="K970" i="5"/>
  <c r="L970" i="5" s="1"/>
  <c r="K969" i="5"/>
  <c r="L969" i="5" s="1"/>
  <c r="K968" i="5"/>
  <c r="L968" i="5" s="1"/>
  <c r="K967" i="5"/>
  <c r="L967" i="5" s="1"/>
  <c r="K966" i="5"/>
  <c r="L966" i="5" s="1"/>
  <c r="K965" i="5"/>
  <c r="L965" i="5" s="1"/>
  <c r="F965" i="5"/>
  <c r="K964" i="5"/>
  <c r="L964" i="5" s="1"/>
  <c r="K963" i="5"/>
  <c r="L963" i="5" s="1"/>
  <c r="K962" i="5"/>
  <c r="L962" i="5" s="1"/>
  <c r="K961" i="5"/>
  <c r="L961" i="5" s="1"/>
  <c r="F961" i="5"/>
  <c r="K960" i="5"/>
  <c r="L960" i="5" s="1"/>
  <c r="K959" i="5"/>
  <c r="L959" i="5" s="1"/>
  <c r="F959" i="5"/>
  <c r="K958" i="5"/>
  <c r="L958" i="5" s="1"/>
  <c r="K957" i="5"/>
  <c r="L957" i="5" s="1"/>
  <c r="K956" i="5"/>
  <c r="L956" i="5" s="1"/>
  <c r="K955" i="5"/>
  <c r="L955" i="5" s="1"/>
  <c r="K954" i="5"/>
  <c r="L954" i="5" s="1"/>
  <c r="K953" i="5"/>
  <c r="L953" i="5" s="1"/>
  <c r="K952" i="5"/>
  <c r="L952" i="5" s="1"/>
  <c r="K951" i="5"/>
  <c r="L951" i="5" s="1"/>
  <c r="K950" i="5"/>
  <c r="L950" i="5" s="1"/>
  <c r="K949" i="5"/>
  <c r="L949" i="5" s="1"/>
  <c r="F949" i="5"/>
  <c r="K948" i="5"/>
  <c r="L948" i="5" s="1"/>
  <c r="K947" i="5"/>
  <c r="L947" i="5" s="1"/>
  <c r="K946" i="5"/>
  <c r="L946" i="5" s="1"/>
  <c r="K945" i="5"/>
  <c r="L945" i="5" s="1"/>
  <c r="K944" i="5"/>
  <c r="L944" i="5" s="1"/>
  <c r="K943" i="5"/>
  <c r="L943" i="5" s="1"/>
  <c r="K942" i="5"/>
  <c r="L942" i="5" s="1"/>
  <c r="K941" i="5"/>
  <c r="L941" i="5" s="1"/>
  <c r="F941" i="5"/>
  <c r="K940" i="5"/>
  <c r="L940" i="5" s="1"/>
  <c r="K939" i="5"/>
  <c r="L939" i="5" s="1"/>
  <c r="K938" i="5"/>
  <c r="L938" i="5" s="1"/>
  <c r="K937" i="5"/>
  <c r="L937" i="5" s="1"/>
  <c r="K936" i="5"/>
  <c r="L936" i="5" s="1"/>
  <c r="K935" i="5"/>
  <c r="L935" i="5" s="1"/>
  <c r="F935" i="5"/>
  <c r="K934" i="5"/>
  <c r="L934" i="5" s="1"/>
  <c r="K933" i="5"/>
  <c r="L933" i="5" s="1"/>
  <c r="F933" i="5"/>
  <c r="K932" i="5"/>
  <c r="L932" i="5" s="1"/>
  <c r="K931" i="5"/>
  <c r="L931" i="5" s="1"/>
  <c r="K930" i="5"/>
  <c r="L930" i="5" s="1"/>
  <c r="K929" i="5"/>
  <c r="L929" i="5" s="1"/>
  <c r="F929" i="5"/>
  <c r="K928" i="5"/>
  <c r="L928" i="5" s="1"/>
  <c r="K927" i="5"/>
  <c r="L927" i="5" s="1"/>
  <c r="F927" i="5"/>
  <c r="K926" i="5"/>
  <c r="L926" i="5" s="1"/>
  <c r="K925" i="5"/>
  <c r="L925" i="5" s="1"/>
  <c r="K924" i="5"/>
  <c r="L924" i="5" s="1"/>
  <c r="K923" i="5"/>
  <c r="L923" i="5" s="1"/>
  <c r="K922" i="5"/>
  <c r="L922" i="5" s="1"/>
  <c r="K921" i="5"/>
  <c r="L921" i="5" s="1"/>
  <c r="F921" i="5"/>
  <c r="K920" i="5"/>
  <c r="L920" i="5" s="1"/>
  <c r="K919" i="5"/>
  <c r="L919" i="5" s="1"/>
  <c r="K918" i="5"/>
  <c r="L918" i="5" s="1"/>
  <c r="K917" i="5"/>
  <c r="L917" i="5" s="1"/>
  <c r="F917" i="5"/>
  <c r="K916" i="5"/>
  <c r="L916" i="5" s="1"/>
  <c r="K915" i="5"/>
  <c r="L915" i="5" s="1"/>
  <c r="K914" i="5"/>
  <c r="L914" i="5" s="1"/>
  <c r="K913" i="5"/>
  <c r="L913" i="5" s="1"/>
  <c r="K912" i="5"/>
  <c r="L912" i="5" s="1"/>
  <c r="K911" i="5"/>
  <c r="L911" i="5" s="1"/>
  <c r="F911" i="5"/>
  <c r="K910" i="5"/>
  <c r="L910" i="5" s="1"/>
  <c r="K909" i="5"/>
  <c r="L909" i="5" s="1"/>
  <c r="K908" i="5"/>
  <c r="L908" i="5" s="1"/>
  <c r="K907" i="5"/>
  <c r="L907" i="5" s="1"/>
  <c r="K906" i="5"/>
  <c r="L906" i="5" s="1"/>
  <c r="K905" i="5"/>
  <c r="L905" i="5" s="1"/>
  <c r="F905" i="5"/>
  <c r="K904" i="5"/>
  <c r="L904" i="5" s="1"/>
  <c r="K903" i="5"/>
  <c r="L903" i="5" s="1"/>
  <c r="K902" i="5"/>
  <c r="L902" i="5" s="1"/>
  <c r="K901" i="5"/>
  <c r="L901" i="5" s="1"/>
  <c r="F901" i="5"/>
  <c r="K900" i="5"/>
  <c r="L900" i="5" s="1"/>
  <c r="K899" i="5"/>
  <c r="L899" i="5" s="1"/>
  <c r="K898" i="5"/>
  <c r="L898" i="5" s="1"/>
  <c r="K897" i="5"/>
  <c r="L897" i="5" s="1"/>
  <c r="K896" i="5"/>
  <c r="L896" i="5" s="1"/>
  <c r="K895" i="5"/>
  <c r="L895" i="5" s="1"/>
  <c r="F895" i="5"/>
  <c r="K894" i="5"/>
  <c r="L894" i="5" s="1"/>
  <c r="K893" i="5"/>
  <c r="L893" i="5" s="1"/>
  <c r="K892" i="5"/>
  <c r="L892" i="5" s="1"/>
  <c r="K891" i="5"/>
  <c r="L891" i="5" s="1"/>
  <c r="K890" i="5"/>
  <c r="L890" i="5" s="1"/>
  <c r="K889" i="5"/>
  <c r="L889" i="5" s="1"/>
  <c r="F889" i="5"/>
  <c r="K888" i="5"/>
  <c r="L888" i="5" s="1"/>
  <c r="K887" i="5"/>
  <c r="L887" i="5" s="1"/>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F722" i="5"/>
  <c r="K721" i="5"/>
  <c r="L721" i="5" s="1"/>
  <c r="F721" i="5"/>
  <c r="K720" i="5"/>
  <c r="L720" i="5" s="1"/>
  <c r="F720" i="5"/>
  <c r="K719" i="5"/>
  <c r="L719" i="5" s="1"/>
  <c r="F719" i="5"/>
  <c r="K718" i="5"/>
  <c r="L718" i="5" s="1"/>
  <c r="F718" i="5"/>
  <c r="K717" i="5"/>
  <c r="L717" i="5" s="1"/>
  <c r="F717" i="5"/>
  <c r="K716" i="5"/>
  <c r="L716" i="5" s="1"/>
  <c r="F716" i="5"/>
  <c r="K715" i="5"/>
  <c r="L715" i="5" s="1"/>
  <c r="F715" i="5"/>
  <c r="K714" i="5"/>
  <c r="L714" i="5" s="1"/>
  <c r="F714" i="5"/>
  <c r="K713" i="5"/>
  <c r="L713" i="5" s="1"/>
  <c r="F713" i="5"/>
  <c r="K712" i="5"/>
  <c r="L712" i="5" s="1"/>
  <c r="F712" i="5"/>
  <c r="K711" i="5"/>
  <c r="L711" i="5" s="1"/>
  <c r="F711" i="5"/>
  <c r="K710" i="5"/>
  <c r="L710" i="5" s="1"/>
  <c r="F710" i="5"/>
  <c r="K709" i="5"/>
  <c r="L709" i="5" s="1"/>
  <c r="F709" i="5"/>
  <c r="K708" i="5"/>
  <c r="L708" i="5" s="1"/>
  <c r="F708" i="5"/>
  <c r="K707" i="5"/>
  <c r="L707" i="5" s="1"/>
  <c r="F707" i="5"/>
  <c r="K706" i="5"/>
  <c r="L706" i="5" s="1"/>
  <c r="F706" i="5"/>
  <c r="K705" i="5"/>
  <c r="L705" i="5" s="1"/>
  <c r="F705" i="5"/>
  <c r="K704" i="5"/>
  <c r="L704" i="5" s="1"/>
  <c r="F704" i="5"/>
  <c r="K703" i="5"/>
  <c r="L703" i="5" s="1"/>
  <c r="F703" i="5"/>
  <c r="K702" i="5"/>
  <c r="L702" i="5" s="1"/>
  <c r="F702" i="5"/>
  <c r="K701" i="5"/>
  <c r="L701" i="5" s="1"/>
  <c r="F701" i="5"/>
  <c r="K700" i="5"/>
  <c r="L700" i="5" s="1"/>
  <c r="F700" i="5"/>
  <c r="K699" i="5"/>
  <c r="L699" i="5" s="1"/>
  <c r="F699" i="5"/>
  <c r="K698" i="5"/>
  <c r="L698" i="5" s="1"/>
  <c r="F698" i="5"/>
  <c r="K697" i="5"/>
  <c r="L697" i="5" s="1"/>
  <c r="F697" i="5"/>
  <c r="K696" i="5"/>
  <c r="L696" i="5" s="1"/>
  <c r="F696" i="5"/>
  <c r="K695" i="5"/>
  <c r="L695" i="5" s="1"/>
  <c r="F695" i="5"/>
  <c r="K694" i="5"/>
  <c r="L694" i="5" s="1"/>
  <c r="F694" i="5"/>
  <c r="K693" i="5"/>
  <c r="L693" i="5" s="1"/>
  <c r="F693" i="5"/>
  <c r="K692" i="5"/>
  <c r="L692" i="5" s="1"/>
  <c r="F692" i="5"/>
  <c r="K691" i="5"/>
  <c r="L691" i="5" s="1"/>
  <c r="F691" i="5"/>
  <c r="K690" i="5"/>
  <c r="L690" i="5" s="1"/>
  <c r="F690" i="5"/>
  <c r="K689" i="5"/>
  <c r="L689" i="5" s="1"/>
  <c r="F689" i="5"/>
  <c r="K688" i="5"/>
  <c r="L688" i="5" s="1"/>
  <c r="F688" i="5"/>
  <c r="K687" i="5"/>
  <c r="L687" i="5" s="1"/>
  <c r="F687" i="5"/>
  <c r="K686" i="5"/>
  <c r="L686" i="5" s="1"/>
  <c r="F686" i="5"/>
  <c r="K685" i="5"/>
  <c r="L685" i="5" s="1"/>
  <c r="F685" i="5"/>
  <c r="K684" i="5"/>
  <c r="L684" i="5" s="1"/>
  <c r="F684" i="5"/>
  <c r="K683" i="5"/>
  <c r="L683" i="5" s="1"/>
  <c r="F683" i="5"/>
  <c r="K682" i="5"/>
  <c r="L682" i="5" s="1"/>
  <c r="F682" i="5"/>
  <c r="K681" i="5"/>
  <c r="L681" i="5" s="1"/>
  <c r="F681" i="5"/>
  <c r="K680" i="5"/>
  <c r="L680" i="5" s="1"/>
  <c r="F680" i="5"/>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F477" i="5"/>
  <c r="K476" i="5"/>
  <c r="L476" i="5" s="1"/>
  <c r="K475" i="5"/>
  <c r="L475" i="5" s="1"/>
  <c r="K474" i="5"/>
  <c r="L474" i="5" s="1"/>
  <c r="K473" i="5"/>
  <c r="L473" i="5" s="1"/>
  <c r="F473" i="5"/>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F461" i="5"/>
  <c r="K460" i="5"/>
  <c r="L460" i="5" s="1"/>
  <c r="K459" i="5"/>
  <c r="L459" i="5" s="1"/>
  <c r="K458" i="5"/>
  <c r="L458" i="5" s="1"/>
  <c r="K457" i="5"/>
  <c r="L457" i="5" s="1"/>
  <c r="F457" i="5"/>
  <c r="K456" i="5"/>
  <c r="L456" i="5" s="1"/>
  <c r="K455" i="5"/>
  <c r="L455" i="5" s="1"/>
  <c r="K454" i="5"/>
  <c r="L454" i="5" s="1"/>
  <c r="K453" i="5"/>
  <c r="L453" i="5" s="1"/>
  <c r="F453" i="5"/>
  <c r="K452" i="5"/>
  <c r="L452" i="5" s="1"/>
  <c r="K451" i="5"/>
  <c r="L451" i="5" s="1"/>
  <c r="K450" i="5"/>
  <c r="L450" i="5" s="1"/>
  <c r="K449" i="5"/>
  <c r="L449" i="5" s="1"/>
  <c r="F449" i="5"/>
  <c r="K448" i="5"/>
  <c r="L448" i="5" s="1"/>
  <c r="K447" i="5"/>
  <c r="L447" i="5" s="1"/>
  <c r="K446" i="5"/>
  <c r="L446" i="5" s="1"/>
  <c r="K445" i="5"/>
  <c r="L445" i="5" s="1"/>
  <c r="F445" i="5"/>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F433" i="5"/>
  <c r="K432" i="5"/>
  <c r="L432" i="5" s="1"/>
  <c r="K431" i="5"/>
  <c r="L431" i="5" s="1"/>
  <c r="K430" i="5"/>
  <c r="L430" i="5" s="1"/>
  <c r="K429" i="5"/>
  <c r="L429" i="5" s="1"/>
  <c r="F429" i="5"/>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F413" i="5"/>
  <c r="K412" i="5"/>
  <c r="L412" i="5" s="1"/>
  <c r="K411" i="5"/>
  <c r="L411" i="5" s="1"/>
  <c r="K410" i="5"/>
  <c r="L410" i="5" s="1"/>
  <c r="K409" i="5"/>
  <c r="L409" i="5" s="1"/>
  <c r="F409" i="5"/>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F57" i="5"/>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KX6" i="7"/>
  <c r="DF5" i="7"/>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S20" i="2"/>
  <c r="Q20" i="2"/>
  <c r="P20" i="2"/>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AN13" i="2"/>
  <c r="AJ13" i="2"/>
  <c r="AF13" i="2"/>
  <c r="M11" i="2"/>
  <c r="S5" i="2"/>
  <c r="MP13" i="7" s="1"/>
  <c r="H17" i="16"/>
  <c r="H15" i="16"/>
  <c r="C47" i="24"/>
  <c r="C49" i="24"/>
  <c r="C44" i="24"/>
  <c r="C43" i="24"/>
  <c r="C48" i="24"/>
  <c r="C46" i="24"/>
  <c r="C45" i="24"/>
  <c r="K17" i="2"/>
  <c r="C42" i="24"/>
  <c r="E49" i="24"/>
  <c r="E48" i="24"/>
  <c r="E47" i="24"/>
  <c r="E46" i="24"/>
  <c r="E45" i="24"/>
  <c r="E44" i="24"/>
  <c r="E43" i="24"/>
  <c r="E42" i="24"/>
  <c r="E41" i="24"/>
  <c r="C41" i="24"/>
  <c r="F305" i="5" l="1"/>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B121" i="2" l="1"/>
  <c r="J31" i="2"/>
  <c r="J177" i="2"/>
  <c r="J178" i="2" s="1"/>
  <c r="E177" i="2" s="1"/>
  <c r="D156" i="2"/>
  <c r="I139" i="2"/>
  <c r="D138" i="2" s="1"/>
  <c r="I193" i="2"/>
  <c r="H193" i="2" s="1"/>
  <c r="C192" i="2" s="1"/>
  <c r="B122" i="2"/>
  <c r="E30"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I31" i="2"/>
  <c r="B31" i="2"/>
  <c r="J32" i="2"/>
  <c r="E31" i="2" s="1"/>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J196" i="2" l="1"/>
  <c r="E195" i="2" s="1"/>
  <c r="H139" i="2"/>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C138" i="2"/>
  <c r="H140" i="2"/>
  <c r="B20" i="2"/>
  <c r="G4" i="19" s="1"/>
  <c r="I20" i="2"/>
  <c r="J21" i="2"/>
  <c r="E20" i="2" s="1"/>
  <c r="C70" i="2"/>
  <c r="B178" i="2"/>
  <c r="J179" i="2"/>
  <c r="I178" i="2"/>
  <c r="E176" i="2"/>
  <c r="B32" i="2"/>
  <c r="I32" i="2"/>
  <c r="D31" i="2" s="1"/>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D175" i="2" l="1"/>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H142" i="2"/>
  <c r="C140" i="2" s="1"/>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Y25" i="2"/>
  <c r="Z110" i="2"/>
  <c r="Z32" i="2"/>
  <c r="Y69" i="2"/>
  <c r="X50" i="2"/>
  <c r="X198" i="2"/>
  <c r="Y76" i="2"/>
  <c r="Z206" i="2"/>
  <c r="Z55" i="2"/>
  <c r="Y151" i="2"/>
  <c r="X62" i="2"/>
  <c r="Z59" i="2"/>
  <c r="Z21" i="2"/>
  <c r="Z201" i="2"/>
  <c r="Y23" i="2"/>
  <c r="X208" i="2"/>
  <c r="X122" i="2"/>
  <c r="Z152" i="2"/>
  <c r="Z20" i="2"/>
  <c r="X108" i="2"/>
  <c r="Y100" i="2"/>
  <c r="X114" i="2"/>
  <c r="Y113" i="2"/>
  <c r="Z124" i="2"/>
  <c r="Y57" i="2"/>
  <c r="Y133" i="2"/>
  <c r="Y200" i="2"/>
  <c r="Y161" i="2"/>
  <c r="Z106" i="2"/>
  <c r="X123" i="2"/>
  <c r="Z150" i="2"/>
  <c r="Z129" i="2"/>
  <c r="X73" i="2"/>
  <c r="X165" i="2"/>
  <c r="Z81" i="2"/>
  <c r="X110" i="2"/>
  <c r="X104" i="2"/>
  <c r="Z76" i="2"/>
  <c r="Y116" i="2"/>
  <c r="Z40" i="2"/>
  <c r="Y135" i="2"/>
  <c r="X146" i="2"/>
  <c r="X132" i="2"/>
  <c r="Z99" i="2"/>
  <c r="X164" i="2"/>
  <c r="X148" i="2"/>
  <c r="Y104" i="2"/>
  <c r="Y92" i="2"/>
  <c r="X56" i="2"/>
  <c r="Z169" i="2"/>
  <c r="Y63" i="2"/>
  <c r="X154" i="2"/>
  <c r="Y149" i="2"/>
  <c r="X107" i="2"/>
  <c r="X158" i="2"/>
  <c r="X41" i="2"/>
  <c r="Y18" i="2"/>
  <c r="Y145" i="2"/>
  <c r="Y186" i="2"/>
  <c r="X125" i="2"/>
  <c r="Z77" i="2"/>
  <c r="X44" i="2"/>
  <c r="Z149" i="2"/>
  <c r="Z107" i="2"/>
  <c r="Z46" i="2"/>
  <c r="Y158" i="2"/>
  <c r="X52" i="2"/>
  <c r="X191" i="2"/>
  <c r="Y179" i="2"/>
  <c r="Z195" i="2"/>
  <c r="Z144" i="2"/>
  <c r="Z39" i="2"/>
  <c r="X72" i="2"/>
  <c r="X25" i="2"/>
  <c r="Z35" i="2"/>
  <c r="Z67" i="2"/>
  <c r="X170" i="2"/>
  <c r="Z57" i="2"/>
  <c r="X180" i="2"/>
  <c r="Z61" i="2"/>
  <c r="Z174" i="2"/>
  <c r="Z71" i="2"/>
  <c r="Z162" i="2"/>
  <c r="X63" i="2"/>
  <c r="Y136" i="2"/>
  <c r="Z23" i="2"/>
  <c r="Z97" i="2"/>
  <c r="Y180" i="2"/>
  <c r="Z188" i="2"/>
  <c r="X186" i="2"/>
  <c r="Z203" i="2"/>
  <c r="X45" i="2"/>
  <c r="Z178" i="2"/>
  <c r="X207" i="2"/>
  <c r="X150" i="2"/>
  <c r="Y162" i="2"/>
  <c r="Y196" i="2"/>
  <c r="X155" i="2"/>
  <c r="Y89" i="2"/>
  <c r="Z112" i="2"/>
  <c r="Y96" i="2"/>
  <c r="Y95" i="2"/>
  <c r="X51" i="2"/>
  <c r="X196" i="2"/>
  <c r="Z54" i="2"/>
  <c r="Z199" i="2"/>
  <c r="X22" i="2"/>
  <c r="Z117" i="2"/>
  <c r="Z125" i="2"/>
  <c r="X96" i="2"/>
  <c r="Z184" i="2"/>
  <c r="Z85" i="2"/>
  <c r="Y191" i="2"/>
  <c r="Z153" i="2"/>
  <c r="X206" i="2"/>
  <c r="X134" i="2"/>
  <c r="X39" i="2"/>
  <c r="Z191" i="2"/>
  <c r="Z26" i="2"/>
  <c r="Y74" i="2"/>
  <c r="Z165" i="2"/>
  <c r="X83" i="2"/>
  <c r="Y51" i="2"/>
  <c r="Z36" i="2"/>
  <c r="X18" i="2"/>
  <c r="X169" i="2"/>
  <c r="X35" i="2"/>
  <c r="Z41" i="2"/>
  <c r="Y144" i="2"/>
  <c r="X47" i="2"/>
  <c r="X80" i="2"/>
  <c r="Y75" i="2"/>
  <c r="Y208" i="2"/>
  <c r="X84" i="2"/>
  <c r="X90" i="2"/>
  <c r="X79" i="2"/>
  <c r="Z171" i="2"/>
  <c r="X89" i="2"/>
  <c r="Z122" i="2"/>
  <c r="X113" i="2"/>
  <c r="Z50" i="2"/>
  <c r="Y125" i="2"/>
  <c r="X53" i="2"/>
  <c r="X106" i="2"/>
  <c r="X147" i="2"/>
  <c r="Z140" i="2"/>
  <c r="Y172" i="2"/>
  <c r="Z167" i="2"/>
  <c r="X183" i="2"/>
  <c r="Z175" i="2"/>
  <c r="Z113" i="2"/>
  <c r="X128" i="2"/>
  <c r="X100" i="2"/>
  <c r="Z208" i="2"/>
  <c r="Y165" i="2"/>
  <c r="Z31" i="2"/>
  <c r="X38" i="2"/>
  <c r="Z190" i="2"/>
  <c r="Y29" i="2"/>
  <c r="X54" i="2"/>
  <c r="X115" i="2"/>
  <c r="Y64" i="2"/>
  <c r="X137" i="2"/>
  <c r="Y131" i="2"/>
  <c r="X127" i="2"/>
  <c r="Y147" i="2"/>
  <c r="Y117" i="2"/>
  <c r="Z92" i="2"/>
  <c r="Y142" i="2"/>
  <c r="X116" i="2"/>
  <c r="Y164" i="2"/>
  <c r="Z159" i="2"/>
  <c r="X195" i="2"/>
  <c r="Y168" i="2"/>
  <c r="Z89" i="2"/>
  <c r="X194" i="2"/>
  <c r="Z19" i="2"/>
  <c r="Y38" i="2"/>
  <c r="X27" i="2"/>
  <c r="Z173" i="2"/>
  <c r="X43" i="2"/>
  <c r="Z202" i="2"/>
  <c r="Y83" i="2"/>
  <c r="Z186" i="2"/>
  <c r="Z68" i="2"/>
  <c r="X201" i="2"/>
  <c r="Y184" i="2"/>
  <c r="Y39" i="2"/>
  <c r="X190" i="2"/>
  <c r="Y193" i="2"/>
  <c r="Z43" i="2"/>
  <c r="Y141" i="2"/>
  <c r="Y70" i="2"/>
  <c r="Y119" i="2"/>
  <c r="Y88" i="2"/>
  <c r="X159" i="2"/>
  <c r="X142" i="2"/>
  <c r="X167" i="2"/>
  <c r="X30" i="2"/>
  <c r="Z116" i="2"/>
  <c r="Y37" i="2"/>
  <c r="X82" i="2"/>
  <c r="Z72" i="2"/>
  <c r="X204" i="2"/>
  <c r="Z91" i="2"/>
  <c r="X181" i="2"/>
  <c r="Z88" i="2"/>
  <c r="Y176" i="2"/>
  <c r="Y105" i="2"/>
  <c r="Z142" i="2"/>
  <c r="Z56" i="2"/>
  <c r="Y129" i="2"/>
  <c r="Z78" i="2"/>
  <c r="X118" i="2"/>
  <c r="X174" i="2"/>
  <c r="Z126" i="2"/>
  <c r="Z194" i="2"/>
  <c r="X184" i="2"/>
  <c r="X151" i="2"/>
  <c r="X135" i="2"/>
  <c r="X166" i="2"/>
  <c r="X42" i="2"/>
  <c r="Z182" i="2"/>
  <c r="Z197" i="2"/>
  <c r="X121" i="2"/>
  <c r="Y205" i="2"/>
  <c r="Z44" i="2"/>
  <c r="Y166" i="2"/>
  <c r="X75" i="2"/>
  <c r="X40" i="2"/>
  <c r="Y103" i="2"/>
  <c r="Y175" i="2"/>
  <c r="Z42" i="2"/>
  <c r="X129" i="2"/>
  <c r="Y79" i="2"/>
  <c r="X94" i="2"/>
  <c r="Y107" i="2"/>
  <c r="Z49" i="2"/>
  <c r="X145" i="2"/>
  <c r="Z193" i="2"/>
  <c r="Y47" i="2"/>
  <c r="X187" i="2"/>
  <c r="Y114" i="2"/>
  <c r="Z200" i="2"/>
  <c r="Y139" i="2"/>
  <c r="Y20" i="2"/>
  <c r="Z93" i="2"/>
  <c r="Y185" i="2"/>
  <c r="Z100" i="2"/>
  <c r="X177" i="2"/>
  <c r="Z128" i="2"/>
  <c r="Z121" i="2"/>
  <c r="Y163" i="2"/>
  <c r="Z141" i="2"/>
  <c r="Z73" i="2"/>
  <c r="Z27" i="2"/>
  <c r="X59" i="2"/>
  <c r="X78" i="2"/>
  <c r="Y48" i="2"/>
  <c r="X143" i="2"/>
  <c r="Y148" i="2"/>
  <c r="Z133" i="2"/>
  <c r="X71" i="2"/>
  <c r="Y28" i="2"/>
  <c r="Z64" i="2"/>
  <c r="Z51" i="2"/>
  <c r="X49" i="2"/>
  <c r="Y84" i="2"/>
  <c r="Y45" i="2"/>
  <c r="Y65" i="2"/>
  <c r="Z29" i="2"/>
  <c r="Z37" i="2"/>
  <c r="Y55" i="2"/>
  <c r="Z70" i="2"/>
  <c r="X81" i="2"/>
  <c r="Z163" i="2"/>
  <c r="X69" i="2"/>
  <c r="Y182" i="2"/>
  <c r="Z134" i="2"/>
  <c r="Z166" i="2"/>
  <c r="Z102" i="2"/>
  <c r="X48" i="2"/>
  <c r="Y46" i="2"/>
  <c r="Y60" i="2"/>
  <c r="Z82" i="2"/>
  <c r="Y91" i="2"/>
  <c r="Z69" i="2"/>
  <c r="Z196" i="2"/>
  <c r="Z168" i="2"/>
  <c r="Y52" i="2"/>
  <c r="Z115" i="2"/>
  <c r="Y159" i="2"/>
  <c r="Y134" i="2"/>
  <c r="Z58" i="2"/>
  <c r="Y160" i="2"/>
  <c r="Y82" i="2"/>
  <c r="Y130" i="2"/>
  <c r="Y101" i="2"/>
  <c r="Z136" i="2"/>
  <c r="Z105" i="2"/>
  <c r="Z28" i="2"/>
  <c r="X189" i="2"/>
  <c r="X153" i="2"/>
  <c r="Y178" i="2"/>
  <c r="Y150" i="2"/>
  <c r="X92" i="2"/>
  <c r="Z161" i="2"/>
  <c r="Y199" i="2"/>
  <c r="X163" i="2"/>
  <c r="Z79" i="2"/>
  <c r="Z147" i="2"/>
  <c r="Y62" i="2"/>
  <c r="Y174" i="2"/>
  <c r="Y209" i="2"/>
  <c r="X141" i="2"/>
  <c r="Y54" i="2"/>
  <c r="Y155" i="2"/>
  <c r="Y53" i="2"/>
  <c r="X33" i="2"/>
  <c r="Z146" i="2"/>
  <c r="Z185" i="2"/>
  <c r="Y203" i="2"/>
  <c r="Y157" i="2"/>
  <c r="Y137" i="2"/>
  <c r="X76" i="2"/>
  <c r="X119" i="2"/>
  <c r="Y206" i="2"/>
  <c r="X133" i="2"/>
  <c r="Z123" i="2"/>
  <c r="Z38" i="2"/>
  <c r="Z104" i="2"/>
  <c r="X70" i="2"/>
  <c r="Y190" i="2"/>
  <c r="Y72" i="2"/>
  <c r="Y154" i="2"/>
  <c r="Z179" i="2"/>
  <c r="Z181" i="2"/>
  <c r="X29" i="2"/>
  <c r="X111" i="2"/>
  <c r="Y58" i="2"/>
  <c r="Y146" i="2"/>
  <c r="X64" i="2"/>
  <c r="X197" i="2"/>
  <c r="Y93" i="2"/>
  <c r="Z30" i="2"/>
  <c r="Z130" i="2"/>
  <c r="Z187" i="2"/>
  <c r="X149" i="2"/>
  <c r="Y81" i="2"/>
  <c r="Y126" i="2"/>
  <c r="Z127" i="2"/>
  <c r="X130" i="2"/>
  <c r="Z137" i="2"/>
  <c r="Z151" i="2"/>
  <c r="X175" i="2"/>
  <c r="Y192" i="2"/>
  <c r="Z65" i="2"/>
  <c r="Z180" i="2"/>
  <c r="X188" i="2"/>
  <c r="Z207" i="2"/>
  <c r="Z176" i="2"/>
  <c r="Z47" i="2"/>
  <c r="X138" i="2"/>
  <c r="Y122" i="2"/>
  <c r="Y128" i="2"/>
  <c r="Z177" i="2"/>
  <c r="Y111" i="2"/>
  <c r="Z74" i="2"/>
  <c r="Z98" i="2"/>
  <c r="X99" i="2"/>
  <c r="Y61" i="2"/>
  <c r="Z172" i="2"/>
  <c r="X74" i="2"/>
  <c r="Y118" i="2"/>
  <c r="Y32" i="2"/>
  <c r="X182" i="2"/>
  <c r="Y169" i="2"/>
  <c r="Y86" i="2"/>
  <c r="X21" i="2"/>
  <c r="Z48" i="2"/>
  <c r="Y36" i="2"/>
  <c r="Y98" i="2"/>
  <c r="Y90" i="2"/>
  <c r="Z108" i="2"/>
  <c r="X67" i="2"/>
  <c r="X86" i="2"/>
  <c r="Y110" i="2"/>
  <c r="X144" i="2"/>
  <c r="Y77" i="2"/>
  <c r="Y183" i="2"/>
  <c r="X46" i="2"/>
  <c r="Y56" i="2"/>
  <c r="Y112" i="2"/>
  <c r="Y26" i="2"/>
  <c r="Z84" i="2"/>
  <c r="X91" i="2"/>
  <c r="Z53" i="2"/>
  <c r="Y73" i="2"/>
  <c r="X19" i="2"/>
  <c r="Y27" i="2"/>
  <c r="X140" i="2"/>
  <c r="Y167" i="2"/>
  <c r="X58" i="2"/>
  <c r="Z157" i="2"/>
  <c r="Z96" i="2"/>
  <c r="Y35" i="2"/>
  <c r="Y22" i="2"/>
  <c r="X57" i="2"/>
  <c r="Y120" i="2"/>
  <c r="Z132" i="2"/>
  <c r="X36" i="2"/>
  <c r="Y43" i="2"/>
  <c r="X102" i="2"/>
  <c r="Z114" i="2"/>
  <c r="Y99" i="2"/>
  <c r="X168" i="2"/>
  <c r="Z22" i="2"/>
  <c r="Y50" i="2"/>
  <c r="Y124" i="2"/>
  <c r="X171" i="2"/>
  <c r="Z160" i="2"/>
  <c r="X200" i="2"/>
  <c r="Z118" i="2"/>
  <c r="Y121" i="2"/>
  <c r="X65" i="2"/>
  <c r="X85" i="2"/>
  <c r="X31" i="2"/>
  <c r="X95" i="2"/>
  <c r="X136" i="2"/>
  <c r="Y189" i="2"/>
  <c r="Y40" i="2"/>
  <c r="X173" i="2"/>
  <c r="X101" i="2"/>
  <c r="Y109" i="2"/>
  <c r="Z45" i="2"/>
  <c r="X93" i="2"/>
  <c r="Z148" i="2"/>
  <c r="Z143" i="2"/>
  <c r="Z103" i="2"/>
  <c r="X131" i="2"/>
  <c r="Z101" i="2"/>
  <c r="Y188" i="2"/>
  <c r="Y42" i="2"/>
  <c r="X34" i="2"/>
  <c r="X23" i="2"/>
  <c r="X66" i="2"/>
  <c r="Y41" i="2"/>
  <c r="Y201" i="2"/>
  <c r="X60" i="2"/>
  <c r="Y187" i="2"/>
  <c r="Z138" i="2"/>
  <c r="Y132" i="2"/>
  <c r="Z90" i="2"/>
  <c r="Y94" i="2"/>
  <c r="Y177" i="2"/>
  <c r="Y30" i="2"/>
  <c r="Y31" i="2"/>
  <c r="Z209" i="2"/>
  <c r="Z63" i="2"/>
  <c r="Y140" i="2"/>
  <c r="X126" i="2"/>
  <c r="Z145" i="2"/>
  <c r="Z120" i="2"/>
  <c r="Y33" i="2"/>
  <c r="X88" i="2"/>
  <c r="Y102" i="2"/>
  <c r="X120" i="2"/>
  <c r="Y138" i="2"/>
  <c r="Z154" i="2"/>
  <c r="Y204" i="2"/>
  <c r="X26" i="2"/>
  <c r="X203" i="2"/>
  <c r="X152" i="2"/>
  <c r="X193" i="2"/>
  <c r="Y87" i="2"/>
  <c r="Y68" i="2"/>
  <c r="Z119" i="2"/>
  <c r="Y85" i="2"/>
  <c r="Y34" i="2"/>
  <c r="X28" i="2"/>
  <c r="Y156" i="2"/>
  <c r="Z189" i="2"/>
  <c r="Z80" i="2"/>
  <c r="Y78" i="2"/>
  <c r="X176" i="2"/>
  <c r="Z135" i="2"/>
  <c r="Y152" i="2"/>
  <c r="Y207" i="2"/>
  <c r="Y194" i="2"/>
  <c r="X178" i="2"/>
  <c r="Z52" i="2"/>
  <c r="X87" i="2"/>
  <c r="X117" i="2"/>
  <c r="Y198" i="2"/>
  <c r="Z25" i="2"/>
  <c r="X205" i="2"/>
  <c r="X32" i="2"/>
  <c r="Y67" i="2"/>
  <c r="Z164" i="2"/>
  <c r="Z94" i="2"/>
  <c r="Z109" i="2"/>
  <c r="Y115" i="2"/>
  <c r="Y106" i="2"/>
  <c r="Z139" i="2"/>
  <c r="Y108" i="2"/>
  <c r="Y173" i="2"/>
  <c r="X103" i="2"/>
  <c r="X162" i="2"/>
  <c r="Y197" i="2"/>
  <c r="Z83" i="2"/>
  <c r="X179" i="2"/>
  <c r="X97" i="2"/>
  <c r="Y59" i="2"/>
  <c r="Z131" i="2"/>
  <c r="Z156" i="2"/>
  <c r="Z86" i="2"/>
  <c r="Y24" i="2"/>
  <c r="Z198" i="2"/>
  <c r="Y19" i="2"/>
  <c r="Z204" i="2"/>
  <c r="Z24" i="2"/>
  <c r="X192" i="2"/>
  <c r="X156" i="2"/>
  <c r="X98" i="2"/>
  <c r="Y143" i="2"/>
  <c r="Z155" i="2"/>
  <c r="X185" i="2"/>
  <c r="Z95" i="2"/>
  <c r="Z62" i="2"/>
  <c r="X68" i="2"/>
  <c r="Z205" i="2"/>
  <c r="Y97" i="2"/>
  <c r="X112" i="2"/>
  <c r="Z60" i="2"/>
  <c r="Z34" i="2"/>
  <c r="X109" i="2"/>
  <c r="Y80" i="2"/>
  <c r="X172" i="2"/>
  <c r="Y21" i="2"/>
  <c r="Y66" i="2"/>
  <c r="Z158" i="2"/>
  <c r="X160" i="2"/>
  <c r="Y127" i="2"/>
  <c r="Z111" i="2"/>
  <c r="Y171" i="2"/>
  <c r="X209" i="2"/>
  <c r="X199" i="2"/>
  <c r="Y123" i="2"/>
  <c r="X55" i="2"/>
  <c r="X161" i="2"/>
  <c r="X105" i="2"/>
  <c r="X139" i="2"/>
  <c r="X24" i="2"/>
  <c r="Z192" i="2"/>
  <c r="Z66" i="2"/>
  <c r="Y202" i="2"/>
  <c r="Y195" i="2"/>
  <c r="Y181" i="2"/>
  <c r="Y153" i="2"/>
  <c r="X157" i="2"/>
  <c r="Z75" i="2"/>
  <c r="X124" i="2"/>
  <c r="Z33" i="2"/>
  <c r="Y49" i="2"/>
  <c r="X202" i="2"/>
  <c r="Y71" i="2"/>
  <c r="X61" i="2"/>
  <c r="Z170" i="2"/>
  <c r="X77" i="2"/>
  <c r="Y170" i="2"/>
  <c r="Z18" i="2"/>
  <c r="Z183" i="2"/>
  <c r="Y44" i="2"/>
  <c r="Z87" i="2"/>
  <c r="X37" i="2"/>
  <c r="S37" i="2" l="1"/>
  <c r="Q37" i="2"/>
  <c r="P37" i="2"/>
  <c r="W87" i="2"/>
  <c r="U44" i="2"/>
  <c r="W183" i="2"/>
  <c r="W18" i="2"/>
  <c r="U170" i="2"/>
  <c r="S77" i="2"/>
  <c r="P77" i="2"/>
  <c r="Q77" i="2"/>
  <c r="W170" i="2"/>
  <c r="S61" i="2"/>
  <c r="Q61" i="2"/>
  <c r="P61" i="2"/>
  <c r="U71" i="2"/>
  <c r="Q202" i="2"/>
  <c r="S202" i="2"/>
  <c r="P202" i="2"/>
  <c r="U49" i="2"/>
  <c r="W33" i="2"/>
  <c r="Q124" i="2"/>
  <c r="P124" i="2"/>
  <c r="S124" i="2"/>
  <c r="W75" i="2"/>
  <c r="S157" i="2"/>
  <c r="Q157" i="2"/>
  <c r="P157" i="2"/>
  <c r="U153" i="2"/>
  <c r="U181" i="2"/>
  <c r="U195" i="2"/>
  <c r="U202" i="2"/>
  <c r="W66" i="2"/>
  <c r="W192" i="2"/>
  <c r="P24" i="2"/>
  <c r="Q24" i="2"/>
  <c r="S24" i="2"/>
  <c r="S139" i="2"/>
  <c r="P139" i="2"/>
  <c r="Q139" i="2"/>
  <c r="P105" i="2"/>
  <c r="S105" i="2"/>
  <c r="Q105" i="2"/>
  <c r="P161" i="2"/>
  <c r="S161" i="2"/>
  <c r="Q161" i="2"/>
  <c r="S55" i="2"/>
  <c r="Q55" i="2"/>
  <c r="P55" i="2"/>
  <c r="U123" i="2"/>
  <c r="Q199" i="2"/>
  <c r="P199" i="2"/>
  <c r="S199" i="2"/>
  <c r="P209" i="2"/>
  <c r="S209" i="2"/>
  <c r="Q209" i="2"/>
  <c r="U171" i="2"/>
  <c r="W111" i="2"/>
  <c r="U127" i="2"/>
  <c r="Q160" i="2"/>
  <c r="S160" i="2"/>
  <c r="P160" i="2"/>
  <c r="W158" i="2"/>
  <c r="U66" i="2"/>
  <c r="U21" i="2"/>
  <c r="P172" i="2"/>
  <c r="Q172" i="2"/>
  <c r="S172" i="2"/>
  <c r="U80" i="2"/>
  <c r="P109" i="2"/>
  <c r="Q109" i="2"/>
  <c r="S109" i="2"/>
  <c r="W34" i="2"/>
  <c r="W60" i="2"/>
  <c r="Q112" i="2"/>
  <c r="S112" i="2"/>
  <c r="P112" i="2"/>
  <c r="U97" i="2"/>
  <c r="W205" i="2"/>
  <c r="P68" i="2"/>
  <c r="S68" i="2"/>
  <c r="Q68" i="2"/>
  <c r="W62" i="2"/>
  <c r="W95" i="2"/>
  <c r="P185" i="2"/>
  <c r="S185" i="2"/>
  <c r="Q185" i="2"/>
  <c r="W155" i="2"/>
  <c r="U143" i="2"/>
  <c r="Q98" i="2"/>
  <c r="P98" i="2"/>
  <c r="S98" i="2"/>
  <c r="S156" i="2"/>
  <c r="P156" i="2"/>
  <c r="Q156" i="2"/>
  <c r="Q192" i="2"/>
  <c r="P192" i="2"/>
  <c r="S192" i="2"/>
  <c r="W24" i="2"/>
  <c r="W204" i="2"/>
  <c r="U19" i="2"/>
  <c r="W198" i="2"/>
  <c r="U24" i="2"/>
  <c r="W86" i="2"/>
  <c r="W156" i="2"/>
  <c r="W131" i="2"/>
  <c r="U59" i="2"/>
  <c r="Q97" i="2"/>
  <c r="S97" i="2"/>
  <c r="P97" i="2"/>
  <c r="S179" i="2"/>
  <c r="P179" i="2"/>
  <c r="Q179" i="2"/>
  <c r="W83" i="2"/>
  <c r="U197" i="2"/>
  <c r="S162" i="2"/>
  <c r="P162" i="2"/>
  <c r="Q162" i="2"/>
  <c r="S103" i="2"/>
  <c r="P103" i="2"/>
  <c r="Q103" i="2"/>
  <c r="U173" i="2"/>
  <c r="U108" i="2"/>
  <c r="W139" i="2"/>
  <c r="U106" i="2"/>
  <c r="U115" i="2"/>
  <c r="W109" i="2"/>
  <c r="W94" i="2"/>
  <c r="W164" i="2"/>
  <c r="U67" i="2"/>
  <c r="P32" i="2"/>
  <c r="S32" i="2"/>
  <c r="Q32" i="2"/>
  <c r="Q205" i="2"/>
  <c r="S205" i="2"/>
  <c r="P205" i="2"/>
  <c r="W25" i="2"/>
  <c r="U198" i="2"/>
  <c r="P117" i="2"/>
  <c r="S117" i="2"/>
  <c r="Q117" i="2"/>
  <c r="P87" i="2"/>
  <c r="S87" i="2"/>
  <c r="Q87" i="2"/>
  <c r="W52" i="2"/>
  <c r="P178" i="2"/>
  <c r="S178" i="2"/>
  <c r="Q178" i="2"/>
  <c r="U194" i="2"/>
  <c r="U207" i="2"/>
  <c r="U152" i="2"/>
  <c r="W135" i="2"/>
  <c r="Q176" i="2"/>
  <c r="S176" i="2"/>
  <c r="P176" i="2"/>
  <c r="U78" i="2"/>
  <c r="W80" i="2"/>
  <c r="W189" i="2"/>
  <c r="U156" i="2"/>
  <c r="S28" i="2"/>
  <c r="Q28" i="2"/>
  <c r="P28" i="2"/>
  <c r="U34" i="2"/>
  <c r="U85" i="2"/>
  <c r="W119" i="2"/>
  <c r="U68" i="2"/>
  <c r="U87" i="2"/>
  <c r="S193" i="2"/>
  <c r="P193" i="2"/>
  <c r="Q193" i="2"/>
  <c r="Q152" i="2"/>
  <c r="S152" i="2"/>
  <c r="P152" i="2"/>
  <c r="S203" i="2"/>
  <c r="P203" i="2"/>
  <c r="Q203" i="2"/>
  <c r="P26" i="2"/>
  <c r="S26" i="2"/>
  <c r="Q26" i="2"/>
  <c r="U204" i="2"/>
  <c r="W154" i="2"/>
  <c r="U138" i="2"/>
  <c r="S120" i="2"/>
  <c r="P120" i="2"/>
  <c r="Q120" i="2"/>
  <c r="U102" i="2"/>
  <c r="P88" i="2"/>
  <c r="Q88" i="2"/>
  <c r="S88" i="2"/>
  <c r="U33" i="2"/>
  <c r="W120" i="2"/>
  <c r="W145" i="2"/>
  <c r="P126" i="2"/>
  <c r="Q126" i="2"/>
  <c r="S126" i="2"/>
  <c r="U140" i="2"/>
  <c r="W63" i="2"/>
  <c r="W209" i="2"/>
  <c r="U31" i="2"/>
  <c r="U30" i="2"/>
  <c r="U177" i="2"/>
  <c r="U94" i="2"/>
  <c r="W90" i="2"/>
  <c r="U132" i="2"/>
  <c r="W138" i="2"/>
  <c r="U187" i="2"/>
  <c r="P60" i="2"/>
  <c r="S60" i="2"/>
  <c r="Q60" i="2"/>
  <c r="U201" i="2"/>
  <c r="U41" i="2"/>
  <c r="Q66" i="2"/>
  <c r="P66" i="2"/>
  <c r="S66" i="2"/>
  <c r="S23" i="2"/>
  <c r="Q23" i="2"/>
  <c r="P23" i="2"/>
  <c r="Q34" i="2"/>
  <c r="P34" i="2"/>
  <c r="S34" i="2"/>
  <c r="U42" i="2"/>
  <c r="U188" i="2"/>
  <c r="W101" i="2"/>
  <c r="Q131" i="2"/>
  <c r="P131" i="2"/>
  <c r="S131" i="2"/>
  <c r="W103" i="2"/>
  <c r="W143" i="2"/>
  <c r="W148" i="2"/>
  <c r="S93" i="2"/>
  <c r="Q93" i="2"/>
  <c r="P93" i="2"/>
  <c r="W45" i="2"/>
  <c r="U109" i="2"/>
  <c r="Q101" i="2"/>
  <c r="P101" i="2"/>
  <c r="S101" i="2"/>
  <c r="P173" i="2"/>
  <c r="S173" i="2"/>
  <c r="Q173" i="2"/>
  <c r="U40" i="2"/>
  <c r="U189" i="2"/>
  <c r="Q136" i="2"/>
  <c r="S136" i="2"/>
  <c r="P136" i="2"/>
  <c r="S95" i="2"/>
  <c r="P95" i="2"/>
  <c r="Q95" i="2"/>
  <c r="S31" i="2"/>
  <c r="P31" i="2"/>
  <c r="Q31" i="2"/>
  <c r="S85" i="2"/>
  <c r="Q85" i="2"/>
  <c r="P85" i="2"/>
  <c r="S65" i="2"/>
  <c r="P65" i="2"/>
  <c r="Q65" i="2"/>
  <c r="U121" i="2"/>
  <c r="W118" i="2"/>
  <c r="Q200" i="2"/>
  <c r="S200" i="2"/>
  <c r="P200" i="2"/>
  <c r="W160" i="2"/>
  <c r="S171" i="2"/>
  <c r="Q171" i="2"/>
  <c r="P171" i="2"/>
  <c r="U124" i="2"/>
  <c r="U50" i="2"/>
  <c r="W22" i="2"/>
  <c r="P168" i="2"/>
  <c r="Q168" i="2"/>
  <c r="S168" i="2"/>
  <c r="U99" i="2"/>
  <c r="W114" i="2"/>
  <c r="P102" i="2"/>
  <c r="Q102" i="2"/>
  <c r="S102" i="2"/>
  <c r="U43" i="2"/>
  <c r="P36" i="2"/>
  <c r="S36" i="2"/>
  <c r="Q36" i="2"/>
  <c r="W132" i="2"/>
  <c r="U120" i="2"/>
  <c r="P57" i="2"/>
  <c r="Q57" i="2"/>
  <c r="S57" i="2"/>
  <c r="U22" i="2"/>
  <c r="U35" i="2"/>
  <c r="W96" i="2"/>
  <c r="W157" i="2"/>
  <c r="S58" i="2"/>
  <c r="Q58" i="2"/>
  <c r="P58" i="2"/>
  <c r="U167" i="2"/>
  <c r="Q140" i="2"/>
  <c r="P140" i="2"/>
  <c r="S140" i="2"/>
  <c r="U27" i="2"/>
  <c r="Q19" i="2"/>
  <c r="S19" i="2"/>
  <c r="P19" i="2"/>
  <c r="U73" i="2"/>
  <c r="W53" i="2"/>
  <c r="P91" i="2"/>
  <c r="Q91" i="2"/>
  <c r="S91" i="2"/>
  <c r="W84" i="2"/>
  <c r="U26" i="2"/>
  <c r="U112" i="2"/>
  <c r="U56" i="2"/>
  <c r="P46" i="2"/>
  <c r="Q46" i="2"/>
  <c r="S46" i="2"/>
  <c r="U183" i="2"/>
  <c r="U77" i="2"/>
  <c r="S144" i="2"/>
  <c r="P144" i="2"/>
  <c r="Q144" i="2"/>
  <c r="U110" i="2"/>
  <c r="Q86" i="2"/>
  <c r="P86" i="2"/>
  <c r="S86" i="2"/>
  <c r="Q67" i="2"/>
  <c r="P67" i="2"/>
  <c r="S67" i="2"/>
  <c r="W108" i="2"/>
  <c r="U90" i="2"/>
  <c r="U98" i="2"/>
  <c r="U36" i="2"/>
  <c r="W48" i="2"/>
  <c r="P21" i="2"/>
  <c r="Q21" i="2"/>
  <c r="S21" i="2"/>
  <c r="U86" i="2"/>
  <c r="U169" i="2"/>
  <c r="Q182" i="2"/>
  <c r="P182" i="2"/>
  <c r="S182" i="2"/>
  <c r="U32" i="2"/>
  <c r="U118" i="2"/>
  <c r="Q74" i="2"/>
  <c r="S74" i="2"/>
  <c r="P74" i="2"/>
  <c r="W172" i="2"/>
  <c r="U61" i="2"/>
  <c r="S99" i="2"/>
  <c r="Q99" i="2"/>
  <c r="P99" i="2"/>
  <c r="W98" i="2"/>
  <c r="W74" i="2"/>
  <c r="U111" i="2"/>
  <c r="W177" i="2"/>
  <c r="U128" i="2"/>
  <c r="U122" i="2"/>
  <c r="S138" i="2"/>
  <c r="P138" i="2"/>
  <c r="Q138" i="2"/>
  <c r="W47" i="2"/>
  <c r="W176" i="2"/>
  <c r="W207" i="2"/>
  <c r="S188" i="2"/>
  <c r="Q188" i="2"/>
  <c r="P188" i="2"/>
  <c r="W180" i="2"/>
  <c r="W65" i="2"/>
  <c r="U192" i="2"/>
  <c r="Q175" i="2"/>
  <c r="S175" i="2"/>
  <c r="P175" i="2"/>
  <c r="W151" i="2"/>
  <c r="W137" i="2"/>
  <c r="Q130" i="2"/>
  <c r="P130" i="2"/>
  <c r="S130" i="2"/>
  <c r="W127" i="2"/>
  <c r="U126" i="2"/>
  <c r="U81" i="2"/>
  <c r="Q149" i="2"/>
  <c r="S149" i="2"/>
  <c r="P149" i="2"/>
  <c r="W187" i="2"/>
  <c r="W130" i="2"/>
  <c r="W30" i="2"/>
  <c r="U93" i="2"/>
  <c r="P197" i="2"/>
  <c r="S197" i="2"/>
  <c r="Q197" i="2"/>
  <c r="Q64" i="2"/>
  <c r="S64" i="2"/>
  <c r="P64" i="2"/>
  <c r="U146" i="2"/>
  <c r="U58" i="2"/>
  <c r="P111" i="2"/>
  <c r="Q111" i="2"/>
  <c r="S111" i="2"/>
  <c r="P29" i="2"/>
  <c r="Q29" i="2"/>
  <c r="S29" i="2"/>
  <c r="W181" i="2"/>
  <c r="W179" i="2"/>
  <c r="U154" i="2"/>
  <c r="U72" i="2"/>
  <c r="U190" i="2"/>
  <c r="P70" i="2"/>
  <c r="S70" i="2"/>
  <c r="Q70" i="2"/>
  <c r="W104" i="2"/>
  <c r="W38" i="2"/>
  <c r="W123" i="2"/>
  <c r="P133" i="2"/>
  <c r="S133" i="2"/>
  <c r="Q133" i="2"/>
  <c r="U206" i="2"/>
  <c r="P119" i="2"/>
  <c r="Q119" i="2"/>
  <c r="S119" i="2"/>
  <c r="Q76" i="2"/>
  <c r="P76" i="2"/>
  <c r="S76" i="2"/>
  <c r="U137" i="2"/>
  <c r="U157" i="2"/>
  <c r="U203" i="2"/>
  <c r="W185" i="2"/>
  <c r="W146" i="2"/>
  <c r="S33" i="2"/>
  <c r="Q33" i="2"/>
  <c r="P33" i="2"/>
  <c r="U53" i="2"/>
  <c r="U155" i="2"/>
  <c r="U54" i="2"/>
  <c r="S141" i="2"/>
  <c r="Q141" i="2"/>
  <c r="P141" i="2"/>
  <c r="U209" i="2"/>
  <c r="U174" i="2"/>
  <c r="U62" i="2"/>
  <c r="W147" i="2"/>
  <c r="W79" i="2"/>
  <c r="P163" i="2"/>
  <c r="S163" i="2"/>
  <c r="Q163" i="2"/>
  <c r="U199" i="2"/>
  <c r="W161" i="2"/>
  <c r="Q92" i="2"/>
  <c r="S92" i="2"/>
  <c r="P92" i="2"/>
  <c r="U150" i="2"/>
  <c r="U178" i="2"/>
  <c r="S153" i="2"/>
  <c r="P153" i="2"/>
  <c r="Q153" i="2"/>
  <c r="P189" i="2"/>
  <c r="Q189" i="2"/>
  <c r="S189" i="2"/>
  <c r="W28" i="2"/>
  <c r="W105" i="2"/>
  <c r="W136" i="2"/>
  <c r="U101" i="2"/>
  <c r="U130" i="2"/>
  <c r="U82" i="2"/>
  <c r="U160" i="2"/>
  <c r="W58" i="2"/>
  <c r="U134" i="2"/>
  <c r="U159" i="2"/>
  <c r="W115" i="2"/>
  <c r="U52" i="2"/>
  <c r="W168" i="2"/>
  <c r="W196" i="2"/>
  <c r="W69" i="2"/>
  <c r="U91" i="2"/>
  <c r="W82" i="2"/>
  <c r="U60" i="2"/>
  <c r="U46" i="2"/>
  <c r="Q48" i="2"/>
  <c r="P48" i="2"/>
  <c r="S48" i="2"/>
  <c r="W102" i="2"/>
  <c r="W166" i="2"/>
  <c r="W134" i="2"/>
  <c r="U182" i="2"/>
  <c r="Q69" i="2"/>
  <c r="S69" i="2"/>
  <c r="P69" i="2"/>
  <c r="W163" i="2"/>
  <c r="P81" i="2"/>
  <c r="Q81" i="2"/>
  <c r="S81" i="2"/>
  <c r="W70" i="2"/>
  <c r="U55" i="2"/>
  <c r="W37" i="2"/>
  <c r="W29" i="2"/>
  <c r="U65" i="2"/>
  <c r="U45" i="2"/>
  <c r="U84" i="2"/>
  <c r="Q49" i="2"/>
  <c r="S49" i="2"/>
  <c r="P49" i="2"/>
  <c r="W51" i="2"/>
  <c r="W64" i="2"/>
  <c r="U28" i="2"/>
  <c r="Q71" i="2"/>
  <c r="P71" i="2"/>
  <c r="S71" i="2"/>
  <c r="W133" i="2"/>
  <c r="U148" i="2"/>
  <c r="S143" i="2"/>
  <c r="Q143" i="2"/>
  <c r="P143" i="2"/>
  <c r="U48" i="2"/>
  <c r="P78" i="2"/>
  <c r="S78" i="2"/>
  <c r="Q78" i="2"/>
  <c r="S59" i="2"/>
  <c r="Q59" i="2"/>
  <c r="P59" i="2"/>
  <c r="W27" i="2"/>
  <c r="W73" i="2"/>
  <c r="W141" i="2"/>
  <c r="U163" i="2"/>
  <c r="W121" i="2"/>
  <c r="W128" i="2"/>
  <c r="P177" i="2"/>
  <c r="S177" i="2"/>
  <c r="Q177" i="2"/>
  <c r="W100" i="2"/>
  <c r="U185" i="2"/>
  <c r="W93" i="2"/>
  <c r="U20" i="2"/>
  <c r="U139" i="2"/>
  <c r="W200" i="2"/>
  <c r="U114" i="2"/>
  <c r="Q187" i="2"/>
  <c r="P187" i="2"/>
  <c r="S187" i="2"/>
  <c r="U47" i="2"/>
  <c r="W193" i="2"/>
  <c r="S145" i="2"/>
  <c r="Q145" i="2"/>
  <c r="P145" i="2"/>
  <c r="W49" i="2"/>
  <c r="U107" i="2"/>
  <c r="P94" i="2"/>
  <c r="Q94" i="2"/>
  <c r="S94" i="2"/>
  <c r="U79" i="2"/>
  <c r="P129" i="2"/>
  <c r="S129" i="2"/>
  <c r="Q129" i="2"/>
  <c r="W42" i="2"/>
  <c r="U175" i="2"/>
  <c r="U103" i="2"/>
  <c r="Q40" i="2"/>
  <c r="S40" i="2"/>
  <c r="P40" i="2"/>
  <c r="Q75" i="2"/>
  <c r="P75" i="2"/>
  <c r="S75" i="2"/>
  <c r="U166" i="2"/>
  <c r="W44" i="2"/>
  <c r="U205" i="2"/>
  <c r="P121" i="2"/>
  <c r="S121" i="2"/>
  <c r="Q121" i="2"/>
  <c r="W197" i="2"/>
  <c r="W182" i="2"/>
  <c r="P42" i="2"/>
  <c r="Q42" i="2"/>
  <c r="S42" i="2"/>
  <c r="P166" i="2"/>
  <c r="S166" i="2"/>
  <c r="Q166" i="2"/>
  <c r="S135" i="2"/>
  <c r="Q135" i="2"/>
  <c r="P135" i="2"/>
  <c r="Q151" i="2"/>
  <c r="P151" i="2"/>
  <c r="S151" i="2"/>
  <c r="S184" i="2"/>
  <c r="Q184" i="2"/>
  <c r="P184" i="2"/>
  <c r="W194" i="2"/>
  <c r="W126" i="2"/>
  <c r="S174" i="2"/>
  <c r="Q174" i="2"/>
  <c r="P174" i="2"/>
  <c r="S118" i="2"/>
  <c r="Q118" i="2"/>
  <c r="P118" i="2"/>
  <c r="W78" i="2"/>
  <c r="U129" i="2"/>
  <c r="W56" i="2"/>
  <c r="W142" i="2"/>
  <c r="U105" i="2"/>
  <c r="U176" i="2"/>
  <c r="W88" i="2"/>
  <c r="Q181" i="2"/>
  <c r="S181" i="2"/>
  <c r="P181" i="2"/>
  <c r="W91" i="2"/>
  <c r="Q204" i="2"/>
  <c r="P204" i="2"/>
  <c r="S204" i="2"/>
  <c r="W72" i="2"/>
  <c r="P82" i="2"/>
  <c r="Q82" i="2"/>
  <c r="S82" i="2"/>
  <c r="U37" i="2"/>
  <c r="W116" i="2"/>
  <c r="Q30" i="2"/>
  <c r="P30" i="2"/>
  <c r="S30" i="2"/>
  <c r="P167" i="2"/>
  <c r="Q167" i="2"/>
  <c r="S167" i="2"/>
  <c r="Q142" i="2"/>
  <c r="P142" i="2"/>
  <c r="S142" i="2"/>
  <c r="S159" i="2"/>
  <c r="P159" i="2"/>
  <c r="Q159" i="2"/>
  <c r="U88" i="2"/>
  <c r="U119" i="2"/>
  <c r="U70" i="2"/>
  <c r="U141" i="2"/>
  <c r="W43" i="2"/>
  <c r="U193" i="2"/>
  <c r="S190" i="2"/>
  <c r="P190" i="2"/>
  <c r="Q190" i="2"/>
  <c r="U39" i="2"/>
  <c r="U184" i="2"/>
  <c r="Q201" i="2"/>
  <c r="P201" i="2"/>
  <c r="S201" i="2"/>
  <c r="W68" i="2"/>
  <c r="W186" i="2"/>
  <c r="U83" i="2"/>
  <c r="W202" i="2"/>
  <c r="S43" i="2"/>
  <c r="P43" i="2"/>
  <c r="Q43" i="2"/>
  <c r="W173" i="2"/>
  <c r="S27" i="2"/>
  <c r="P27" i="2"/>
  <c r="Q27" i="2"/>
  <c r="U38" i="2"/>
  <c r="W19" i="2"/>
  <c r="S194" i="2"/>
  <c r="Q194" i="2"/>
  <c r="P194" i="2"/>
  <c r="W89" i="2"/>
  <c r="U168" i="2"/>
  <c r="S195" i="2"/>
  <c r="Q195" i="2"/>
  <c r="P195" i="2"/>
  <c r="W159" i="2"/>
  <c r="U164" i="2"/>
  <c r="Q116" i="2"/>
  <c r="S116" i="2"/>
  <c r="P116" i="2"/>
  <c r="U142" i="2"/>
  <c r="W92" i="2"/>
  <c r="U117" i="2"/>
  <c r="U147" i="2"/>
  <c r="Q127" i="2"/>
  <c r="P127" i="2"/>
  <c r="S127" i="2"/>
  <c r="U131" i="2"/>
  <c r="Q137" i="2"/>
  <c r="S137" i="2"/>
  <c r="P137" i="2"/>
  <c r="U64" i="2"/>
  <c r="S115" i="2"/>
  <c r="Q115" i="2"/>
  <c r="P115" i="2"/>
  <c r="S54" i="2"/>
  <c r="P54" i="2"/>
  <c r="Q54" i="2"/>
  <c r="U29" i="2"/>
  <c r="W190" i="2"/>
  <c r="P38" i="2"/>
  <c r="S38" i="2"/>
  <c r="Q38" i="2"/>
  <c r="W31" i="2"/>
  <c r="U165" i="2"/>
  <c r="W208" i="2"/>
  <c r="P100" i="2"/>
  <c r="S100" i="2"/>
  <c r="Q100" i="2"/>
  <c r="Q128" i="2"/>
  <c r="P128" i="2"/>
  <c r="S128" i="2"/>
  <c r="W113" i="2"/>
  <c r="W175" i="2"/>
  <c r="Q183" i="2"/>
  <c r="P183" i="2"/>
  <c r="S183" i="2"/>
  <c r="W167" i="2"/>
  <c r="U172" i="2"/>
  <c r="W140" i="2"/>
  <c r="P147" i="2"/>
  <c r="S147" i="2"/>
  <c r="Q147" i="2"/>
  <c r="Q106" i="2"/>
  <c r="S106" i="2"/>
  <c r="P106" i="2"/>
  <c r="P53" i="2"/>
  <c r="Q53" i="2"/>
  <c r="S53" i="2"/>
  <c r="U125" i="2"/>
  <c r="W50" i="2"/>
  <c r="S113" i="2"/>
  <c r="P113" i="2"/>
  <c r="Q113" i="2"/>
  <c r="W122" i="2"/>
  <c r="P89" i="2"/>
  <c r="Q89" i="2"/>
  <c r="S89" i="2"/>
  <c r="W171" i="2"/>
  <c r="P79" i="2"/>
  <c r="Q79" i="2"/>
  <c r="S79" i="2"/>
  <c r="Q90" i="2"/>
  <c r="S90" i="2"/>
  <c r="P90" i="2"/>
  <c r="Q84" i="2"/>
  <c r="S84" i="2"/>
  <c r="P84" i="2"/>
  <c r="U208" i="2"/>
  <c r="U75" i="2"/>
  <c r="Q80" i="2"/>
  <c r="P80" i="2"/>
  <c r="S80" i="2"/>
  <c r="Q47" i="2"/>
  <c r="S47" i="2"/>
  <c r="P47" i="2"/>
  <c r="U144" i="2"/>
  <c r="W41" i="2"/>
  <c r="P35" i="2"/>
  <c r="S35" i="2"/>
  <c r="Q35" i="2"/>
  <c r="Q169" i="2"/>
  <c r="P169" i="2"/>
  <c r="S169" i="2"/>
  <c r="Q18" i="2"/>
  <c r="M18" i="2" s="1"/>
  <c r="S18" i="2"/>
  <c r="R18" i="2" s="1"/>
  <c r="P18" i="2"/>
  <c r="L18" i="2" s="1"/>
  <c r="W36" i="2"/>
  <c r="U51" i="2"/>
  <c r="Q83" i="2"/>
  <c r="S83" i="2"/>
  <c r="P83" i="2"/>
  <c r="W165" i="2"/>
  <c r="U74" i="2"/>
  <c r="W26" i="2"/>
  <c r="W191" i="2"/>
  <c r="P39" i="2"/>
  <c r="Q39" i="2"/>
  <c r="S39" i="2"/>
  <c r="Q134" i="2"/>
  <c r="P134" i="2"/>
  <c r="S134" i="2"/>
  <c r="S206" i="2"/>
  <c r="P206" i="2"/>
  <c r="Q206" i="2"/>
  <c r="W153" i="2"/>
  <c r="U191" i="2"/>
  <c r="W85" i="2"/>
  <c r="W184" i="2"/>
  <c r="S96" i="2"/>
  <c r="Q96" i="2"/>
  <c r="P96" i="2"/>
  <c r="W125" i="2"/>
  <c r="W117" i="2"/>
  <c r="P22" i="2"/>
  <c r="Q22" i="2"/>
  <c r="S22" i="2"/>
  <c r="W199" i="2"/>
  <c r="W54" i="2"/>
  <c r="P196" i="2"/>
  <c r="S196" i="2"/>
  <c r="Q196" i="2"/>
  <c r="Q51" i="2"/>
  <c r="S51" i="2"/>
  <c r="P51" i="2"/>
  <c r="U95" i="2"/>
  <c r="U96" i="2"/>
  <c r="W112" i="2"/>
  <c r="U89" i="2"/>
  <c r="Q155" i="2"/>
  <c r="P155" i="2"/>
  <c r="S155" i="2"/>
  <c r="U196" i="2"/>
  <c r="U162" i="2"/>
  <c r="Q150" i="2"/>
  <c r="P150" i="2"/>
  <c r="S150" i="2"/>
  <c r="Q207" i="2"/>
  <c r="P207" i="2"/>
  <c r="S207" i="2"/>
  <c r="W178" i="2"/>
  <c r="S45" i="2"/>
  <c r="P45" i="2"/>
  <c r="Q45" i="2"/>
  <c r="W203" i="2"/>
  <c r="S186" i="2"/>
  <c r="P186" i="2"/>
  <c r="Q186" i="2"/>
  <c r="W188" i="2"/>
  <c r="U180" i="2"/>
  <c r="W97" i="2"/>
  <c r="W23" i="2"/>
  <c r="U136" i="2"/>
  <c r="Q63" i="2"/>
  <c r="P63" i="2"/>
  <c r="S63" i="2"/>
  <c r="W162" i="2"/>
  <c r="W71" i="2"/>
  <c r="W174" i="2"/>
  <c r="W61" i="2"/>
  <c r="P180" i="2"/>
  <c r="Q180" i="2"/>
  <c r="S180" i="2"/>
  <c r="W57" i="2"/>
  <c r="Q170" i="2"/>
  <c r="P170" i="2"/>
  <c r="S170" i="2"/>
  <c r="W67" i="2"/>
  <c r="W35" i="2"/>
  <c r="Q25" i="2"/>
  <c r="P25" i="2"/>
  <c r="S25" i="2"/>
  <c r="Q72" i="2"/>
  <c r="S72" i="2"/>
  <c r="P72" i="2"/>
  <c r="W39" i="2"/>
  <c r="W144" i="2"/>
  <c r="W195" i="2"/>
  <c r="U179" i="2"/>
  <c r="S191" i="2"/>
  <c r="P191" i="2"/>
  <c r="Q191" i="2"/>
  <c r="S52" i="2"/>
  <c r="Q52" i="2"/>
  <c r="P52" i="2"/>
  <c r="U158" i="2"/>
  <c r="W46" i="2"/>
  <c r="W107" i="2"/>
  <c r="W149" i="2"/>
  <c r="Q44" i="2"/>
  <c r="S44" i="2"/>
  <c r="P44" i="2"/>
  <c r="W77" i="2"/>
  <c r="Q125" i="2"/>
  <c r="P125" i="2"/>
  <c r="S125" i="2"/>
  <c r="U186" i="2"/>
  <c r="U145" i="2"/>
  <c r="U18" i="2"/>
  <c r="T18" i="2" s="1"/>
  <c r="Q41" i="2"/>
  <c r="S41" i="2"/>
  <c r="P41" i="2"/>
  <c r="S158" i="2"/>
  <c r="Q158" i="2"/>
  <c r="P158" i="2"/>
  <c r="Q107" i="2"/>
  <c r="S107" i="2"/>
  <c r="P107" i="2"/>
  <c r="U149" i="2"/>
  <c r="Q154" i="2"/>
  <c r="P154" i="2"/>
  <c r="S154" i="2"/>
  <c r="U63" i="2"/>
  <c r="W169" i="2"/>
  <c r="S56" i="2"/>
  <c r="P56" i="2"/>
  <c r="Q56" i="2"/>
  <c r="U92" i="2"/>
  <c r="U104" i="2"/>
  <c r="S148" i="2"/>
  <c r="P148" i="2"/>
  <c r="Q148" i="2"/>
  <c r="P164" i="2"/>
  <c r="S164" i="2"/>
  <c r="Q164" i="2"/>
  <c r="W99" i="2"/>
  <c r="Q132" i="2"/>
  <c r="P132" i="2"/>
  <c r="S132" i="2"/>
  <c r="Q146" i="2"/>
  <c r="P146" i="2"/>
  <c r="S146" i="2"/>
  <c r="U135" i="2"/>
  <c r="W40" i="2"/>
  <c r="U116" i="2"/>
  <c r="W76" i="2"/>
  <c r="S104" i="2"/>
  <c r="Q104" i="2"/>
  <c r="P104" i="2"/>
  <c r="S110" i="2"/>
  <c r="P110" i="2"/>
  <c r="Q110" i="2"/>
  <c r="W81" i="2"/>
  <c r="S165" i="2"/>
  <c r="Q165" i="2"/>
  <c r="P165" i="2"/>
  <c r="Q73" i="2"/>
  <c r="P73" i="2"/>
  <c r="S73" i="2"/>
  <c r="W129" i="2"/>
  <c r="W150" i="2"/>
  <c r="P123" i="2"/>
  <c r="Q123" i="2"/>
  <c r="S123" i="2"/>
  <c r="W106" i="2"/>
  <c r="U161" i="2"/>
  <c r="U200" i="2"/>
  <c r="U133" i="2"/>
  <c r="U57" i="2"/>
  <c r="W124" i="2"/>
  <c r="U113" i="2"/>
  <c r="Q114" i="2"/>
  <c r="S114" i="2"/>
  <c r="P114" i="2"/>
  <c r="U100" i="2"/>
  <c r="P108" i="2"/>
  <c r="Q108" i="2"/>
  <c r="S108" i="2"/>
  <c r="W20" i="2"/>
  <c r="W152" i="2"/>
  <c r="S122" i="2"/>
  <c r="Q122" i="2"/>
  <c r="P122" i="2"/>
  <c r="S208" i="2"/>
  <c r="Q208" i="2"/>
  <c r="P208" i="2"/>
  <c r="U23" i="2"/>
  <c r="W201" i="2"/>
  <c r="W21" i="2"/>
  <c r="W59" i="2"/>
  <c r="S62" i="2"/>
  <c r="Q62" i="2"/>
  <c r="P62" i="2"/>
  <c r="U151" i="2"/>
  <c r="W55" i="2"/>
  <c r="W206" i="2"/>
  <c r="U76" i="2"/>
  <c r="S198" i="2"/>
  <c r="Q198" i="2"/>
  <c r="P198" i="2"/>
  <c r="P50" i="2"/>
  <c r="S50" i="2"/>
  <c r="Q50" i="2"/>
  <c r="U69" i="2"/>
  <c r="W32" i="2"/>
  <c r="W110" i="2"/>
  <c r="U25" i="2"/>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B144" i="2"/>
  <c r="J145" i="2"/>
  <c r="I144"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125" i="2"/>
  <c r="H90" i="2"/>
  <c r="C89" i="2" s="1"/>
  <c r="H57" i="2"/>
  <c r="C56" i="2" s="1"/>
  <c r="D56" i="2"/>
  <c r="I91" i="2"/>
  <c r="B91" i="2"/>
  <c r="J92" i="2"/>
  <c r="E91" i="2" s="1"/>
  <c r="J59" i="2"/>
  <c r="E58" i="2" s="1"/>
  <c r="I58" i="2"/>
  <c r="B58" i="2"/>
  <c r="T19" i="2" l="1"/>
  <c r="T20" i="2" s="1"/>
  <c r="T21" i="2" s="1"/>
  <c r="T22" i="2" s="1"/>
  <c r="L19" i="2"/>
  <c r="L20" i="2" s="1"/>
  <c r="L21" i="2" s="1"/>
  <c r="L22" i="2" s="1"/>
  <c r="L23" i="2" s="1"/>
  <c r="R19" i="2"/>
  <c r="R20" i="2" s="1"/>
  <c r="R21" i="2" s="1"/>
  <c r="R22" i="2" s="1"/>
  <c r="M19" i="2"/>
  <c r="M20" i="2" s="1"/>
  <c r="M21" i="2" s="1"/>
  <c r="M22" i="2" s="1"/>
  <c r="M23" i="2" s="1"/>
  <c r="N18" i="2"/>
  <c r="N19" i="2" s="1"/>
  <c r="N20" i="2" s="1"/>
  <c r="N21"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O18" i="2"/>
  <c r="O19" i="2" s="1"/>
  <c r="O20" i="2" s="1"/>
  <c r="O21" i="2" s="1"/>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D57" i="2"/>
  <c r="I43" i="2"/>
  <c r="D42" i="2" s="1"/>
  <c r="J44" i="2"/>
  <c r="E43" i="2" s="1"/>
  <c r="B43" i="2"/>
  <c r="C160" i="2"/>
  <c r="C20" i="2"/>
  <c r="J182" i="2"/>
  <c r="E181" i="2" s="1"/>
  <c r="B181" i="2"/>
  <c r="I181" i="2"/>
  <c r="D180" i="2" s="1"/>
  <c r="B59" i="2"/>
  <c r="J60" i="2"/>
  <c r="I59" i="2"/>
  <c r="H198" i="2"/>
  <c r="J146" i="2"/>
  <c r="E145" i="2" s="1"/>
  <c r="B145" i="2"/>
  <c r="I145" i="2"/>
  <c r="E144" i="2"/>
  <c r="D90" i="2"/>
  <c r="C124" i="2"/>
  <c r="J200" i="2"/>
  <c r="E199" i="2" s="1"/>
  <c r="B199" i="2"/>
  <c r="I199" i="2"/>
  <c r="D197" i="2"/>
  <c r="H42" i="2"/>
  <c r="C41" i="2" s="1"/>
  <c r="D41" i="2"/>
  <c r="H162" i="2"/>
  <c r="C161" i="2" s="1"/>
  <c r="C90" i="2"/>
  <c r="J164" i="2"/>
  <c r="E163" i="2" s="1"/>
  <c r="B163" i="2"/>
  <c r="I163" i="2"/>
  <c r="H144" i="2"/>
  <c r="D14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R23" i="2" l="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T42" i="5"/>
  <c r="T37" i="5"/>
  <c r="T50" i="5"/>
  <c r="T33" i="5"/>
  <c r="T25" i="5"/>
  <c r="T19" i="5"/>
  <c r="T32" i="5"/>
  <c r="T48" i="5"/>
  <c r="T5" i="5"/>
  <c r="T10" i="5"/>
  <c r="T14" i="5"/>
  <c r="T20" i="5"/>
  <c r="T31" i="5"/>
  <c r="T28" i="5"/>
  <c r="T38" i="5"/>
  <c r="T18" i="5"/>
  <c r="T9" i="5"/>
  <c r="T53" i="5"/>
  <c r="T47" i="5"/>
  <c r="T30" i="5"/>
  <c r="T17" i="5"/>
  <c r="T22" i="5"/>
  <c r="T35" i="5"/>
  <c r="T12" i="5"/>
  <c r="T6" i="5"/>
  <c r="T49" i="5"/>
  <c r="T39" i="5"/>
  <c r="T43" i="5"/>
  <c r="T4" i="5"/>
  <c r="S4" i="6" s="1"/>
  <c r="T36" i="5"/>
  <c r="T52" i="5"/>
  <c r="T44" i="5"/>
  <c r="T7" i="5"/>
  <c r="T45" i="5"/>
  <c r="T40" i="5"/>
  <c r="T26" i="5"/>
  <c r="T8" i="5"/>
  <c r="T23" i="5"/>
  <c r="T16" i="5"/>
  <c r="T29" i="5"/>
  <c r="T46" i="5"/>
  <c r="T51" i="5"/>
  <c r="T11" i="5"/>
  <c r="T34" i="5"/>
  <c r="T13" i="5"/>
  <c r="T27" i="5"/>
  <c r="T21" i="5"/>
  <c r="T41" i="5"/>
  <c r="T24" i="5"/>
  <c r="I127" i="2"/>
  <c r="D126" i="2" s="1"/>
  <c r="J128" i="2"/>
  <c r="I128" i="2" s="1"/>
  <c r="B127" i="2"/>
  <c r="D125" i="2"/>
  <c r="T23"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L24" i="2"/>
  <c r="L25" i="2" s="1"/>
  <c r="J129" i="2"/>
  <c r="E128" i="2" s="1"/>
  <c r="B200" i="2"/>
  <c r="J201" i="2"/>
  <c r="E200" i="2" s="1"/>
  <c r="I200" i="2"/>
  <c r="D199" i="2" s="1"/>
  <c r="H59" i="2"/>
  <c r="C58" i="2" s="1"/>
  <c r="H92" i="2"/>
  <c r="C143" i="2"/>
  <c r="J111" i="2"/>
  <c r="E110" i="2" s="1"/>
  <c r="B110" i="2"/>
  <c r="I110" i="2"/>
  <c r="D109" i="2" s="1"/>
  <c r="E23" i="2"/>
  <c r="E35" i="2"/>
  <c r="M24" i="2"/>
  <c r="B164" i="2"/>
  <c r="J165" i="2"/>
  <c r="E164" i="2" s="1"/>
  <c r="I164" i="2"/>
  <c r="D163" i="2" s="1"/>
  <c r="C197" i="2"/>
  <c r="B146" i="2"/>
  <c r="J147" i="2"/>
  <c r="E146" i="2" s="1"/>
  <c r="I146" i="2"/>
  <c r="D145" i="2" s="1"/>
  <c r="J61" i="2"/>
  <c r="E60" i="2" s="1"/>
  <c r="B60" i="2"/>
  <c r="I60" i="2"/>
  <c r="D59" i="2" s="1"/>
  <c r="B182" i="2"/>
  <c r="J183" i="2"/>
  <c r="E182" i="2" s="1"/>
  <c r="I182" i="2"/>
  <c r="D181" i="2" s="1"/>
  <c r="N22" i="2"/>
  <c r="H43" i="2"/>
  <c r="O22" i="2"/>
  <c r="C107" i="2"/>
  <c r="B77" i="2"/>
  <c r="J78" i="2"/>
  <c r="E77" i="2" s="1"/>
  <c r="I77" i="2"/>
  <c r="D76" i="2" s="1"/>
  <c r="H23" i="2"/>
  <c r="C22" i="2" s="1"/>
  <c r="D75" i="2"/>
  <c r="H35" i="2"/>
  <c r="H163" i="2"/>
  <c r="C162" i="2" s="1"/>
  <c r="E127" i="2"/>
  <c r="D162" i="2"/>
  <c r="C4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44" i="2"/>
  <c r="H127" i="2"/>
  <c r="C126" i="2" s="1"/>
  <c r="D198" i="2"/>
  <c r="E59" i="2"/>
  <c r="C33" i="2"/>
  <c r="B44" i="2"/>
  <c r="I44" i="2"/>
  <c r="J45" i="2"/>
  <c r="E92" i="2"/>
  <c r="R33" i="5" l="1"/>
  <c r="R29" i="5"/>
  <c r="R16" i="5"/>
  <c r="R49" i="5"/>
  <c r="R27" i="5"/>
  <c r="R34" i="5"/>
  <c r="R36" i="5"/>
  <c r="R53" i="5"/>
  <c r="R14" i="5"/>
  <c r="R39" i="5"/>
  <c r="R20" i="5"/>
  <c r="R37" i="5"/>
  <c r="R12" i="5"/>
  <c r="R46" i="5"/>
  <c r="R25" i="5"/>
  <c r="R41" i="5"/>
  <c r="R47" i="5"/>
  <c r="R40" i="5"/>
  <c r="R24" i="5"/>
  <c r="R13" i="5"/>
  <c r="R28" i="5"/>
  <c r="R21" i="5"/>
  <c r="R18" i="5"/>
  <c r="R45" i="5"/>
  <c r="R6" i="5"/>
  <c r="R23" i="5"/>
  <c r="R32" i="5"/>
  <c r="R7" i="5"/>
  <c r="R15" i="5"/>
  <c r="R26" i="5"/>
  <c r="R8" i="5"/>
  <c r="R51" i="5"/>
  <c r="R52" i="5"/>
  <c r="R42" i="5"/>
  <c r="R19" i="5"/>
  <c r="R10" i="5"/>
  <c r="R48" i="5"/>
  <c r="R43" i="5"/>
  <c r="R22" i="5"/>
  <c r="R30" i="5"/>
  <c r="R44" i="5"/>
  <c r="R31" i="5"/>
  <c r="R5" i="5"/>
  <c r="R9" i="5"/>
  <c r="R4" i="5"/>
  <c r="R38" i="5"/>
  <c r="R17" i="5"/>
  <c r="R35" i="5"/>
  <c r="R11" i="5"/>
  <c r="Q5" i="5"/>
  <c r="Q6" i="5" s="1"/>
  <c r="I4" i="23"/>
  <c r="D127" i="2"/>
  <c r="B128" i="2"/>
  <c r="M25" i="2"/>
  <c r="M26" i="2" s="1"/>
  <c r="E8" i="19"/>
  <c r="T24" i="2"/>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O23" i="2"/>
  <c r="N23" i="2"/>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L38" i="2"/>
  <c r="L39" i="2" s="1"/>
  <c r="L40" i="2" s="1"/>
  <c r="L41" i="2" s="1"/>
  <c r="L42" i="2" s="1"/>
  <c r="L43" i="2" s="1"/>
  <c r="L44" i="2" s="1"/>
  <c r="L45" i="2" s="1"/>
  <c r="M38" i="2"/>
  <c r="M39" i="2" s="1"/>
  <c r="M40" i="2" s="1"/>
  <c r="M41" i="2" s="1"/>
  <c r="M42" i="2" s="1"/>
  <c r="M43" i="2" s="1"/>
  <c r="M44" i="2" s="1"/>
  <c r="M45" i="2" s="1"/>
  <c r="I25" i="2"/>
  <c r="D24" i="2" s="1"/>
  <c r="B25" i="2"/>
  <c r="E9" i="19" s="1"/>
  <c r="J26" i="2"/>
  <c r="E25" i="2" s="1"/>
  <c r="C180" i="2"/>
  <c r="J148" i="2"/>
  <c r="E147" i="2" s="1"/>
  <c r="B147" i="2"/>
  <c r="I147" i="2"/>
  <c r="J166" i="2"/>
  <c r="B165" i="2"/>
  <c r="I165" i="2"/>
  <c r="D164" i="2" s="1"/>
  <c r="I111" i="2"/>
  <c r="D110" i="2" s="1"/>
  <c r="B111" i="2"/>
  <c r="J112" i="2"/>
  <c r="E111" i="2" s="1"/>
  <c r="L26" i="2"/>
  <c r="I45" i="2"/>
  <c r="D44" i="2" s="1"/>
  <c r="J46" i="2"/>
  <c r="E45" i="2" s="1"/>
  <c r="B45" i="2"/>
  <c r="E44" i="2"/>
  <c r="E93" i="2"/>
  <c r="D92" i="2"/>
  <c r="J202" i="2"/>
  <c r="B201" i="2"/>
  <c r="I201" i="2"/>
  <c r="D200" i="2" s="1"/>
  <c r="I129" i="2"/>
  <c r="B129" i="2"/>
  <c r="J130" i="2"/>
  <c r="E129" i="2" s="1"/>
  <c r="C144" i="2"/>
  <c r="H36" i="2"/>
  <c r="C35" i="2" s="1"/>
  <c r="H24" i="2"/>
  <c r="C23" i="2" s="1"/>
  <c r="C34" i="2"/>
  <c r="O5" i="5" l="1"/>
  <c r="O6" i="5" s="1"/>
  <c r="O7" i="5" s="1"/>
  <c r="Q4" i="6"/>
  <c r="G4" i="23"/>
  <c r="T25" i="2"/>
  <c r="Q7" i="5"/>
  <c r="AA194" i="2"/>
  <c r="A5" i="9" s="1"/>
  <c r="AA195" i="2"/>
  <c r="AA196" i="2" s="1"/>
  <c r="AA197" i="2" s="1"/>
  <c r="AA198" i="2" s="1"/>
  <c r="AA199" i="2" s="1"/>
  <c r="AA200" i="2" s="1"/>
  <c r="AA201" i="2" s="1"/>
  <c r="AA202" i="2" s="1"/>
  <c r="AA203" i="2" s="1"/>
  <c r="AA204" i="2" s="1"/>
  <c r="AA205" i="2" s="1"/>
  <c r="AA206" i="2" s="1"/>
  <c r="AA207" i="2" s="1"/>
  <c r="AA208" i="2" s="1"/>
  <c r="AA209" i="2" s="1"/>
  <c r="M46" i="2"/>
  <c r="L46" i="2"/>
  <c r="N24" i="2"/>
  <c r="H78" i="2"/>
  <c r="J63" i="2"/>
  <c r="E62" i="2" s="1"/>
  <c r="I62" i="2"/>
  <c r="B62" i="2"/>
  <c r="H61" i="2"/>
  <c r="B184" i="2"/>
  <c r="J185" i="2"/>
  <c r="I184" i="2"/>
  <c r="D183" i="2" s="1"/>
  <c r="O24" i="2"/>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L27" i="2" s="1"/>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T26" i="2" l="1"/>
  <c r="F10" i="19"/>
  <c r="Q8" i="5"/>
  <c r="O8" i="5"/>
  <c r="H10" i="19"/>
  <c r="E11" i="9"/>
  <c r="D11" i="9" s="1"/>
  <c r="F11" i="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M27" i="2"/>
  <c r="M47" i="2"/>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L47" i="2"/>
  <c r="L48" i="2" s="1"/>
  <c r="I27" i="2"/>
  <c r="B27" i="2"/>
  <c r="J28" i="2"/>
  <c r="E27" i="2" s="1"/>
  <c r="C36" i="2"/>
  <c r="J204" i="2"/>
  <c r="E203" i="2" s="1"/>
  <c r="B203" i="2"/>
  <c r="I203" i="2"/>
  <c r="D202" i="2" s="1"/>
  <c r="D201" i="2"/>
  <c r="J97" i="2"/>
  <c r="E96" i="2" s="1"/>
  <c r="B96" i="2"/>
  <c r="I96" i="2"/>
  <c r="D95" i="2" s="1"/>
  <c r="E184" i="2"/>
  <c r="D61" i="2"/>
  <c r="B63" i="2"/>
  <c r="J64" i="2"/>
  <c r="E63" i="2" s="1"/>
  <c r="I63" i="2"/>
  <c r="D78" i="2"/>
  <c r="T27" i="2" l="1"/>
  <c r="Q9" i="5"/>
  <c r="O9" i="5"/>
  <c r="M48" i="2"/>
  <c r="N46" i="2"/>
  <c r="O26" i="2"/>
  <c r="O46" i="2"/>
  <c r="F12" i="9"/>
  <c r="J11" i="9"/>
  <c r="G11" i="9"/>
  <c r="E12" i="9"/>
  <c r="D12" i="9" s="1"/>
  <c r="K11" i="9"/>
  <c r="I11" i="9"/>
  <c r="B11" i="9"/>
  <c r="C11" i="9" s="1"/>
  <c r="H11" i="9" s="1"/>
  <c r="N26" i="2"/>
  <c r="I28" i="2"/>
  <c r="D27" i="2" s="1"/>
  <c r="E28" i="2"/>
  <c r="B28" i="2"/>
  <c r="G21" i="19" s="1"/>
  <c r="L29" i="2"/>
  <c r="L30" i="2" s="1"/>
  <c r="L31" i="2" s="1"/>
  <c r="L32" i="2" s="1"/>
  <c r="L33" i="2" s="1"/>
  <c r="L34" i="2" s="1"/>
  <c r="L35" i="2" s="1"/>
  <c r="L36" i="2" s="1"/>
  <c r="L37" i="2" s="1"/>
  <c r="M29" i="2"/>
  <c r="M30" i="2" s="1"/>
  <c r="M31" i="2" s="1"/>
  <c r="M32" i="2" s="1"/>
  <c r="M33" i="2" s="1"/>
  <c r="M34" i="2" s="1"/>
  <c r="M35" i="2" s="1"/>
  <c r="M36" i="2" s="1"/>
  <c r="M37" i="2" s="1"/>
  <c r="H27" i="2"/>
  <c r="C26" i="2" s="1"/>
  <c r="B81" i="2"/>
  <c r="J82" i="2"/>
  <c r="E81" i="2" s="1"/>
  <c r="I81" i="2"/>
  <c r="B168" i="2"/>
  <c r="J169" i="2"/>
  <c r="E168" i="2" s="1"/>
  <c r="I168" i="2"/>
  <c r="D167" i="2" s="1"/>
  <c r="B150" i="2"/>
  <c r="J151" i="2"/>
  <c r="E150" i="2" s="1"/>
  <c r="I150" i="2"/>
  <c r="H63" i="2"/>
  <c r="C62" i="2" s="1"/>
  <c r="I97" i="2"/>
  <c r="B97" i="2"/>
  <c r="J98" i="2"/>
  <c r="E97" i="2" s="1"/>
  <c r="H80" i="2"/>
  <c r="C79" i="2" s="1"/>
  <c r="D80" i="2"/>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M28" i="2"/>
  <c r="H131" i="2"/>
  <c r="C130" i="2" s="1"/>
  <c r="C94" i="2"/>
  <c r="H203" i="2"/>
  <c r="C202" i="2" s="1"/>
  <c r="H47" i="2"/>
  <c r="C46" i="2" s="1"/>
  <c r="C165" i="2"/>
  <c r="J133" i="2"/>
  <c r="E132" i="2" s="1"/>
  <c r="I132" i="2"/>
  <c r="D131" i="2" s="1"/>
  <c r="B132" i="2"/>
  <c r="L28" i="2"/>
  <c r="J115" i="2"/>
  <c r="E114" i="2" s="1"/>
  <c r="B114" i="2"/>
  <c r="I114" i="2"/>
  <c r="D113" i="2" s="1"/>
  <c r="H113" i="2"/>
  <c r="C112" i="2" s="1"/>
  <c r="C183" i="2"/>
  <c r="D26" i="2"/>
  <c r="D148" i="2"/>
  <c r="D7" i="15" l="1"/>
  <c r="T28" i="2"/>
  <c r="E19" i="19"/>
  <c r="F19" i="19"/>
  <c r="E20" i="19"/>
  <c r="E22" i="19"/>
  <c r="G20" i="19"/>
  <c r="G17" i="19"/>
  <c r="Q10" i="5"/>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M49" i="2"/>
  <c r="H132" i="2"/>
  <c r="C131" i="2" s="1"/>
  <c r="I115" i="2"/>
  <c r="D114" i="2" s="1"/>
  <c r="B115" i="2"/>
  <c r="J116" i="2"/>
  <c r="E115" i="2" s="1"/>
  <c r="J134" i="2"/>
  <c r="E133" i="2" s="1"/>
  <c r="I133" i="2"/>
  <c r="D132" i="2" s="1"/>
  <c r="B133" i="2"/>
  <c r="O47" i="2"/>
  <c r="H186" i="2"/>
  <c r="C185" i="2" s="1"/>
  <c r="H48" i="2"/>
  <c r="C47" i="2" s="1"/>
  <c r="H168" i="2"/>
  <c r="C148" i="2"/>
  <c r="H12" i="9" l="1"/>
  <c r="J2" i="7" s="1"/>
  <c r="T29" i="2"/>
  <c r="L50" i="2"/>
  <c r="M50"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T30" i="2" l="1"/>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E84" i="2" s="1"/>
  <c r="I84" i="2"/>
  <c r="B84" i="2"/>
  <c r="H116" i="2"/>
  <c r="C115" i="2" s="1"/>
  <c r="D115" i="2"/>
  <c r="B67" i="2"/>
  <c r="J68" i="2"/>
  <c r="E67" i="2" s="1"/>
  <c r="I67" i="2"/>
  <c r="D66" i="2" s="1"/>
  <c r="I51" i="2"/>
  <c r="D50" i="2" s="1"/>
  <c r="J52" i="2"/>
  <c r="E51" i="2" s="1"/>
  <c r="B51" i="2"/>
  <c r="J190" i="2"/>
  <c r="E189" i="2" s="1"/>
  <c r="B189" i="2"/>
  <c r="I189" i="2"/>
  <c r="D188" i="2" s="1"/>
  <c r="E66" i="2"/>
  <c r="H50" i="2"/>
  <c r="J101" i="2"/>
  <c r="E100" i="2" s="1"/>
  <c r="B100" i="2"/>
  <c r="I100" i="2"/>
  <c r="D99" i="2" s="1"/>
  <c r="E188" i="2"/>
  <c r="D49" i="2"/>
  <c r="H170" i="2"/>
  <c r="C169" i="2" s="1"/>
  <c r="H152" i="2"/>
  <c r="C151" i="2" s="1"/>
  <c r="H134" i="2"/>
  <c r="C133" i="2" s="1"/>
  <c r="H99" i="2"/>
  <c r="C98" i="2" s="1"/>
  <c r="H83" i="2"/>
  <c r="M51" i="2"/>
  <c r="H206" i="2"/>
  <c r="C205" i="2" s="1"/>
  <c r="H66" i="2"/>
  <c r="C65" i="2" s="1"/>
  <c r="I117" i="2"/>
  <c r="D116" i="2" s="1"/>
  <c r="B117" i="2"/>
  <c r="J118" i="2"/>
  <c r="E117" i="2" s="1"/>
  <c r="J208" i="2"/>
  <c r="E207" i="2" s="1"/>
  <c r="B207" i="2"/>
  <c r="I207" i="2"/>
  <c r="D206" i="2" s="1"/>
  <c r="D205" i="2"/>
  <c r="H188" i="2"/>
  <c r="C187" i="2" s="1"/>
  <c r="D133" i="2"/>
  <c r="L51" i="2"/>
  <c r="J172" i="2"/>
  <c r="E171" i="2" s="1"/>
  <c r="B171" i="2"/>
  <c r="I171" i="2"/>
  <c r="D169" i="2"/>
  <c r="C204" i="2"/>
  <c r="T31" i="2" l="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L52" i="2"/>
  <c r="M52" i="2"/>
  <c r="F16" i="9"/>
  <c r="J15" i="9"/>
  <c r="G15" i="9"/>
  <c r="K15" i="9"/>
  <c r="I15" i="9"/>
  <c r="E16" i="9"/>
  <c r="D16" i="9" s="1"/>
  <c r="B15" i="9"/>
  <c r="C15" i="9" s="1"/>
  <c r="H15" i="9" s="1"/>
  <c r="N50" i="2"/>
  <c r="C49" i="2"/>
  <c r="H189" i="2"/>
  <c r="B52" i="2"/>
  <c r="I52" i="2"/>
  <c r="J53" i="2"/>
  <c r="I85" i="2"/>
  <c r="D84" i="2" s="1"/>
  <c r="E85" i="2"/>
  <c r="B85" i="2"/>
  <c r="M86" i="2"/>
  <c r="M87" i="2" s="1"/>
  <c r="M88" i="2" s="1"/>
  <c r="M89" i="2" s="1"/>
  <c r="M90" i="2" s="1"/>
  <c r="M91" i="2" s="1"/>
  <c r="M92" i="2" s="1"/>
  <c r="M93" i="2" s="1"/>
  <c r="M94" i="2" s="1"/>
  <c r="M95" i="2" s="1"/>
  <c r="M96" i="2" s="1"/>
  <c r="M97" i="2" s="1"/>
  <c r="M98" i="2" s="1"/>
  <c r="M99" i="2" s="1"/>
  <c r="M100" i="2" s="1"/>
  <c r="M101" i="2" s="1"/>
  <c r="L86" i="2"/>
  <c r="L87" i="2" s="1"/>
  <c r="L88" i="2" s="1"/>
  <c r="L89" i="2" s="1"/>
  <c r="L90" i="2" s="1"/>
  <c r="L91" i="2" s="1"/>
  <c r="L92" i="2" s="1"/>
  <c r="L93" i="2" s="1"/>
  <c r="L94" i="2" s="1"/>
  <c r="L95" i="2" s="1"/>
  <c r="L96" i="2" s="1"/>
  <c r="L97" i="2" s="1"/>
  <c r="L98" i="2" s="1"/>
  <c r="L99" i="2" s="1"/>
  <c r="L100" i="2" s="1"/>
  <c r="L101" i="2" s="1"/>
  <c r="H135" i="2"/>
  <c r="B136" i="2"/>
  <c r="I136" i="2"/>
  <c r="J137" i="2"/>
  <c r="B190" i="2"/>
  <c r="J191" i="2"/>
  <c r="I190" i="2"/>
  <c r="J69" i="2"/>
  <c r="E68" i="2" s="1"/>
  <c r="I68" i="2"/>
  <c r="B68" i="2"/>
  <c r="H84" i="2"/>
  <c r="C83" i="2" s="1"/>
  <c r="H153" i="2"/>
  <c r="C152" i="2" s="1"/>
  <c r="B172" i="2"/>
  <c r="J173" i="2"/>
  <c r="E172" i="2" s="1"/>
  <c r="I172" i="2"/>
  <c r="D171" i="2" s="1"/>
  <c r="C188" i="2"/>
  <c r="H100" i="2"/>
  <c r="C99" i="2" s="1"/>
  <c r="H171" i="2"/>
  <c r="C170" i="2" s="1"/>
  <c r="H117" i="2"/>
  <c r="C116" i="2" s="1"/>
  <c r="D170" i="2"/>
  <c r="C82" i="2"/>
  <c r="B208" i="2"/>
  <c r="J209" i="2"/>
  <c r="E208" i="2" s="1"/>
  <c r="I208" i="2"/>
  <c r="D207" i="2" s="1"/>
  <c r="J119" i="2"/>
  <c r="B118" i="2"/>
  <c r="I118" i="2"/>
  <c r="D83" i="2"/>
  <c r="I101" i="2"/>
  <c r="E101" i="2"/>
  <c r="B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51" i="2"/>
  <c r="C50" i="2" s="1"/>
  <c r="H67" i="2"/>
  <c r="B154" i="2"/>
  <c r="J155" i="2"/>
  <c r="I154" i="2"/>
  <c r="O50" i="2"/>
  <c r="H207" i="2"/>
  <c r="C206" i="2" s="1"/>
  <c r="L3" i="7" l="1"/>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53" i="2"/>
  <c r="M4" i="7"/>
  <c r="M2" i="7"/>
  <c r="M119" i="2"/>
  <c r="K16" i="9"/>
  <c r="F17" i="9"/>
  <c r="I16" i="9"/>
  <c r="E17" i="9"/>
  <c r="D17" i="9" s="1"/>
  <c r="J16" i="9"/>
  <c r="G16" i="9"/>
  <c r="B16" i="9"/>
  <c r="C16" i="9" s="1"/>
  <c r="M3" i="7"/>
  <c r="L119" i="2"/>
  <c r="B155" i="2"/>
  <c r="E155" i="2"/>
  <c r="I155" i="2"/>
  <c r="D154" i="2" s="1"/>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18" i="2"/>
  <c r="C117" i="2" s="1"/>
  <c r="H172" i="2"/>
  <c r="C171" i="2" s="1"/>
  <c r="H68" i="2"/>
  <c r="B191" i="2"/>
  <c r="E191" i="2"/>
  <c r="I191" i="2"/>
  <c r="D190"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I137" i="2"/>
  <c r="D136" i="2" s="1"/>
  <c r="B137" i="2"/>
  <c r="E137" i="2"/>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H52" i="2"/>
  <c r="C51" i="2" s="1"/>
  <c r="D67" i="2"/>
  <c r="B209" i="2"/>
  <c r="E209" i="2"/>
  <c r="I209" i="2"/>
  <c r="D208" i="2" s="1"/>
  <c r="C66" i="2"/>
  <c r="H190" i="2"/>
  <c r="D189" i="2"/>
  <c r="H154" i="2"/>
  <c r="C153" i="2" s="1"/>
  <c r="D51" i="2"/>
  <c r="D101" i="2"/>
  <c r="H101" i="2"/>
  <c r="C100" i="2" s="1"/>
  <c r="I119" i="2"/>
  <c r="D118" i="2" s="1"/>
  <c r="E119" i="2"/>
  <c r="B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D100" i="2"/>
  <c r="B173" i="2"/>
  <c r="E173" i="2"/>
  <c r="I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D153" i="2"/>
  <c r="B69" i="2"/>
  <c r="E69" i="2"/>
  <c r="I69" i="2"/>
  <c r="D68" i="2" s="1"/>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E190" i="2"/>
  <c r="H136" i="2"/>
  <c r="H85" i="2"/>
  <c r="C85" i="2" s="1"/>
  <c r="D85" i="2"/>
  <c r="I53" i="2"/>
  <c r="E53" i="2"/>
  <c r="B53" i="2"/>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C189" i="2"/>
  <c r="L53" i="2"/>
  <c r="E154" i="2"/>
  <c r="E118" i="2"/>
  <c r="H208" i="2"/>
  <c r="C207" i="2" s="1"/>
  <c r="C134" i="2"/>
  <c r="D117" i="2"/>
  <c r="E136" i="2"/>
  <c r="D135" i="2"/>
  <c r="E52" i="2"/>
  <c r="N51" i="2"/>
  <c r="H16" i="9" l="1"/>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G31" i="23"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D13" i="15"/>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H17" i="9" l="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Q6" i="6"/>
  <c r="G26" i="23"/>
  <c r="G37" i="23"/>
  <c r="G44" i="23"/>
  <c r="G11" i="23"/>
  <c r="Q12" i="6"/>
  <c r="G21" i="23"/>
  <c r="Q8" i="6"/>
  <c r="Q18" i="6"/>
  <c r="Q29" i="6"/>
  <c r="Q28" i="6"/>
  <c r="O4" i="7"/>
  <c r="E19" i="9"/>
  <c r="D19" i="9" s="1"/>
  <c r="I18" i="9"/>
  <c r="F19" i="9"/>
  <c r="G18" i="9"/>
  <c r="K18" i="9"/>
  <c r="J18" i="9"/>
  <c r="B18" i="9"/>
  <c r="C18" i="9" s="1"/>
  <c r="O2" i="7"/>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P2"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s="1"/>
  <c r="F28" i="9" l="1"/>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s="1"/>
  <c r="K36" i="9" l="1"/>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s="1"/>
  <c r="E63" i="9" l="1"/>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s="1"/>
  <c r="E71" i="9" l="1"/>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s="1"/>
  <c r="G84" i="9" l="1"/>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s="1"/>
  <c r="G91" i="9" l="1"/>
  <c r="J91" i="9"/>
  <c r="E92" i="9"/>
  <c r="D92" i="9" s="1"/>
  <c r="F92" i="9"/>
  <c r="K91" i="9"/>
  <c r="I91" i="9"/>
  <c r="B91" i="9"/>
  <c r="C91" i="9" s="1"/>
  <c r="H91" i="9" s="1"/>
  <c r="G92" i="9" l="1"/>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s="1"/>
  <c r="G98" i="9" l="1"/>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s="1"/>
  <c r="G102" i="9" l="1"/>
  <c r="F103" i="9"/>
  <c r="J102" i="9"/>
  <c r="I102" i="9"/>
  <c r="E103" i="9"/>
  <c r="D103" i="9" s="1"/>
  <c r="K102" i="9"/>
  <c r="B102" i="9"/>
  <c r="C102" i="9" s="1"/>
  <c r="H102" i="9" l="1"/>
  <c r="G103" i="9"/>
  <c r="F104" i="9"/>
  <c r="I103" i="9"/>
  <c r="K103" i="9"/>
  <c r="E104" i="9"/>
  <c r="D104" i="9" s="1"/>
  <c r="J103" i="9"/>
  <c r="B103" i="9"/>
  <c r="C103" i="9" s="1"/>
  <c r="H103" i="9" s="1"/>
  <c r="G104" i="9" l="1"/>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s="1"/>
  <c r="G108" i="9" l="1"/>
  <c r="F109" i="9"/>
  <c r="J108" i="9"/>
  <c r="K108" i="9"/>
  <c r="E109" i="9"/>
  <c r="D109" i="9" s="1"/>
  <c r="I108" i="9"/>
  <c r="B108" i="9"/>
  <c r="C108" i="9" s="1"/>
  <c r="H108" i="9" l="1"/>
  <c r="G109" i="9"/>
  <c r="J109" i="9"/>
  <c r="F110" i="9"/>
  <c r="K109" i="9"/>
  <c r="I109" i="9"/>
  <c r="E110" i="9"/>
  <c r="D110" i="9" s="1"/>
  <c r="B109" i="9"/>
  <c r="C109" i="9" s="1"/>
  <c r="H109" i="9" s="1"/>
  <c r="G110" i="9" l="1"/>
  <c r="F111" i="9"/>
  <c r="J110" i="9"/>
  <c r="I110" i="9"/>
  <c r="E111" i="9"/>
  <c r="D111" i="9" s="1"/>
  <c r="K110" i="9"/>
  <c r="B110" i="9"/>
  <c r="C110" i="9" s="1"/>
  <c r="H110" i="9" l="1"/>
  <c r="G111" i="9"/>
  <c r="F112" i="9"/>
  <c r="I111" i="9"/>
  <c r="J111" i="9"/>
  <c r="E112" i="9"/>
  <c r="D112" i="9" s="1"/>
  <c r="K111" i="9"/>
  <c r="B111" i="9"/>
  <c r="C111" i="9" s="1"/>
  <c r="H111" i="9" s="1"/>
  <c r="G112" i="9" l="1"/>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s="1"/>
  <c r="G123" i="9" l="1"/>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s="1"/>
  <c r="G140" i="9" l="1"/>
  <c r="F141" i="9"/>
  <c r="J140" i="9"/>
  <c r="K140" i="9"/>
  <c r="E141" i="9"/>
  <c r="D141" i="9" s="1"/>
  <c r="I140" i="9"/>
  <c r="B140" i="9"/>
  <c r="C140" i="9" s="1"/>
  <c r="H140" i="9" l="1"/>
  <c r="G141" i="9"/>
  <c r="J141" i="9"/>
  <c r="F142" i="9"/>
  <c r="K141" i="9"/>
  <c r="E142" i="9"/>
  <c r="D142" i="9" s="1"/>
  <c r="I141" i="9"/>
  <c r="B141" i="9"/>
  <c r="C141" i="9" s="1"/>
  <c r="H141" i="9" s="1"/>
  <c r="G142" i="9" l="1"/>
  <c r="F143" i="9"/>
  <c r="J142" i="9"/>
  <c r="I142" i="9"/>
  <c r="K142" i="9"/>
  <c r="E143" i="9"/>
  <c r="D143" i="9" s="1"/>
  <c r="B142" i="9"/>
  <c r="C142" i="9" s="1"/>
  <c r="H142" i="9" s="1"/>
  <c r="G143" i="9" l="1"/>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s="1"/>
  <c r="G148" i="9" l="1"/>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s="1"/>
  <c r="G155" i="9" l="1"/>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s="1"/>
  <c r="G174" i="9" l="1"/>
  <c r="F175" i="9"/>
  <c r="J174" i="9"/>
  <c r="I174" i="9"/>
  <c r="E175" i="9"/>
  <c r="D175" i="9" s="1"/>
  <c r="K174" i="9"/>
  <c r="B174" i="9"/>
  <c r="C174" i="9" s="1"/>
  <c r="H174" i="9" l="1"/>
  <c r="G175" i="9"/>
  <c r="E176" i="9"/>
  <c r="D176" i="9" s="1"/>
  <c r="I175" i="9"/>
  <c r="J175" i="9"/>
  <c r="F176" i="9"/>
  <c r="K175" i="9"/>
  <c r="B175" i="9"/>
  <c r="C175" i="9" s="1"/>
  <c r="H175" i="9" s="1"/>
  <c r="E177" i="9" l="1"/>
  <c r="D177" i="9" s="1"/>
  <c r="I176" i="9"/>
  <c r="K176" i="9"/>
  <c r="G176" i="9"/>
  <c r="F177" i="9"/>
  <c r="J176" i="9"/>
  <c r="B176" i="9"/>
  <c r="C176" i="9" s="1"/>
  <c r="H176" i="9" s="1"/>
  <c r="F178" i="9" l="1"/>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s="1"/>
  <c r="E189" i="9" l="1"/>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s="1"/>
  <c r="F194" i="9" l="1"/>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s="1"/>
  <c r="F198" i="9" l="1"/>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s="1"/>
  <c r="K226" i="9" l="1"/>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s="1"/>
  <c r="F250" i="9" l="1"/>
  <c r="J249" i="9"/>
  <c r="I249" i="9"/>
  <c r="E250" i="9"/>
  <c r="D250" i="9" s="1"/>
  <c r="G249" i="9"/>
  <c r="K249" i="9"/>
  <c r="B249" i="9"/>
  <c r="C249" i="9" s="1"/>
  <c r="H249" i="9" s="1"/>
  <c r="K250" i="9" l="1"/>
  <c r="J250" i="9"/>
  <c r="I250" i="9"/>
  <c r="F251" i="9"/>
  <c r="E251" i="9"/>
  <c r="D251" i="9" s="1"/>
  <c r="G250" i="9"/>
  <c r="B250" i="9"/>
  <c r="C250" i="9" s="1"/>
  <c r="H250" i="9" s="1"/>
  <c r="G251" i="9" l="1"/>
  <c r="F252" i="9"/>
  <c r="I251" i="9"/>
  <c r="J251" i="9"/>
  <c r="E252" i="9"/>
  <c r="D252" i="9" s="1"/>
  <c r="K251" i="9"/>
  <c r="B251" i="9"/>
  <c r="C251" i="9" s="1"/>
  <c r="H251" i="9" s="1"/>
  <c r="E253" i="9" l="1"/>
  <c r="D253" i="9" s="1"/>
  <c r="I252" i="9"/>
  <c r="J252" i="9"/>
  <c r="K252" i="9"/>
  <c r="F253" i="9"/>
  <c r="G252" i="9"/>
  <c r="B252" i="9"/>
  <c r="C252" i="9" s="1"/>
  <c r="H252" i="9" s="1"/>
  <c r="F254" i="9" l="1"/>
  <c r="J253" i="9"/>
  <c r="K253" i="9"/>
  <c r="I253" i="9"/>
  <c r="E254" i="9"/>
  <c r="D254" i="9" s="1"/>
  <c r="G253" i="9"/>
  <c r="B253" i="9"/>
  <c r="C253" i="9" s="1"/>
  <c r="H253" i="9" s="1"/>
  <c r="K254" i="9" l="1"/>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s="1"/>
  <c r="E273" i="9" l="1"/>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s="1"/>
  <c r="G279" i="9" l="1"/>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s="1"/>
  <c r="K290" i="9" l="1"/>
  <c r="E291" i="9"/>
  <c r="D291" i="9" s="1"/>
  <c r="G290" i="9"/>
  <c r="F291" i="9"/>
  <c r="J290" i="9"/>
  <c r="I290" i="9"/>
  <c r="B290" i="9"/>
  <c r="C290" i="9" s="1"/>
  <c r="H290" i="9" s="1"/>
  <c r="G291" i="9" l="1"/>
  <c r="K291" i="9"/>
  <c r="F292" i="9"/>
  <c r="J291" i="9"/>
  <c r="I291" i="9"/>
  <c r="E292" i="9"/>
  <c r="D292" i="9" s="1"/>
  <c r="B291" i="9"/>
  <c r="C291" i="9" s="1"/>
  <c r="H291" i="9" s="1"/>
  <c r="E293" i="9" l="1"/>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s="1"/>
  <c r="E301" i="9" l="1"/>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s="1"/>
  <c r="G303" i="9" l="1"/>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s="1"/>
  <c r="K306" i="9" l="1"/>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s="1"/>
  <c r="E316" i="9" l="1"/>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s="1"/>
  <c r="F325" i="9" l="1"/>
  <c r="J324" i="9"/>
  <c r="I324" i="9"/>
  <c r="G324" i="9"/>
  <c r="K324" i="9"/>
  <c r="E325" i="9"/>
  <c r="D325" i="9" s="1"/>
  <c r="B324" i="9"/>
  <c r="C324" i="9" s="1"/>
  <c r="H324" i="9" l="1"/>
  <c r="K325" i="9"/>
  <c r="E326" i="9"/>
  <c r="D326" i="9" s="1"/>
  <c r="G325" i="9"/>
  <c r="I325" i="9"/>
  <c r="F326" i="9"/>
  <c r="J325" i="9"/>
  <c r="B325" i="9"/>
  <c r="C325" i="9" s="1"/>
  <c r="H325" i="9" s="1"/>
  <c r="G326" i="9" l="1"/>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s="1"/>
  <c r="K337" i="9" l="1"/>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s="1"/>
  <c r="E356" i="9" l="1"/>
  <c r="D356" i="9" s="1"/>
  <c r="I355" i="9"/>
  <c r="K355" i="9"/>
  <c r="J355" i="9"/>
  <c r="F356" i="9"/>
  <c r="G355" i="9"/>
  <c r="B355" i="9"/>
  <c r="C355" i="9" s="1"/>
  <c r="H355" i="9" s="1"/>
  <c r="F357" i="9" l="1"/>
  <c r="J356" i="9"/>
  <c r="I356" i="9"/>
  <c r="E357" i="9"/>
  <c r="D357" i="9" s="1"/>
  <c r="G356" i="9"/>
  <c r="K356" i="9"/>
  <c r="B356" i="9"/>
  <c r="C356" i="9" s="1"/>
  <c r="H356" i="9" l="1"/>
  <c r="K357" i="9"/>
  <c r="E358" i="9"/>
  <c r="D358" i="9" s="1"/>
  <c r="G357" i="9"/>
  <c r="J357" i="9"/>
  <c r="I357" i="9"/>
  <c r="F358" i="9"/>
  <c r="B357" i="9"/>
  <c r="C357" i="9" s="1"/>
  <c r="H357" i="9" s="1"/>
  <c r="G358" i="9" l="1"/>
  <c r="K358" i="9"/>
  <c r="E359" i="9"/>
  <c r="D359" i="9" s="1"/>
  <c r="I358" i="9"/>
  <c r="F359" i="9"/>
  <c r="J358" i="9"/>
  <c r="B358" i="9"/>
  <c r="C358" i="9" s="1"/>
  <c r="H358" i="9" s="1"/>
  <c r="E360" i="9" l="1"/>
  <c r="D360" i="9" s="1"/>
  <c r="I359" i="9"/>
  <c r="J359" i="9"/>
  <c r="K359" i="9"/>
  <c r="F360" i="9"/>
  <c r="G359" i="9"/>
  <c r="B359" i="9"/>
  <c r="C359" i="9" s="1"/>
  <c r="H359" i="9" s="1"/>
  <c r="F361" i="9" l="1"/>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s="1"/>
  <c r="E364" i="9" l="1"/>
  <c r="D364" i="9" s="1"/>
  <c r="I363" i="9"/>
  <c r="F364" i="9"/>
  <c r="G363" i="9"/>
  <c r="K363" i="9"/>
  <c r="J363" i="9"/>
  <c r="B363" i="9"/>
  <c r="C363" i="9" s="1"/>
  <c r="H363" i="9" l="1"/>
  <c r="F365" i="9"/>
  <c r="J364" i="9"/>
  <c r="E365" i="9"/>
  <c r="D365" i="9" s="1"/>
  <c r="I364" i="9"/>
  <c r="G364" i="9"/>
  <c r="K364" i="9"/>
  <c r="B364" i="9"/>
  <c r="C364" i="9" s="1"/>
  <c r="H364" i="9" s="1"/>
  <c r="K365" i="9" l="1"/>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s="1"/>
  <c r="K369" i="9" l="1"/>
  <c r="F370" i="9"/>
  <c r="I369" i="9"/>
  <c r="E370" i="9"/>
  <c r="D370" i="9" s="1"/>
  <c r="G369" i="9"/>
  <c r="J369" i="9"/>
  <c r="B369" i="9"/>
  <c r="C369" i="9" s="1"/>
  <c r="H369" i="9" l="1"/>
  <c r="G370" i="9"/>
  <c r="E371" i="9"/>
  <c r="D371" i="9" s="1"/>
  <c r="F371" i="9"/>
  <c r="J370" i="9"/>
  <c r="K370" i="9"/>
  <c r="I370" i="9"/>
  <c r="B370" i="9"/>
  <c r="C370" i="9" s="1"/>
  <c r="H370" i="9" s="1"/>
  <c r="E372" i="9" l="1"/>
  <c r="D372" i="9" s="1"/>
  <c r="I371" i="9"/>
  <c r="K371" i="9"/>
  <c r="F372" i="9"/>
  <c r="G371" i="9"/>
  <c r="J371" i="9"/>
  <c r="B371" i="9"/>
  <c r="C371" i="9" s="1"/>
  <c r="H371" i="9" s="1"/>
  <c r="F373" i="9" l="1"/>
  <c r="J372" i="9"/>
  <c r="I372" i="9"/>
  <c r="E373" i="9"/>
  <c r="D373" i="9" s="1"/>
  <c r="K372" i="9"/>
  <c r="G372" i="9"/>
  <c r="B372" i="9"/>
  <c r="C372" i="9" s="1"/>
  <c r="H372" i="9" s="1"/>
  <c r="K373" i="9" l="1"/>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s="1"/>
  <c r="K377" i="9" l="1"/>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s="1"/>
  <c r="K381" i="9" l="1"/>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s="1"/>
  <c r="E388" i="9" l="1"/>
  <c r="D388" i="9" s="1"/>
  <c r="I387" i="9"/>
  <c r="K387" i="9"/>
  <c r="G387" i="9"/>
  <c r="F388" i="9"/>
  <c r="J387" i="9"/>
  <c r="B387" i="9"/>
  <c r="C387" i="9" s="1"/>
  <c r="H387" i="9" s="1"/>
  <c r="F389" i="9" l="1"/>
  <c r="J388" i="9"/>
  <c r="I388" i="9"/>
  <c r="G388" i="9"/>
  <c r="K388" i="9"/>
  <c r="E389" i="9"/>
  <c r="D389" i="9" s="1"/>
  <c r="B388" i="9"/>
  <c r="C388" i="9" s="1"/>
  <c r="H388" i="9" s="1"/>
  <c r="K389" i="9" l="1"/>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s="1"/>
  <c r="F393" i="9" l="1"/>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s="1"/>
  <c r="K397" i="9" l="1"/>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s="1"/>
  <c r="K401" i="9" l="1"/>
  <c r="F402" i="9"/>
  <c r="I401" i="9"/>
  <c r="J401" i="9"/>
  <c r="E402" i="9"/>
  <c r="D402" i="9" s="1"/>
  <c r="G401" i="9"/>
  <c r="B401" i="9"/>
  <c r="C401" i="9" s="1"/>
  <c r="H401" i="9" s="1"/>
  <c r="G402" i="9" l="1"/>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s="1"/>
  <c r="F409" i="9" l="1"/>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s="1"/>
  <c r="E416" i="9" l="1"/>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s="1"/>
  <c r="K429" i="9" l="1"/>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s="1"/>
  <c r="K433" i="9" l="1"/>
  <c r="F434" i="9"/>
  <c r="I433" i="9"/>
  <c r="E434" i="9"/>
  <c r="D434" i="9" s="1"/>
  <c r="J433" i="9"/>
  <c r="G433" i="9"/>
  <c r="B433" i="9"/>
  <c r="C433" i="9" s="1"/>
  <c r="H433" i="9" s="1"/>
  <c r="G434" i="9" l="1"/>
  <c r="E435" i="9"/>
  <c r="D435" i="9" s="1"/>
  <c r="F435" i="9"/>
  <c r="J434" i="9"/>
  <c r="I434" i="9"/>
  <c r="K434" i="9"/>
  <c r="B434" i="9"/>
  <c r="C434" i="9" s="1"/>
  <c r="H434" i="9" l="1"/>
  <c r="E436" i="9"/>
  <c r="D436" i="9" s="1"/>
  <c r="I435" i="9"/>
  <c r="K435" i="9"/>
  <c r="F436" i="9"/>
  <c r="J435" i="9"/>
  <c r="G435" i="9"/>
  <c r="B435" i="9"/>
  <c r="C435" i="9" s="1"/>
  <c r="H435" i="9" s="1"/>
  <c r="F437" i="9" l="1"/>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s="1"/>
  <c r="F441" i="9" l="1"/>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s="1"/>
  <c r="E448" i="9" l="1"/>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s="1"/>
  <c r="K465" i="9" l="1"/>
  <c r="F466" i="9"/>
  <c r="I465" i="9"/>
  <c r="J465" i="9"/>
  <c r="E466" i="9"/>
  <c r="D466" i="9" s="1"/>
  <c r="G465" i="9"/>
  <c r="B465" i="9"/>
  <c r="C465" i="9" s="1"/>
  <c r="H465" i="9" s="1"/>
  <c r="G466" i="9" l="1"/>
  <c r="E467" i="9"/>
  <c r="D467" i="9" s="1"/>
  <c r="J466" i="9"/>
  <c r="F467" i="9"/>
  <c r="K466" i="9"/>
  <c r="I466" i="9"/>
  <c r="B466" i="9"/>
  <c r="C466" i="9" s="1"/>
  <c r="H466" i="9" s="1"/>
  <c r="E468" i="9" l="1"/>
  <c r="D468" i="9" s="1"/>
  <c r="I467" i="9"/>
  <c r="K467" i="9"/>
  <c r="J467" i="9"/>
  <c r="F468" i="9"/>
  <c r="G467" i="9"/>
  <c r="B467" i="9"/>
  <c r="C467" i="9" s="1"/>
  <c r="H467" i="9" s="1"/>
  <c r="F469" i="9" l="1"/>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s="1"/>
  <c r="K473" i="9" l="1"/>
  <c r="J473" i="9"/>
  <c r="F474" i="9"/>
  <c r="G473" i="9"/>
  <c r="E474" i="9"/>
  <c r="D474" i="9" s="1"/>
  <c r="I473" i="9"/>
  <c r="B473" i="9"/>
  <c r="C473" i="9" s="1"/>
  <c r="H473" i="9" s="1"/>
  <c r="G474" i="9" l="1"/>
  <c r="J474" i="9"/>
  <c r="K474" i="9"/>
  <c r="F475" i="9"/>
  <c r="E475" i="9"/>
  <c r="D475" i="9" s="1"/>
  <c r="I474" i="9"/>
  <c r="B474" i="9"/>
  <c r="C474" i="9" s="1"/>
  <c r="H474" i="9" s="1"/>
  <c r="E476" i="9" l="1"/>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s="1"/>
  <c r="E480" i="9" l="1"/>
  <c r="D480" i="9" s="1"/>
  <c r="I479" i="9"/>
  <c r="K479" i="9"/>
  <c r="G479" i="9"/>
  <c r="F480" i="9"/>
  <c r="J479" i="9"/>
  <c r="B479" i="9"/>
  <c r="C479" i="9" s="1"/>
  <c r="H479" i="9" l="1"/>
  <c r="F481" i="9"/>
  <c r="J480" i="9"/>
  <c r="K480" i="9"/>
  <c r="G480" i="9"/>
  <c r="E481" i="9"/>
  <c r="D481" i="9" s="1"/>
  <c r="I480" i="9"/>
  <c r="B480" i="9"/>
  <c r="C480" i="9" s="1"/>
  <c r="H480" i="9" s="1"/>
  <c r="K481" i="9" l="1"/>
  <c r="F482" i="9"/>
  <c r="I481" i="9"/>
  <c r="G481" i="9"/>
  <c r="E482" i="9"/>
  <c r="D482" i="9" s="1"/>
  <c r="J481" i="9"/>
  <c r="B481" i="9"/>
  <c r="C481" i="9" s="1"/>
  <c r="H481" i="9" l="1"/>
  <c r="G482" i="9"/>
  <c r="E483" i="9"/>
  <c r="D483" i="9" s="1"/>
  <c r="K482" i="9"/>
  <c r="I482" i="9"/>
  <c r="F483" i="9"/>
  <c r="J482" i="9"/>
  <c r="B482" i="9"/>
  <c r="C482" i="9" s="1"/>
  <c r="H482" i="9" s="1"/>
  <c r="E484" i="9" l="1"/>
  <c r="D484" i="9" s="1"/>
  <c r="I483" i="9"/>
  <c r="K483" i="9"/>
  <c r="G483" i="9"/>
  <c r="F484" i="9"/>
  <c r="J483" i="9"/>
  <c r="B483" i="9"/>
  <c r="C483" i="9" s="1"/>
  <c r="H483" i="9" l="1"/>
  <c r="F485" i="9"/>
  <c r="J484" i="9"/>
  <c r="I484" i="9"/>
  <c r="G484" i="9"/>
  <c r="E485" i="9"/>
  <c r="D485" i="9" s="1"/>
  <c r="K484" i="9"/>
  <c r="B484" i="9"/>
  <c r="C484" i="9" s="1"/>
  <c r="H484" i="9" s="1"/>
  <c r="K485" i="9" l="1"/>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s="1"/>
  <c r="E492" i="9" l="1"/>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s="1"/>
  <c r="F497" i="9" l="1"/>
  <c r="J496" i="9"/>
  <c r="K496" i="9"/>
  <c r="E497" i="9"/>
  <c r="D497" i="9" s="1"/>
  <c r="I496" i="9"/>
  <c r="G496" i="9"/>
  <c r="B496" i="9"/>
  <c r="C496" i="9" s="1"/>
  <c r="H496" i="9" s="1"/>
  <c r="K497" i="9" l="1"/>
  <c r="F498" i="9"/>
  <c r="I497" i="9"/>
  <c r="E498" i="9"/>
  <c r="D498" i="9" s="1"/>
  <c r="J497" i="9"/>
  <c r="G497" i="9"/>
  <c r="B497" i="9"/>
  <c r="C497" i="9" s="1"/>
  <c r="H497" i="9" s="1"/>
  <c r="G498" i="9" l="1"/>
  <c r="E499" i="9"/>
  <c r="D499" i="9" s="1"/>
  <c r="F499" i="9"/>
  <c r="J498" i="9"/>
  <c r="I498" i="9"/>
  <c r="K498" i="9"/>
  <c r="B498" i="9"/>
  <c r="C498" i="9" s="1"/>
  <c r="H498" i="9" s="1"/>
  <c r="E500" i="9" l="1"/>
  <c r="D500" i="9" s="1"/>
  <c r="I499" i="9"/>
  <c r="K499" i="9"/>
  <c r="F500" i="9"/>
  <c r="J499" i="9"/>
  <c r="G499" i="9"/>
  <c r="B499" i="9"/>
  <c r="C499" i="9" s="1"/>
  <c r="H499" i="9" s="1"/>
  <c r="F501" i="9" l="1"/>
  <c r="J500" i="9"/>
  <c r="I500" i="9"/>
  <c r="E501" i="9"/>
  <c r="D501" i="9" s="1"/>
  <c r="K500" i="9"/>
  <c r="G500" i="9"/>
  <c r="B500" i="9"/>
  <c r="C500" i="9" s="1"/>
  <c r="H500" i="9" l="1"/>
  <c r="K501" i="9"/>
  <c r="G501" i="9"/>
  <c r="J501" i="9"/>
  <c r="I501" i="9"/>
  <c r="B501" i="9"/>
  <c r="C501" i="9" s="1"/>
  <c r="H501" i="9" s="1"/>
  <c r="X3" i="7" l="1"/>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<sst xmlns="http://schemas.openxmlformats.org/spreadsheetml/2006/main" count="5907" uniqueCount="1100">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</sst>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6"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7" fillId="0" borderId="0" applyNumberFormat="0" applyFill="0" applyBorder="0" applyAlignment="0" applyProtection="0"/>
  </cellStyleXfs>
  <cellXfs count="29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6" fillId="2" borderId="4" xfId="0" applyFont="1" applyFill="1" applyBorder="1" applyAlignment="1">
      <alignment vertical="center"/>
    </xf>
    <xf numFmtId="0" fontId="26" fillId="2" borderId="5" xfId="0" applyFont="1" applyFill="1" applyBorder="1" applyAlignment="1">
      <alignment horizontal="left" vertical="center"/>
    </xf>
    <xf numFmtId="0" fontId="26" fillId="2" borderId="6" xfId="0" applyFont="1" applyFill="1" applyBorder="1" applyAlignment="1">
      <alignment horizontal="left" vertical="center"/>
    </xf>
    <xf numFmtId="0" fontId="26" fillId="2" borderId="5" xfId="0" applyFont="1" applyFill="1" applyBorder="1" applyAlignment="1" applyProtection="1">
      <alignment horizontal="left" vertical="center"/>
    </xf>
    <xf numFmtId="0" fontId="29" fillId="5" borderId="0" xfId="0" applyFont="1" applyFill="1" applyAlignment="1">
      <alignment vertical="center"/>
    </xf>
    <xf numFmtId="0" fontId="23" fillId="5" borderId="0" xfId="0" applyFont="1" applyFill="1" applyBorder="1"/>
    <xf numFmtId="0" fontId="30" fillId="7" borderId="4" xfId="0" applyFont="1" applyFill="1" applyBorder="1" applyAlignment="1">
      <alignment vertical="center"/>
    </xf>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7" fillId="0" borderId="5" xfId="0" applyFont="1" applyBorder="1" applyAlignment="1" applyProtection="1">
      <alignment horizontal="centerContinuous" vertical="center" wrapText="1"/>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Border="1" applyAlignment="1" applyProtection="1">
      <alignment horizontal="left" vertical="center" wrapText="1"/>
      <protection locked="0"/>
    </xf>
    <xf numFmtId="14" fontId="23" fillId="0" borderId="14" xfId="0" applyNumberFormat="1" applyFont="1" applyBorder="1" applyAlignment="1" applyProtection="1">
      <alignment horizontal="left" vertical="center" wrapText="1"/>
      <protection locked="0"/>
    </xf>
    <xf numFmtId="0" fontId="23" fillId="0" borderId="2" xfId="0" applyFont="1" applyBorder="1" applyAlignment="1" applyProtection="1">
      <alignment horizontal="left" vertical="center" wrapText="1"/>
      <protection locked="0"/>
    </xf>
    <xf numFmtId="14" fontId="23" fillId="0" borderId="3" xfId="0" applyNumberFormat="1" applyFont="1" applyBorder="1" applyAlignment="1" applyProtection="1">
      <alignment horizontal="left" vertical="center" wrapText="1"/>
      <protection locked="0"/>
    </xf>
    <xf numFmtId="0" fontId="24" fillId="0" borderId="0" xfId="0" applyFont="1" applyBorder="1" applyAlignment="1" applyProtection="1">
      <alignment horizontal="left" vertical="center" wrapText="1"/>
      <protection locked="0"/>
    </xf>
    <xf numFmtId="0" fontId="24" fillId="0" borderId="2" xfId="0" applyFont="1" applyBorder="1" applyAlignment="1" applyProtection="1">
      <alignment horizontal="left" vertical="center" wrapText="1"/>
      <protection locked="0"/>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3" fillId="0" borderId="0" xfId="0" applyFont="1" applyBorder="1" applyAlignment="1" applyProtection="1">
      <alignment vertical="center" wrapText="1"/>
      <protection locked="0"/>
    </xf>
    <xf numFmtId="0" fontId="23" fillId="0" borderId="2" xfId="0" applyFont="1" applyBorder="1" applyAlignment="1" applyProtection="1">
      <alignment vertical="center" wrapText="1"/>
      <protection locked="0"/>
    </xf>
    <xf numFmtId="0" fontId="23" fillId="5" borderId="0" xfId="0" applyFont="1" applyFill="1" applyAlignment="1">
      <alignment vertical="center"/>
    </xf>
    <xf numFmtId="0" fontId="23" fillId="5" borderId="0" xfId="0" applyFont="1" applyFill="1" applyAlignment="1" applyProtection="1">
      <alignment vertical="center"/>
    </xf>
    <xf numFmtId="0" fontId="23" fillId="5" borderId="0" xfId="0" applyFont="1" applyFill="1" applyBorder="1" applyAlignment="1">
      <alignment vertical="center"/>
    </xf>
    <xf numFmtId="0" fontId="23" fillId="5" borderId="0" xfId="0" applyFont="1" applyFill="1" applyBorder="1" applyAlignment="1" applyProtection="1">
      <alignment vertical="center"/>
    </xf>
    <xf numFmtId="0" fontId="24" fillId="6" borderId="0" xfId="0" applyFont="1" applyFill="1" applyAlignment="1">
      <alignment vertical="center"/>
    </xf>
    <xf numFmtId="0" fontId="24" fillId="6" borderId="0" xfId="0" applyFont="1" applyFill="1" applyAlignment="1" applyProtection="1">
      <alignment vertical="center"/>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49" fontId="23" fillId="0" borderId="0" xfId="0" applyNumberFormat="1" applyFont="1" applyBorder="1" applyAlignment="1" applyProtection="1">
      <alignment vertical="center"/>
    </xf>
    <xf numFmtId="49" fontId="23" fillId="0" borderId="2" xfId="0" applyNumberFormat="1" applyFont="1" applyBorder="1" applyAlignment="1" applyProtection="1">
      <alignment vertical="center"/>
    </xf>
    <xf numFmtId="49" fontId="24" fillId="0" borderId="0" xfId="0" applyNumberFormat="1" applyFont="1" applyBorder="1" applyAlignment="1" applyProtection="1">
      <alignment vertical="center"/>
    </xf>
    <xf numFmtId="49" fontId="24" fillId="0" borderId="2" xfId="0" applyNumberFormat="1" applyFont="1" applyBorder="1" applyAlignment="1" applyProtection="1">
      <alignment vertical="center"/>
    </xf>
    <xf numFmtId="0" fontId="23" fillId="9" borderId="0" xfId="0" applyFont="1" applyFill="1" applyProtection="1"/>
    <xf numFmtId="0" fontId="23" fillId="0" borderId="0" xfId="0" applyFont="1" applyProtection="1"/>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49" fontId="23" fillId="0" borderId="0" xfId="0" quotePrefix="1" applyNumberFormat="1" applyFont="1" applyBorder="1" applyAlignment="1" applyProtection="1">
      <alignment vertical="center"/>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24" fillId="0" borderId="9" xfId="0" applyFont="1" applyBorder="1" applyAlignment="1" applyProtection="1">
      <alignment horizontal="left" vertical="center" wrapText="1"/>
      <protection locked="0"/>
    </xf>
    <xf numFmtId="0" fontId="24" fillId="0" borderId="13" xfId="0" applyFont="1" applyBorder="1" applyAlignment="1" applyProtection="1">
      <alignment horizontal="left" vertical="center" wrapText="1"/>
      <protection locked="0"/>
    </xf>
    <xf numFmtId="0" fontId="24" fillId="0" borderId="10" xfId="0" applyFont="1" applyBorder="1" applyAlignment="1" applyProtection="1">
      <alignment horizontal="left" vertical="center" wrapText="1"/>
      <protection locked="0"/>
    </xf>
    <xf numFmtId="0" fontId="23" fillId="0" borderId="9" xfId="0" applyFont="1" applyFill="1" applyBorder="1" applyAlignment="1" applyProtection="1">
      <alignment horizontal="left" vertical="center" wrapText="1"/>
      <protection locked="0"/>
    </xf>
    <xf numFmtId="0" fontId="23" fillId="0" borderId="13" xfId="0" applyFont="1" applyFill="1" applyBorder="1" applyAlignment="1" applyProtection="1">
      <alignment horizontal="left" vertical="center" wrapText="1"/>
      <protection locked="0"/>
    </xf>
    <xf numFmtId="0" fontId="23"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2">
    <cellStyle name="Hyperlink" xfId="1" builtinId="8"/>
    <cellStyle name="Normal" xfId="0" builtinId="0"/>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332207248"/>
        <c:axId val="332210608"/>
      </c:barChart>
      <c:catAx>
        <c:axId val="33220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210608"/>
        <c:crosses val="autoZero"/>
        <c:auto val="1"/>
        <c:lblAlgn val="ctr"/>
        <c:lblOffset val="100"/>
        <c:noMultiLvlLbl val="0"/>
      </c:catAx>
      <c:valAx>
        <c:axId val="3322106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20724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56384864"/>
        <c:axId val="356378704"/>
      </c:barChart>
      <c:catAx>
        <c:axId val="35638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78704"/>
        <c:crosses val="autoZero"/>
        <c:auto val="1"/>
        <c:lblAlgn val="ctr"/>
        <c:lblOffset val="100"/>
        <c:noMultiLvlLbl val="0"/>
      </c:catAx>
      <c:valAx>
        <c:axId val="3563787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8486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56378144"/>
        <c:axId val="356376464"/>
      </c:barChart>
      <c:catAx>
        <c:axId val="35637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56376464"/>
        <c:crosses val="autoZero"/>
        <c:auto val="1"/>
        <c:lblAlgn val="ctr"/>
        <c:lblOffset val="100"/>
        <c:noMultiLvlLbl val="0"/>
      </c:catAx>
      <c:valAx>
        <c:axId val="3563764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7814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56379264"/>
        <c:axId val="356387104"/>
      </c:barChart>
      <c:catAx>
        <c:axId val="356379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87104"/>
        <c:crosses val="autoZero"/>
        <c:auto val="1"/>
        <c:lblAlgn val="ctr"/>
        <c:lblOffset val="100"/>
        <c:noMultiLvlLbl val="0"/>
      </c:catAx>
      <c:valAx>
        <c:axId val="3563871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7926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33680288"/>
        <c:axId val="833683648"/>
      </c:barChart>
      <c:catAx>
        <c:axId val="83368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683648"/>
        <c:crosses val="autoZero"/>
        <c:auto val="1"/>
        <c:lblAlgn val="ctr"/>
        <c:lblOffset val="100"/>
        <c:noMultiLvlLbl val="0"/>
      </c:catAx>
      <c:valAx>
        <c:axId val="8336836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68028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33674128"/>
        <c:axId val="833673568"/>
      </c:barChart>
      <c:catAx>
        <c:axId val="833674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673568"/>
        <c:crosses val="autoZero"/>
        <c:auto val="1"/>
        <c:lblAlgn val="ctr"/>
        <c:lblOffset val="100"/>
        <c:noMultiLvlLbl val="0"/>
      </c:catAx>
      <c:valAx>
        <c:axId val="8336735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6741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33686448"/>
        <c:axId val="833685328"/>
      </c:barChart>
      <c:catAx>
        <c:axId val="83368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33685328"/>
        <c:crosses val="autoZero"/>
        <c:auto val="1"/>
        <c:lblAlgn val="ctr"/>
        <c:lblOffset val="100"/>
        <c:noMultiLvlLbl val="0"/>
      </c:catAx>
      <c:valAx>
        <c:axId val="8336853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68644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28661392"/>
        <c:axId val="328657472"/>
      </c:barChart>
      <c:catAx>
        <c:axId val="32866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8657472"/>
        <c:crosses val="autoZero"/>
        <c:auto val="1"/>
        <c:lblAlgn val="ctr"/>
        <c:lblOffset val="100"/>
        <c:noMultiLvlLbl val="0"/>
      </c:catAx>
      <c:valAx>
        <c:axId val="3286574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66139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28653552"/>
        <c:axId val="328652992"/>
      </c:barChart>
      <c:catAx>
        <c:axId val="32865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8652992"/>
        <c:crosses val="autoZero"/>
        <c:auto val="1"/>
        <c:lblAlgn val="ctr"/>
        <c:lblOffset val="100"/>
        <c:noMultiLvlLbl val="0"/>
      </c:catAx>
      <c:valAx>
        <c:axId val="3286529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65355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28658032"/>
        <c:axId val="328661952"/>
      </c:barChart>
      <c:catAx>
        <c:axId val="328658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8661952"/>
        <c:crosses val="autoZero"/>
        <c:auto val="1"/>
        <c:lblAlgn val="ctr"/>
        <c:lblOffset val="100"/>
        <c:noMultiLvlLbl val="0"/>
      </c:catAx>
      <c:valAx>
        <c:axId val="3286619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65803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27891520"/>
        <c:axId val="327893200"/>
      </c:barChart>
      <c:catAx>
        <c:axId val="32789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7893200"/>
        <c:crosses val="autoZero"/>
        <c:auto val="1"/>
        <c:lblAlgn val="ctr"/>
        <c:lblOffset val="100"/>
        <c:noMultiLvlLbl val="0"/>
      </c:catAx>
      <c:valAx>
        <c:axId val="3278932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915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27897680"/>
        <c:axId val="327898240"/>
      </c:barChart>
      <c:catAx>
        <c:axId val="32789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7898240"/>
        <c:crosses val="autoZero"/>
        <c:auto val="1"/>
        <c:lblAlgn val="ctr"/>
        <c:lblOffset val="100"/>
        <c:noMultiLvlLbl val="0"/>
      </c:catAx>
      <c:valAx>
        <c:axId val="3278982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976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2088356</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2266950</xdr:colOff>
          <xdr:row>0</xdr:row>
          <xdr:rowOff>57150</xdr:rowOff>
        </xdr:from>
        <xdr:to>
          <xdr:col>43</xdr:col>
          <xdr:colOff>159544</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80962</xdr:colOff>
          <xdr:row>0</xdr:row>
          <xdr:rowOff>57150</xdr:rowOff>
        </xdr:from>
        <xdr:to>
          <xdr:col>46</xdr:col>
          <xdr:colOff>326231</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516731</xdr:colOff>
          <xdr:row>0</xdr:row>
          <xdr:rowOff>57150</xdr:rowOff>
        </xdr:from>
        <xdr:to>
          <xdr:col>49</xdr:col>
          <xdr:colOff>138113</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278607</xdr:colOff>
          <xdr:row>0</xdr:row>
          <xdr:rowOff>57150</xdr:rowOff>
        </xdr:from>
        <xdr:to>
          <xdr:col>51</xdr:col>
          <xdr:colOff>516731</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10" sqref="C10"/>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74" hidden="1" customWidth="1"/>
    <col min="36" max="39" width="9.140625" customWidth="1"/>
  </cols>
  <sheetData>
    <row r="1" spans="1:36" ht="21" customHeight="1" x14ac:dyDescent="0.25">
      <c r="A1" s="56"/>
      <c r="B1" s="273" t="s">
        <v>313</v>
      </c>
      <c r="C1" s="273"/>
      <c r="D1" s="273"/>
      <c r="E1" s="27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851</v>
      </c>
      <c r="C2" s="61"/>
      <c r="D2" s="62" t="s">
        <v>315</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852</v>
      </c>
      <c r="C3" s="66"/>
      <c r="D3" s="63" t="s">
        <v>316</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318</v>
      </c>
      <c r="C4" s="66"/>
      <c r="D4" s="63" t="s">
        <v>317</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320</v>
      </c>
      <c r="C5" s="68"/>
      <c r="D5" s="96" t="s">
        <v>948</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319</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853</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951</v>
      </c>
      <c r="C10" s="104">
        <v>43101</v>
      </c>
      <c r="D10" s="97" t="s">
        <v>949</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952</v>
      </c>
      <c r="C11" s="104"/>
      <c r="D11" s="97" t="s">
        <v>950</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953</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61" t="s">
        <v>321</v>
      </c>
      <c r="C14" s="262"/>
      <c r="D14" s="262"/>
      <c r="E14" s="263"/>
      <c r="F14" s="59"/>
      <c r="G14" s="58"/>
      <c r="H14" s="175" t="s">
        <v>934</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64"/>
      <c r="C15" s="265"/>
      <c r="D15" s="265"/>
      <c r="E15" s="266"/>
      <c r="F15" s="59"/>
      <c r="G15" s="58"/>
      <c r="H15" s="175">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67" t="s">
        <v>322</v>
      </c>
      <c r="C16" s="268"/>
      <c r="D16" s="268"/>
      <c r="E16" s="26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70"/>
      <c r="C17" s="271"/>
      <c r="D17" s="271"/>
      <c r="E17" s="272"/>
      <c r="F17" s="59"/>
      <c r="G17" s="58"/>
      <c r="H17" s="175">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218" customFormat="1" x14ac:dyDescent="0.25">
      <c r="A30" s="70"/>
      <c r="B30" s="7"/>
      <c r="C30" s="216"/>
      <c r="D30" s="7"/>
      <c r="E30" s="7"/>
      <c r="F30" s="72"/>
      <c r="G30" s="76"/>
      <c r="H30" s="217"/>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206"/>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39" activePane="bottomRight" state="frozen"/>
      <selection activeCell="C10" sqref="C10"/>
      <selection pane="topRight" activeCell="C10" sqref="C10"/>
      <selection pane="bottomLeft" activeCell="C10" sqref="C10"/>
      <selection pane="bottomRight" activeCell="AF40" sqref="AF40"/>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298</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854</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76" t="s">
        <v>299</v>
      </c>
      <c r="AD3" s="276"/>
      <c r="AE3" s="276"/>
      <c r="AF3" s="276"/>
      <c r="AG3" s="276"/>
      <c r="AH3" s="276"/>
      <c r="AI3" s="276"/>
      <c r="AJ3" s="276"/>
      <c r="AK3" s="276"/>
      <c r="AL3" s="276"/>
      <c r="AM3" s="276"/>
      <c r="AN3" s="276"/>
      <c r="AO3" s="276"/>
      <c r="AP3" s="276"/>
      <c r="AQ3" s="27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75" t="s">
        <v>300</v>
      </c>
      <c r="AD5" s="275"/>
      <c r="AE5" s="275"/>
      <c r="AF5" s="275"/>
      <c r="AG5" s="275"/>
      <c r="AH5" s="275"/>
      <c r="AI5" s="275"/>
      <c r="AJ5" s="275"/>
      <c r="AK5" s="275"/>
      <c r="AL5" s="275"/>
      <c r="AM5" s="275"/>
      <c r="AN5" s="275"/>
      <c r="AO5" s="275"/>
      <c r="AP5" s="275"/>
      <c r="AQ5" s="27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74" t="s">
        <v>1093</v>
      </c>
      <c r="AD6" s="274"/>
      <c r="AE6" s="274"/>
      <c r="AF6" s="274"/>
      <c r="AG6" s="274"/>
      <c r="AH6" s="274"/>
      <c r="AI6" s="274"/>
      <c r="AJ6" s="274"/>
      <c r="AK6" s="274"/>
      <c r="AL6" s="274"/>
      <c r="AM6" s="274"/>
      <c r="AN6" s="274"/>
      <c r="AO6" s="274"/>
      <c r="AP6" s="274"/>
      <c r="AQ6" s="27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74" t="s">
        <v>1094</v>
      </c>
      <c r="AD7" s="274"/>
      <c r="AE7" s="274"/>
      <c r="AF7" s="274"/>
      <c r="AG7" s="274"/>
      <c r="AH7" s="274"/>
      <c r="AI7" s="274"/>
      <c r="AJ7" s="274"/>
      <c r="AK7" s="274"/>
      <c r="AL7" s="274"/>
      <c r="AM7" s="274"/>
      <c r="AN7" s="274"/>
      <c r="AO7" s="274"/>
      <c r="AP7" s="274"/>
      <c r="AQ7" s="27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74" t="s">
        <v>1095</v>
      </c>
      <c r="AD8" s="274"/>
      <c r="AE8" s="274"/>
      <c r="AF8" s="274"/>
      <c r="AG8" s="274"/>
      <c r="AH8" s="274"/>
      <c r="AI8" s="274"/>
      <c r="AJ8" s="274"/>
      <c r="AK8" s="274"/>
      <c r="AL8" s="274"/>
      <c r="AM8" s="274"/>
      <c r="AN8" s="274"/>
      <c r="AO8" s="274"/>
      <c r="AP8" s="274"/>
      <c r="AQ8" s="27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74" t="s">
        <v>1096</v>
      </c>
      <c r="AD9" s="274"/>
      <c r="AE9" s="274"/>
      <c r="AF9" s="274"/>
      <c r="AG9" s="274"/>
      <c r="AH9" s="274"/>
      <c r="AI9" s="274"/>
      <c r="AJ9" s="274"/>
      <c r="AK9" s="274"/>
      <c r="AL9" s="274"/>
      <c r="AM9" s="274"/>
      <c r="AN9" s="274"/>
      <c r="AO9" s="274"/>
      <c r="AP9" s="274"/>
      <c r="AQ9" s="27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74" t="s">
        <v>1097</v>
      </c>
      <c r="AD10" s="274"/>
      <c r="AE10" s="274"/>
      <c r="AF10" s="274"/>
      <c r="AG10" s="274"/>
      <c r="AH10" s="274"/>
      <c r="AI10" s="274"/>
      <c r="AJ10" s="274"/>
      <c r="AK10" s="274"/>
      <c r="AL10" s="274"/>
      <c r="AM10" s="274"/>
      <c r="AN10" s="274"/>
      <c r="AO10" s="274"/>
      <c r="AP10" s="274"/>
      <c r="AQ10" s="274"/>
      <c r="AR10" s="6"/>
    </row>
    <row r="11" spans="1:44" ht="15.75" x14ac:dyDescent="0.25">
      <c r="A11" s="37"/>
      <c r="L11" s="34" t="s">
        <v>148</v>
      </c>
      <c r="M11" s="36">
        <f>IF(dateAssess3&lt;&gt;"",dateAssess3,IF(dateAssess2&lt;&gt;"",dateAssess2,IF(dateAssess1&lt;&gt;"",dateAssess1,"")))</f>
        <v>43101</v>
      </c>
      <c r="T11" s="36"/>
      <c r="AC11" s="274" t="s">
        <v>1098</v>
      </c>
      <c r="AD11" s="274"/>
      <c r="AE11" s="274"/>
      <c r="AF11" s="274"/>
      <c r="AG11" s="274"/>
      <c r="AH11" s="274"/>
      <c r="AI11" s="274"/>
      <c r="AJ11" s="274"/>
      <c r="AK11" s="274"/>
      <c r="AL11" s="274"/>
      <c r="AM11" s="274"/>
      <c r="AN11" s="274"/>
      <c r="AO11" s="274"/>
      <c r="AP11" s="274"/>
      <c r="AQ11" s="27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849</v>
      </c>
      <c r="D13" s="43"/>
      <c r="E13" s="43"/>
      <c r="F13" s="94" t="s">
        <v>685</v>
      </c>
      <c r="G13" s="43"/>
      <c r="H13" s="43"/>
      <c r="I13" s="43"/>
      <c r="J13" s="43"/>
      <c r="K13" s="83"/>
      <c r="L13" s="84" t="s">
        <v>675</v>
      </c>
      <c r="M13" s="44"/>
      <c r="N13" s="44"/>
      <c r="O13" s="44"/>
      <c r="P13" s="43" t="s">
        <v>674</v>
      </c>
      <c r="Q13" s="40"/>
      <c r="R13" s="40"/>
      <c r="S13" s="40"/>
      <c r="T13" s="40"/>
      <c r="U13" s="40"/>
      <c r="V13" s="40"/>
      <c r="W13" s="40"/>
      <c r="X13" s="45" t="s">
        <v>673</v>
      </c>
      <c r="Y13" s="44"/>
      <c r="Z13" s="44"/>
      <c r="AA13" s="44"/>
      <c r="AB13" s="45" t="s">
        <v>670</v>
      </c>
      <c r="AC13" s="39"/>
      <c r="AD13" s="41"/>
      <c r="AE13" s="42"/>
      <c r="AF13" s="253" t="str">
        <f>"Family Plan for Change"&amp;IF(dateAssess1="",""," - "&amp;TEXT(dateAssess1,"M/D/YYYY"))</f>
        <v>Family Plan for Change - 1/1/2018</v>
      </c>
      <c r="AG13" s="254"/>
      <c r="AH13" s="255"/>
      <c r="AI13" s="255"/>
      <c r="AJ13" s="253" t="str">
        <f>"Transition Planning"&amp;IF(dateAssess2="",""," - "&amp;TEXT(dateAssess2,"M/D/YYYY"))</f>
        <v>Transition Planning</v>
      </c>
      <c r="AK13" s="254"/>
      <c r="AL13" s="255"/>
      <c r="AM13" s="255"/>
      <c r="AN13" s="253" t="str">
        <f>"End of Service Summary"&amp;IF(dateAssess3="",""," - "&amp;TEXT(dateAssess3,"M/D/YYYY"))</f>
        <v>End of Service Summary</v>
      </c>
      <c r="AO13" s="254"/>
      <c r="AP13" s="255"/>
      <c r="AQ13" s="255"/>
      <c r="AR13" s="102"/>
    </row>
    <row r="14" spans="1:44" ht="30.75" x14ac:dyDescent="0.3">
      <c r="A14" s="39"/>
      <c r="B14" s="163" t="s">
        <v>692</v>
      </c>
      <c r="C14" s="163" t="s">
        <v>850</v>
      </c>
      <c r="D14" s="163" t="s">
        <v>162</v>
      </c>
      <c r="E14" s="163" t="s">
        <v>51</v>
      </c>
      <c r="F14" s="164" t="s">
        <v>54</v>
      </c>
      <c r="G14" s="163" t="s">
        <v>164</v>
      </c>
      <c r="H14" s="163" t="s">
        <v>682</v>
      </c>
      <c r="I14" s="163" t="s">
        <v>162</v>
      </c>
      <c r="J14" s="163" t="s">
        <v>51</v>
      </c>
      <c r="K14" s="165" t="s">
        <v>53</v>
      </c>
      <c r="L14" s="166" t="s">
        <v>848</v>
      </c>
      <c r="M14" s="165" t="s">
        <v>261</v>
      </c>
      <c r="N14" s="165" t="s">
        <v>679</v>
      </c>
      <c r="O14" s="165" t="s">
        <v>680</v>
      </c>
      <c r="P14" s="167" t="s">
        <v>927</v>
      </c>
      <c r="Q14" s="168" t="s">
        <v>926</v>
      </c>
      <c r="R14" s="165" t="s">
        <v>147</v>
      </c>
      <c r="S14" s="168" t="s">
        <v>145</v>
      </c>
      <c r="T14" s="168" t="s">
        <v>676</v>
      </c>
      <c r="U14" s="168" t="s">
        <v>925</v>
      </c>
      <c r="V14" s="168" t="s">
        <v>677</v>
      </c>
      <c r="W14" s="168" t="s">
        <v>924</v>
      </c>
      <c r="X14" s="166" t="s">
        <v>260</v>
      </c>
      <c r="Y14" s="165" t="s">
        <v>671</v>
      </c>
      <c r="Z14" s="165" t="s">
        <v>672</v>
      </c>
      <c r="AA14" s="166" t="s">
        <v>52</v>
      </c>
      <c r="AB14" s="169" t="s">
        <v>163</v>
      </c>
      <c r="AC14" s="41" t="s">
        <v>1</v>
      </c>
      <c r="AD14" s="41"/>
      <c r="AE14" s="42"/>
      <c r="AF14" s="256" t="s">
        <v>50</v>
      </c>
      <c r="AG14" s="257" t="s">
        <v>46</v>
      </c>
      <c r="AH14" s="257" t="s">
        <v>296</v>
      </c>
      <c r="AI14" s="258" t="s">
        <v>297</v>
      </c>
      <c r="AJ14" s="256" t="s">
        <v>50</v>
      </c>
      <c r="AK14" s="257" t="s">
        <v>46</v>
      </c>
      <c r="AL14" s="257" t="s">
        <v>296</v>
      </c>
      <c r="AM14" s="257" t="s">
        <v>297</v>
      </c>
      <c r="AN14" s="256" t="s">
        <v>50</v>
      </c>
      <c r="AO14" s="257" t="s">
        <v>46</v>
      </c>
      <c r="AP14" s="259" t="s">
        <v>296</v>
      </c>
      <c r="AQ14" s="259" t="s">
        <v>297</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219"/>
      <c r="AD17" s="219"/>
      <c r="AE17" s="219"/>
      <c r="AF17" s="220"/>
      <c r="AG17" s="221"/>
      <c r="AH17" s="222"/>
      <c r="AI17" s="223"/>
      <c r="AJ17" s="220"/>
      <c r="AK17" s="221"/>
      <c r="AL17" s="222"/>
      <c r="AM17" s="223"/>
      <c r="AN17" s="220"/>
      <c r="AO17" s="221"/>
      <c r="AP17" s="222"/>
      <c r="AQ17" s="223"/>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"")&amp;IF(P18=1, IF(L17="",  "", ", ")&amp;$AC18, "")</f>
        <v/>
      </c>
      <c r="M18" s="23" t="str">
        <f ca="1">IF($J18=$J17, M17, "")&amp;IF(Q18=1,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5">INDIRECT(ADDRESS(ROW(), lastAssessCol))</f>
        <v>0</v>
      </c>
      <c r="Y18" s="24" t="str">
        <f t="shared" ref="Y18:Y49" ca="1" si="6">T(INDIRECT(ADDRESS(ROW(), lastAssessCol+2)))</f>
        <v/>
      </c>
      <c r="Z18" s="24" t="str">
        <f t="shared" ref="Z18:Z49" ca="1" si="7">T(INDIRECT(ADDRESS(ROW(), lastAssessCol+3)))</f>
        <v/>
      </c>
      <c r="AA18" s="80">
        <v>0</v>
      </c>
      <c r="AC18" s="224" t="s">
        <v>3</v>
      </c>
      <c r="AD18" s="225"/>
      <c r="AE18" s="225"/>
      <c r="AF18" s="226"/>
      <c r="AG18" s="227"/>
      <c r="AH18" s="228"/>
      <c r="AI18" s="229"/>
      <c r="AJ18" s="226"/>
      <c r="AK18" s="227"/>
      <c r="AL18" s="228"/>
      <c r="AM18" s="229"/>
      <c r="AN18" s="226"/>
      <c r="AO18" s="227"/>
      <c r="AP18" s="228"/>
      <c r="AQ18" s="229"/>
      <c r="AR18" s="102"/>
    </row>
    <row r="19" spans="1:44" ht="15.75" x14ac:dyDescent="0.25">
      <c r="A19" s="39"/>
      <c r="B19" s="23" t="str">
        <f t="shared" si="0"/>
        <v>Family Functioning_1</v>
      </c>
      <c r="C19" s="23" t="str">
        <f t="shared" ref="C19:C82" si="8">IF(H19&lt;&gt;H20, H19, "")</f>
        <v/>
      </c>
      <c r="D19" s="23" t="str">
        <f t="shared" si="1"/>
        <v/>
      </c>
      <c r="E19" s="23" t="str">
        <f t="shared" si="1"/>
        <v/>
      </c>
      <c r="F19" s="82">
        <f t="shared" si="2"/>
        <v>1</v>
      </c>
      <c r="G19" s="23">
        <f t="shared" si="3"/>
        <v>1</v>
      </c>
      <c r="H19" s="23" t="str">
        <f t="shared" ref="H19:H82" si="9">IF(OR(I19="FF", I19="CGA"), "FF/CGA", I19)</f>
        <v>FF/CGA</v>
      </c>
      <c r="I19" s="23" t="str">
        <f t="shared" ref="I19:I82" si="10">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1">IF($J19=$J18, L18, "")&amp;IF(P19=1, IF(L18="",  "", ", ")&amp;$AC19, "")</f>
        <v/>
      </c>
      <c r="M19" s="23" t="str">
        <f t="shared" ref="M19:M82" ca="1" si="12">IF($J19=$J18, M18, "")&amp;IF(Q19=1, IF(M18="",  "", ", ")&amp;$AC19, "")</f>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5"/>
        <v>0</v>
      </c>
      <c r="Y19" s="24" t="str">
        <f t="shared" ca="1" si="6"/>
        <v/>
      </c>
      <c r="Z19" s="24" t="str">
        <f t="shared" ca="1" si="7"/>
        <v/>
      </c>
      <c r="AA19" s="80">
        <f t="shared" ref="AA19:AA50" si="18">AA18+IF(AB19=0, 0, 1)</f>
        <v>1</v>
      </c>
      <c r="AB19" s="15" t="s">
        <v>263</v>
      </c>
      <c r="AC19" s="230" t="s">
        <v>263</v>
      </c>
      <c r="AD19" s="231"/>
      <c r="AE19" s="231"/>
      <c r="AF19" s="232"/>
      <c r="AG19" s="233"/>
      <c r="AH19" s="234"/>
      <c r="AI19" s="235"/>
      <c r="AJ19" s="232"/>
      <c r="AK19" s="233"/>
      <c r="AL19" s="234"/>
      <c r="AM19" s="235"/>
      <c r="AN19" s="232"/>
      <c r="AO19" s="233"/>
      <c r="AP19" s="234"/>
      <c r="AQ19" s="235"/>
      <c r="AR19" s="102"/>
    </row>
    <row r="20" spans="1:44" ht="15.75" x14ac:dyDescent="0.25">
      <c r="A20" s="39"/>
      <c r="B20" s="23" t="str">
        <f t="shared" si="0"/>
        <v>Family Functioning_2</v>
      </c>
      <c r="C20" s="23" t="str">
        <f t="shared" si="8"/>
        <v/>
      </c>
      <c r="D20" s="23" t="str">
        <f t="shared" si="1"/>
        <v/>
      </c>
      <c r="E20" s="23" t="str">
        <f t="shared" si="1"/>
        <v/>
      </c>
      <c r="F20" s="82">
        <f t="shared" si="2"/>
        <v>1</v>
      </c>
      <c r="G20" s="23">
        <f t="shared" si="3"/>
        <v>2</v>
      </c>
      <c r="H20" s="23" t="str">
        <f t="shared" si="9"/>
        <v>FF/CGA</v>
      </c>
      <c r="I20" s="23" t="str">
        <f t="shared" si="10"/>
        <v>FF</v>
      </c>
      <c r="J20" s="23" t="str">
        <f t="shared" si="4"/>
        <v>Family Functioning</v>
      </c>
      <c r="K20" s="93">
        <v>1</v>
      </c>
      <c r="L20" s="82" t="str">
        <f t="shared" ca="1" si="11"/>
        <v/>
      </c>
      <c r="M20" s="23" t="str">
        <f t="shared" ca="1" si="12"/>
        <v/>
      </c>
      <c r="N20" s="23" t="str">
        <f t="shared" ca="1" si="13"/>
        <v/>
      </c>
      <c r="O20" s="23" t="str">
        <f t="shared" ca="1" si="14"/>
        <v/>
      </c>
      <c r="P20" s="80" t="str">
        <f>IFERROR(IF(AND($X20=3, ISNUMBER($X20)), COUNTIFS(X$18:X20, "=3", $AC$18:$AC20, $AC20), "-"), "err")</f>
        <v>-</v>
      </c>
      <c r="Q20" s="24" t="str">
        <f>IFERROR(IF(AND($X20=2, ISNUMBER($X20)), COUNTIFS(X$18:X20, "=2", $AC$18:$AC20, $AC20), "-"), "err")</f>
        <v>-</v>
      </c>
      <c r="R20" s="23">
        <f t="shared" ca="1" si="15"/>
        <v>0</v>
      </c>
      <c r="S20" s="24" t="str">
        <f>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t="s">
        <v>944</v>
      </c>
      <c r="Y20" s="24" t="str">
        <f t="shared" ca="1" si="6"/>
        <v/>
      </c>
      <c r="Z20" s="24" t="str">
        <f t="shared" ca="1" si="7"/>
        <v/>
      </c>
      <c r="AA20" s="80">
        <f t="shared" si="18"/>
        <v>2</v>
      </c>
      <c r="AB20" s="15" t="s">
        <v>264</v>
      </c>
      <c r="AC20" s="236" t="s">
        <v>264</v>
      </c>
      <c r="AD20" s="237"/>
      <c r="AE20" s="237"/>
      <c r="AF20" s="238"/>
      <c r="AG20" s="239"/>
      <c r="AH20" s="240"/>
      <c r="AI20" s="241"/>
      <c r="AJ20" s="238"/>
      <c r="AK20" s="239"/>
      <c r="AL20" s="240"/>
      <c r="AM20" s="241"/>
      <c r="AN20" s="238"/>
      <c r="AO20" s="239"/>
      <c r="AP20" s="240"/>
      <c r="AQ20" s="241"/>
      <c r="AR20" s="102"/>
    </row>
    <row r="21" spans="1:44" ht="15.75" x14ac:dyDescent="0.25">
      <c r="A21" s="39"/>
      <c r="B21" s="23" t="str">
        <f t="shared" si="0"/>
        <v>Family Functioning_3</v>
      </c>
      <c r="C21" s="23" t="str">
        <f t="shared" si="8"/>
        <v/>
      </c>
      <c r="D21" s="23" t="str">
        <f t="shared" si="1"/>
        <v/>
      </c>
      <c r="E21" s="23" t="str">
        <f t="shared" si="1"/>
        <v/>
      </c>
      <c r="F21" s="82">
        <f t="shared" si="2"/>
        <v>1</v>
      </c>
      <c r="G21" s="23">
        <f t="shared" si="3"/>
        <v>3</v>
      </c>
      <c r="H21" s="23" t="str">
        <f t="shared" si="9"/>
        <v>FF/CGA</v>
      </c>
      <c r="I21" s="23" t="str">
        <f t="shared" si="10"/>
        <v>FF</v>
      </c>
      <c r="J21" s="23" t="str">
        <f t="shared" si="4"/>
        <v>Family Functioning</v>
      </c>
      <c r="K21" s="93">
        <v>1</v>
      </c>
      <c r="L21" s="82" t="str">
        <f t="shared" ca="1" si="11"/>
        <v/>
      </c>
      <c r="M21" s="23" t="str">
        <f t="shared" ca="1" si="12"/>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5"/>
        <v>0</v>
      </c>
      <c r="Y21" s="24" t="str">
        <f t="shared" ca="1" si="6"/>
        <v/>
      </c>
      <c r="Z21" s="24" t="str">
        <f t="shared" ca="1" si="7"/>
        <v/>
      </c>
      <c r="AA21" s="80">
        <f t="shared" si="18"/>
        <v>3</v>
      </c>
      <c r="AB21" s="15" t="s">
        <v>45</v>
      </c>
      <c r="AC21" s="230" t="s">
        <v>45</v>
      </c>
      <c r="AD21" s="231"/>
      <c r="AE21" s="231"/>
      <c r="AF21" s="232"/>
      <c r="AG21" s="233"/>
      <c r="AH21" s="234"/>
      <c r="AI21" s="235"/>
      <c r="AJ21" s="232"/>
      <c r="AK21" s="233"/>
      <c r="AL21" s="234"/>
      <c r="AM21" s="235"/>
      <c r="AN21" s="232"/>
      <c r="AO21" s="233"/>
      <c r="AP21" s="234"/>
      <c r="AQ21" s="235"/>
      <c r="AR21" s="102"/>
    </row>
    <row r="22" spans="1:44" ht="15.75" x14ac:dyDescent="0.25">
      <c r="A22" s="39"/>
      <c r="B22" s="23" t="str">
        <f t="shared" si="0"/>
        <v>Family Functioning_4</v>
      </c>
      <c r="C22" s="23" t="str">
        <f t="shared" si="8"/>
        <v/>
      </c>
      <c r="D22" s="23" t="str">
        <f t="shared" si="1"/>
        <v/>
      </c>
      <c r="E22" s="23" t="str">
        <f t="shared" si="1"/>
        <v/>
      </c>
      <c r="F22" s="82">
        <f t="shared" si="2"/>
        <v>1</v>
      </c>
      <c r="G22" s="23">
        <f t="shared" si="3"/>
        <v>4</v>
      </c>
      <c r="H22" s="23" t="str">
        <f t="shared" si="9"/>
        <v>FF/CGA</v>
      </c>
      <c r="I22" s="23" t="str">
        <f t="shared" si="10"/>
        <v>FF</v>
      </c>
      <c r="J22" s="23" t="str">
        <f t="shared" si="4"/>
        <v>Family Functioning</v>
      </c>
      <c r="K22" s="93">
        <v>1</v>
      </c>
      <c r="L22" s="82" t="str">
        <f t="shared" ca="1" si="11"/>
        <v/>
      </c>
      <c r="M22" s="23" t="str">
        <f t="shared" ca="1" si="12"/>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5"/>
        <v>0</v>
      </c>
      <c r="Y22" s="24" t="str">
        <f t="shared" ca="1" si="6"/>
        <v/>
      </c>
      <c r="Z22" s="24" t="str">
        <f t="shared" ca="1" si="7"/>
        <v/>
      </c>
      <c r="AA22" s="80">
        <f t="shared" si="18"/>
        <v>4</v>
      </c>
      <c r="AB22" s="15" t="s">
        <v>265</v>
      </c>
      <c r="AC22" s="236" t="s">
        <v>265</v>
      </c>
      <c r="AD22" s="237"/>
      <c r="AE22" s="237"/>
      <c r="AF22" s="238"/>
      <c r="AG22" s="239"/>
      <c r="AH22" s="242"/>
      <c r="AI22" s="243"/>
      <c r="AJ22" s="238"/>
      <c r="AK22" s="239"/>
      <c r="AL22" s="242"/>
      <c r="AM22" s="243"/>
      <c r="AN22" s="238"/>
      <c r="AO22" s="239"/>
      <c r="AP22" s="242"/>
      <c r="AQ22" s="243"/>
      <c r="AR22" s="102"/>
    </row>
    <row r="23" spans="1:44" ht="15.75" x14ac:dyDescent="0.25">
      <c r="A23" s="39"/>
      <c r="B23" s="23" t="str">
        <f t="shared" si="0"/>
        <v>Family Functioning_5</v>
      </c>
      <c r="C23" s="23" t="str">
        <f t="shared" si="8"/>
        <v/>
      </c>
      <c r="D23" s="23" t="str">
        <f t="shared" si="1"/>
        <v/>
      </c>
      <c r="E23" s="23" t="str">
        <f t="shared" si="1"/>
        <v/>
      </c>
      <c r="F23" s="82">
        <f t="shared" si="2"/>
        <v>1</v>
      </c>
      <c r="G23" s="23">
        <f t="shared" si="3"/>
        <v>5</v>
      </c>
      <c r="H23" s="23" t="str">
        <f t="shared" si="9"/>
        <v>FF/CGA</v>
      </c>
      <c r="I23" s="23" t="str">
        <f t="shared" si="10"/>
        <v>FF</v>
      </c>
      <c r="J23" s="23" t="str">
        <f t="shared" si="4"/>
        <v>Family Functioning</v>
      </c>
      <c r="K23" s="93">
        <v>1</v>
      </c>
      <c r="L23" s="82" t="str">
        <f t="shared" ca="1" si="11"/>
        <v/>
      </c>
      <c r="M23" s="23" t="str">
        <f t="shared" ca="1" si="12"/>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5"/>
        <v>0</v>
      </c>
      <c r="Y23" s="24" t="str">
        <f t="shared" ca="1" si="6"/>
        <v/>
      </c>
      <c r="Z23" s="24" t="str">
        <f t="shared" ca="1" si="7"/>
        <v/>
      </c>
      <c r="AA23" s="80">
        <f t="shared" si="18"/>
        <v>5</v>
      </c>
      <c r="AB23" s="15" t="s">
        <v>115</v>
      </c>
      <c r="AC23" s="230" t="s">
        <v>115</v>
      </c>
      <c r="AD23" s="231"/>
      <c r="AE23" s="231"/>
      <c r="AF23" s="232"/>
      <c r="AG23" s="233"/>
      <c r="AH23" s="234"/>
      <c r="AI23" s="235"/>
      <c r="AJ23" s="232"/>
      <c r="AK23" s="233"/>
      <c r="AL23" s="234"/>
      <c r="AM23" s="235"/>
      <c r="AN23" s="232"/>
      <c r="AO23" s="233"/>
      <c r="AP23" s="234"/>
      <c r="AQ23" s="235"/>
      <c r="AR23" s="102"/>
    </row>
    <row r="24" spans="1:44" ht="15.75" x14ac:dyDescent="0.25">
      <c r="A24" s="39"/>
      <c r="B24" s="23" t="str">
        <f t="shared" si="0"/>
        <v>Family Functioning_6</v>
      </c>
      <c r="C24" s="23" t="str">
        <f t="shared" si="8"/>
        <v/>
      </c>
      <c r="D24" s="23" t="str">
        <f t="shared" si="1"/>
        <v/>
      </c>
      <c r="E24" s="23" t="str">
        <f t="shared" si="1"/>
        <v/>
      </c>
      <c r="F24" s="82">
        <f t="shared" si="2"/>
        <v>1</v>
      </c>
      <c r="G24" s="23">
        <f t="shared" si="3"/>
        <v>6</v>
      </c>
      <c r="H24" s="23" t="str">
        <f t="shared" si="9"/>
        <v>FF/CGA</v>
      </c>
      <c r="I24" s="23" t="str">
        <f t="shared" si="10"/>
        <v>FF</v>
      </c>
      <c r="J24" s="23" t="str">
        <f t="shared" si="4"/>
        <v>Family Functioning</v>
      </c>
      <c r="K24" s="93">
        <v>1</v>
      </c>
      <c r="L24" s="82" t="str">
        <f t="shared" ca="1" si="11"/>
        <v/>
      </c>
      <c r="M24" s="23" t="str">
        <f t="shared" ca="1" si="12"/>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5"/>
        <v>0</v>
      </c>
      <c r="Y24" s="24" t="str">
        <f t="shared" ca="1" si="6"/>
        <v/>
      </c>
      <c r="Z24" s="24" t="str">
        <f t="shared" ca="1" si="7"/>
        <v/>
      </c>
      <c r="AA24" s="80">
        <f t="shared" si="18"/>
        <v>6</v>
      </c>
      <c r="AB24" s="15" t="s">
        <v>118</v>
      </c>
      <c r="AC24" s="236" t="s">
        <v>118</v>
      </c>
      <c r="AD24" s="237"/>
      <c r="AE24" s="237"/>
      <c r="AF24" s="238"/>
      <c r="AG24" s="239"/>
      <c r="AH24" s="242"/>
      <c r="AI24" s="243"/>
      <c r="AJ24" s="238"/>
      <c r="AK24" s="239"/>
      <c r="AL24" s="242"/>
      <c r="AM24" s="243"/>
      <c r="AN24" s="238"/>
      <c r="AO24" s="239"/>
      <c r="AP24" s="242"/>
      <c r="AQ24" s="243"/>
      <c r="AR24" s="102"/>
    </row>
    <row r="25" spans="1:44" ht="15.75" x14ac:dyDescent="0.25">
      <c r="A25" s="39"/>
      <c r="B25" s="23" t="str">
        <f t="shared" si="0"/>
        <v>Family Functioning_7</v>
      </c>
      <c r="C25" s="23" t="str">
        <f t="shared" si="8"/>
        <v/>
      </c>
      <c r="D25" s="23" t="str">
        <f t="shared" si="1"/>
        <v/>
      </c>
      <c r="E25" s="23" t="str">
        <f t="shared" si="1"/>
        <v/>
      </c>
      <c r="F25" s="82">
        <f t="shared" si="2"/>
        <v>1</v>
      </c>
      <c r="G25" s="23">
        <f t="shared" si="3"/>
        <v>7</v>
      </c>
      <c r="H25" s="23" t="str">
        <f t="shared" si="9"/>
        <v>FF/CGA</v>
      </c>
      <c r="I25" s="23" t="str">
        <f t="shared" si="10"/>
        <v>FF</v>
      </c>
      <c r="J25" s="23" t="str">
        <f t="shared" si="4"/>
        <v>Family Functioning</v>
      </c>
      <c r="K25" s="93">
        <v>1</v>
      </c>
      <c r="L25" s="82" t="str">
        <f t="shared" ca="1" si="11"/>
        <v/>
      </c>
      <c r="M25" s="23" t="str">
        <f t="shared" ca="1" si="12"/>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5"/>
        <v>0</v>
      </c>
      <c r="Y25" s="24" t="str">
        <f t="shared" ca="1" si="6"/>
        <v/>
      </c>
      <c r="Z25" s="24" t="str">
        <f t="shared" ca="1" si="7"/>
        <v/>
      </c>
      <c r="AA25" s="80">
        <f t="shared" si="18"/>
        <v>7</v>
      </c>
      <c r="AB25" s="15" t="s">
        <v>266</v>
      </c>
      <c r="AC25" s="230" t="s">
        <v>266</v>
      </c>
      <c r="AD25" s="231"/>
      <c r="AE25" s="231"/>
      <c r="AF25" s="232"/>
      <c r="AG25" s="233"/>
      <c r="AH25" s="234"/>
      <c r="AI25" s="235"/>
      <c r="AJ25" s="232"/>
      <c r="AK25" s="233"/>
      <c r="AL25" s="234"/>
      <c r="AM25" s="235"/>
      <c r="AN25" s="232"/>
      <c r="AO25" s="233"/>
      <c r="AP25" s="234"/>
      <c r="AQ25" s="235"/>
      <c r="AR25" s="102"/>
    </row>
    <row r="26" spans="1:44" ht="15.75" x14ac:dyDescent="0.25">
      <c r="A26" s="39"/>
      <c r="B26" s="23" t="str">
        <f t="shared" si="0"/>
        <v>Family Functioning_8</v>
      </c>
      <c r="C26" s="23" t="str">
        <f t="shared" si="8"/>
        <v/>
      </c>
      <c r="D26" s="23" t="str">
        <f t="shared" si="1"/>
        <v/>
      </c>
      <c r="E26" s="23" t="str">
        <f t="shared" si="1"/>
        <v/>
      </c>
      <c r="F26" s="82">
        <f t="shared" si="2"/>
        <v>1</v>
      </c>
      <c r="G26" s="23">
        <f t="shared" si="3"/>
        <v>8</v>
      </c>
      <c r="H26" s="23" t="str">
        <f t="shared" si="9"/>
        <v>FF/CGA</v>
      </c>
      <c r="I26" s="23" t="str">
        <f t="shared" si="10"/>
        <v>FF</v>
      </c>
      <c r="J26" s="23" t="str">
        <f t="shared" si="4"/>
        <v>Family Functioning</v>
      </c>
      <c r="K26" s="93">
        <v>1</v>
      </c>
      <c r="L26" s="82" t="str">
        <f t="shared" ca="1" si="11"/>
        <v/>
      </c>
      <c r="M26" s="23" t="str">
        <f t="shared" ca="1" si="12"/>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5"/>
        <v>0</v>
      </c>
      <c r="Y26" s="24" t="str">
        <f t="shared" ca="1" si="6"/>
        <v/>
      </c>
      <c r="Z26" s="24" t="str">
        <f t="shared" ca="1" si="7"/>
        <v/>
      </c>
      <c r="AA26" s="80">
        <f t="shared" si="18"/>
        <v>8</v>
      </c>
      <c r="AB26" s="15" t="s">
        <v>267</v>
      </c>
      <c r="AC26" s="236" t="s">
        <v>267</v>
      </c>
      <c r="AD26" s="237"/>
      <c r="AE26" s="237"/>
      <c r="AF26" s="238"/>
      <c r="AG26" s="239"/>
      <c r="AH26" s="242"/>
      <c r="AI26" s="243"/>
      <c r="AJ26" s="238"/>
      <c r="AK26" s="239"/>
      <c r="AL26" s="242"/>
      <c r="AM26" s="243"/>
      <c r="AN26" s="238"/>
      <c r="AO26" s="239"/>
      <c r="AP26" s="242"/>
      <c r="AQ26" s="243"/>
      <c r="AR26" s="102"/>
    </row>
    <row r="27" spans="1:44" ht="15.75" x14ac:dyDescent="0.25">
      <c r="A27" s="39"/>
      <c r="B27" s="23" t="str">
        <f t="shared" si="0"/>
        <v>Family Functioning_9</v>
      </c>
      <c r="C27" s="23" t="str">
        <f t="shared" si="8"/>
        <v/>
      </c>
      <c r="D27" s="23" t="str">
        <f t="shared" si="1"/>
        <v/>
      </c>
      <c r="E27" s="23" t="str">
        <f t="shared" si="1"/>
        <v/>
      </c>
      <c r="F27" s="82">
        <f t="shared" si="2"/>
        <v>1</v>
      </c>
      <c r="G27" s="23">
        <f t="shared" si="3"/>
        <v>9</v>
      </c>
      <c r="H27" s="23" t="str">
        <f t="shared" si="9"/>
        <v>FF/CGA</v>
      </c>
      <c r="I27" s="23" t="str">
        <f t="shared" si="10"/>
        <v>FF</v>
      </c>
      <c r="J27" s="23" t="str">
        <f t="shared" si="4"/>
        <v>Family Functioning</v>
      </c>
      <c r="K27" s="93">
        <v>1</v>
      </c>
      <c r="L27" s="82" t="str">
        <f t="shared" ca="1" si="11"/>
        <v/>
      </c>
      <c r="M27" s="23" t="str">
        <f t="shared" ca="1" si="12"/>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5"/>
        <v>0</v>
      </c>
      <c r="Y27" s="24" t="str">
        <f t="shared" ca="1" si="6"/>
        <v/>
      </c>
      <c r="Z27" s="24" t="str">
        <f t="shared" ca="1" si="7"/>
        <v/>
      </c>
      <c r="AA27" s="80">
        <f t="shared" si="18"/>
        <v>9</v>
      </c>
      <c r="AB27" s="15" t="s">
        <v>268</v>
      </c>
      <c r="AC27" s="230" t="s">
        <v>268</v>
      </c>
      <c r="AD27" s="231"/>
      <c r="AE27" s="231"/>
      <c r="AF27" s="232"/>
      <c r="AG27" s="233"/>
      <c r="AH27" s="234"/>
      <c r="AI27" s="235"/>
      <c r="AJ27" s="232"/>
      <c r="AK27" s="233"/>
      <c r="AL27" s="234"/>
      <c r="AM27" s="235"/>
      <c r="AN27" s="232"/>
      <c r="AO27" s="233"/>
      <c r="AP27" s="234"/>
      <c r="AQ27" s="235"/>
      <c r="AR27" s="102"/>
    </row>
    <row r="28" spans="1:44" ht="15.75" x14ac:dyDescent="0.25">
      <c r="A28" s="39"/>
      <c r="B28" s="23" t="str">
        <f t="shared" si="0"/>
        <v>Family Functioning_10</v>
      </c>
      <c r="C28" s="23" t="str">
        <f t="shared" si="8"/>
        <v/>
      </c>
      <c r="D28" s="23" t="str">
        <f t="shared" si="1"/>
        <v>FF</v>
      </c>
      <c r="E28" s="23" t="str">
        <f t="shared" si="1"/>
        <v>Family Functioning</v>
      </c>
      <c r="F28" s="82">
        <f t="shared" si="2"/>
        <v>1</v>
      </c>
      <c r="G28" s="23">
        <f t="shared" si="3"/>
        <v>10</v>
      </c>
      <c r="H28" s="23" t="str">
        <f t="shared" si="9"/>
        <v>FF/CGA</v>
      </c>
      <c r="I28" s="23" t="str">
        <f t="shared" si="10"/>
        <v>FF</v>
      </c>
      <c r="J28" s="23" t="str">
        <f t="shared" si="4"/>
        <v>Family Functioning</v>
      </c>
      <c r="K28" s="93">
        <v>1</v>
      </c>
      <c r="L28" s="82" t="str">
        <f t="shared" ca="1" si="11"/>
        <v/>
      </c>
      <c r="M28" s="23" t="str">
        <f t="shared" ca="1" si="12"/>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5"/>
        <v>0</v>
      </c>
      <c r="Y28" s="24" t="str">
        <f t="shared" ca="1" si="6"/>
        <v/>
      </c>
      <c r="Z28" s="24" t="str">
        <f t="shared" ca="1" si="7"/>
        <v/>
      </c>
      <c r="AA28" s="80">
        <f t="shared" si="18"/>
        <v>10</v>
      </c>
      <c r="AB28" s="15" t="s">
        <v>116</v>
      </c>
      <c r="AC28" s="236" t="s">
        <v>116</v>
      </c>
      <c r="AD28" s="237"/>
      <c r="AE28" s="237"/>
      <c r="AF28" s="238"/>
      <c r="AG28" s="239"/>
      <c r="AH28" s="242"/>
      <c r="AI28" s="243"/>
      <c r="AJ28" s="238"/>
      <c r="AK28" s="239"/>
      <c r="AL28" s="242"/>
      <c r="AM28" s="243"/>
      <c r="AN28" s="238"/>
      <c r="AO28" s="239"/>
      <c r="AP28" s="242"/>
      <c r="AQ28" s="243"/>
      <c r="AR28" s="102"/>
    </row>
    <row r="29" spans="1:44" ht="15.75" x14ac:dyDescent="0.25">
      <c r="A29" s="39"/>
      <c r="B29" s="23" t="str">
        <f t="shared" si="0"/>
        <v>Caregiver Advocacy_0</v>
      </c>
      <c r="C29" s="23" t="str">
        <f t="shared" si="8"/>
        <v/>
      </c>
      <c r="D29" s="23" t="str">
        <f t="shared" si="1"/>
        <v/>
      </c>
      <c r="E29" s="23" t="str">
        <f t="shared" si="1"/>
        <v/>
      </c>
      <c r="F29" s="82">
        <f t="shared" ref="F29:F92" si="19">IF(K29=0, IF(ISNUMBER(F28), F28+1, 1), F28)</f>
        <v>2</v>
      </c>
      <c r="G29" s="23">
        <f t="shared" ref="G29:G92" si="20">IF(K29=0, 0, IF(K29=1, G28+1, G28))</f>
        <v>0</v>
      </c>
      <c r="H29" s="23" t="str">
        <f t="shared" si="9"/>
        <v>FF/CGA</v>
      </c>
      <c r="I29" s="23" t="str">
        <f t="shared" si="10"/>
        <v>CGA</v>
      </c>
      <c r="J29" s="23" t="str">
        <f t="shared" si="4"/>
        <v>Caregiver Advocacy</v>
      </c>
      <c r="K29" s="93">
        <v>0</v>
      </c>
      <c r="L29" s="82" t="str">
        <f t="shared" ca="1" si="11"/>
        <v/>
      </c>
      <c r="M29" s="23" t="str">
        <f t="shared" ca="1" si="12"/>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5"/>
        <v>0</v>
      </c>
      <c r="Y29" s="24" t="str">
        <f t="shared" ca="1" si="6"/>
        <v/>
      </c>
      <c r="Z29" s="24" t="str">
        <f t="shared" ca="1" si="7"/>
        <v/>
      </c>
      <c r="AA29" s="80">
        <f t="shared" si="18"/>
        <v>10</v>
      </c>
      <c r="AC29" s="224" t="s">
        <v>306</v>
      </c>
      <c r="AD29" s="225"/>
      <c r="AE29" s="225"/>
      <c r="AF29" s="226"/>
      <c r="AG29" s="227"/>
      <c r="AH29" s="228"/>
      <c r="AI29" s="229"/>
      <c r="AJ29" s="226"/>
      <c r="AK29" s="227"/>
      <c r="AL29" s="228"/>
      <c r="AM29" s="229"/>
      <c r="AN29" s="226"/>
      <c r="AO29" s="227"/>
      <c r="AP29" s="228"/>
      <c r="AQ29" s="229"/>
      <c r="AR29" s="102"/>
    </row>
    <row r="30" spans="1:44" ht="15.75" x14ac:dyDescent="0.25">
      <c r="A30" s="39"/>
      <c r="B30" s="23" t="str">
        <f t="shared" si="0"/>
        <v>Caregiver Advocacy_1</v>
      </c>
      <c r="C30" s="23" t="str">
        <f t="shared" si="8"/>
        <v/>
      </c>
      <c r="D30" s="23" t="str">
        <f t="shared" si="1"/>
        <v/>
      </c>
      <c r="E30" s="23" t="str">
        <f t="shared" si="1"/>
        <v/>
      </c>
      <c r="F30" s="82">
        <f t="shared" si="19"/>
        <v>2</v>
      </c>
      <c r="G30" s="23">
        <f t="shared" si="20"/>
        <v>1</v>
      </c>
      <c r="H30" s="23" t="str">
        <f t="shared" si="9"/>
        <v>FF/CGA</v>
      </c>
      <c r="I30" s="23" t="str">
        <f t="shared" si="10"/>
        <v>CGA</v>
      </c>
      <c r="J30" s="23" t="str">
        <f t="shared" si="4"/>
        <v>Caregiver Advocacy</v>
      </c>
      <c r="K30" s="93">
        <v>1</v>
      </c>
      <c r="L30" s="82" t="str">
        <f t="shared" ca="1" si="11"/>
        <v/>
      </c>
      <c r="M30" s="23" t="str">
        <f t="shared" ca="1" si="12"/>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5"/>
        <v>0</v>
      </c>
      <c r="Y30" s="24" t="str">
        <f t="shared" ca="1" si="6"/>
        <v/>
      </c>
      <c r="Z30" s="24" t="str">
        <f t="shared" ca="1" si="7"/>
        <v/>
      </c>
      <c r="AA30" s="80">
        <f t="shared" si="18"/>
        <v>11</v>
      </c>
      <c r="AB30" s="15" t="s">
        <v>359</v>
      </c>
      <c r="AC30" s="230" t="s">
        <v>269</v>
      </c>
      <c r="AD30" s="231"/>
      <c r="AE30" s="231"/>
      <c r="AF30" s="232"/>
      <c r="AG30" s="233"/>
      <c r="AH30" s="234"/>
      <c r="AI30" s="235"/>
      <c r="AJ30" s="232"/>
      <c r="AK30" s="233"/>
      <c r="AL30" s="234"/>
      <c r="AM30" s="235"/>
      <c r="AN30" s="232"/>
      <c r="AO30" s="233"/>
      <c r="AP30" s="234"/>
      <c r="AQ30" s="235"/>
      <c r="AR30" s="102"/>
    </row>
    <row r="31" spans="1:44" ht="15.75" x14ac:dyDescent="0.25">
      <c r="A31" s="39"/>
      <c r="B31" s="23" t="str">
        <f t="shared" si="0"/>
        <v>Caregiver Advocacy_2</v>
      </c>
      <c r="C31" s="23" t="str">
        <f t="shared" si="8"/>
        <v/>
      </c>
      <c r="D31" s="23" t="str">
        <f t="shared" si="1"/>
        <v/>
      </c>
      <c r="E31" s="23" t="str">
        <f t="shared" si="1"/>
        <v/>
      </c>
      <c r="F31" s="82">
        <f t="shared" si="19"/>
        <v>2</v>
      </c>
      <c r="G31" s="23">
        <f t="shared" si="20"/>
        <v>2</v>
      </c>
      <c r="H31" s="23" t="str">
        <f t="shared" si="9"/>
        <v>FF/CGA</v>
      </c>
      <c r="I31" s="23" t="str">
        <f t="shared" si="10"/>
        <v>CGA</v>
      </c>
      <c r="J31" s="23" t="str">
        <f t="shared" si="4"/>
        <v>Caregiver Advocacy</v>
      </c>
      <c r="K31" s="93">
        <v>1</v>
      </c>
      <c r="L31" s="82" t="str">
        <f t="shared" ca="1" si="11"/>
        <v/>
      </c>
      <c r="M31" s="23" t="str">
        <f t="shared" ca="1" si="12"/>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5"/>
        <v>0</v>
      </c>
      <c r="Y31" s="24" t="str">
        <f t="shared" ca="1" si="6"/>
        <v/>
      </c>
      <c r="Z31" s="24" t="str">
        <f t="shared" ca="1" si="7"/>
        <v/>
      </c>
      <c r="AA31" s="80">
        <f t="shared" si="18"/>
        <v>12</v>
      </c>
      <c r="AB31" s="15" t="s">
        <v>360</v>
      </c>
      <c r="AC31" s="236" t="s">
        <v>270</v>
      </c>
      <c r="AD31" s="237"/>
      <c r="AE31" s="237"/>
      <c r="AF31" s="238"/>
      <c r="AG31" s="239"/>
      <c r="AH31" s="242"/>
      <c r="AI31" s="243"/>
      <c r="AJ31" s="238"/>
      <c r="AK31" s="239"/>
      <c r="AL31" s="242"/>
      <c r="AM31" s="243"/>
      <c r="AN31" s="238"/>
      <c r="AO31" s="239"/>
      <c r="AP31" s="242"/>
      <c r="AQ31" s="243"/>
      <c r="AR31" s="102"/>
    </row>
    <row r="32" spans="1:44" ht="15.75" x14ac:dyDescent="0.25">
      <c r="A32" s="39"/>
      <c r="B32" s="23" t="str">
        <f t="shared" si="0"/>
        <v>Caregiver Advocacy_3</v>
      </c>
      <c r="C32" s="23" t="str">
        <f t="shared" si="8"/>
        <v/>
      </c>
      <c r="D32" s="23" t="str">
        <f t="shared" si="1"/>
        <v/>
      </c>
      <c r="E32" s="23" t="str">
        <f t="shared" si="1"/>
        <v/>
      </c>
      <c r="F32" s="82">
        <f t="shared" si="19"/>
        <v>2</v>
      </c>
      <c r="G32" s="23">
        <f t="shared" si="20"/>
        <v>3</v>
      </c>
      <c r="H32" s="23" t="str">
        <f t="shared" si="9"/>
        <v>FF/CGA</v>
      </c>
      <c r="I32" s="23" t="str">
        <f t="shared" si="10"/>
        <v>CGA</v>
      </c>
      <c r="J32" s="23" t="str">
        <f t="shared" si="4"/>
        <v>Caregiver Advocacy</v>
      </c>
      <c r="K32" s="93">
        <v>1</v>
      </c>
      <c r="L32" s="82" t="str">
        <f t="shared" ca="1" si="11"/>
        <v/>
      </c>
      <c r="M32" s="23" t="str">
        <f t="shared" ca="1" si="12"/>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5"/>
        <v>0</v>
      </c>
      <c r="Y32" s="24" t="str">
        <f t="shared" ca="1" si="6"/>
        <v/>
      </c>
      <c r="Z32" s="24" t="str">
        <f t="shared" ca="1" si="7"/>
        <v/>
      </c>
      <c r="AA32" s="80">
        <f t="shared" si="18"/>
        <v>13</v>
      </c>
      <c r="AB32" s="15" t="s">
        <v>361</v>
      </c>
      <c r="AC32" s="230" t="s">
        <v>271</v>
      </c>
      <c r="AD32" s="231"/>
      <c r="AE32" s="231"/>
      <c r="AF32" s="232"/>
      <c r="AG32" s="233"/>
      <c r="AH32" s="234"/>
      <c r="AI32" s="235"/>
      <c r="AJ32" s="232"/>
      <c r="AK32" s="233"/>
      <c r="AL32" s="234"/>
      <c r="AM32" s="235"/>
      <c r="AN32" s="232"/>
      <c r="AO32" s="233"/>
      <c r="AP32" s="234"/>
      <c r="AQ32" s="235"/>
      <c r="AR32" s="102"/>
    </row>
    <row r="33" spans="1:44" ht="15.75" x14ac:dyDescent="0.25">
      <c r="A33" s="39"/>
      <c r="B33" s="23" t="str">
        <f t="shared" si="0"/>
        <v>Caregiver Advocacy_4</v>
      </c>
      <c r="C33" s="23" t="str">
        <f t="shared" si="8"/>
        <v/>
      </c>
      <c r="D33" s="23" t="str">
        <f t="shared" si="1"/>
        <v/>
      </c>
      <c r="E33" s="23" t="str">
        <f t="shared" si="1"/>
        <v/>
      </c>
      <c r="F33" s="82">
        <f t="shared" si="19"/>
        <v>2</v>
      </c>
      <c r="G33" s="23">
        <f t="shared" si="20"/>
        <v>4</v>
      </c>
      <c r="H33" s="23" t="str">
        <f t="shared" si="9"/>
        <v>FF/CGA</v>
      </c>
      <c r="I33" s="23" t="str">
        <f t="shared" si="10"/>
        <v>CGA</v>
      </c>
      <c r="J33" s="23" t="str">
        <f t="shared" si="4"/>
        <v>Caregiver Advocacy</v>
      </c>
      <c r="K33" s="93">
        <v>1</v>
      </c>
      <c r="L33" s="82" t="str">
        <f t="shared" ca="1" si="11"/>
        <v/>
      </c>
      <c r="M33" s="23" t="str">
        <f t="shared" ca="1" si="12"/>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5"/>
        <v>0</v>
      </c>
      <c r="Y33" s="24" t="str">
        <f t="shared" ca="1" si="6"/>
        <v/>
      </c>
      <c r="Z33" s="24" t="str">
        <f t="shared" ca="1" si="7"/>
        <v/>
      </c>
      <c r="AA33" s="80">
        <f t="shared" si="18"/>
        <v>14</v>
      </c>
      <c r="AB33" s="15" t="s">
        <v>272</v>
      </c>
      <c r="AC33" s="236" t="s">
        <v>272</v>
      </c>
      <c r="AD33" s="237"/>
      <c r="AE33" s="237"/>
      <c r="AF33" s="238"/>
      <c r="AG33" s="239"/>
      <c r="AH33" s="242"/>
      <c r="AI33" s="243"/>
      <c r="AJ33" s="238"/>
      <c r="AK33" s="239"/>
      <c r="AL33" s="242"/>
      <c r="AM33" s="243"/>
      <c r="AN33" s="238"/>
      <c r="AO33" s="239"/>
      <c r="AP33" s="242"/>
      <c r="AQ33" s="243"/>
      <c r="AR33" s="102"/>
    </row>
    <row r="34" spans="1:44" ht="15.75" x14ac:dyDescent="0.25">
      <c r="A34" s="39"/>
      <c r="B34" s="23" t="str">
        <f t="shared" si="0"/>
        <v>Caregiver Advocacy_5</v>
      </c>
      <c r="C34" s="23" t="str">
        <f t="shared" si="8"/>
        <v/>
      </c>
      <c r="D34" s="23" t="str">
        <f t="shared" si="1"/>
        <v/>
      </c>
      <c r="E34" s="23" t="str">
        <f t="shared" si="1"/>
        <v/>
      </c>
      <c r="F34" s="82">
        <f t="shared" si="19"/>
        <v>2</v>
      </c>
      <c r="G34" s="23">
        <f t="shared" si="20"/>
        <v>5</v>
      </c>
      <c r="H34" s="23" t="str">
        <f t="shared" si="9"/>
        <v>FF/CGA</v>
      </c>
      <c r="I34" s="23" t="str">
        <f t="shared" si="10"/>
        <v>CGA</v>
      </c>
      <c r="J34" s="23" t="str">
        <f t="shared" si="4"/>
        <v>Caregiver Advocacy</v>
      </c>
      <c r="K34" s="93">
        <v>1</v>
      </c>
      <c r="L34" s="82" t="str">
        <f t="shared" ca="1" si="11"/>
        <v/>
      </c>
      <c r="M34" s="23" t="str">
        <f t="shared" ca="1" si="12"/>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5"/>
        <v>0</v>
      </c>
      <c r="Y34" s="24" t="str">
        <f t="shared" ca="1" si="6"/>
        <v/>
      </c>
      <c r="Z34" s="24" t="str">
        <f t="shared" ca="1" si="7"/>
        <v/>
      </c>
      <c r="AA34" s="80">
        <f t="shared" si="18"/>
        <v>15</v>
      </c>
      <c r="AB34" s="15" t="s">
        <v>273</v>
      </c>
      <c r="AC34" s="230" t="s">
        <v>273</v>
      </c>
      <c r="AD34" s="231"/>
      <c r="AE34" s="231"/>
      <c r="AF34" s="232"/>
      <c r="AG34" s="233"/>
      <c r="AH34" s="234"/>
      <c r="AI34" s="235"/>
      <c r="AJ34" s="232"/>
      <c r="AK34" s="233"/>
      <c r="AL34" s="234"/>
      <c r="AM34" s="235"/>
      <c r="AN34" s="232"/>
      <c r="AO34" s="233"/>
      <c r="AP34" s="234"/>
      <c r="AQ34" s="235"/>
      <c r="AR34" s="102"/>
    </row>
    <row r="35" spans="1:44" ht="15.75" x14ac:dyDescent="0.25">
      <c r="A35" s="39"/>
      <c r="B35" s="23" t="str">
        <f t="shared" si="0"/>
        <v>Caregiver Advocacy_6</v>
      </c>
      <c r="C35" s="23" t="str">
        <f t="shared" si="8"/>
        <v/>
      </c>
      <c r="D35" s="23" t="str">
        <f t="shared" si="1"/>
        <v/>
      </c>
      <c r="E35" s="23" t="str">
        <f t="shared" si="1"/>
        <v/>
      </c>
      <c r="F35" s="82">
        <f t="shared" si="19"/>
        <v>2</v>
      </c>
      <c r="G35" s="23">
        <f t="shared" si="20"/>
        <v>6</v>
      </c>
      <c r="H35" s="23" t="str">
        <f t="shared" si="9"/>
        <v>FF/CGA</v>
      </c>
      <c r="I35" s="23" t="str">
        <f t="shared" si="10"/>
        <v>CGA</v>
      </c>
      <c r="J35" s="23" t="str">
        <f t="shared" si="4"/>
        <v>Caregiver Advocacy</v>
      </c>
      <c r="K35" s="93">
        <v>1</v>
      </c>
      <c r="L35" s="82" t="str">
        <f t="shared" ca="1" si="11"/>
        <v/>
      </c>
      <c r="M35" s="23" t="str">
        <f t="shared" ca="1" si="12"/>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5"/>
        <v>0</v>
      </c>
      <c r="Y35" s="24" t="str">
        <f t="shared" ca="1" si="6"/>
        <v/>
      </c>
      <c r="Z35" s="24" t="str">
        <f t="shared" ca="1" si="7"/>
        <v/>
      </c>
      <c r="AA35" s="80">
        <f t="shared" si="18"/>
        <v>16</v>
      </c>
      <c r="AB35" s="15" t="s">
        <v>22</v>
      </c>
      <c r="AC35" s="236" t="s">
        <v>22</v>
      </c>
      <c r="AD35" s="237"/>
      <c r="AE35" s="237"/>
      <c r="AF35" s="238"/>
      <c r="AG35" s="239"/>
      <c r="AH35" s="242"/>
      <c r="AI35" s="243"/>
      <c r="AJ35" s="238"/>
      <c r="AK35" s="239"/>
      <c r="AL35" s="242"/>
      <c r="AM35" s="243"/>
      <c r="AN35" s="238"/>
      <c r="AO35" s="239"/>
      <c r="AP35" s="242"/>
      <c r="AQ35" s="243"/>
      <c r="AR35" s="102"/>
    </row>
    <row r="36" spans="1:44" ht="15.75" x14ac:dyDescent="0.25">
      <c r="A36" s="39"/>
      <c r="B36" s="23" t="str">
        <f t="shared" si="0"/>
        <v>Caregiver Advocacy_7</v>
      </c>
      <c r="C36" s="23" t="str">
        <f t="shared" si="8"/>
        <v/>
      </c>
      <c r="D36" s="23" t="str">
        <f t="shared" si="1"/>
        <v/>
      </c>
      <c r="E36" s="23" t="str">
        <f t="shared" si="1"/>
        <v/>
      </c>
      <c r="F36" s="82">
        <f t="shared" si="19"/>
        <v>2</v>
      </c>
      <c r="G36" s="23">
        <f t="shared" si="20"/>
        <v>7</v>
      </c>
      <c r="H36" s="23" t="str">
        <f t="shared" si="9"/>
        <v>FF/CGA</v>
      </c>
      <c r="I36" s="23" t="str">
        <f t="shared" si="10"/>
        <v>CGA</v>
      </c>
      <c r="J36" s="23" t="str">
        <f t="shared" si="4"/>
        <v>Caregiver Advocacy</v>
      </c>
      <c r="K36" s="93">
        <v>1</v>
      </c>
      <c r="L36" s="82" t="str">
        <f t="shared" ca="1" si="11"/>
        <v/>
      </c>
      <c r="M36" s="23" t="str">
        <f t="shared" ca="1" si="12"/>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5"/>
        <v>0</v>
      </c>
      <c r="Y36" s="24" t="str">
        <f t="shared" ca="1" si="6"/>
        <v/>
      </c>
      <c r="Z36" s="24" t="str">
        <f t="shared" ca="1" si="7"/>
        <v/>
      </c>
      <c r="AA36" s="80">
        <f t="shared" si="18"/>
        <v>17</v>
      </c>
      <c r="AB36" s="15" t="s">
        <v>362</v>
      </c>
      <c r="AC36" s="230" t="s">
        <v>274</v>
      </c>
      <c r="AD36" s="231"/>
      <c r="AE36" s="231"/>
      <c r="AF36" s="232"/>
      <c r="AG36" s="233"/>
      <c r="AH36" s="234"/>
      <c r="AI36" s="235"/>
      <c r="AJ36" s="232"/>
      <c r="AK36" s="233"/>
      <c r="AL36" s="234"/>
      <c r="AM36" s="235"/>
      <c r="AN36" s="232"/>
      <c r="AO36" s="233"/>
      <c r="AP36" s="234"/>
      <c r="AQ36" s="235"/>
      <c r="AR36" s="102"/>
    </row>
    <row r="37" spans="1:44" ht="15.75" x14ac:dyDescent="0.25">
      <c r="A37" s="39"/>
      <c r="B37" s="23" t="str">
        <f t="shared" si="0"/>
        <v>Caregiver Advocacy_8</v>
      </c>
      <c r="C37" s="23" t="str">
        <f t="shared" si="8"/>
        <v>FF/CGA</v>
      </c>
      <c r="D37" s="23" t="str">
        <f t="shared" si="1"/>
        <v>CGA</v>
      </c>
      <c r="E37" s="23" t="str">
        <f t="shared" si="1"/>
        <v>Caregiver Advocacy</v>
      </c>
      <c r="F37" s="82">
        <f t="shared" si="19"/>
        <v>2</v>
      </c>
      <c r="G37" s="23">
        <f t="shared" si="20"/>
        <v>8</v>
      </c>
      <c r="H37" s="23" t="str">
        <f t="shared" si="9"/>
        <v>FF/CGA</v>
      </c>
      <c r="I37" s="23" t="str">
        <f t="shared" si="10"/>
        <v>CGA</v>
      </c>
      <c r="J37" s="23" t="str">
        <f t="shared" si="4"/>
        <v>Caregiver Advocacy</v>
      </c>
      <c r="K37" s="93">
        <v>1</v>
      </c>
      <c r="L37" s="82" t="str">
        <f t="shared" ca="1" si="11"/>
        <v/>
      </c>
      <c r="M37" s="23" t="str">
        <f t="shared" ca="1" si="12"/>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5"/>
        <v>0</v>
      </c>
      <c r="Y37" s="24" t="str">
        <f t="shared" ca="1" si="6"/>
        <v/>
      </c>
      <c r="Z37" s="24" t="str">
        <f t="shared" ca="1" si="7"/>
        <v/>
      </c>
      <c r="AA37" s="80">
        <f t="shared" si="18"/>
        <v>18</v>
      </c>
      <c r="AB37" s="15" t="s">
        <v>363</v>
      </c>
      <c r="AC37" s="236" t="s">
        <v>275</v>
      </c>
      <c r="AD37" s="237"/>
      <c r="AE37" s="237"/>
      <c r="AF37" s="238"/>
      <c r="AG37" s="239"/>
      <c r="AH37" s="242"/>
      <c r="AI37" s="243"/>
      <c r="AJ37" s="238"/>
      <c r="AK37" s="239"/>
      <c r="AL37" s="242"/>
      <c r="AM37" s="243"/>
      <c r="AN37" s="238"/>
      <c r="AO37" s="239"/>
      <c r="AP37" s="242"/>
      <c r="AQ37" s="243"/>
      <c r="AR37" s="102"/>
    </row>
    <row r="38" spans="1:44" ht="15.75" x14ac:dyDescent="0.25">
      <c r="A38" s="39"/>
      <c r="B38" s="23" t="str">
        <f t="shared" si="0"/>
        <v>Caregiver Functioning - Caregiver #1_0</v>
      </c>
      <c r="C38" s="23" t="str">
        <f t="shared" si="8"/>
        <v/>
      </c>
      <c r="D38" s="23" t="str">
        <f t="shared" si="1"/>
        <v/>
      </c>
      <c r="E38" s="23" t="str">
        <f t="shared" si="1"/>
        <v/>
      </c>
      <c r="F38" s="82">
        <f t="shared" si="19"/>
        <v>3</v>
      </c>
      <c r="G38" s="23">
        <f t="shared" si="20"/>
        <v>0</v>
      </c>
      <c r="H38" s="23" t="str">
        <f t="shared" si="9"/>
        <v>CGF</v>
      </c>
      <c r="I38" s="23" t="str">
        <f t="shared" si="10"/>
        <v>CGF</v>
      </c>
      <c r="J38" s="23" t="str">
        <f t="shared" si="4"/>
        <v>Caregiver Functioning - Caregiver #1</v>
      </c>
      <c r="K38" s="93">
        <v>0</v>
      </c>
      <c r="L38" s="82" t="str">
        <f t="shared" ca="1" si="11"/>
        <v/>
      </c>
      <c r="M38" s="23" t="str">
        <f t="shared" ca="1" si="12"/>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5"/>
        <v>0</v>
      </c>
      <c r="Y38" s="24" t="str">
        <f t="shared" ca="1" si="6"/>
        <v/>
      </c>
      <c r="Z38" s="24" t="str">
        <f t="shared" ca="1" si="7"/>
        <v/>
      </c>
      <c r="AA38" s="80">
        <f t="shared" si="18"/>
        <v>18</v>
      </c>
      <c r="AC38" s="224" t="s">
        <v>324</v>
      </c>
      <c r="AD38" s="244"/>
      <c r="AE38" s="225"/>
      <c r="AF38" s="226"/>
      <c r="AG38" s="227"/>
      <c r="AH38" s="228"/>
      <c r="AI38" s="229"/>
      <c r="AJ38" s="226"/>
      <c r="AK38" s="227"/>
      <c r="AL38" s="228"/>
      <c r="AM38" s="229"/>
      <c r="AN38" s="226"/>
      <c r="AO38" s="227"/>
      <c r="AP38" s="228"/>
      <c r="AQ38" s="229"/>
      <c r="AR38" s="102"/>
    </row>
    <row r="39" spans="1:44" ht="31.5" x14ac:dyDescent="0.25">
      <c r="A39" s="39"/>
      <c r="B39" s="23" t="str">
        <f t="shared" si="0"/>
        <v>Caregiver Functioning - Caregiver #1_0</v>
      </c>
      <c r="C39" s="23" t="str">
        <f t="shared" si="8"/>
        <v/>
      </c>
      <c r="D39" s="23" t="str">
        <f t="shared" si="1"/>
        <v/>
      </c>
      <c r="E39" s="23" t="str">
        <f t="shared" si="1"/>
        <v/>
      </c>
      <c r="F39" s="82">
        <f t="shared" si="19"/>
        <v>3</v>
      </c>
      <c r="G39" s="23">
        <f t="shared" si="20"/>
        <v>0</v>
      </c>
      <c r="H39" s="23" t="str">
        <f t="shared" si="9"/>
        <v>CGF</v>
      </c>
      <c r="I39" s="23" t="str">
        <f t="shared" si="10"/>
        <v>CGF</v>
      </c>
      <c r="J39" s="23" t="str">
        <f t="shared" si="4"/>
        <v>Caregiver Functioning - Caregiver #1</v>
      </c>
      <c r="K39" s="93">
        <v>2</v>
      </c>
      <c r="L39" s="82" t="str">
        <f t="shared" ca="1" si="11"/>
        <v/>
      </c>
      <c r="M39" s="23" t="str">
        <f t="shared" ca="1" si="12"/>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5"/>
        <v>0</v>
      </c>
      <c r="Y39" s="24" t="str">
        <f t="shared" ca="1" si="6"/>
        <v/>
      </c>
      <c r="Z39" s="24" t="str">
        <f t="shared" ca="1" si="7"/>
        <v/>
      </c>
      <c r="AA39" s="80">
        <f t="shared" si="18"/>
        <v>18</v>
      </c>
      <c r="AC39" s="245" t="s">
        <v>323</v>
      </c>
      <c r="AD39" s="246"/>
      <c r="AE39" s="225"/>
      <c r="AF39" s="226"/>
      <c r="AG39" s="227"/>
      <c r="AH39" s="228"/>
      <c r="AI39" s="229"/>
      <c r="AJ39" s="226"/>
      <c r="AK39" s="227"/>
      <c r="AL39" s="228"/>
      <c r="AM39" s="229"/>
      <c r="AN39" s="226"/>
      <c r="AO39" s="227"/>
      <c r="AP39" s="228"/>
      <c r="AQ39" s="229"/>
      <c r="AR39" s="102"/>
    </row>
    <row r="40" spans="1:44" ht="15.75" x14ac:dyDescent="0.25">
      <c r="A40" s="39"/>
      <c r="B40" s="23" t="str">
        <f t="shared" si="0"/>
        <v>Caregiver Functioning - Caregiver #1_1</v>
      </c>
      <c r="C40" s="23" t="str">
        <f t="shared" si="8"/>
        <v/>
      </c>
      <c r="D40" s="23" t="str">
        <f t="shared" si="1"/>
        <v/>
      </c>
      <c r="E40" s="23" t="str">
        <f t="shared" si="1"/>
        <v/>
      </c>
      <c r="F40" s="82">
        <f t="shared" si="19"/>
        <v>3</v>
      </c>
      <c r="G40" s="23">
        <f t="shared" si="20"/>
        <v>1</v>
      </c>
      <c r="H40" s="23" t="str">
        <f t="shared" si="9"/>
        <v>CGF</v>
      </c>
      <c r="I40" s="23" t="str">
        <f t="shared" si="10"/>
        <v>CGF</v>
      </c>
      <c r="J40" s="23" t="str">
        <f t="shared" si="4"/>
        <v>Caregiver Functioning - Caregiver #1</v>
      </c>
      <c r="K40" s="93">
        <v>1</v>
      </c>
      <c r="L40" s="82" t="str">
        <f t="shared" ca="1" si="11"/>
        <v/>
      </c>
      <c r="M40" s="23" t="str">
        <f t="shared" ca="1" si="12"/>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5"/>
        <v>0</v>
      </c>
      <c r="Y40" s="24" t="str">
        <f t="shared" ca="1" si="6"/>
        <v/>
      </c>
      <c r="Z40" s="24" t="str">
        <f t="shared" ca="1" si="7"/>
        <v/>
      </c>
      <c r="AA40" s="80">
        <f t="shared" si="18"/>
        <v>19</v>
      </c>
      <c r="AB40" s="15" t="s">
        <v>276</v>
      </c>
      <c r="AC40" s="230" t="s">
        <v>276</v>
      </c>
      <c r="AD40" s="231"/>
      <c r="AE40" s="231"/>
      <c r="AF40" s="232"/>
      <c r="AG40" s="233"/>
      <c r="AH40" s="234"/>
      <c r="AI40" s="235"/>
      <c r="AJ40" s="232"/>
      <c r="AK40" s="233"/>
      <c r="AL40" s="234"/>
      <c r="AM40" s="235"/>
      <c r="AN40" s="232"/>
      <c r="AO40" s="233"/>
      <c r="AP40" s="234"/>
      <c r="AQ40" s="235"/>
      <c r="AR40" s="102"/>
    </row>
    <row r="41" spans="1:44" ht="15.75" x14ac:dyDescent="0.25">
      <c r="A41" s="39"/>
      <c r="B41" s="23" t="str">
        <f t="shared" si="0"/>
        <v>Caregiver Functioning - Caregiver #1_2</v>
      </c>
      <c r="C41" s="23" t="str">
        <f t="shared" si="8"/>
        <v/>
      </c>
      <c r="D41" s="23" t="str">
        <f t="shared" si="1"/>
        <v/>
      </c>
      <c r="E41" s="23" t="str">
        <f t="shared" si="1"/>
        <v/>
      </c>
      <c r="F41" s="82">
        <f t="shared" si="19"/>
        <v>3</v>
      </c>
      <c r="G41" s="23">
        <f t="shared" si="20"/>
        <v>2</v>
      </c>
      <c r="H41" s="23" t="str">
        <f t="shared" si="9"/>
        <v>CGF</v>
      </c>
      <c r="I41" s="23" t="str">
        <f t="shared" si="10"/>
        <v>CGF</v>
      </c>
      <c r="J41" s="23" t="str">
        <f t="shared" si="4"/>
        <v>Caregiver Functioning - Caregiver #1</v>
      </c>
      <c r="K41" s="93">
        <v>1</v>
      </c>
      <c r="L41" s="82" t="str">
        <f t="shared" ca="1" si="11"/>
        <v/>
      </c>
      <c r="M41" s="23" t="str">
        <f t="shared" ca="1" si="12"/>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5"/>
        <v>0</v>
      </c>
      <c r="Y41" s="24" t="str">
        <f t="shared" ca="1" si="6"/>
        <v/>
      </c>
      <c r="Z41" s="24" t="str">
        <f t="shared" ca="1" si="7"/>
        <v/>
      </c>
      <c r="AA41" s="80">
        <f t="shared" si="18"/>
        <v>20</v>
      </c>
      <c r="AB41" s="15" t="s">
        <v>277</v>
      </c>
      <c r="AC41" s="236" t="s">
        <v>277</v>
      </c>
      <c r="AD41" s="237"/>
      <c r="AE41" s="237"/>
      <c r="AF41" s="238"/>
      <c r="AG41" s="239"/>
      <c r="AH41" s="242"/>
      <c r="AI41" s="243"/>
      <c r="AJ41" s="238"/>
      <c r="AK41" s="239"/>
      <c r="AL41" s="242"/>
      <c r="AM41" s="243"/>
      <c r="AN41" s="238"/>
      <c r="AO41" s="239"/>
      <c r="AP41" s="242"/>
      <c r="AQ41" s="243"/>
      <c r="AR41" s="102"/>
    </row>
    <row r="42" spans="1:44" ht="15.75" x14ac:dyDescent="0.25">
      <c r="A42" s="39"/>
      <c r="B42" s="23" t="str">
        <f t="shared" si="0"/>
        <v>Caregiver Functioning - Caregiver #1_3</v>
      </c>
      <c r="C42" s="23" t="str">
        <f t="shared" si="8"/>
        <v/>
      </c>
      <c r="D42" s="23" t="str">
        <f t="shared" si="1"/>
        <v/>
      </c>
      <c r="E42" s="23" t="str">
        <f t="shared" si="1"/>
        <v/>
      </c>
      <c r="F42" s="82">
        <f t="shared" si="19"/>
        <v>3</v>
      </c>
      <c r="G42" s="23">
        <f t="shared" si="20"/>
        <v>3</v>
      </c>
      <c r="H42" s="23" t="str">
        <f t="shared" si="9"/>
        <v>CGF</v>
      </c>
      <c r="I42" s="23" t="str">
        <f t="shared" si="10"/>
        <v>CGF</v>
      </c>
      <c r="J42" s="23" t="str">
        <f t="shared" si="4"/>
        <v>Caregiver Functioning - Caregiver #1</v>
      </c>
      <c r="K42" s="93">
        <v>1</v>
      </c>
      <c r="L42" s="82" t="str">
        <f t="shared" ca="1" si="11"/>
        <v/>
      </c>
      <c r="M42" s="23" t="str">
        <f t="shared" ca="1" si="12"/>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5"/>
        <v>0</v>
      </c>
      <c r="Y42" s="24" t="str">
        <f t="shared" ca="1" si="6"/>
        <v/>
      </c>
      <c r="Z42" s="24" t="str">
        <f t="shared" ca="1" si="7"/>
        <v/>
      </c>
      <c r="AA42" s="80">
        <f t="shared" si="18"/>
        <v>21</v>
      </c>
      <c r="AB42" s="15" t="s">
        <v>38</v>
      </c>
      <c r="AC42" s="230" t="s">
        <v>38</v>
      </c>
      <c r="AD42" s="231"/>
      <c r="AE42" s="231"/>
      <c r="AF42" s="232"/>
      <c r="AG42" s="233"/>
      <c r="AH42" s="234"/>
      <c r="AI42" s="235"/>
      <c r="AJ42" s="232"/>
      <c r="AK42" s="233"/>
      <c r="AL42" s="234"/>
      <c r="AM42" s="235"/>
      <c r="AN42" s="232"/>
      <c r="AO42" s="233"/>
      <c r="AP42" s="234"/>
      <c r="AQ42" s="235"/>
      <c r="AR42" s="102"/>
    </row>
    <row r="43" spans="1:44" ht="15.75" x14ac:dyDescent="0.25">
      <c r="A43" s="39"/>
      <c r="B43" s="23" t="str">
        <f t="shared" si="0"/>
        <v>Caregiver Functioning - Caregiver #1_4</v>
      </c>
      <c r="C43" s="23" t="str">
        <f t="shared" si="8"/>
        <v/>
      </c>
      <c r="D43" s="23" t="str">
        <f t="shared" si="1"/>
        <v/>
      </c>
      <c r="E43" s="23" t="str">
        <f t="shared" si="1"/>
        <v/>
      </c>
      <c r="F43" s="82">
        <f t="shared" si="19"/>
        <v>3</v>
      </c>
      <c r="G43" s="23">
        <f t="shared" si="20"/>
        <v>4</v>
      </c>
      <c r="H43" s="23" t="str">
        <f t="shared" si="9"/>
        <v>CGF</v>
      </c>
      <c r="I43" s="23" t="str">
        <f t="shared" si="10"/>
        <v>CGF</v>
      </c>
      <c r="J43" s="23" t="str">
        <f t="shared" si="4"/>
        <v>Caregiver Functioning - Caregiver #1</v>
      </c>
      <c r="K43" s="93">
        <v>1</v>
      </c>
      <c r="L43" s="82" t="str">
        <f t="shared" ca="1" si="11"/>
        <v/>
      </c>
      <c r="M43" s="23" t="str">
        <f t="shared" ca="1" si="12"/>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5"/>
        <v>0</v>
      </c>
      <c r="Y43" s="24" t="str">
        <f t="shared" ca="1" si="6"/>
        <v/>
      </c>
      <c r="Z43" s="24" t="str">
        <f t="shared" ca="1" si="7"/>
        <v/>
      </c>
      <c r="AA43" s="80">
        <f t="shared" si="18"/>
        <v>22</v>
      </c>
      <c r="AB43" s="15" t="s">
        <v>130</v>
      </c>
      <c r="AC43" s="236" t="s">
        <v>130</v>
      </c>
      <c r="AD43" s="237"/>
      <c r="AE43" s="237"/>
      <c r="AF43" s="238"/>
      <c r="AG43" s="239"/>
      <c r="AH43" s="242"/>
      <c r="AI43" s="243"/>
      <c r="AJ43" s="238"/>
      <c r="AK43" s="239"/>
      <c r="AL43" s="242"/>
      <c r="AM43" s="243"/>
      <c r="AN43" s="238"/>
      <c r="AO43" s="239"/>
      <c r="AP43" s="242"/>
      <c r="AQ43" s="243"/>
      <c r="AR43" s="102"/>
    </row>
    <row r="44" spans="1:44" ht="15.75" x14ac:dyDescent="0.25">
      <c r="A44" s="39"/>
      <c r="B44" s="23" t="str">
        <f t="shared" si="0"/>
        <v>Caregiver Functioning - Caregiver #1_5</v>
      </c>
      <c r="C44" s="23" t="str">
        <f t="shared" si="8"/>
        <v/>
      </c>
      <c r="D44" s="23" t="str">
        <f t="shared" si="1"/>
        <v/>
      </c>
      <c r="E44" s="23" t="str">
        <f t="shared" si="1"/>
        <v/>
      </c>
      <c r="F44" s="82">
        <f t="shared" si="19"/>
        <v>3</v>
      </c>
      <c r="G44" s="23">
        <f t="shared" si="20"/>
        <v>5</v>
      </c>
      <c r="H44" s="23" t="str">
        <f t="shared" si="9"/>
        <v>CGF</v>
      </c>
      <c r="I44" s="23" t="str">
        <f t="shared" si="10"/>
        <v>CGF</v>
      </c>
      <c r="J44" s="23" t="str">
        <f t="shared" si="4"/>
        <v>Caregiver Functioning - Caregiver #1</v>
      </c>
      <c r="K44" s="93">
        <v>1</v>
      </c>
      <c r="L44" s="82" t="str">
        <f t="shared" ca="1" si="11"/>
        <v/>
      </c>
      <c r="M44" s="23" t="str">
        <f t="shared" ca="1" si="12"/>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5"/>
        <v>0</v>
      </c>
      <c r="Y44" s="24" t="str">
        <f t="shared" ca="1" si="6"/>
        <v/>
      </c>
      <c r="Z44" s="24" t="str">
        <f t="shared" ca="1" si="7"/>
        <v/>
      </c>
      <c r="AA44" s="80">
        <f t="shared" si="18"/>
        <v>23</v>
      </c>
      <c r="AB44" s="15" t="s">
        <v>42</v>
      </c>
      <c r="AC44" s="230" t="s">
        <v>42</v>
      </c>
      <c r="AD44" s="231"/>
      <c r="AE44" s="231"/>
      <c r="AF44" s="232"/>
      <c r="AG44" s="233"/>
      <c r="AH44" s="240"/>
      <c r="AI44" s="241"/>
      <c r="AJ44" s="232"/>
      <c r="AK44" s="233"/>
      <c r="AL44" s="240"/>
      <c r="AM44" s="241"/>
      <c r="AN44" s="232"/>
      <c r="AO44" s="233"/>
      <c r="AP44" s="240"/>
      <c r="AQ44" s="241"/>
      <c r="AR44" s="102"/>
    </row>
    <row r="45" spans="1:44" ht="15.75" x14ac:dyDescent="0.25">
      <c r="A45" s="39"/>
      <c r="B45" s="23" t="str">
        <f t="shared" si="0"/>
        <v>Caregiver Functioning - Caregiver #1_6</v>
      </c>
      <c r="C45" s="23" t="str">
        <f t="shared" si="8"/>
        <v/>
      </c>
      <c r="D45" s="23" t="str">
        <f t="shared" si="1"/>
        <v/>
      </c>
      <c r="E45" s="23" t="str">
        <f t="shared" si="1"/>
        <v/>
      </c>
      <c r="F45" s="82">
        <f t="shared" si="19"/>
        <v>3</v>
      </c>
      <c r="G45" s="23">
        <f t="shared" si="20"/>
        <v>6</v>
      </c>
      <c r="H45" s="23" t="str">
        <f t="shared" si="9"/>
        <v>CGF</v>
      </c>
      <c r="I45" s="23" t="str">
        <f t="shared" si="10"/>
        <v>CGF</v>
      </c>
      <c r="J45" s="23" t="str">
        <f t="shared" si="4"/>
        <v>Caregiver Functioning - Caregiver #1</v>
      </c>
      <c r="K45" s="93">
        <v>1</v>
      </c>
      <c r="L45" s="82" t="str">
        <f t="shared" ca="1" si="11"/>
        <v/>
      </c>
      <c r="M45" s="23" t="str">
        <f t="shared" ca="1" si="12"/>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5"/>
        <v>0</v>
      </c>
      <c r="Y45" s="24" t="str">
        <f t="shared" ca="1" si="6"/>
        <v/>
      </c>
      <c r="Z45" s="24" t="str">
        <f t="shared" ca="1" si="7"/>
        <v/>
      </c>
      <c r="AA45" s="80">
        <f t="shared" si="18"/>
        <v>24</v>
      </c>
      <c r="AB45" s="15" t="s">
        <v>278</v>
      </c>
      <c r="AC45" s="236" t="s">
        <v>278</v>
      </c>
      <c r="AD45" s="237"/>
      <c r="AE45" s="237"/>
      <c r="AF45" s="238"/>
      <c r="AG45" s="239"/>
      <c r="AH45" s="242"/>
      <c r="AI45" s="243"/>
      <c r="AJ45" s="238"/>
      <c r="AK45" s="239"/>
      <c r="AL45" s="242"/>
      <c r="AM45" s="243"/>
      <c r="AN45" s="238"/>
      <c r="AO45" s="239"/>
      <c r="AP45" s="242"/>
      <c r="AQ45" s="243"/>
      <c r="AR45" s="102"/>
    </row>
    <row r="46" spans="1:44" ht="15.75" x14ac:dyDescent="0.25">
      <c r="A46" s="39"/>
      <c r="B46" s="23" t="str">
        <f t="shared" si="0"/>
        <v>Caregiver Functioning - Caregiver #1_7</v>
      </c>
      <c r="C46" s="23" t="str">
        <f t="shared" si="8"/>
        <v/>
      </c>
      <c r="D46" s="23" t="str">
        <f t="shared" si="1"/>
        <v/>
      </c>
      <c r="E46" s="23" t="str">
        <f t="shared" si="1"/>
        <v/>
      </c>
      <c r="F46" s="82">
        <f t="shared" si="19"/>
        <v>3</v>
      </c>
      <c r="G46" s="23">
        <f t="shared" si="20"/>
        <v>7</v>
      </c>
      <c r="H46" s="23" t="str">
        <f t="shared" si="9"/>
        <v>CGF</v>
      </c>
      <c r="I46" s="23" t="str">
        <f t="shared" si="10"/>
        <v>CGF</v>
      </c>
      <c r="J46" s="23" t="str">
        <f t="shared" si="4"/>
        <v>Caregiver Functioning - Caregiver #1</v>
      </c>
      <c r="K46" s="93">
        <v>1</v>
      </c>
      <c r="L46" s="82" t="str">
        <f t="shared" ca="1" si="11"/>
        <v/>
      </c>
      <c r="M46" s="23" t="str">
        <f t="shared" ca="1" si="12"/>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5"/>
        <v>0</v>
      </c>
      <c r="Y46" s="24" t="str">
        <f t="shared" ca="1" si="6"/>
        <v/>
      </c>
      <c r="Z46" s="24" t="str">
        <f t="shared" ca="1" si="7"/>
        <v/>
      </c>
      <c r="AA46" s="80">
        <f t="shared" si="18"/>
        <v>25</v>
      </c>
      <c r="AB46" s="15" t="s">
        <v>121</v>
      </c>
      <c r="AC46" s="230" t="s">
        <v>121</v>
      </c>
      <c r="AD46" s="231"/>
      <c r="AE46" s="231"/>
      <c r="AF46" s="232"/>
      <c r="AG46" s="233"/>
      <c r="AH46" s="240"/>
      <c r="AI46" s="241"/>
      <c r="AJ46" s="232"/>
      <c r="AK46" s="233"/>
      <c r="AL46" s="240"/>
      <c r="AM46" s="241"/>
      <c r="AN46" s="232"/>
      <c r="AO46" s="233"/>
      <c r="AP46" s="240"/>
      <c r="AQ46" s="241"/>
      <c r="AR46" s="102"/>
    </row>
    <row r="47" spans="1:44" ht="15.75" x14ac:dyDescent="0.25">
      <c r="A47" s="39"/>
      <c r="B47" s="23" t="str">
        <f t="shared" si="0"/>
        <v>Caregiver Functioning - Caregiver #1_8</v>
      </c>
      <c r="C47" s="23" t="str">
        <f t="shared" si="8"/>
        <v/>
      </c>
      <c r="D47" s="23" t="str">
        <f t="shared" si="1"/>
        <v/>
      </c>
      <c r="E47" s="23" t="str">
        <f t="shared" si="1"/>
        <v/>
      </c>
      <c r="F47" s="82">
        <f t="shared" si="19"/>
        <v>3</v>
      </c>
      <c r="G47" s="23">
        <f t="shared" si="20"/>
        <v>8</v>
      </c>
      <c r="H47" s="23" t="str">
        <f t="shared" si="9"/>
        <v>CGF</v>
      </c>
      <c r="I47" s="23" t="str">
        <f t="shared" si="10"/>
        <v>CGF</v>
      </c>
      <c r="J47" s="23" t="str">
        <f t="shared" si="4"/>
        <v>Caregiver Functioning - Caregiver #1</v>
      </c>
      <c r="K47" s="93">
        <v>1</v>
      </c>
      <c r="L47" s="82" t="str">
        <f t="shared" ca="1" si="11"/>
        <v/>
      </c>
      <c r="M47" s="23" t="str">
        <f t="shared" ca="1" si="12"/>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5"/>
        <v>0</v>
      </c>
      <c r="Y47" s="24" t="str">
        <f t="shared" ca="1" si="6"/>
        <v/>
      </c>
      <c r="Z47" s="24" t="str">
        <f t="shared" ca="1" si="7"/>
        <v/>
      </c>
      <c r="AA47" s="80">
        <f t="shared" si="18"/>
        <v>26</v>
      </c>
      <c r="AB47" s="15" t="s">
        <v>279</v>
      </c>
      <c r="AC47" s="236" t="s">
        <v>279</v>
      </c>
      <c r="AD47" s="237"/>
      <c r="AE47" s="237"/>
      <c r="AF47" s="238"/>
      <c r="AG47" s="239"/>
      <c r="AH47" s="242"/>
      <c r="AI47" s="243"/>
      <c r="AJ47" s="238"/>
      <c r="AK47" s="239"/>
      <c r="AL47" s="242"/>
      <c r="AM47" s="243"/>
      <c r="AN47" s="238"/>
      <c r="AO47" s="239"/>
      <c r="AP47" s="242"/>
      <c r="AQ47" s="243"/>
      <c r="AR47" s="102"/>
    </row>
    <row r="48" spans="1:44" ht="15.75" x14ac:dyDescent="0.25">
      <c r="A48" s="39"/>
      <c r="B48" s="23" t="str">
        <f t="shared" si="0"/>
        <v>Caregiver Functioning - Caregiver #1_9</v>
      </c>
      <c r="C48" s="23" t="str">
        <f t="shared" si="8"/>
        <v/>
      </c>
      <c r="D48" s="23" t="str">
        <f t="shared" si="1"/>
        <v/>
      </c>
      <c r="E48" s="23" t="str">
        <f t="shared" si="1"/>
        <v/>
      </c>
      <c r="F48" s="82">
        <f t="shared" si="19"/>
        <v>3</v>
      </c>
      <c r="G48" s="23">
        <f t="shared" si="20"/>
        <v>9</v>
      </c>
      <c r="H48" s="23" t="str">
        <f t="shared" si="9"/>
        <v>CGF</v>
      </c>
      <c r="I48" s="23" t="str">
        <f t="shared" si="10"/>
        <v>CGF</v>
      </c>
      <c r="J48" s="23" t="str">
        <f t="shared" si="4"/>
        <v>Caregiver Functioning - Caregiver #1</v>
      </c>
      <c r="K48" s="93">
        <v>1</v>
      </c>
      <c r="L48" s="82" t="str">
        <f t="shared" ca="1" si="11"/>
        <v/>
      </c>
      <c r="M48" s="23" t="str">
        <f t="shared" ca="1" si="12"/>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5"/>
        <v>0</v>
      </c>
      <c r="Y48" s="24" t="str">
        <f t="shared" ca="1" si="6"/>
        <v/>
      </c>
      <c r="Z48" s="24" t="str">
        <f t="shared" ca="1" si="7"/>
        <v/>
      </c>
      <c r="AA48" s="80">
        <f t="shared" si="18"/>
        <v>27</v>
      </c>
      <c r="AB48" s="15" t="s">
        <v>41</v>
      </c>
      <c r="AC48" s="230" t="s">
        <v>41</v>
      </c>
      <c r="AD48" s="231"/>
      <c r="AE48" s="231"/>
      <c r="AF48" s="232"/>
      <c r="AG48" s="233"/>
      <c r="AH48" s="234"/>
      <c r="AI48" s="235"/>
      <c r="AJ48" s="232"/>
      <c r="AK48" s="233"/>
      <c r="AL48" s="234"/>
      <c r="AM48" s="235"/>
      <c r="AN48" s="232"/>
      <c r="AO48" s="233"/>
      <c r="AP48" s="234"/>
      <c r="AQ48" s="235"/>
      <c r="AR48" s="102"/>
    </row>
    <row r="49" spans="1:44" ht="15.75" x14ac:dyDescent="0.25">
      <c r="A49" s="39"/>
      <c r="B49" s="23" t="str">
        <f t="shared" si="0"/>
        <v>Caregiver Functioning - Caregiver #1_10</v>
      </c>
      <c r="C49" s="23" t="str">
        <f t="shared" si="8"/>
        <v/>
      </c>
      <c r="D49" s="23" t="str">
        <f t="shared" si="1"/>
        <v/>
      </c>
      <c r="E49" s="23" t="str">
        <f t="shared" si="1"/>
        <v/>
      </c>
      <c r="F49" s="82">
        <f t="shared" si="19"/>
        <v>3</v>
      </c>
      <c r="G49" s="23">
        <f t="shared" si="20"/>
        <v>10</v>
      </c>
      <c r="H49" s="23" t="str">
        <f t="shared" si="9"/>
        <v>CGF</v>
      </c>
      <c r="I49" s="23" t="str">
        <f t="shared" si="10"/>
        <v>CGF</v>
      </c>
      <c r="J49" s="23" t="str">
        <f t="shared" si="4"/>
        <v>Caregiver Functioning - Caregiver #1</v>
      </c>
      <c r="K49" s="93">
        <v>1</v>
      </c>
      <c r="L49" s="82" t="str">
        <f t="shared" ca="1" si="11"/>
        <v/>
      </c>
      <c r="M49" s="23" t="str">
        <f t="shared" ca="1" si="12"/>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5"/>
        <v>0</v>
      </c>
      <c r="Y49" s="24" t="str">
        <f t="shared" ca="1" si="6"/>
        <v/>
      </c>
      <c r="Z49" s="24" t="str">
        <f t="shared" ca="1" si="7"/>
        <v/>
      </c>
      <c r="AA49" s="80">
        <f t="shared" si="18"/>
        <v>28</v>
      </c>
      <c r="AB49" s="15" t="s">
        <v>280</v>
      </c>
      <c r="AC49" s="236" t="s">
        <v>280</v>
      </c>
      <c r="AD49" s="237"/>
      <c r="AE49" s="237"/>
      <c r="AF49" s="238"/>
      <c r="AG49" s="239"/>
      <c r="AH49" s="242"/>
      <c r="AI49" s="243"/>
      <c r="AJ49" s="238"/>
      <c r="AK49" s="239"/>
      <c r="AL49" s="242"/>
      <c r="AM49" s="243"/>
      <c r="AN49" s="238"/>
      <c r="AO49" s="239"/>
      <c r="AP49" s="242"/>
      <c r="AQ49" s="243"/>
      <c r="AR49" s="102"/>
    </row>
    <row r="50" spans="1:44" ht="15.75" x14ac:dyDescent="0.25">
      <c r="A50" s="39"/>
      <c r="B50" s="23" t="str">
        <f t="shared" si="0"/>
        <v>Caregiver Functioning - Caregiver #1_11</v>
      </c>
      <c r="C50" s="23" t="str">
        <f t="shared" si="8"/>
        <v/>
      </c>
      <c r="D50" s="23" t="str">
        <f t="shared" si="1"/>
        <v/>
      </c>
      <c r="E50" s="23" t="str">
        <f t="shared" si="1"/>
        <v/>
      </c>
      <c r="F50" s="82">
        <f t="shared" si="19"/>
        <v>3</v>
      </c>
      <c r="G50" s="23">
        <f t="shared" si="20"/>
        <v>11</v>
      </c>
      <c r="H50" s="23" t="str">
        <f t="shared" si="9"/>
        <v>CGF</v>
      </c>
      <c r="I50" s="23" t="str">
        <f t="shared" si="10"/>
        <v>CGF</v>
      </c>
      <c r="J50" s="23" t="str">
        <f t="shared" ref="J50:J81" si="21">IF(K50=0, AC50, J49)</f>
        <v>Caregiver Functioning - Caregiver #1</v>
      </c>
      <c r="K50" s="93">
        <v>1</v>
      </c>
      <c r="L50" s="82" t="str">
        <f t="shared" ca="1" si="11"/>
        <v/>
      </c>
      <c r="M50" s="23" t="str">
        <f t="shared" ca="1" si="12"/>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5"/>
        <v>0</v>
      </c>
      <c r="Y50" s="24" t="str">
        <f t="shared" ref="Y50:Y81" ca="1" si="22">T(INDIRECT(ADDRESS(ROW(), lastAssessCol+2)))</f>
        <v/>
      </c>
      <c r="Z50" s="24" t="str">
        <f t="shared" ref="Z50:Z81" ca="1" si="23">T(INDIRECT(ADDRESS(ROW(), lastAssessCol+3)))</f>
        <v/>
      </c>
      <c r="AA50" s="80">
        <f t="shared" si="18"/>
        <v>29</v>
      </c>
      <c r="AB50" s="15" t="s">
        <v>281</v>
      </c>
      <c r="AC50" s="230" t="s">
        <v>281</v>
      </c>
      <c r="AD50" s="231"/>
      <c r="AE50" s="231"/>
      <c r="AF50" s="232"/>
      <c r="AG50" s="233"/>
      <c r="AH50" s="234"/>
      <c r="AI50" s="235"/>
      <c r="AJ50" s="232"/>
      <c r="AK50" s="233"/>
      <c r="AL50" s="234"/>
      <c r="AM50" s="235"/>
      <c r="AN50" s="232"/>
      <c r="AO50" s="233"/>
      <c r="AP50" s="234"/>
      <c r="AQ50" s="235"/>
      <c r="AR50" s="102"/>
    </row>
    <row r="51" spans="1:44" ht="15.75" x14ac:dyDescent="0.25">
      <c r="A51" s="39"/>
      <c r="B51" s="23" t="str">
        <f t="shared" si="0"/>
        <v>Caregiver Functioning - Caregiver #1_12</v>
      </c>
      <c r="C51" s="23" t="str">
        <f t="shared" si="8"/>
        <v/>
      </c>
      <c r="D51" s="23" t="str">
        <f t="shared" si="1"/>
        <v/>
      </c>
      <c r="E51" s="23" t="str">
        <f t="shared" si="1"/>
        <v/>
      </c>
      <c r="F51" s="82">
        <f t="shared" si="19"/>
        <v>3</v>
      </c>
      <c r="G51" s="23">
        <f t="shared" si="20"/>
        <v>12</v>
      </c>
      <c r="H51" s="23" t="str">
        <f t="shared" si="9"/>
        <v>CGF</v>
      </c>
      <c r="I51" s="23" t="str">
        <f t="shared" si="10"/>
        <v>CGF</v>
      </c>
      <c r="J51" s="23" t="str">
        <f t="shared" si="21"/>
        <v>Caregiver Functioning - Caregiver #1</v>
      </c>
      <c r="K51" s="93">
        <v>1</v>
      </c>
      <c r="L51" s="82" t="str">
        <f t="shared" ca="1" si="11"/>
        <v/>
      </c>
      <c r="M51" s="23" t="str">
        <f t="shared" ca="1" si="12"/>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5"/>
        <v>0</v>
      </c>
      <c r="Y51" s="24" t="str">
        <f t="shared" ca="1" si="22"/>
        <v/>
      </c>
      <c r="Z51" s="24" t="str">
        <f t="shared" ca="1" si="23"/>
        <v/>
      </c>
      <c r="AA51" s="80">
        <f t="shared" ref="AA51:AA82" si="24">AA50+IF(AB51=0, 0, 1)</f>
        <v>30</v>
      </c>
      <c r="AB51" s="15" t="s">
        <v>282</v>
      </c>
      <c r="AC51" s="236" t="s">
        <v>282</v>
      </c>
      <c r="AD51" s="237"/>
      <c r="AE51" s="237"/>
      <c r="AF51" s="238"/>
      <c r="AG51" s="239"/>
      <c r="AH51" s="240"/>
      <c r="AI51" s="241"/>
      <c r="AJ51" s="238"/>
      <c r="AK51" s="239"/>
      <c r="AL51" s="240"/>
      <c r="AM51" s="241"/>
      <c r="AN51" s="238"/>
      <c r="AO51" s="239"/>
      <c r="AP51" s="240"/>
      <c r="AQ51" s="241"/>
      <c r="AR51" s="102"/>
    </row>
    <row r="52" spans="1:44" ht="15.75" x14ac:dyDescent="0.25">
      <c r="A52" s="39"/>
      <c r="B52" s="23" t="str">
        <f t="shared" si="0"/>
        <v>Caregiver Functioning - Caregiver #1_13</v>
      </c>
      <c r="C52" s="23" t="str">
        <f t="shared" si="8"/>
        <v/>
      </c>
      <c r="D52" s="23" t="str">
        <f t="shared" si="1"/>
        <v/>
      </c>
      <c r="E52" s="23" t="str">
        <f t="shared" si="1"/>
        <v/>
      </c>
      <c r="F52" s="82">
        <f t="shared" si="19"/>
        <v>3</v>
      </c>
      <c r="G52" s="23">
        <f t="shared" si="20"/>
        <v>13</v>
      </c>
      <c r="H52" s="23" t="str">
        <f t="shared" si="9"/>
        <v>CGF</v>
      </c>
      <c r="I52" s="23" t="str">
        <f t="shared" si="10"/>
        <v>CGF</v>
      </c>
      <c r="J52" s="23" t="str">
        <f t="shared" si="21"/>
        <v>Caregiver Functioning - Caregiver #1</v>
      </c>
      <c r="K52" s="93">
        <v>1</v>
      </c>
      <c r="L52" s="82" t="str">
        <f t="shared" ca="1" si="11"/>
        <v/>
      </c>
      <c r="M52" s="23" t="str">
        <f t="shared" ca="1" si="12"/>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5"/>
        <v>0</v>
      </c>
      <c r="Y52" s="24" t="str">
        <f t="shared" ca="1" si="22"/>
        <v/>
      </c>
      <c r="Z52" s="24" t="str">
        <f t="shared" ca="1" si="23"/>
        <v/>
      </c>
      <c r="AA52" s="80">
        <f t="shared" si="24"/>
        <v>31</v>
      </c>
      <c r="AB52" s="15" t="s">
        <v>283</v>
      </c>
      <c r="AC52" s="230" t="s">
        <v>283</v>
      </c>
      <c r="AD52" s="231"/>
      <c r="AE52" s="231"/>
      <c r="AF52" s="232"/>
      <c r="AG52" s="233"/>
      <c r="AH52" s="240"/>
      <c r="AI52" s="241"/>
      <c r="AJ52" s="232"/>
      <c r="AK52" s="233"/>
      <c r="AL52" s="240"/>
      <c r="AM52" s="241"/>
      <c r="AN52" s="232"/>
      <c r="AO52" s="233"/>
      <c r="AP52" s="240"/>
      <c r="AQ52" s="241"/>
      <c r="AR52" s="102"/>
    </row>
    <row r="53" spans="1:44" ht="15.75" x14ac:dyDescent="0.25">
      <c r="A53" s="39"/>
      <c r="B53" s="23" t="str">
        <f t="shared" si="0"/>
        <v>Caregiver Functioning - Caregiver #1_14</v>
      </c>
      <c r="C53" s="23" t="str">
        <f t="shared" si="8"/>
        <v/>
      </c>
      <c r="D53" s="23" t="str">
        <f t="shared" si="1"/>
        <v/>
      </c>
      <c r="E53" s="23" t="str">
        <f t="shared" si="1"/>
        <v>Caregiver Functioning - Caregiver #1</v>
      </c>
      <c r="F53" s="82">
        <f t="shared" si="19"/>
        <v>3</v>
      </c>
      <c r="G53" s="23">
        <f t="shared" si="20"/>
        <v>14</v>
      </c>
      <c r="H53" s="23" t="str">
        <f t="shared" si="9"/>
        <v>CGF</v>
      </c>
      <c r="I53" s="23" t="str">
        <f t="shared" si="10"/>
        <v>CGF</v>
      </c>
      <c r="J53" s="23" t="str">
        <f t="shared" si="21"/>
        <v>Caregiver Functioning - Caregiver #1</v>
      </c>
      <c r="K53" s="93">
        <v>1</v>
      </c>
      <c r="L53" s="82" t="str">
        <f t="shared" ca="1" si="11"/>
        <v/>
      </c>
      <c r="M53" s="23" t="str">
        <f t="shared" ca="1" si="12"/>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5"/>
        <v>0</v>
      </c>
      <c r="Y53" s="24" t="str">
        <f t="shared" ca="1" si="22"/>
        <v/>
      </c>
      <c r="Z53" s="24" t="str">
        <f t="shared" ca="1" si="23"/>
        <v/>
      </c>
      <c r="AA53" s="80">
        <f t="shared" si="24"/>
        <v>32</v>
      </c>
      <c r="AB53" s="15" t="s">
        <v>131</v>
      </c>
      <c r="AC53" s="236" t="s">
        <v>131</v>
      </c>
      <c r="AD53" s="237"/>
      <c r="AE53" s="237"/>
      <c r="AF53" s="238"/>
      <c r="AG53" s="239"/>
      <c r="AH53" s="242"/>
      <c r="AI53" s="243"/>
      <c r="AJ53" s="238"/>
      <c r="AK53" s="239"/>
      <c r="AL53" s="242"/>
      <c r="AM53" s="243"/>
      <c r="AN53" s="238"/>
      <c r="AO53" s="239"/>
      <c r="AP53" s="242"/>
      <c r="AQ53" s="243"/>
      <c r="AR53" s="102"/>
    </row>
    <row r="54" spans="1:44" ht="15.75" hidden="1" x14ac:dyDescent="0.25">
      <c r="A54" s="39"/>
      <c r="B54" s="23" t="str">
        <f t="shared" si="0"/>
        <v>Caregiver Functioning - Caregiver #2_0</v>
      </c>
      <c r="C54" s="23" t="str">
        <f t="shared" si="8"/>
        <v/>
      </c>
      <c r="D54" s="23" t="str">
        <f t="shared" si="1"/>
        <v/>
      </c>
      <c r="E54" s="23" t="str">
        <f t="shared" si="1"/>
        <v/>
      </c>
      <c r="F54" s="82">
        <f t="shared" si="19"/>
        <v>4</v>
      </c>
      <c r="G54" s="23">
        <f t="shared" si="20"/>
        <v>0</v>
      </c>
      <c r="H54" s="23" t="str">
        <f t="shared" si="9"/>
        <v>CGF</v>
      </c>
      <c r="I54" s="23" t="str">
        <f t="shared" si="10"/>
        <v>CGF</v>
      </c>
      <c r="J54" s="23" t="str">
        <f t="shared" si="21"/>
        <v>Caregiver Functioning - Caregiver #2</v>
      </c>
      <c r="K54" s="93">
        <v>0</v>
      </c>
      <c r="L54" s="82" t="str">
        <f t="shared" ca="1" si="11"/>
        <v/>
      </c>
      <c r="M54" s="23" t="str">
        <f t="shared" ca="1" si="12"/>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5"/>
        <v>0</v>
      </c>
      <c r="Y54" s="24" t="str">
        <f t="shared" ca="1" si="22"/>
        <v/>
      </c>
      <c r="Z54" s="24" t="str">
        <f t="shared" ca="1" si="23"/>
        <v/>
      </c>
      <c r="AA54" s="80">
        <f t="shared" si="24"/>
        <v>32</v>
      </c>
      <c r="AC54" s="224" t="s">
        <v>325</v>
      </c>
      <c r="AD54" s="244"/>
      <c r="AE54" s="225"/>
      <c r="AF54" s="226"/>
      <c r="AG54" s="227"/>
      <c r="AH54" s="228"/>
      <c r="AI54" s="229"/>
      <c r="AJ54" s="226"/>
      <c r="AK54" s="227"/>
      <c r="AL54" s="228"/>
      <c r="AM54" s="229"/>
      <c r="AN54" s="226"/>
      <c r="AO54" s="227"/>
      <c r="AP54" s="228"/>
      <c r="AQ54" s="229"/>
      <c r="AR54" s="102"/>
    </row>
    <row r="55" spans="1:44" ht="31.5" hidden="1" x14ac:dyDescent="0.25">
      <c r="A55" s="39"/>
      <c r="B55" s="23" t="str">
        <f t="shared" si="0"/>
        <v>Caregiver Functioning - Caregiver #2_0</v>
      </c>
      <c r="C55" s="23" t="str">
        <f t="shared" si="8"/>
        <v/>
      </c>
      <c r="D55" s="23" t="str">
        <f t="shared" si="1"/>
        <v/>
      </c>
      <c r="E55" s="23" t="str">
        <f t="shared" si="1"/>
        <v/>
      </c>
      <c r="F55" s="82">
        <f t="shared" si="19"/>
        <v>4</v>
      </c>
      <c r="G55" s="23">
        <f t="shared" si="20"/>
        <v>0</v>
      </c>
      <c r="H55" s="23" t="str">
        <f t="shared" si="9"/>
        <v>CGF</v>
      </c>
      <c r="I55" s="23" t="str">
        <f t="shared" si="10"/>
        <v>CGF</v>
      </c>
      <c r="J55" s="23" t="str">
        <f t="shared" si="21"/>
        <v>Caregiver Functioning - Caregiver #2</v>
      </c>
      <c r="K55" s="93">
        <v>2</v>
      </c>
      <c r="L55" s="82" t="str">
        <f t="shared" ca="1" si="11"/>
        <v/>
      </c>
      <c r="M55" s="23" t="str">
        <f t="shared" ca="1" si="12"/>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5"/>
        <v>0</v>
      </c>
      <c r="Y55" s="24" t="str">
        <f t="shared" ca="1" si="22"/>
        <v/>
      </c>
      <c r="Z55" s="24" t="str">
        <f t="shared" ca="1" si="23"/>
        <v/>
      </c>
      <c r="AA55" s="80">
        <f t="shared" si="24"/>
        <v>32</v>
      </c>
      <c r="AC55" s="245" t="s">
        <v>323</v>
      </c>
      <c r="AD55" s="246"/>
      <c r="AE55" s="225"/>
      <c r="AF55" s="226"/>
      <c r="AG55" s="227"/>
      <c r="AH55" s="228"/>
      <c r="AI55" s="229"/>
      <c r="AJ55" s="226"/>
      <c r="AK55" s="227"/>
      <c r="AL55" s="228"/>
      <c r="AM55" s="229"/>
      <c r="AN55" s="226"/>
      <c r="AO55" s="227"/>
      <c r="AP55" s="228"/>
      <c r="AQ55" s="229"/>
      <c r="AR55" s="102"/>
    </row>
    <row r="56" spans="1:44" ht="15.75" hidden="1" x14ac:dyDescent="0.25">
      <c r="A56" s="39"/>
      <c r="B56" s="23" t="str">
        <f t="shared" si="0"/>
        <v>Caregiver Functioning - Caregiver #2_1</v>
      </c>
      <c r="C56" s="23" t="str">
        <f t="shared" si="8"/>
        <v/>
      </c>
      <c r="D56" s="23" t="str">
        <f t="shared" si="1"/>
        <v/>
      </c>
      <c r="E56" s="23" t="str">
        <f t="shared" si="1"/>
        <v/>
      </c>
      <c r="F56" s="82">
        <f t="shared" si="19"/>
        <v>4</v>
      </c>
      <c r="G56" s="23">
        <f t="shared" si="20"/>
        <v>1</v>
      </c>
      <c r="H56" s="23" t="str">
        <f t="shared" si="9"/>
        <v>CGF</v>
      </c>
      <c r="I56" s="23" t="str">
        <f t="shared" si="10"/>
        <v>CGF</v>
      </c>
      <c r="J56" s="23" t="str">
        <f t="shared" si="21"/>
        <v>Caregiver Functioning - Caregiver #2</v>
      </c>
      <c r="K56" s="93">
        <v>1</v>
      </c>
      <c r="L56" s="82" t="str">
        <f t="shared" ca="1" si="11"/>
        <v/>
      </c>
      <c r="M56" s="23" t="str">
        <f t="shared" ca="1" si="12"/>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5"/>
        <v>0</v>
      </c>
      <c r="Y56" s="24" t="str">
        <f t="shared" ca="1" si="22"/>
        <v/>
      </c>
      <c r="Z56" s="24" t="str">
        <f t="shared" ca="1" si="23"/>
        <v/>
      </c>
      <c r="AA56" s="80">
        <f t="shared" si="24"/>
        <v>33</v>
      </c>
      <c r="AB56" s="15" t="s">
        <v>276</v>
      </c>
      <c r="AC56" s="230" t="s">
        <v>276</v>
      </c>
      <c r="AD56" s="231"/>
      <c r="AE56" s="231"/>
      <c r="AF56" s="232"/>
      <c r="AG56" s="233"/>
      <c r="AH56" s="234"/>
      <c r="AI56" s="235"/>
      <c r="AJ56" s="232"/>
      <c r="AK56" s="233"/>
      <c r="AL56" s="234"/>
      <c r="AM56" s="235"/>
      <c r="AN56" s="232"/>
      <c r="AO56" s="233"/>
      <c r="AP56" s="234"/>
      <c r="AQ56" s="235"/>
      <c r="AR56" s="102"/>
    </row>
    <row r="57" spans="1:44" ht="15.75" hidden="1" x14ac:dyDescent="0.25">
      <c r="A57" s="39"/>
      <c r="B57" s="23" t="str">
        <f t="shared" si="0"/>
        <v>Caregiver Functioning - Caregiver #2_2</v>
      </c>
      <c r="C57" s="23" t="str">
        <f t="shared" si="8"/>
        <v/>
      </c>
      <c r="D57" s="23" t="str">
        <f t="shared" si="1"/>
        <v/>
      </c>
      <c r="E57" s="23" t="str">
        <f t="shared" si="1"/>
        <v/>
      </c>
      <c r="F57" s="82">
        <f t="shared" si="19"/>
        <v>4</v>
      </c>
      <c r="G57" s="23">
        <f t="shared" si="20"/>
        <v>2</v>
      </c>
      <c r="H57" s="23" t="str">
        <f t="shared" si="9"/>
        <v>CGF</v>
      </c>
      <c r="I57" s="23" t="str">
        <f t="shared" si="10"/>
        <v>CGF</v>
      </c>
      <c r="J57" s="23" t="str">
        <f t="shared" si="21"/>
        <v>Caregiver Functioning - Caregiver #2</v>
      </c>
      <c r="K57" s="93">
        <v>1</v>
      </c>
      <c r="L57" s="82" t="str">
        <f t="shared" ca="1" si="11"/>
        <v/>
      </c>
      <c r="M57" s="23" t="str">
        <f t="shared" ca="1" si="12"/>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5"/>
        <v>0</v>
      </c>
      <c r="Y57" s="24" t="str">
        <f t="shared" ca="1" si="22"/>
        <v/>
      </c>
      <c r="Z57" s="24" t="str">
        <f t="shared" ca="1" si="23"/>
        <v/>
      </c>
      <c r="AA57" s="80">
        <f t="shared" si="24"/>
        <v>34</v>
      </c>
      <c r="AB57" s="15" t="s">
        <v>277</v>
      </c>
      <c r="AC57" s="236" t="s">
        <v>277</v>
      </c>
      <c r="AD57" s="237"/>
      <c r="AE57" s="237"/>
      <c r="AF57" s="238"/>
      <c r="AG57" s="239"/>
      <c r="AH57" s="242"/>
      <c r="AI57" s="243"/>
      <c r="AJ57" s="238"/>
      <c r="AK57" s="239"/>
      <c r="AL57" s="242"/>
      <c r="AM57" s="243"/>
      <c r="AN57" s="238"/>
      <c r="AO57" s="239"/>
      <c r="AP57" s="242"/>
      <c r="AQ57" s="243"/>
      <c r="AR57" s="102"/>
    </row>
    <row r="58" spans="1:44" ht="15.75" hidden="1" x14ac:dyDescent="0.25">
      <c r="A58" s="39"/>
      <c r="B58" s="23" t="str">
        <f t="shared" si="0"/>
        <v>Caregiver Functioning - Caregiver #2_3</v>
      </c>
      <c r="C58" s="23" t="str">
        <f t="shared" si="8"/>
        <v/>
      </c>
      <c r="D58" s="23" t="str">
        <f t="shared" si="1"/>
        <v/>
      </c>
      <c r="E58" s="23" t="str">
        <f t="shared" si="1"/>
        <v/>
      </c>
      <c r="F58" s="82">
        <f t="shared" si="19"/>
        <v>4</v>
      </c>
      <c r="G58" s="23">
        <f t="shared" si="20"/>
        <v>3</v>
      </c>
      <c r="H58" s="23" t="str">
        <f t="shared" si="9"/>
        <v>CGF</v>
      </c>
      <c r="I58" s="23" t="str">
        <f t="shared" si="10"/>
        <v>CGF</v>
      </c>
      <c r="J58" s="23" t="str">
        <f t="shared" si="21"/>
        <v>Caregiver Functioning - Caregiver #2</v>
      </c>
      <c r="K58" s="93">
        <v>1</v>
      </c>
      <c r="L58" s="82" t="str">
        <f t="shared" ca="1" si="11"/>
        <v/>
      </c>
      <c r="M58" s="23" t="str">
        <f t="shared" ca="1" si="12"/>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5"/>
        <v>0</v>
      </c>
      <c r="Y58" s="24" t="str">
        <f t="shared" ca="1" si="22"/>
        <v/>
      </c>
      <c r="Z58" s="24" t="str">
        <f t="shared" ca="1" si="23"/>
        <v/>
      </c>
      <c r="AA58" s="80">
        <f t="shared" si="24"/>
        <v>35</v>
      </c>
      <c r="AB58" s="15" t="s">
        <v>38</v>
      </c>
      <c r="AC58" s="230" t="s">
        <v>38</v>
      </c>
      <c r="AD58" s="231"/>
      <c r="AE58" s="231"/>
      <c r="AF58" s="232"/>
      <c r="AG58" s="233"/>
      <c r="AH58" s="234"/>
      <c r="AI58" s="235"/>
      <c r="AJ58" s="232"/>
      <c r="AK58" s="233"/>
      <c r="AL58" s="234"/>
      <c r="AM58" s="235"/>
      <c r="AN58" s="232"/>
      <c r="AO58" s="233"/>
      <c r="AP58" s="234"/>
      <c r="AQ58" s="235"/>
      <c r="AR58" s="102"/>
    </row>
    <row r="59" spans="1:44" ht="15.75" hidden="1" x14ac:dyDescent="0.25">
      <c r="A59" s="39"/>
      <c r="B59" s="23" t="str">
        <f t="shared" si="0"/>
        <v>Caregiver Functioning - Caregiver #2_4</v>
      </c>
      <c r="C59" s="23" t="str">
        <f t="shared" si="8"/>
        <v/>
      </c>
      <c r="D59" s="23" t="str">
        <f t="shared" si="1"/>
        <v/>
      </c>
      <c r="E59" s="23" t="str">
        <f t="shared" si="1"/>
        <v/>
      </c>
      <c r="F59" s="82">
        <f t="shared" si="19"/>
        <v>4</v>
      </c>
      <c r="G59" s="23">
        <f t="shared" si="20"/>
        <v>4</v>
      </c>
      <c r="H59" s="23" t="str">
        <f t="shared" si="9"/>
        <v>CGF</v>
      </c>
      <c r="I59" s="23" t="str">
        <f t="shared" si="10"/>
        <v>CGF</v>
      </c>
      <c r="J59" s="23" t="str">
        <f t="shared" si="21"/>
        <v>Caregiver Functioning - Caregiver #2</v>
      </c>
      <c r="K59" s="93">
        <v>1</v>
      </c>
      <c r="L59" s="82" t="str">
        <f t="shared" ca="1" si="11"/>
        <v/>
      </c>
      <c r="M59" s="23" t="str">
        <f t="shared" ca="1" si="12"/>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5"/>
        <v>0</v>
      </c>
      <c r="Y59" s="24" t="str">
        <f t="shared" ca="1" si="22"/>
        <v/>
      </c>
      <c r="Z59" s="24" t="str">
        <f t="shared" ca="1" si="23"/>
        <v/>
      </c>
      <c r="AA59" s="80">
        <f t="shared" si="24"/>
        <v>36</v>
      </c>
      <c r="AB59" s="15" t="s">
        <v>130</v>
      </c>
      <c r="AC59" s="236" t="s">
        <v>130</v>
      </c>
      <c r="AD59" s="237"/>
      <c r="AE59" s="237"/>
      <c r="AF59" s="238"/>
      <c r="AG59" s="239"/>
      <c r="AH59" s="242"/>
      <c r="AI59" s="243"/>
      <c r="AJ59" s="238"/>
      <c r="AK59" s="239"/>
      <c r="AL59" s="242"/>
      <c r="AM59" s="243"/>
      <c r="AN59" s="238"/>
      <c r="AO59" s="239"/>
      <c r="AP59" s="242"/>
      <c r="AQ59" s="243"/>
      <c r="AR59" s="102"/>
    </row>
    <row r="60" spans="1:44" ht="15.75" hidden="1" x14ac:dyDescent="0.25">
      <c r="A60" s="39"/>
      <c r="B60" s="23" t="str">
        <f t="shared" si="0"/>
        <v>Caregiver Functioning - Caregiver #2_5</v>
      </c>
      <c r="C60" s="23" t="str">
        <f t="shared" si="8"/>
        <v/>
      </c>
      <c r="D60" s="23" t="str">
        <f t="shared" si="1"/>
        <v/>
      </c>
      <c r="E60" s="23" t="str">
        <f t="shared" si="1"/>
        <v/>
      </c>
      <c r="F60" s="82">
        <f t="shared" si="19"/>
        <v>4</v>
      </c>
      <c r="G60" s="23">
        <f t="shared" si="20"/>
        <v>5</v>
      </c>
      <c r="H60" s="23" t="str">
        <f t="shared" si="9"/>
        <v>CGF</v>
      </c>
      <c r="I60" s="23" t="str">
        <f t="shared" si="10"/>
        <v>CGF</v>
      </c>
      <c r="J60" s="23" t="str">
        <f t="shared" si="21"/>
        <v>Caregiver Functioning - Caregiver #2</v>
      </c>
      <c r="K60" s="93">
        <v>1</v>
      </c>
      <c r="L60" s="82" t="str">
        <f t="shared" ca="1" si="11"/>
        <v/>
      </c>
      <c r="M60" s="23" t="str">
        <f t="shared" ca="1" si="12"/>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5"/>
        <v>0</v>
      </c>
      <c r="Y60" s="24" t="str">
        <f t="shared" ca="1" si="22"/>
        <v/>
      </c>
      <c r="Z60" s="24" t="str">
        <f t="shared" ca="1" si="23"/>
        <v/>
      </c>
      <c r="AA60" s="80">
        <f t="shared" si="24"/>
        <v>37</v>
      </c>
      <c r="AB60" s="15" t="s">
        <v>42</v>
      </c>
      <c r="AC60" s="230" t="s">
        <v>42</v>
      </c>
      <c r="AD60" s="231"/>
      <c r="AE60" s="231"/>
      <c r="AF60" s="232"/>
      <c r="AG60" s="233"/>
      <c r="AH60" s="240"/>
      <c r="AI60" s="241"/>
      <c r="AJ60" s="232"/>
      <c r="AK60" s="233"/>
      <c r="AL60" s="240"/>
      <c r="AM60" s="241"/>
      <c r="AN60" s="232"/>
      <c r="AO60" s="233"/>
      <c r="AP60" s="240"/>
      <c r="AQ60" s="241"/>
      <c r="AR60" s="102"/>
    </row>
    <row r="61" spans="1:44" ht="15.75" hidden="1" x14ac:dyDescent="0.25">
      <c r="A61" s="39"/>
      <c r="B61" s="23" t="str">
        <f t="shared" si="0"/>
        <v>Caregiver Functioning - Caregiver #2_6</v>
      </c>
      <c r="C61" s="23" t="str">
        <f t="shared" si="8"/>
        <v/>
      </c>
      <c r="D61" s="23" t="str">
        <f t="shared" si="1"/>
        <v/>
      </c>
      <c r="E61" s="23" t="str">
        <f t="shared" si="1"/>
        <v/>
      </c>
      <c r="F61" s="82">
        <f t="shared" si="19"/>
        <v>4</v>
      </c>
      <c r="G61" s="23">
        <f t="shared" si="20"/>
        <v>6</v>
      </c>
      <c r="H61" s="23" t="str">
        <f t="shared" si="9"/>
        <v>CGF</v>
      </c>
      <c r="I61" s="23" t="str">
        <f t="shared" si="10"/>
        <v>CGF</v>
      </c>
      <c r="J61" s="23" t="str">
        <f t="shared" si="21"/>
        <v>Caregiver Functioning - Caregiver #2</v>
      </c>
      <c r="K61" s="93">
        <v>1</v>
      </c>
      <c r="L61" s="82" t="str">
        <f t="shared" ca="1" si="11"/>
        <v/>
      </c>
      <c r="M61" s="23" t="str">
        <f t="shared" ca="1" si="12"/>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5"/>
        <v>0</v>
      </c>
      <c r="Y61" s="24" t="str">
        <f t="shared" ca="1" si="22"/>
        <v/>
      </c>
      <c r="Z61" s="24" t="str">
        <f t="shared" ca="1" si="23"/>
        <v/>
      </c>
      <c r="AA61" s="80">
        <f t="shared" si="24"/>
        <v>38</v>
      </c>
      <c r="AB61" s="15" t="s">
        <v>278</v>
      </c>
      <c r="AC61" s="236" t="s">
        <v>278</v>
      </c>
      <c r="AD61" s="237"/>
      <c r="AE61" s="237"/>
      <c r="AF61" s="238"/>
      <c r="AG61" s="239"/>
      <c r="AH61" s="242"/>
      <c r="AI61" s="243"/>
      <c r="AJ61" s="238"/>
      <c r="AK61" s="239"/>
      <c r="AL61" s="242"/>
      <c r="AM61" s="243"/>
      <c r="AN61" s="238"/>
      <c r="AO61" s="239"/>
      <c r="AP61" s="242"/>
      <c r="AQ61" s="243"/>
      <c r="AR61" s="102"/>
    </row>
    <row r="62" spans="1:44" ht="15.75" hidden="1" x14ac:dyDescent="0.25">
      <c r="A62" s="39"/>
      <c r="B62" s="23" t="str">
        <f t="shared" si="0"/>
        <v>Caregiver Functioning - Caregiver #2_7</v>
      </c>
      <c r="C62" s="23" t="str">
        <f t="shared" si="8"/>
        <v/>
      </c>
      <c r="D62" s="23" t="str">
        <f t="shared" si="1"/>
        <v/>
      </c>
      <c r="E62" s="23" t="str">
        <f t="shared" si="1"/>
        <v/>
      </c>
      <c r="F62" s="82">
        <f t="shared" si="19"/>
        <v>4</v>
      </c>
      <c r="G62" s="23">
        <f t="shared" si="20"/>
        <v>7</v>
      </c>
      <c r="H62" s="23" t="str">
        <f t="shared" si="9"/>
        <v>CGF</v>
      </c>
      <c r="I62" s="23" t="str">
        <f t="shared" si="10"/>
        <v>CGF</v>
      </c>
      <c r="J62" s="23" t="str">
        <f t="shared" si="21"/>
        <v>Caregiver Functioning - Caregiver #2</v>
      </c>
      <c r="K62" s="93">
        <v>1</v>
      </c>
      <c r="L62" s="82" t="str">
        <f t="shared" ca="1" si="11"/>
        <v/>
      </c>
      <c r="M62" s="23" t="str">
        <f t="shared" ca="1" si="12"/>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5"/>
        <v>0</v>
      </c>
      <c r="Y62" s="24" t="str">
        <f t="shared" ca="1" si="22"/>
        <v/>
      </c>
      <c r="Z62" s="24" t="str">
        <f t="shared" ca="1" si="23"/>
        <v/>
      </c>
      <c r="AA62" s="80">
        <f t="shared" si="24"/>
        <v>39</v>
      </c>
      <c r="AB62" s="15" t="s">
        <v>121</v>
      </c>
      <c r="AC62" s="230" t="s">
        <v>121</v>
      </c>
      <c r="AD62" s="231"/>
      <c r="AE62" s="231"/>
      <c r="AF62" s="232"/>
      <c r="AG62" s="233"/>
      <c r="AH62" s="240"/>
      <c r="AI62" s="241"/>
      <c r="AJ62" s="232"/>
      <c r="AK62" s="233"/>
      <c r="AL62" s="240"/>
      <c r="AM62" s="241"/>
      <c r="AN62" s="232"/>
      <c r="AO62" s="233"/>
      <c r="AP62" s="240"/>
      <c r="AQ62" s="241"/>
      <c r="AR62" s="102"/>
    </row>
    <row r="63" spans="1:44" ht="15.75" hidden="1" x14ac:dyDescent="0.25">
      <c r="A63" s="39"/>
      <c r="B63" s="23" t="str">
        <f t="shared" si="0"/>
        <v>Caregiver Functioning - Caregiver #2_8</v>
      </c>
      <c r="C63" s="23" t="str">
        <f t="shared" si="8"/>
        <v/>
      </c>
      <c r="D63" s="23" t="str">
        <f t="shared" si="1"/>
        <v/>
      </c>
      <c r="E63" s="23" t="str">
        <f t="shared" si="1"/>
        <v/>
      </c>
      <c r="F63" s="82">
        <f t="shared" si="19"/>
        <v>4</v>
      </c>
      <c r="G63" s="23">
        <f t="shared" si="20"/>
        <v>8</v>
      </c>
      <c r="H63" s="23" t="str">
        <f t="shared" si="9"/>
        <v>CGF</v>
      </c>
      <c r="I63" s="23" t="str">
        <f t="shared" si="10"/>
        <v>CGF</v>
      </c>
      <c r="J63" s="23" t="str">
        <f t="shared" si="21"/>
        <v>Caregiver Functioning - Caregiver #2</v>
      </c>
      <c r="K63" s="93">
        <v>1</v>
      </c>
      <c r="L63" s="82" t="str">
        <f t="shared" ca="1" si="11"/>
        <v/>
      </c>
      <c r="M63" s="23" t="str">
        <f t="shared" ca="1" si="12"/>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5"/>
        <v>0</v>
      </c>
      <c r="Y63" s="24" t="str">
        <f t="shared" ca="1" si="22"/>
        <v/>
      </c>
      <c r="Z63" s="24" t="str">
        <f t="shared" ca="1" si="23"/>
        <v/>
      </c>
      <c r="AA63" s="80">
        <f t="shared" si="24"/>
        <v>40</v>
      </c>
      <c r="AB63" s="15" t="s">
        <v>279</v>
      </c>
      <c r="AC63" s="236" t="s">
        <v>279</v>
      </c>
      <c r="AD63" s="237"/>
      <c r="AE63" s="237"/>
      <c r="AF63" s="238"/>
      <c r="AG63" s="239"/>
      <c r="AH63" s="242"/>
      <c r="AI63" s="243"/>
      <c r="AJ63" s="238"/>
      <c r="AK63" s="239"/>
      <c r="AL63" s="242"/>
      <c r="AM63" s="243"/>
      <c r="AN63" s="238"/>
      <c r="AO63" s="239"/>
      <c r="AP63" s="242"/>
      <c r="AQ63" s="243"/>
      <c r="AR63" s="102"/>
    </row>
    <row r="64" spans="1:44" ht="15.75" hidden="1" x14ac:dyDescent="0.25">
      <c r="A64" s="39"/>
      <c r="B64" s="23" t="str">
        <f t="shared" si="0"/>
        <v>Caregiver Functioning - Caregiver #2_9</v>
      </c>
      <c r="C64" s="23" t="str">
        <f t="shared" si="8"/>
        <v/>
      </c>
      <c r="D64" s="23" t="str">
        <f t="shared" si="1"/>
        <v/>
      </c>
      <c r="E64" s="23" t="str">
        <f t="shared" si="1"/>
        <v/>
      </c>
      <c r="F64" s="82">
        <f t="shared" si="19"/>
        <v>4</v>
      </c>
      <c r="G64" s="23">
        <f t="shared" si="20"/>
        <v>9</v>
      </c>
      <c r="H64" s="23" t="str">
        <f t="shared" si="9"/>
        <v>CGF</v>
      </c>
      <c r="I64" s="23" t="str">
        <f t="shared" si="10"/>
        <v>CGF</v>
      </c>
      <c r="J64" s="23" t="str">
        <f t="shared" si="21"/>
        <v>Caregiver Functioning - Caregiver #2</v>
      </c>
      <c r="K64" s="93">
        <v>1</v>
      </c>
      <c r="L64" s="82" t="str">
        <f t="shared" ca="1" si="11"/>
        <v/>
      </c>
      <c r="M64" s="23" t="str">
        <f t="shared" ca="1" si="12"/>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5"/>
        <v>0</v>
      </c>
      <c r="Y64" s="24" t="str">
        <f t="shared" ca="1" si="22"/>
        <v/>
      </c>
      <c r="Z64" s="24" t="str">
        <f t="shared" ca="1" si="23"/>
        <v/>
      </c>
      <c r="AA64" s="80">
        <f t="shared" si="24"/>
        <v>41</v>
      </c>
      <c r="AB64" s="15" t="s">
        <v>41</v>
      </c>
      <c r="AC64" s="230" t="s">
        <v>41</v>
      </c>
      <c r="AD64" s="231"/>
      <c r="AE64" s="231"/>
      <c r="AF64" s="232"/>
      <c r="AG64" s="233"/>
      <c r="AH64" s="234"/>
      <c r="AI64" s="235"/>
      <c r="AJ64" s="232"/>
      <c r="AK64" s="233"/>
      <c r="AL64" s="234"/>
      <c r="AM64" s="235"/>
      <c r="AN64" s="232"/>
      <c r="AO64" s="233"/>
      <c r="AP64" s="234"/>
      <c r="AQ64" s="235"/>
      <c r="AR64" s="102"/>
    </row>
    <row r="65" spans="1:44" ht="15.75" hidden="1" x14ac:dyDescent="0.25">
      <c r="A65" s="39"/>
      <c r="B65" s="23" t="str">
        <f t="shared" si="0"/>
        <v>Caregiver Functioning - Caregiver #2_10</v>
      </c>
      <c r="C65" s="23" t="str">
        <f t="shared" si="8"/>
        <v/>
      </c>
      <c r="D65" s="23" t="str">
        <f t="shared" si="1"/>
        <v/>
      </c>
      <c r="E65" s="23" t="str">
        <f t="shared" si="1"/>
        <v/>
      </c>
      <c r="F65" s="82">
        <f t="shared" si="19"/>
        <v>4</v>
      </c>
      <c r="G65" s="23">
        <f t="shared" si="20"/>
        <v>10</v>
      </c>
      <c r="H65" s="23" t="str">
        <f t="shared" si="9"/>
        <v>CGF</v>
      </c>
      <c r="I65" s="23" t="str">
        <f t="shared" si="10"/>
        <v>CGF</v>
      </c>
      <c r="J65" s="23" t="str">
        <f t="shared" si="21"/>
        <v>Caregiver Functioning - Caregiver #2</v>
      </c>
      <c r="K65" s="93">
        <v>1</v>
      </c>
      <c r="L65" s="82" t="str">
        <f t="shared" ca="1" si="11"/>
        <v/>
      </c>
      <c r="M65" s="23" t="str">
        <f t="shared" ca="1" si="12"/>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5"/>
        <v>0</v>
      </c>
      <c r="Y65" s="24" t="str">
        <f t="shared" ca="1" si="22"/>
        <v/>
      </c>
      <c r="Z65" s="24" t="str">
        <f t="shared" ca="1" si="23"/>
        <v/>
      </c>
      <c r="AA65" s="80">
        <f t="shared" si="24"/>
        <v>42</v>
      </c>
      <c r="AB65" s="15" t="s">
        <v>280</v>
      </c>
      <c r="AC65" s="236" t="s">
        <v>280</v>
      </c>
      <c r="AD65" s="237"/>
      <c r="AE65" s="237"/>
      <c r="AF65" s="238"/>
      <c r="AG65" s="239"/>
      <c r="AH65" s="242"/>
      <c r="AI65" s="243"/>
      <c r="AJ65" s="238"/>
      <c r="AK65" s="239"/>
      <c r="AL65" s="242"/>
      <c r="AM65" s="243"/>
      <c r="AN65" s="238"/>
      <c r="AO65" s="239"/>
      <c r="AP65" s="242"/>
      <c r="AQ65" s="243"/>
      <c r="AR65" s="102"/>
    </row>
    <row r="66" spans="1:44" ht="15.75" hidden="1" x14ac:dyDescent="0.25">
      <c r="A66" s="39"/>
      <c r="B66" s="23" t="str">
        <f t="shared" si="0"/>
        <v>Caregiver Functioning - Caregiver #2_11</v>
      </c>
      <c r="C66" s="23" t="str">
        <f t="shared" si="8"/>
        <v/>
      </c>
      <c r="D66" s="23" t="str">
        <f t="shared" si="1"/>
        <v/>
      </c>
      <c r="E66" s="23" t="str">
        <f t="shared" si="1"/>
        <v/>
      </c>
      <c r="F66" s="82">
        <f t="shared" si="19"/>
        <v>4</v>
      </c>
      <c r="G66" s="23">
        <f t="shared" si="20"/>
        <v>11</v>
      </c>
      <c r="H66" s="23" t="str">
        <f t="shared" si="9"/>
        <v>CGF</v>
      </c>
      <c r="I66" s="23" t="str">
        <f t="shared" si="10"/>
        <v>CGF</v>
      </c>
      <c r="J66" s="23" t="str">
        <f t="shared" si="21"/>
        <v>Caregiver Functioning - Caregiver #2</v>
      </c>
      <c r="K66" s="93">
        <v>1</v>
      </c>
      <c r="L66" s="82" t="str">
        <f t="shared" ca="1" si="11"/>
        <v/>
      </c>
      <c r="M66" s="23" t="str">
        <f t="shared" ca="1" si="12"/>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5"/>
        <v>0</v>
      </c>
      <c r="Y66" s="24" t="str">
        <f t="shared" ca="1" si="22"/>
        <v/>
      </c>
      <c r="Z66" s="24" t="str">
        <f t="shared" ca="1" si="23"/>
        <v/>
      </c>
      <c r="AA66" s="80">
        <f t="shared" si="24"/>
        <v>43</v>
      </c>
      <c r="AB66" s="15" t="s">
        <v>281</v>
      </c>
      <c r="AC66" s="230" t="s">
        <v>281</v>
      </c>
      <c r="AD66" s="231"/>
      <c r="AE66" s="231"/>
      <c r="AF66" s="232"/>
      <c r="AG66" s="233"/>
      <c r="AH66" s="234"/>
      <c r="AI66" s="235"/>
      <c r="AJ66" s="232"/>
      <c r="AK66" s="233"/>
      <c r="AL66" s="234"/>
      <c r="AM66" s="235"/>
      <c r="AN66" s="232"/>
      <c r="AO66" s="233"/>
      <c r="AP66" s="234"/>
      <c r="AQ66" s="235"/>
      <c r="AR66" s="102"/>
    </row>
    <row r="67" spans="1:44" ht="15.75" hidden="1" x14ac:dyDescent="0.25">
      <c r="A67" s="39"/>
      <c r="B67" s="23" t="str">
        <f t="shared" si="0"/>
        <v>Caregiver Functioning - Caregiver #2_12</v>
      </c>
      <c r="C67" s="23" t="str">
        <f t="shared" si="8"/>
        <v/>
      </c>
      <c r="D67" s="23" t="str">
        <f t="shared" si="1"/>
        <v/>
      </c>
      <c r="E67" s="23" t="str">
        <f t="shared" si="1"/>
        <v/>
      </c>
      <c r="F67" s="82">
        <f t="shared" si="19"/>
        <v>4</v>
      </c>
      <c r="G67" s="23">
        <f t="shared" si="20"/>
        <v>12</v>
      </c>
      <c r="H67" s="23" t="str">
        <f t="shared" si="9"/>
        <v>CGF</v>
      </c>
      <c r="I67" s="23" t="str">
        <f t="shared" si="10"/>
        <v>CGF</v>
      </c>
      <c r="J67" s="23" t="str">
        <f t="shared" si="21"/>
        <v>Caregiver Functioning - Caregiver #2</v>
      </c>
      <c r="K67" s="93">
        <v>1</v>
      </c>
      <c r="L67" s="82" t="str">
        <f t="shared" ca="1" si="11"/>
        <v/>
      </c>
      <c r="M67" s="23" t="str">
        <f t="shared" ca="1" si="12"/>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5"/>
        <v>0</v>
      </c>
      <c r="Y67" s="24" t="str">
        <f t="shared" ca="1" si="22"/>
        <v/>
      </c>
      <c r="Z67" s="24" t="str">
        <f t="shared" ca="1" si="23"/>
        <v/>
      </c>
      <c r="AA67" s="80">
        <f t="shared" si="24"/>
        <v>44</v>
      </c>
      <c r="AB67" s="15" t="s">
        <v>282</v>
      </c>
      <c r="AC67" s="236" t="s">
        <v>282</v>
      </c>
      <c r="AD67" s="237"/>
      <c r="AE67" s="237"/>
      <c r="AF67" s="238"/>
      <c r="AG67" s="239"/>
      <c r="AH67" s="240"/>
      <c r="AI67" s="241"/>
      <c r="AJ67" s="238"/>
      <c r="AK67" s="239"/>
      <c r="AL67" s="240"/>
      <c r="AM67" s="241"/>
      <c r="AN67" s="238"/>
      <c r="AO67" s="239"/>
      <c r="AP67" s="240"/>
      <c r="AQ67" s="241"/>
      <c r="AR67" s="102"/>
    </row>
    <row r="68" spans="1:44" ht="15.75" hidden="1" x14ac:dyDescent="0.25">
      <c r="A68" s="39"/>
      <c r="B68" s="23" t="str">
        <f t="shared" si="0"/>
        <v>Caregiver Functioning - Caregiver #2_13</v>
      </c>
      <c r="C68" s="23" t="str">
        <f t="shared" si="8"/>
        <v/>
      </c>
      <c r="D68" s="23" t="str">
        <f t="shared" si="1"/>
        <v/>
      </c>
      <c r="E68" s="23" t="str">
        <f t="shared" si="1"/>
        <v/>
      </c>
      <c r="F68" s="82">
        <f t="shared" si="19"/>
        <v>4</v>
      </c>
      <c r="G68" s="23">
        <f t="shared" si="20"/>
        <v>13</v>
      </c>
      <c r="H68" s="23" t="str">
        <f t="shared" si="9"/>
        <v>CGF</v>
      </c>
      <c r="I68" s="23" t="str">
        <f t="shared" si="10"/>
        <v>CGF</v>
      </c>
      <c r="J68" s="23" t="str">
        <f t="shared" si="21"/>
        <v>Caregiver Functioning - Caregiver #2</v>
      </c>
      <c r="K68" s="93">
        <v>1</v>
      </c>
      <c r="L68" s="82" t="str">
        <f t="shared" ca="1" si="11"/>
        <v/>
      </c>
      <c r="M68" s="23" t="str">
        <f t="shared" ca="1" si="12"/>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5"/>
        <v>0</v>
      </c>
      <c r="Y68" s="24" t="str">
        <f t="shared" ca="1" si="22"/>
        <v/>
      </c>
      <c r="Z68" s="24" t="str">
        <f t="shared" ca="1" si="23"/>
        <v/>
      </c>
      <c r="AA68" s="80">
        <f t="shared" si="24"/>
        <v>45</v>
      </c>
      <c r="AB68" s="15" t="s">
        <v>283</v>
      </c>
      <c r="AC68" s="230" t="s">
        <v>283</v>
      </c>
      <c r="AD68" s="231"/>
      <c r="AE68" s="231"/>
      <c r="AF68" s="232"/>
      <c r="AG68" s="233"/>
      <c r="AH68" s="240"/>
      <c r="AI68" s="241"/>
      <c r="AJ68" s="232"/>
      <c r="AK68" s="233"/>
      <c r="AL68" s="240"/>
      <c r="AM68" s="241"/>
      <c r="AN68" s="232"/>
      <c r="AO68" s="233"/>
      <c r="AP68" s="240"/>
      <c r="AQ68" s="241"/>
      <c r="AR68" s="102"/>
    </row>
    <row r="69" spans="1:44" ht="15.75" hidden="1" x14ac:dyDescent="0.25">
      <c r="A69" s="39"/>
      <c r="B69" s="23" t="str">
        <f t="shared" si="0"/>
        <v>Caregiver Functioning - Caregiver #2_14</v>
      </c>
      <c r="C69" s="23" t="str">
        <f t="shared" si="8"/>
        <v/>
      </c>
      <c r="D69" s="23" t="str">
        <f t="shared" si="1"/>
        <v/>
      </c>
      <c r="E69" s="23" t="str">
        <f t="shared" si="1"/>
        <v>Caregiver Functioning - Caregiver #2</v>
      </c>
      <c r="F69" s="82">
        <f t="shared" si="19"/>
        <v>4</v>
      </c>
      <c r="G69" s="23">
        <f t="shared" si="20"/>
        <v>14</v>
      </c>
      <c r="H69" s="23" t="str">
        <f t="shared" si="9"/>
        <v>CGF</v>
      </c>
      <c r="I69" s="23" t="str">
        <f t="shared" si="10"/>
        <v>CGF</v>
      </c>
      <c r="J69" s="23" t="str">
        <f t="shared" si="21"/>
        <v>Caregiver Functioning - Caregiver #2</v>
      </c>
      <c r="K69" s="93">
        <v>1</v>
      </c>
      <c r="L69" s="82" t="str">
        <f t="shared" ca="1" si="11"/>
        <v/>
      </c>
      <c r="M69" s="23" t="str">
        <f t="shared" ca="1" si="12"/>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5"/>
        <v>0</v>
      </c>
      <c r="Y69" s="24" t="str">
        <f t="shared" ca="1" si="22"/>
        <v/>
      </c>
      <c r="Z69" s="24" t="str">
        <f t="shared" ca="1" si="23"/>
        <v/>
      </c>
      <c r="AA69" s="80">
        <f t="shared" si="24"/>
        <v>46</v>
      </c>
      <c r="AB69" s="15" t="s">
        <v>131</v>
      </c>
      <c r="AC69" s="236" t="s">
        <v>131</v>
      </c>
      <c r="AD69" s="237"/>
      <c r="AE69" s="237"/>
      <c r="AF69" s="238"/>
      <c r="AG69" s="239"/>
      <c r="AH69" s="242"/>
      <c r="AI69" s="243"/>
      <c r="AJ69" s="238"/>
      <c r="AK69" s="239"/>
      <c r="AL69" s="242"/>
      <c r="AM69" s="243"/>
      <c r="AN69" s="238"/>
      <c r="AO69" s="239"/>
      <c r="AP69" s="242"/>
      <c r="AQ69" s="243"/>
      <c r="AR69" s="102"/>
    </row>
    <row r="70" spans="1:44" ht="15.75" hidden="1" x14ac:dyDescent="0.25">
      <c r="A70" s="39"/>
      <c r="B70" s="23" t="str">
        <f t="shared" si="0"/>
        <v>Caregiver Functioning - Caregiver #3_0</v>
      </c>
      <c r="C70" s="23" t="str">
        <f t="shared" si="8"/>
        <v/>
      </c>
      <c r="D70" s="23" t="str">
        <f t="shared" si="1"/>
        <v/>
      </c>
      <c r="E70" s="23" t="str">
        <f t="shared" si="1"/>
        <v/>
      </c>
      <c r="F70" s="82">
        <f t="shared" si="19"/>
        <v>5</v>
      </c>
      <c r="G70" s="23">
        <f t="shared" si="20"/>
        <v>0</v>
      </c>
      <c r="H70" s="23" t="str">
        <f t="shared" si="9"/>
        <v>CGF</v>
      </c>
      <c r="I70" s="23" t="str">
        <f t="shared" si="10"/>
        <v>CGF</v>
      </c>
      <c r="J70" s="23" t="str">
        <f t="shared" si="21"/>
        <v>Caregiver Functioning - Caregiver #3</v>
      </c>
      <c r="K70" s="93">
        <v>0</v>
      </c>
      <c r="L70" s="82" t="str">
        <f t="shared" ca="1" si="11"/>
        <v/>
      </c>
      <c r="M70" s="23" t="str">
        <f t="shared" ca="1" si="12"/>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5"/>
        <v>0</v>
      </c>
      <c r="Y70" s="24" t="str">
        <f t="shared" ca="1" si="22"/>
        <v/>
      </c>
      <c r="Z70" s="24" t="str">
        <f t="shared" ca="1" si="23"/>
        <v/>
      </c>
      <c r="AA70" s="80">
        <f t="shared" si="24"/>
        <v>46</v>
      </c>
      <c r="AC70" s="224" t="s">
        <v>668</v>
      </c>
      <c r="AD70" s="244"/>
      <c r="AE70" s="225"/>
      <c r="AF70" s="226"/>
      <c r="AG70" s="227"/>
      <c r="AH70" s="228"/>
      <c r="AI70" s="229"/>
      <c r="AJ70" s="226"/>
      <c r="AK70" s="227"/>
      <c r="AL70" s="228"/>
      <c r="AM70" s="229"/>
      <c r="AN70" s="226"/>
      <c r="AO70" s="227"/>
      <c r="AP70" s="228"/>
      <c r="AQ70" s="229"/>
      <c r="AR70" s="102"/>
    </row>
    <row r="71" spans="1:44" ht="31.5" hidden="1" x14ac:dyDescent="0.25">
      <c r="A71" s="39"/>
      <c r="B71" s="23" t="str">
        <f t="shared" si="0"/>
        <v>Caregiver Functioning - Caregiver #3_0</v>
      </c>
      <c r="C71" s="23" t="str">
        <f t="shared" si="8"/>
        <v/>
      </c>
      <c r="D71" s="23" t="str">
        <f t="shared" si="1"/>
        <v/>
      </c>
      <c r="E71" s="23" t="str">
        <f t="shared" si="1"/>
        <v/>
      </c>
      <c r="F71" s="82">
        <f t="shared" si="19"/>
        <v>5</v>
      </c>
      <c r="G71" s="23">
        <f t="shared" si="20"/>
        <v>0</v>
      </c>
      <c r="H71" s="23" t="str">
        <f t="shared" si="9"/>
        <v>CGF</v>
      </c>
      <c r="I71" s="23" t="str">
        <f t="shared" si="10"/>
        <v>CGF</v>
      </c>
      <c r="J71" s="23" t="str">
        <f t="shared" si="21"/>
        <v>Caregiver Functioning - Caregiver #3</v>
      </c>
      <c r="K71" s="93">
        <v>2</v>
      </c>
      <c r="L71" s="82" t="str">
        <f t="shared" ca="1" si="11"/>
        <v/>
      </c>
      <c r="M71" s="23" t="str">
        <f t="shared" ca="1" si="12"/>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5"/>
        <v>0</v>
      </c>
      <c r="Y71" s="24" t="str">
        <f t="shared" ca="1" si="22"/>
        <v/>
      </c>
      <c r="Z71" s="24" t="str">
        <f t="shared" ca="1" si="23"/>
        <v/>
      </c>
      <c r="AA71" s="80">
        <f t="shared" si="24"/>
        <v>46</v>
      </c>
      <c r="AC71" s="245" t="s">
        <v>323</v>
      </c>
      <c r="AD71" s="246"/>
      <c r="AE71" s="225"/>
      <c r="AF71" s="226"/>
      <c r="AG71" s="227"/>
      <c r="AH71" s="228"/>
      <c r="AI71" s="229"/>
      <c r="AJ71" s="226"/>
      <c r="AK71" s="227"/>
      <c r="AL71" s="228"/>
      <c r="AM71" s="229"/>
      <c r="AN71" s="226"/>
      <c r="AO71" s="227"/>
      <c r="AP71" s="228"/>
      <c r="AQ71" s="229"/>
      <c r="AR71" s="102"/>
    </row>
    <row r="72" spans="1:44" ht="15.75" hidden="1" x14ac:dyDescent="0.25">
      <c r="A72" s="39"/>
      <c r="B72" s="23" t="str">
        <f t="shared" si="0"/>
        <v>Caregiver Functioning - Caregiver #3_1</v>
      </c>
      <c r="C72" s="23" t="str">
        <f t="shared" si="8"/>
        <v/>
      </c>
      <c r="D72" s="23" t="str">
        <f t="shared" si="1"/>
        <v/>
      </c>
      <c r="E72" s="23" t="str">
        <f t="shared" si="1"/>
        <v/>
      </c>
      <c r="F72" s="82">
        <f t="shared" si="19"/>
        <v>5</v>
      </c>
      <c r="G72" s="23">
        <f t="shared" si="20"/>
        <v>1</v>
      </c>
      <c r="H72" s="23" t="str">
        <f t="shared" si="9"/>
        <v>CGF</v>
      </c>
      <c r="I72" s="23" t="str">
        <f t="shared" si="10"/>
        <v>CGF</v>
      </c>
      <c r="J72" s="23" t="str">
        <f t="shared" si="21"/>
        <v>Caregiver Functioning - Caregiver #3</v>
      </c>
      <c r="K72" s="93">
        <v>1</v>
      </c>
      <c r="L72" s="82" t="str">
        <f t="shared" ca="1" si="11"/>
        <v/>
      </c>
      <c r="M72" s="23" t="str">
        <f t="shared" ca="1" si="12"/>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5"/>
        <v>0</v>
      </c>
      <c r="Y72" s="24" t="str">
        <f t="shared" ca="1" si="22"/>
        <v/>
      </c>
      <c r="Z72" s="24" t="str">
        <f t="shared" ca="1" si="23"/>
        <v/>
      </c>
      <c r="AA72" s="80">
        <f t="shared" si="24"/>
        <v>47</v>
      </c>
      <c r="AB72" s="15" t="s">
        <v>276</v>
      </c>
      <c r="AC72" s="230" t="s">
        <v>276</v>
      </c>
      <c r="AD72" s="231"/>
      <c r="AE72" s="231"/>
      <c r="AF72" s="232"/>
      <c r="AG72" s="233"/>
      <c r="AH72" s="234"/>
      <c r="AI72" s="235"/>
      <c r="AJ72" s="232"/>
      <c r="AK72" s="233"/>
      <c r="AL72" s="234"/>
      <c r="AM72" s="235"/>
      <c r="AN72" s="232"/>
      <c r="AO72" s="233"/>
      <c r="AP72" s="234"/>
      <c r="AQ72" s="235"/>
      <c r="AR72" s="102"/>
    </row>
    <row r="73" spans="1:44" ht="15.75" hidden="1" x14ac:dyDescent="0.25">
      <c r="A73" s="39"/>
      <c r="B73" s="23" t="str">
        <f t="shared" si="0"/>
        <v>Caregiver Functioning - Caregiver #3_2</v>
      </c>
      <c r="C73" s="23" t="str">
        <f t="shared" si="8"/>
        <v/>
      </c>
      <c r="D73" s="23" t="str">
        <f t="shared" si="1"/>
        <v/>
      </c>
      <c r="E73" s="23" t="str">
        <f t="shared" si="1"/>
        <v/>
      </c>
      <c r="F73" s="82">
        <f t="shared" si="19"/>
        <v>5</v>
      </c>
      <c r="G73" s="23">
        <f t="shared" si="20"/>
        <v>2</v>
      </c>
      <c r="H73" s="23" t="str">
        <f t="shared" si="9"/>
        <v>CGF</v>
      </c>
      <c r="I73" s="23" t="str">
        <f t="shared" si="10"/>
        <v>CGF</v>
      </c>
      <c r="J73" s="23" t="str">
        <f t="shared" si="21"/>
        <v>Caregiver Functioning - Caregiver #3</v>
      </c>
      <c r="K73" s="93">
        <v>1</v>
      </c>
      <c r="L73" s="82" t="str">
        <f t="shared" ca="1" si="11"/>
        <v/>
      </c>
      <c r="M73" s="23" t="str">
        <f t="shared" ca="1" si="12"/>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5"/>
        <v>0</v>
      </c>
      <c r="Y73" s="24" t="str">
        <f t="shared" ca="1" si="22"/>
        <v/>
      </c>
      <c r="Z73" s="24" t="str">
        <f t="shared" ca="1" si="23"/>
        <v/>
      </c>
      <c r="AA73" s="80">
        <f t="shared" si="24"/>
        <v>48</v>
      </c>
      <c r="AB73" s="15" t="s">
        <v>277</v>
      </c>
      <c r="AC73" s="236" t="s">
        <v>277</v>
      </c>
      <c r="AD73" s="237"/>
      <c r="AE73" s="237"/>
      <c r="AF73" s="238"/>
      <c r="AG73" s="239"/>
      <c r="AH73" s="242"/>
      <c r="AI73" s="243"/>
      <c r="AJ73" s="238"/>
      <c r="AK73" s="239"/>
      <c r="AL73" s="242"/>
      <c r="AM73" s="243"/>
      <c r="AN73" s="238"/>
      <c r="AO73" s="239"/>
      <c r="AP73" s="242"/>
      <c r="AQ73" s="243"/>
      <c r="AR73" s="102"/>
    </row>
    <row r="74" spans="1:44" ht="15.75" hidden="1" x14ac:dyDescent="0.25">
      <c r="A74" s="39"/>
      <c r="B74" s="23" t="str">
        <f t="shared" si="0"/>
        <v>Caregiver Functioning - Caregiver #3_3</v>
      </c>
      <c r="C74" s="23" t="str">
        <f t="shared" si="8"/>
        <v/>
      </c>
      <c r="D74" s="23" t="str">
        <f t="shared" si="1"/>
        <v/>
      </c>
      <c r="E74" s="23" t="str">
        <f t="shared" si="1"/>
        <v/>
      </c>
      <c r="F74" s="82">
        <f t="shared" si="19"/>
        <v>5</v>
      </c>
      <c r="G74" s="23">
        <f t="shared" si="20"/>
        <v>3</v>
      </c>
      <c r="H74" s="23" t="str">
        <f t="shared" si="9"/>
        <v>CGF</v>
      </c>
      <c r="I74" s="23" t="str">
        <f t="shared" si="10"/>
        <v>CGF</v>
      </c>
      <c r="J74" s="23" t="str">
        <f t="shared" si="21"/>
        <v>Caregiver Functioning - Caregiver #3</v>
      </c>
      <c r="K74" s="93">
        <v>1</v>
      </c>
      <c r="L74" s="82" t="str">
        <f t="shared" ca="1" si="11"/>
        <v/>
      </c>
      <c r="M74" s="23" t="str">
        <f t="shared" ca="1" si="12"/>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5"/>
        <v>0</v>
      </c>
      <c r="Y74" s="24" t="str">
        <f t="shared" ca="1" si="22"/>
        <v/>
      </c>
      <c r="Z74" s="24" t="str">
        <f t="shared" ca="1" si="23"/>
        <v/>
      </c>
      <c r="AA74" s="80">
        <f t="shared" si="24"/>
        <v>49</v>
      </c>
      <c r="AB74" s="15" t="s">
        <v>38</v>
      </c>
      <c r="AC74" s="230" t="s">
        <v>38</v>
      </c>
      <c r="AD74" s="231"/>
      <c r="AE74" s="231"/>
      <c r="AF74" s="232"/>
      <c r="AG74" s="233"/>
      <c r="AH74" s="234"/>
      <c r="AI74" s="235"/>
      <c r="AJ74" s="232"/>
      <c r="AK74" s="233"/>
      <c r="AL74" s="234"/>
      <c r="AM74" s="235"/>
      <c r="AN74" s="232"/>
      <c r="AO74" s="233"/>
      <c r="AP74" s="234"/>
      <c r="AQ74" s="235"/>
      <c r="AR74" s="102"/>
    </row>
    <row r="75" spans="1:44" ht="15.75" hidden="1" x14ac:dyDescent="0.25">
      <c r="A75" s="39"/>
      <c r="B75" s="23" t="str">
        <f t="shared" si="0"/>
        <v>Caregiver Functioning - Caregiver #3_4</v>
      </c>
      <c r="C75" s="23" t="str">
        <f t="shared" si="8"/>
        <v/>
      </c>
      <c r="D75" s="23" t="str">
        <f t="shared" si="1"/>
        <v/>
      </c>
      <c r="E75" s="23" t="str">
        <f t="shared" si="1"/>
        <v/>
      </c>
      <c r="F75" s="82">
        <f t="shared" si="19"/>
        <v>5</v>
      </c>
      <c r="G75" s="23">
        <f t="shared" si="20"/>
        <v>4</v>
      </c>
      <c r="H75" s="23" t="str">
        <f t="shared" si="9"/>
        <v>CGF</v>
      </c>
      <c r="I75" s="23" t="str">
        <f t="shared" si="10"/>
        <v>CGF</v>
      </c>
      <c r="J75" s="23" t="str">
        <f t="shared" si="21"/>
        <v>Caregiver Functioning - Caregiver #3</v>
      </c>
      <c r="K75" s="93">
        <v>1</v>
      </c>
      <c r="L75" s="82" t="str">
        <f t="shared" ca="1" si="11"/>
        <v/>
      </c>
      <c r="M75" s="23" t="str">
        <f t="shared" ca="1" si="12"/>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5"/>
        <v>0</v>
      </c>
      <c r="Y75" s="24" t="str">
        <f t="shared" ca="1" si="22"/>
        <v/>
      </c>
      <c r="Z75" s="24" t="str">
        <f t="shared" ca="1" si="23"/>
        <v/>
      </c>
      <c r="AA75" s="80">
        <f t="shared" si="24"/>
        <v>50</v>
      </c>
      <c r="AB75" s="15" t="s">
        <v>130</v>
      </c>
      <c r="AC75" s="236" t="s">
        <v>130</v>
      </c>
      <c r="AD75" s="237"/>
      <c r="AE75" s="237"/>
      <c r="AF75" s="238"/>
      <c r="AG75" s="239"/>
      <c r="AH75" s="242"/>
      <c r="AI75" s="243"/>
      <c r="AJ75" s="238"/>
      <c r="AK75" s="239"/>
      <c r="AL75" s="242"/>
      <c r="AM75" s="243"/>
      <c r="AN75" s="238"/>
      <c r="AO75" s="239"/>
      <c r="AP75" s="242"/>
      <c r="AQ75" s="243"/>
      <c r="AR75" s="102"/>
    </row>
    <row r="76" spans="1:44" ht="15.75" hidden="1" x14ac:dyDescent="0.25">
      <c r="A76" s="39"/>
      <c r="B76" s="23" t="str">
        <f t="shared" si="0"/>
        <v>Caregiver Functioning - Caregiver #3_5</v>
      </c>
      <c r="C76" s="23" t="str">
        <f t="shared" si="8"/>
        <v/>
      </c>
      <c r="D76" s="23" t="str">
        <f t="shared" si="1"/>
        <v/>
      </c>
      <c r="E76" s="23" t="str">
        <f t="shared" si="1"/>
        <v/>
      </c>
      <c r="F76" s="82">
        <f t="shared" si="19"/>
        <v>5</v>
      </c>
      <c r="G76" s="23">
        <f t="shared" si="20"/>
        <v>5</v>
      </c>
      <c r="H76" s="23" t="str">
        <f t="shared" si="9"/>
        <v>CGF</v>
      </c>
      <c r="I76" s="23" t="str">
        <f t="shared" si="10"/>
        <v>CGF</v>
      </c>
      <c r="J76" s="23" t="str">
        <f t="shared" si="21"/>
        <v>Caregiver Functioning - Caregiver #3</v>
      </c>
      <c r="K76" s="93">
        <v>1</v>
      </c>
      <c r="L76" s="82" t="str">
        <f t="shared" ca="1" si="11"/>
        <v/>
      </c>
      <c r="M76" s="23" t="str">
        <f t="shared" ca="1" si="12"/>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5"/>
        <v>0</v>
      </c>
      <c r="Y76" s="24" t="str">
        <f t="shared" ca="1" si="22"/>
        <v/>
      </c>
      <c r="Z76" s="24" t="str">
        <f t="shared" ca="1" si="23"/>
        <v/>
      </c>
      <c r="AA76" s="80">
        <f t="shared" si="24"/>
        <v>51</v>
      </c>
      <c r="AB76" s="15" t="s">
        <v>42</v>
      </c>
      <c r="AC76" s="230" t="s">
        <v>42</v>
      </c>
      <c r="AD76" s="231"/>
      <c r="AE76" s="231"/>
      <c r="AF76" s="232"/>
      <c r="AG76" s="233"/>
      <c r="AH76" s="240"/>
      <c r="AI76" s="241"/>
      <c r="AJ76" s="232"/>
      <c r="AK76" s="233"/>
      <c r="AL76" s="240"/>
      <c r="AM76" s="241"/>
      <c r="AN76" s="232"/>
      <c r="AO76" s="233"/>
      <c r="AP76" s="240"/>
      <c r="AQ76" s="241"/>
      <c r="AR76" s="102"/>
    </row>
    <row r="77" spans="1:44" ht="15.75" hidden="1" x14ac:dyDescent="0.25">
      <c r="A77" s="39"/>
      <c r="B77" s="23" t="str">
        <f t="shared" si="0"/>
        <v>Caregiver Functioning - Caregiver #3_6</v>
      </c>
      <c r="C77" s="23" t="str">
        <f t="shared" si="8"/>
        <v/>
      </c>
      <c r="D77" s="23" t="str">
        <f t="shared" si="1"/>
        <v/>
      </c>
      <c r="E77" s="23" t="str">
        <f t="shared" si="1"/>
        <v/>
      </c>
      <c r="F77" s="82">
        <f t="shared" si="19"/>
        <v>5</v>
      </c>
      <c r="G77" s="23">
        <f t="shared" si="20"/>
        <v>6</v>
      </c>
      <c r="H77" s="23" t="str">
        <f t="shared" si="9"/>
        <v>CGF</v>
      </c>
      <c r="I77" s="23" t="str">
        <f t="shared" si="10"/>
        <v>CGF</v>
      </c>
      <c r="J77" s="23" t="str">
        <f t="shared" si="21"/>
        <v>Caregiver Functioning - Caregiver #3</v>
      </c>
      <c r="K77" s="93">
        <v>1</v>
      </c>
      <c r="L77" s="82" t="str">
        <f t="shared" ca="1" si="11"/>
        <v/>
      </c>
      <c r="M77" s="23" t="str">
        <f t="shared" ca="1" si="12"/>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5"/>
        <v>0</v>
      </c>
      <c r="Y77" s="24" t="str">
        <f t="shared" ca="1" si="22"/>
        <v/>
      </c>
      <c r="Z77" s="24" t="str">
        <f t="shared" ca="1" si="23"/>
        <v/>
      </c>
      <c r="AA77" s="80">
        <f t="shared" si="24"/>
        <v>52</v>
      </c>
      <c r="AB77" s="15" t="s">
        <v>278</v>
      </c>
      <c r="AC77" s="236" t="s">
        <v>278</v>
      </c>
      <c r="AD77" s="237"/>
      <c r="AE77" s="237"/>
      <c r="AF77" s="238"/>
      <c r="AG77" s="239"/>
      <c r="AH77" s="242"/>
      <c r="AI77" s="243"/>
      <c r="AJ77" s="238"/>
      <c r="AK77" s="239"/>
      <c r="AL77" s="242"/>
      <c r="AM77" s="243"/>
      <c r="AN77" s="238"/>
      <c r="AO77" s="239"/>
      <c r="AP77" s="242"/>
      <c r="AQ77" s="243"/>
      <c r="AR77" s="102"/>
    </row>
    <row r="78" spans="1:44" ht="15.75" hidden="1" x14ac:dyDescent="0.25">
      <c r="A78" s="39"/>
      <c r="B78" s="23" t="str">
        <f t="shared" si="0"/>
        <v>Caregiver Functioning - Caregiver #3_7</v>
      </c>
      <c r="C78" s="23" t="str">
        <f t="shared" si="8"/>
        <v/>
      </c>
      <c r="D78" s="23" t="str">
        <f t="shared" si="1"/>
        <v/>
      </c>
      <c r="E78" s="23" t="str">
        <f t="shared" si="1"/>
        <v/>
      </c>
      <c r="F78" s="82">
        <f t="shared" si="19"/>
        <v>5</v>
      </c>
      <c r="G78" s="23">
        <f t="shared" si="20"/>
        <v>7</v>
      </c>
      <c r="H78" s="23" t="str">
        <f t="shared" si="9"/>
        <v>CGF</v>
      </c>
      <c r="I78" s="23" t="str">
        <f t="shared" si="10"/>
        <v>CGF</v>
      </c>
      <c r="J78" s="23" t="str">
        <f t="shared" si="21"/>
        <v>Caregiver Functioning - Caregiver #3</v>
      </c>
      <c r="K78" s="93">
        <v>1</v>
      </c>
      <c r="L78" s="82" t="str">
        <f t="shared" ca="1" si="11"/>
        <v/>
      </c>
      <c r="M78" s="23" t="str">
        <f t="shared" ca="1" si="12"/>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5"/>
        <v>0</v>
      </c>
      <c r="Y78" s="24" t="str">
        <f t="shared" ca="1" si="22"/>
        <v/>
      </c>
      <c r="Z78" s="24" t="str">
        <f t="shared" ca="1" si="23"/>
        <v/>
      </c>
      <c r="AA78" s="80">
        <f t="shared" si="24"/>
        <v>53</v>
      </c>
      <c r="AB78" s="15" t="s">
        <v>121</v>
      </c>
      <c r="AC78" s="230" t="s">
        <v>121</v>
      </c>
      <c r="AD78" s="231"/>
      <c r="AE78" s="231"/>
      <c r="AF78" s="232"/>
      <c r="AG78" s="233"/>
      <c r="AH78" s="240"/>
      <c r="AI78" s="241"/>
      <c r="AJ78" s="232"/>
      <c r="AK78" s="233"/>
      <c r="AL78" s="240"/>
      <c r="AM78" s="241"/>
      <c r="AN78" s="232"/>
      <c r="AO78" s="233"/>
      <c r="AP78" s="240"/>
      <c r="AQ78" s="241"/>
      <c r="AR78" s="102"/>
    </row>
    <row r="79" spans="1:44" ht="15.75" hidden="1" x14ac:dyDescent="0.25">
      <c r="A79" s="39"/>
      <c r="B79" s="23" t="str">
        <f t="shared" si="0"/>
        <v>Caregiver Functioning - Caregiver #3_8</v>
      </c>
      <c r="C79" s="23" t="str">
        <f t="shared" si="8"/>
        <v/>
      </c>
      <c r="D79" s="23" t="str">
        <f t="shared" si="1"/>
        <v/>
      </c>
      <c r="E79" s="23" t="str">
        <f t="shared" si="1"/>
        <v/>
      </c>
      <c r="F79" s="82">
        <f t="shared" si="19"/>
        <v>5</v>
      </c>
      <c r="G79" s="23">
        <f t="shared" si="20"/>
        <v>8</v>
      </c>
      <c r="H79" s="23" t="str">
        <f t="shared" si="9"/>
        <v>CGF</v>
      </c>
      <c r="I79" s="23" t="str">
        <f t="shared" si="10"/>
        <v>CGF</v>
      </c>
      <c r="J79" s="23" t="str">
        <f t="shared" si="21"/>
        <v>Caregiver Functioning - Caregiver #3</v>
      </c>
      <c r="K79" s="93">
        <v>1</v>
      </c>
      <c r="L79" s="82" t="str">
        <f t="shared" ca="1" si="11"/>
        <v/>
      </c>
      <c r="M79" s="23" t="str">
        <f t="shared" ca="1" si="12"/>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5"/>
        <v>0</v>
      </c>
      <c r="Y79" s="24" t="str">
        <f t="shared" ca="1" si="22"/>
        <v/>
      </c>
      <c r="Z79" s="24" t="str">
        <f t="shared" ca="1" si="23"/>
        <v/>
      </c>
      <c r="AA79" s="80">
        <f t="shared" si="24"/>
        <v>54</v>
      </c>
      <c r="AB79" s="15" t="s">
        <v>279</v>
      </c>
      <c r="AC79" s="236" t="s">
        <v>279</v>
      </c>
      <c r="AD79" s="237"/>
      <c r="AE79" s="237"/>
      <c r="AF79" s="238"/>
      <c r="AG79" s="239"/>
      <c r="AH79" s="242"/>
      <c r="AI79" s="243"/>
      <c r="AJ79" s="238"/>
      <c r="AK79" s="239"/>
      <c r="AL79" s="242"/>
      <c r="AM79" s="243"/>
      <c r="AN79" s="238"/>
      <c r="AO79" s="239"/>
      <c r="AP79" s="242"/>
      <c r="AQ79" s="243"/>
      <c r="AR79" s="102"/>
    </row>
    <row r="80" spans="1:44" ht="15.75" hidden="1" x14ac:dyDescent="0.25">
      <c r="A80" s="39"/>
      <c r="B80" s="23" t="str">
        <f t="shared" si="0"/>
        <v>Caregiver Functioning - Caregiver #3_9</v>
      </c>
      <c r="C80" s="23" t="str">
        <f t="shared" si="8"/>
        <v/>
      </c>
      <c r="D80" s="23" t="str">
        <f t="shared" si="1"/>
        <v/>
      </c>
      <c r="E80" s="23" t="str">
        <f t="shared" si="1"/>
        <v/>
      </c>
      <c r="F80" s="82">
        <f t="shared" si="19"/>
        <v>5</v>
      </c>
      <c r="G80" s="23">
        <f t="shared" si="20"/>
        <v>9</v>
      </c>
      <c r="H80" s="23" t="str">
        <f t="shared" si="9"/>
        <v>CGF</v>
      </c>
      <c r="I80" s="23" t="str">
        <f t="shared" si="10"/>
        <v>CGF</v>
      </c>
      <c r="J80" s="23" t="str">
        <f t="shared" si="21"/>
        <v>Caregiver Functioning - Caregiver #3</v>
      </c>
      <c r="K80" s="93">
        <v>1</v>
      </c>
      <c r="L80" s="82" t="str">
        <f t="shared" ca="1" si="11"/>
        <v/>
      </c>
      <c r="M80" s="23" t="str">
        <f t="shared" ca="1" si="12"/>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5"/>
        <v>0</v>
      </c>
      <c r="Y80" s="24" t="str">
        <f t="shared" ca="1" si="22"/>
        <v/>
      </c>
      <c r="Z80" s="24" t="str">
        <f t="shared" ca="1" si="23"/>
        <v/>
      </c>
      <c r="AA80" s="80">
        <f t="shared" si="24"/>
        <v>55</v>
      </c>
      <c r="AB80" s="15" t="s">
        <v>41</v>
      </c>
      <c r="AC80" s="230" t="s">
        <v>41</v>
      </c>
      <c r="AD80" s="231"/>
      <c r="AE80" s="231"/>
      <c r="AF80" s="232"/>
      <c r="AG80" s="233"/>
      <c r="AH80" s="234"/>
      <c r="AI80" s="235"/>
      <c r="AJ80" s="232"/>
      <c r="AK80" s="233"/>
      <c r="AL80" s="234"/>
      <c r="AM80" s="235"/>
      <c r="AN80" s="232"/>
      <c r="AO80" s="233"/>
      <c r="AP80" s="234"/>
      <c r="AQ80" s="235"/>
      <c r="AR80" s="102"/>
    </row>
    <row r="81" spans="1:44" ht="15.75" hidden="1" x14ac:dyDescent="0.25">
      <c r="A81" s="39"/>
      <c r="B81" s="23" t="str">
        <f t="shared" si="0"/>
        <v>Caregiver Functioning - Caregiver #3_10</v>
      </c>
      <c r="C81" s="23" t="str">
        <f t="shared" si="8"/>
        <v/>
      </c>
      <c r="D81" s="23" t="str">
        <f t="shared" si="1"/>
        <v/>
      </c>
      <c r="E81" s="23" t="str">
        <f t="shared" si="1"/>
        <v/>
      </c>
      <c r="F81" s="82">
        <f t="shared" si="19"/>
        <v>5</v>
      </c>
      <c r="G81" s="23">
        <f t="shared" si="20"/>
        <v>10</v>
      </c>
      <c r="H81" s="23" t="str">
        <f t="shared" si="9"/>
        <v>CGF</v>
      </c>
      <c r="I81" s="23" t="str">
        <f t="shared" si="10"/>
        <v>CGF</v>
      </c>
      <c r="J81" s="23" t="str">
        <f t="shared" si="21"/>
        <v>Caregiver Functioning - Caregiver #3</v>
      </c>
      <c r="K81" s="93">
        <v>1</v>
      </c>
      <c r="L81" s="82" t="str">
        <f t="shared" ca="1" si="11"/>
        <v/>
      </c>
      <c r="M81" s="23" t="str">
        <f t="shared" ca="1" si="12"/>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5"/>
        <v>0</v>
      </c>
      <c r="Y81" s="24" t="str">
        <f t="shared" ca="1" si="22"/>
        <v/>
      </c>
      <c r="Z81" s="24" t="str">
        <f t="shared" ca="1" si="23"/>
        <v/>
      </c>
      <c r="AA81" s="80">
        <f t="shared" si="24"/>
        <v>56</v>
      </c>
      <c r="AB81" s="15" t="s">
        <v>280</v>
      </c>
      <c r="AC81" s="236" t="s">
        <v>280</v>
      </c>
      <c r="AD81" s="237"/>
      <c r="AE81" s="237"/>
      <c r="AF81" s="238"/>
      <c r="AG81" s="239"/>
      <c r="AH81" s="242"/>
      <c r="AI81" s="243"/>
      <c r="AJ81" s="238"/>
      <c r="AK81" s="239"/>
      <c r="AL81" s="242"/>
      <c r="AM81" s="243"/>
      <c r="AN81" s="238"/>
      <c r="AO81" s="239"/>
      <c r="AP81" s="242"/>
      <c r="AQ81" s="243"/>
      <c r="AR81" s="102"/>
    </row>
    <row r="82" spans="1:44" ht="15.75" hidden="1" x14ac:dyDescent="0.25">
      <c r="A82" s="39"/>
      <c r="B82" s="23" t="str">
        <f t="shared" ref="B82:B148" si="25">J82&amp;"_"&amp;G82</f>
        <v>Caregiver Functioning - Caregiver #3_11</v>
      </c>
      <c r="C82" s="23" t="str">
        <f t="shared" si="8"/>
        <v/>
      </c>
      <c r="D82" s="23" t="str">
        <f t="shared" ref="D82:E148" si="26">IF(I82&lt;&gt;I83, I82, "")</f>
        <v/>
      </c>
      <c r="E82" s="23" t="str">
        <f t="shared" si="26"/>
        <v/>
      </c>
      <c r="F82" s="82">
        <f t="shared" si="19"/>
        <v>5</v>
      </c>
      <c r="G82" s="23">
        <f t="shared" si="20"/>
        <v>11</v>
      </c>
      <c r="H82" s="23" t="str">
        <f t="shared" si="9"/>
        <v>CGF</v>
      </c>
      <c r="I82" s="23" t="str">
        <f t="shared" si="10"/>
        <v>CGF</v>
      </c>
      <c r="J82" s="23" t="str">
        <f t="shared" ref="J82:J104" si="27">IF(K82=0, AC82, J81)</f>
        <v>Caregiver Functioning - Caregiver #3</v>
      </c>
      <c r="K82" s="93">
        <v>1</v>
      </c>
      <c r="L82" s="82" t="str">
        <f t="shared" ca="1" si="11"/>
        <v/>
      </c>
      <c r="M82" s="23" t="str">
        <f t="shared" ca="1" si="12"/>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5"/>
        <v>0</v>
      </c>
      <c r="Y82" s="24" t="str">
        <f t="shared" ref="Y82:Y114" ca="1" si="28">T(INDIRECT(ADDRESS(ROW(), lastAssessCol+2)))</f>
        <v/>
      </c>
      <c r="Z82" s="24" t="str">
        <f t="shared" ref="Z82:Z114" ca="1" si="29">T(INDIRECT(ADDRESS(ROW(), lastAssessCol+3)))</f>
        <v/>
      </c>
      <c r="AA82" s="80">
        <f t="shared" si="24"/>
        <v>57</v>
      </c>
      <c r="AB82" s="15" t="s">
        <v>281</v>
      </c>
      <c r="AC82" s="230" t="s">
        <v>281</v>
      </c>
      <c r="AD82" s="231"/>
      <c r="AE82" s="231"/>
      <c r="AF82" s="232"/>
      <c r="AG82" s="233"/>
      <c r="AH82" s="234"/>
      <c r="AI82" s="235"/>
      <c r="AJ82" s="232"/>
      <c r="AK82" s="233"/>
      <c r="AL82" s="234"/>
      <c r="AM82" s="235"/>
      <c r="AN82" s="232"/>
      <c r="AO82" s="233"/>
      <c r="AP82" s="234"/>
      <c r="AQ82" s="235"/>
      <c r="AR82" s="102"/>
    </row>
    <row r="83" spans="1:44" ht="15.75" hidden="1" x14ac:dyDescent="0.25">
      <c r="A83" s="39"/>
      <c r="B83" s="23" t="str">
        <f t="shared" si="25"/>
        <v>Caregiver Functioning - Caregiver #3_12</v>
      </c>
      <c r="C83" s="23" t="str">
        <f t="shared" ref="C83:C149" si="30">IF(H83&lt;&gt;H84, H83, "")</f>
        <v/>
      </c>
      <c r="D83" s="23" t="str">
        <f t="shared" si="26"/>
        <v/>
      </c>
      <c r="E83" s="23" t="str">
        <f t="shared" si="26"/>
        <v/>
      </c>
      <c r="F83" s="82">
        <f t="shared" si="19"/>
        <v>5</v>
      </c>
      <c r="G83" s="23">
        <f t="shared" si="20"/>
        <v>12</v>
      </c>
      <c r="H83" s="23" t="str">
        <f t="shared" ref="H83:H149" si="31">IF(OR(I83="FF", I83="CGA"), "FF/CGA", I83)</f>
        <v>CGF</v>
      </c>
      <c r="I83" s="23" t="str">
        <f t="shared" ref="I83:I149" si="32">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3">IF($J83=$J82, L82, "")&amp;IF(P83=1, IF(L82="",  "", ", ")&amp;$AC83, "")</f>
        <v/>
      </c>
      <c r="M83" s="23" t="str">
        <f t="shared" ref="M83:M146" ca="1" si="34">IF($J83=$J82, M82, "")&amp;IF(Q83=1, IF(M82="",  "", ", ")&amp;$AC83, "")</f>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5"/>
        <v>0</v>
      </c>
      <c r="Y83" s="24" t="str">
        <f t="shared" ca="1" si="28"/>
        <v/>
      </c>
      <c r="Z83" s="24" t="str">
        <f t="shared" ca="1" si="29"/>
        <v/>
      </c>
      <c r="AA83" s="80">
        <f t="shared" ref="AA83:AA104" si="40">AA82+IF(AB83=0, 0, 1)</f>
        <v>58</v>
      </c>
      <c r="AB83" s="15" t="s">
        <v>282</v>
      </c>
      <c r="AC83" s="236" t="s">
        <v>282</v>
      </c>
      <c r="AD83" s="237"/>
      <c r="AE83" s="237"/>
      <c r="AF83" s="238"/>
      <c r="AG83" s="239"/>
      <c r="AH83" s="240"/>
      <c r="AI83" s="241"/>
      <c r="AJ83" s="238"/>
      <c r="AK83" s="239"/>
      <c r="AL83" s="240"/>
      <c r="AM83" s="241"/>
      <c r="AN83" s="238"/>
      <c r="AO83" s="239"/>
      <c r="AP83" s="240"/>
      <c r="AQ83" s="241"/>
      <c r="AR83" s="102"/>
    </row>
    <row r="84" spans="1:44" ht="15.75" hidden="1" x14ac:dyDescent="0.25">
      <c r="A84" s="39"/>
      <c r="B84" s="23" t="str">
        <f t="shared" si="25"/>
        <v>Caregiver Functioning - Caregiver #3_13</v>
      </c>
      <c r="C84" s="23" t="str">
        <f t="shared" si="30"/>
        <v/>
      </c>
      <c r="D84" s="23" t="str">
        <f t="shared" si="26"/>
        <v/>
      </c>
      <c r="E84" s="23" t="str">
        <f t="shared" si="26"/>
        <v/>
      </c>
      <c r="F84" s="82">
        <f t="shared" si="19"/>
        <v>5</v>
      </c>
      <c r="G84" s="23">
        <f t="shared" si="20"/>
        <v>13</v>
      </c>
      <c r="H84" s="23" t="str">
        <f t="shared" si="31"/>
        <v>CGF</v>
      </c>
      <c r="I84" s="23" t="str">
        <f t="shared" si="32"/>
        <v>CGF</v>
      </c>
      <c r="J84" s="23" t="str">
        <f t="shared" si="27"/>
        <v>Caregiver Functioning - Caregiver #3</v>
      </c>
      <c r="K84" s="93">
        <v>1</v>
      </c>
      <c r="L84" s="82" t="str">
        <f t="shared" ca="1" si="33"/>
        <v/>
      </c>
      <c r="M84" s="23" t="str">
        <f t="shared" ca="1" si="34"/>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5"/>
        <v>0</v>
      </c>
      <c r="Y84" s="24" t="str">
        <f t="shared" ca="1" si="28"/>
        <v/>
      </c>
      <c r="Z84" s="24" t="str">
        <f t="shared" ca="1" si="29"/>
        <v/>
      </c>
      <c r="AA84" s="80">
        <f t="shared" si="40"/>
        <v>59</v>
      </c>
      <c r="AB84" s="15" t="s">
        <v>283</v>
      </c>
      <c r="AC84" s="230" t="s">
        <v>283</v>
      </c>
      <c r="AD84" s="231"/>
      <c r="AE84" s="231"/>
      <c r="AF84" s="232"/>
      <c r="AG84" s="233"/>
      <c r="AH84" s="240"/>
      <c r="AI84" s="241"/>
      <c r="AJ84" s="232"/>
      <c r="AK84" s="233"/>
      <c r="AL84" s="240"/>
      <c r="AM84" s="241"/>
      <c r="AN84" s="232"/>
      <c r="AO84" s="233"/>
      <c r="AP84" s="240"/>
      <c r="AQ84" s="241"/>
      <c r="AR84" s="102"/>
    </row>
    <row r="85" spans="1:44" ht="15.75" hidden="1" x14ac:dyDescent="0.25">
      <c r="A85" s="39"/>
      <c r="B85" s="23" t="str">
        <f t="shared" si="25"/>
        <v>Caregiver Functioning - Caregiver #3_14</v>
      </c>
      <c r="C85" s="23" t="str">
        <f t="shared" si="30"/>
        <v/>
      </c>
      <c r="D85" s="23" t="str">
        <f t="shared" si="26"/>
        <v/>
      </c>
      <c r="E85" s="23" t="str">
        <f t="shared" si="26"/>
        <v>Caregiver Functioning - Caregiver #3</v>
      </c>
      <c r="F85" s="82">
        <f t="shared" si="19"/>
        <v>5</v>
      </c>
      <c r="G85" s="23">
        <f t="shared" si="20"/>
        <v>14</v>
      </c>
      <c r="H85" s="23" t="str">
        <f t="shared" si="31"/>
        <v>CGF</v>
      </c>
      <c r="I85" s="23" t="str">
        <f t="shared" si="32"/>
        <v>CGF</v>
      </c>
      <c r="J85" s="23" t="str">
        <f t="shared" si="27"/>
        <v>Caregiver Functioning - Caregiver #3</v>
      </c>
      <c r="K85" s="93">
        <v>1</v>
      </c>
      <c r="L85" s="82" t="str">
        <f t="shared" ca="1" si="33"/>
        <v/>
      </c>
      <c r="M85" s="23" t="str">
        <f t="shared" ca="1" si="34"/>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5"/>
        <v>0</v>
      </c>
      <c r="Y85" s="24" t="str">
        <f t="shared" ca="1" si="28"/>
        <v/>
      </c>
      <c r="Z85" s="24" t="str">
        <f t="shared" ca="1" si="29"/>
        <v/>
      </c>
      <c r="AA85" s="80">
        <f t="shared" si="40"/>
        <v>60</v>
      </c>
      <c r="AB85" s="15" t="s">
        <v>131</v>
      </c>
      <c r="AC85" s="236" t="s">
        <v>131</v>
      </c>
      <c r="AD85" s="237"/>
      <c r="AE85" s="237"/>
      <c r="AF85" s="238"/>
      <c r="AG85" s="239"/>
      <c r="AH85" s="242"/>
      <c r="AI85" s="243"/>
      <c r="AJ85" s="238"/>
      <c r="AK85" s="239"/>
      <c r="AL85" s="242"/>
      <c r="AM85" s="243"/>
      <c r="AN85" s="238"/>
      <c r="AO85" s="239"/>
      <c r="AP85" s="242"/>
      <c r="AQ85" s="243"/>
      <c r="AR85" s="102"/>
    </row>
    <row r="86" spans="1:44" ht="15.75" hidden="1" x14ac:dyDescent="0.25">
      <c r="A86" s="39"/>
      <c r="B86" s="23" t="str">
        <f t="shared" si="25"/>
        <v>Caregiver Functioning - Caregiver #4_0</v>
      </c>
      <c r="C86" s="23" t="str">
        <f t="shared" si="30"/>
        <v/>
      </c>
      <c r="D86" s="23" t="str">
        <f t="shared" si="26"/>
        <v/>
      </c>
      <c r="E86" s="23" t="str">
        <f t="shared" si="26"/>
        <v/>
      </c>
      <c r="F86" s="82">
        <f t="shared" si="19"/>
        <v>6</v>
      </c>
      <c r="G86" s="23">
        <f t="shared" si="20"/>
        <v>0</v>
      </c>
      <c r="H86" s="23" t="str">
        <f t="shared" si="31"/>
        <v>CGF</v>
      </c>
      <c r="I86" s="23" t="str">
        <f t="shared" si="32"/>
        <v>CGF</v>
      </c>
      <c r="J86" s="23" t="str">
        <f t="shared" si="27"/>
        <v>Caregiver Functioning - Caregiver #4</v>
      </c>
      <c r="K86" s="93">
        <v>0</v>
      </c>
      <c r="L86" s="82" t="str">
        <f t="shared" ca="1" si="33"/>
        <v/>
      </c>
      <c r="M86" s="23" t="str">
        <f t="shared" ca="1" si="34"/>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5"/>
        <v>0</v>
      </c>
      <c r="Y86" s="24" t="str">
        <f t="shared" ca="1" si="28"/>
        <v/>
      </c>
      <c r="Z86" s="24" t="str">
        <f t="shared" ca="1" si="29"/>
        <v/>
      </c>
      <c r="AA86" s="80">
        <f t="shared" si="40"/>
        <v>60</v>
      </c>
      <c r="AC86" s="224" t="s">
        <v>669</v>
      </c>
      <c r="AD86" s="244"/>
      <c r="AE86" s="225"/>
      <c r="AF86" s="226"/>
      <c r="AG86" s="227"/>
      <c r="AH86" s="228"/>
      <c r="AI86" s="229"/>
      <c r="AJ86" s="226"/>
      <c r="AK86" s="227"/>
      <c r="AL86" s="228"/>
      <c r="AM86" s="229"/>
      <c r="AN86" s="226"/>
      <c r="AO86" s="227"/>
      <c r="AP86" s="228"/>
      <c r="AQ86" s="229"/>
      <c r="AR86" s="102"/>
    </row>
    <row r="87" spans="1:44" ht="31.5" hidden="1" x14ac:dyDescent="0.25">
      <c r="A87" s="39"/>
      <c r="B87" s="23" t="str">
        <f t="shared" si="25"/>
        <v>Caregiver Functioning - Caregiver #4_0</v>
      </c>
      <c r="C87" s="23" t="str">
        <f t="shared" si="30"/>
        <v/>
      </c>
      <c r="D87" s="23" t="str">
        <f t="shared" si="26"/>
        <v/>
      </c>
      <c r="E87" s="23" t="str">
        <f t="shared" si="26"/>
        <v/>
      </c>
      <c r="F87" s="82">
        <f t="shared" si="19"/>
        <v>6</v>
      </c>
      <c r="G87" s="23">
        <f t="shared" si="20"/>
        <v>0</v>
      </c>
      <c r="H87" s="23" t="str">
        <f t="shared" si="31"/>
        <v>CGF</v>
      </c>
      <c r="I87" s="23" t="str">
        <f t="shared" si="32"/>
        <v>CGF</v>
      </c>
      <c r="J87" s="23" t="str">
        <f t="shared" si="27"/>
        <v>Caregiver Functioning - Caregiver #4</v>
      </c>
      <c r="K87" s="93">
        <v>2</v>
      </c>
      <c r="L87" s="82" t="str">
        <f t="shared" ca="1" si="33"/>
        <v/>
      </c>
      <c r="M87" s="23" t="str">
        <f t="shared" ca="1" si="34"/>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5"/>
        <v>0</v>
      </c>
      <c r="Y87" s="24" t="str">
        <f t="shared" ca="1" si="28"/>
        <v/>
      </c>
      <c r="Z87" s="24" t="str">
        <f t="shared" ca="1" si="29"/>
        <v/>
      </c>
      <c r="AA87" s="80">
        <f t="shared" si="40"/>
        <v>60</v>
      </c>
      <c r="AC87" s="245" t="s">
        <v>323</v>
      </c>
      <c r="AD87" s="246"/>
      <c r="AE87" s="225"/>
      <c r="AF87" s="226"/>
      <c r="AG87" s="227"/>
      <c r="AH87" s="228"/>
      <c r="AI87" s="229"/>
      <c r="AJ87" s="226"/>
      <c r="AK87" s="227"/>
      <c r="AL87" s="228"/>
      <c r="AM87" s="229"/>
      <c r="AN87" s="226"/>
      <c r="AO87" s="227"/>
      <c r="AP87" s="228"/>
      <c r="AQ87" s="229"/>
      <c r="AR87" s="102"/>
    </row>
    <row r="88" spans="1:44" ht="15.75" hidden="1" x14ac:dyDescent="0.25">
      <c r="A88" s="39"/>
      <c r="B88" s="23" t="str">
        <f t="shared" si="25"/>
        <v>Caregiver Functioning - Caregiver #4_1</v>
      </c>
      <c r="C88" s="23" t="str">
        <f t="shared" si="30"/>
        <v/>
      </c>
      <c r="D88" s="23" t="str">
        <f t="shared" si="26"/>
        <v/>
      </c>
      <c r="E88" s="23" t="str">
        <f t="shared" si="26"/>
        <v/>
      </c>
      <c r="F88" s="82">
        <f t="shared" si="19"/>
        <v>6</v>
      </c>
      <c r="G88" s="23">
        <f t="shared" si="20"/>
        <v>1</v>
      </c>
      <c r="H88" s="23" t="str">
        <f t="shared" si="31"/>
        <v>CGF</v>
      </c>
      <c r="I88" s="23" t="str">
        <f t="shared" si="32"/>
        <v>CGF</v>
      </c>
      <c r="J88" s="23" t="str">
        <f t="shared" si="27"/>
        <v>Caregiver Functioning - Caregiver #4</v>
      </c>
      <c r="K88" s="93">
        <v>1</v>
      </c>
      <c r="L88" s="82" t="str">
        <f t="shared" ca="1" si="33"/>
        <v/>
      </c>
      <c r="M88" s="23" t="str">
        <f t="shared" ca="1" si="34"/>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5"/>
        <v>0</v>
      </c>
      <c r="Y88" s="24" t="str">
        <f t="shared" ca="1" si="28"/>
        <v/>
      </c>
      <c r="Z88" s="24" t="str">
        <f t="shared" ca="1" si="29"/>
        <v/>
      </c>
      <c r="AA88" s="80">
        <f t="shared" si="40"/>
        <v>61</v>
      </c>
      <c r="AB88" s="15" t="s">
        <v>276</v>
      </c>
      <c r="AC88" s="230" t="s">
        <v>276</v>
      </c>
      <c r="AD88" s="231"/>
      <c r="AE88" s="231"/>
      <c r="AF88" s="232"/>
      <c r="AG88" s="233"/>
      <c r="AH88" s="234"/>
      <c r="AI88" s="235"/>
      <c r="AJ88" s="232"/>
      <c r="AK88" s="233"/>
      <c r="AL88" s="234"/>
      <c r="AM88" s="235"/>
      <c r="AN88" s="232"/>
      <c r="AO88" s="233"/>
      <c r="AP88" s="234"/>
      <c r="AQ88" s="235"/>
      <c r="AR88" s="102"/>
    </row>
    <row r="89" spans="1:44" ht="15.75" hidden="1" x14ac:dyDescent="0.25">
      <c r="A89" s="39"/>
      <c r="B89" s="23" t="str">
        <f t="shared" si="25"/>
        <v>Caregiver Functioning - Caregiver #4_2</v>
      </c>
      <c r="C89" s="23" t="str">
        <f t="shared" si="30"/>
        <v/>
      </c>
      <c r="D89" s="23" t="str">
        <f t="shared" si="26"/>
        <v/>
      </c>
      <c r="E89" s="23" t="str">
        <f t="shared" si="26"/>
        <v/>
      </c>
      <c r="F89" s="82">
        <f t="shared" si="19"/>
        <v>6</v>
      </c>
      <c r="G89" s="23">
        <f t="shared" si="20"/>
        <v>2</v>
      </c>
      <c r="H89" s="23" t="str">
        <f t="shared" si="31"/>
        <v>CGF</v>
      </c>
      <c r="I89" s="23" t="str">
        <f t="shared" si="32"/>
        <v>CGF</v>
      </c>
      <c r="J89" s="23" t="str">
        <f t="shared" si="27"/>
        <v>Caregiver Functioning - Caregiver #4</v>
      </c>
      <c r="K89" s="93">
        <v>1</v>
      </c>
      <c r="L89" s="82" t="str">
        <f t="shared" ca="1" si="33"/>
        <v/>
      </c>
      <c r="M89" s="23" t="str">
        <f t="shared" ca="1" si="34"/>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5"/>
        <v>0</v>
      </c>
      <c r="Y89" s="24" t="str">
        <f t="shared" ca="1" si="28"/>
        <v/>
      </c>
      <c r="Z89" s="24" t="str">
        <f t="shared" ca="1" si="29"/>
        <v/>
      </c>
      <c r="AA89" s="80">
        <f t="shared" si="40"/>
        <v>62</v>
      </c>
      <c r="AB89" s="15" t="s">
        <v>277</v>
      </c>
      <c r="AC89" s="236" t="s">
        <v>277</v>
      </c>
      <c r="AD89" s="237"/>
      <c r="AE89" s="237"/>
      <c r="AF89" s="238"/>
      <c r="AG89" s="239"/>
      <c r="AH89" s="242"/>
      <c r="AI89" s="243"/>
      <c r="AJ89" s="238"/>
      <c r="AK89" s="239"/>
      <c r="AL89" s="242"/>
      <c r="AM89" s="243"/>
      <c r="AN89" s="238"/>
      <c r="AO89" s="239"/>
      <c r="AP89" s="242"/>
      <c r="AQ89" s="243"/>
      <c r="AR89" s="102"/>
    </row>
    <row r="90" spans="1:44" ht="15.75" hidden="1" x14ac:dyDescent="0.25">
      <c r="A90" s="39"/>
      <c r="B90" s="23" t="str">
        <f t="shared" si="25"/>
        <v>Caregiver Functioning - Caregiver #4_3</v>
      </c>
      <c r="C90" s="23" t="str">
        <f t="shared" si="30"/>
        <v/>
      </c>
      <c r="D90" s="23" t="str">
        <f t="shared" si="26"/>
        <v/>
      </c>
      <c r="E90" s="23" t="str">
        <f t="shared" si="26"/>
        <v/>
      </c>
      <c r="F90" s="82">
        <f t="shared" si="19"/>
        <v>6</v>
      </c>
      <c r="G90" s="23">
        <f t="shared" si="20"/>
        <v>3</v>
      </c>
      <c r="H90" s="23" t="str">
        <f t="shared" si="31"/>
        <v>CGF</v>
      </c>
      <c r="I90" s="23" t="str">
        <f t="shared" si="32"/>
        <v>CGF</v>
      </c>
      <c r="J90" s="23" t="str">
        <f t="shared" si="27"/>
        <v>Caregiver Functioning - Caregiver #4</v>
      </c>
      <c r="K90" s="93">
        <v>1</v>
      </c>
      <c r="L90" s="82" t="str">
        <f t="shared" ca="1" si="33"/>
        <v/>
      </c>
      <c r="M90" s="23" t="str">
        <f t="shared" ca="1" si="34"/>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5"/>
        <v>0</v>
      </c>
      <c r="Y90" s="24" t="str">
        <f t="shared" ca="1" si="28"/>
        <v/>
      </c>
      <c r="Z90" s="24" t="str">
        <f t="shared" ca="1" si="29"/>
        <v/>
      </c>
      <c r="AA90" s="80">
        <f t="shared" si="40"/>
        <v>63</v>
      </c>
      <c r="AB90" s="15" t="s">
        <v>38</v>
      </c>
      <c r="AC90" s="230" t="s">
        <v>38</v>
      </c>
      <c r="AD90" s="231"/>
      <c r="AE90" s="231"/>
      <c r="AF90" s="232"/>
      <c r="AG90" s="233"/>
      <c r="AH90" s="234"/>
      <c r="AI90" s="235"/>
      <c r="AJ90" s="232"/>
      <c r="AK90" s="233"/>
      <c r="AL90" s="234"/>
      <c r="AM90" s="235"/>
      <c r="AN90" s="232"/>
      <c r="AO90" s="233"/>
      <c r="AP90" s="234"/>
      <c r="AQ90" s="235"/>
      <c r="AR90" s="102"/>
    </row>
    <row r="91" spans="1:44" ht="15.75" hidden="1" x14ac:dyDescent="0.25">
      <c r="A91" s="39"/>
      <c r="B91" s="23" t="str">
        <f t="shared" si="25"/>
        <v>Caregiver Functioning - Caregiver #4_4</v>
      </c>
      <c r="C91" s="23" t="str">
        <f t="shared" si="30"/>
        <v/>
      </c>
      <c r="D91" s="23" t="str">
        <f t="shared" si="26"/>
        <v/>
      </c>
      <c r="E91" s="23" t="str">
        <f t="shared" si="26"/>
        <v/>
      </c>
      <c r="F91" s="82">
        <f t="shared" si="19"/>
        <v>6</v>
      </c>
      <c r="G91" s="23">
        <f t="shared" si="20"/>
        <v>4</v>
      </c>
      <c r="H91" s="23" t="str">
        <f t="shared" si="31"/>
        <v>CGF</v>
      </c>
      <c r="I91" s="23" t="str">
        <f t="shared" si="32"/>
        <v>CGF</v>
      </c>
      <c r="J91" s="23" t="str">
        <f t="shared" si="27"/>
        <v>Caregiver Functioning - Caregiver #4</v>
      </c>
      <c r="K91" s="93">
        <v>1</v>
      </c>
      <c r="L91" s="82" t="str">
        <f t="shared" ca="1" si="33"/>
        <v/>
      </c>
      <c r="M91" s="23" t="str">
        <f t="shared" ca="1" si="34"/>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5"/>
        <v>0</v>
      </c>
      <c r="Y91" s="24" t="str">
        <f t="shared" ca="1" si="28"/>
        <v/>
      </c>
      <c r="Z91" s="24" t="str">
        <f t="shared" ca="1" si="29"/>
        <v/>
      </c>
      <c r="AA91" s="80">
        <f t="shared" si="40"/>
        <v>64</v>
      </c>
      <c r="AB91" s="15" t="s">
        <v>130</v>
      </c>
      <c r="AC91" s="236" t="s">
        <v>130</v>
      </c>
      <c r="AD91" s="237"/>
      <c r="AE91" s="237"/>
      <c r="AF91" s="238"/>
      <c r="AG91" s="239"/>
      <c r="AH91" s="242"/>
      <c r="AI91" s="243"/>
      <c r="AJ91" s="238"/>
      <c r="AK91" s="239"/>
      <c r="AL91" s="242"/>
      <c r="AM91" s="243"/>
      <c r="AN91" s="238"/>
      <c r="AO91" s="239"/>
      <c r="AP91" s="242"/>
      <c r="AQ91" s="243"/>
      <c r="AR91" s="102"/>
    </row>
    <row r="92" spans="1:44" ht="15.75" hidden="1" x14ac:dyDescent="0.25">
      <c r="A92" s="39"/>
      <c r="B92" s="23" t="str">
        <f t="shared" si="25"/>
        <v>Caregiver Functioning - Caregiver #4_5</v>
      </c>
      <c r="C92" s="23" t="str">
        <f t="shared" si="30"/>
        <v/>
      </c>
      <c r="D92" s="23" t="str">
        <f t="shared" si="26"/>
        <v/>
      </c>
      <c r="E92" s="23" t="str">
        <f t="shared" si="26"/>
        <v/>
      </c>
      <c r="F92" s="82">
        <f t="shared" si="19"/>
        <v>6</v>
      </c>
      <c r="G92" s="23">
        <f t="shared" si="20"/>
        <v>5</v>
      </c>
      <c r="H92" s="23" t="str">
        <f t="shared" si="31"/>
        <v>CGF</v>
      </c>
      <c r="I92" s="23" t="str">
        <f t="shared" si="32"/>
        <v>CGF</v>
      </c>
      <c r="J92" s="23" t="str">
        <f t="shared" si="27"/>
        <v>Caregiver Functioning - Caregiver #4</v>
      </c>
      <c r="K92" s="93">
        <v>1</v>
      </c>
      <c r="L92" s="82" t="str">
        <f t="shared" ca="1" si="33"/>
        <v/>
      </c>
      <c r="M92" s="23" t="str">
        <f t="shared" ca="1" si="34"/>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5"/>
        <v>0</v>
      </c>
      <c r="Y92" s="24" t="str">
        <f t="shared" ca="1" si="28"/>
        <v/>
      </c>
      <c r="Z92" s="24" t="str">
        <f t="shared" ca="1" si="29"/>
        <v/>
      </c>
      <c r="AA92" s="80">
        <f t="shared" si="40"/>
        <v>65</v>
      </c>
      <c r="AB92" s="15" t="s">
        <v>42</v>
      </c>
      <c r="AC92" s="230" t="s">
        <v>42</v>
      </c>
      <c r="AD92" s="231"/>
      <c r="AE92" s="231"/>
      <c r="AF92" s="232"/>
      <c r="AG92" s="233"/>
      <c r="AH92" s="240"/>
      <c r="AI92" s="241"/>
      <c r="AJ92" s="232"/>
      <c r="AK92" s="233"/>
      <c r="AL92" s="240"/>
      <c r="AM92" s="241"/>
      <c r="AN92" s="232"/>
      <c r="AO92" s="233"/>
      <c r="AP92" s="240"/>
      <c r="AQ92" s="241"/>
      <c r="AR92" s="102"/>
    </row>
    <row r="93" spans="1:44" ht="15.75" hidden="1" x14ac:dyDescent="0.25">
      <c r="A93" s="39"/>
      <c r="B93" s="23" t="str">
        <f t="shared" si="25"/>
        <v>Caregiver Functioning - Caregiver #4_6</v>
      </c>
      <c r="C93" s="23" t="str">
        <f t="shared" si="30"/>
        <v/>
      </c>
      <c r="D93" s="23" t="str">
        <f t="shared" si="26"/>
        <v/>
      </c>
      <c r="E93" s="23" t="str">
        <f t="shared" si="26"/>
        <v/>
      </c>
      <c r="F93" s="82">
        <f t="shared" ref="F93:F160" si="41">IF(K93=0, IF(ISNUMBER(F92), F92+1, 1), F92)</f>
        <v>6</v>
      </c>
      <c r="G93" s="23">
        <f t="shared" ref="G93:G160" si="42">IF(K93=0, 0, IF(K93=1, G92+1, G92))</f>
        <v>6</v>
      </c>
      <c r="H93" s="23" t="str">
        <f t="shared" si="31"/>
        <v>CGF</v>
      </c>
      <c r="I93" s="23" t="str">
        <f t="shared" si="32"/>
        <v>CGF</v>
      </c>
      <c r="J93" s="23" t="str">
        <f t="shared" si="27"/>
        <v>Caregiver Functioning - Caregiver #4</v>
      </c>
      <c r="K93" s="93">
        <v>1</v>
      </c>
      <c r="L93" s="82" t="str">
        <f t="shared" ca="1" si="33"/>
        <v/>
      </c>
      <c r="M93" s="23" t="str">
        <f t="shared" ca="1" si="34"/>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5"/>
        <v>0</v>
      </c>
      <c r="Y93" s="24" t="str">
        <f t="shared" ca="1" si="28"/>
        <v/>
      </c>
      <c r="Z93" s="24" t="str">
        <f t="shared" ca="1" si="29"/>
        <v/>
      </c>
      <c r="AA93" s="80">
        <f t="shared" si="40"/>
        <v>66</v>
      </c>
      <c r="AB93" s="15" t="s">
        <v>278</v>
      </c>
      <c r="AC93" s="236" t="s">
        <v>278</v>
      </c>
      <c r="AD93" s="237"/>
      <c r="AE93" s="237"/>
      <c r="AF93" s="238"/>
      <c r="AG93" s="239"/>
      <c r="AH93" s="242"/>
      <c r="AI93" s="243"/>
      <c r="AJ93" s="238"/>
      <c r="AK93" s="239"/>
      <c r="AL93" s="242"/>
      <c r="AM93" s="243"/>
      <c r="AN93" s="238"/>
      <c r="AO93" s="239"/>
      <c r="AP93" s="242"/>
      <c r="AQ93" s="243"/>
      <c r="AR93" s="102"/>
    </row>
    <row r="94" spans="1:44" ht="15.75" hidden="1" x14ac:dyDescent="0.25">
      <c r="A94" s="39"/>
      <c r="B94" s="23" t="str">
        <f t="shared" si="25"/>
        <v>Caregiver Functioning - Caregiver #4_7</v>
      </c>
      <c r="C94" s="23" t="str">
        <f t="shared" si="30"/>
        <v/>
      </c>
      <c r="D94" s="23" t="str">
        <f t="shared" si="26"/>
        <v/>
      </c>
      <c r="E94" s="23" t="str">
        <f t="shared" si="26"/>
        <v/>
      </c>
      <c r="F94" s="82">
        <f t="shared" si="41"/>
        <v>6</v>
      </c>
      <c r="G94" s="23">
        <f t="shared" si="42"/>
        <v>7</v>
      </c>
      <c r="H94" s="23" t="str">
        <f t="shared" si="31"/>
        <v>CGF</v>
      </c>
      <c r="I94" s="23" t="str">
        <f t="shared" si="32"/>
        <v>CGF</v>
      </c>
      <c r="J94" s="23" t="str">
        <f t="shared" si="27"/>
        <v>Caregiver Functioning - Caregiver #4</v>
      </c>
      <c r="K94" s="93">
        <v>1</v>
      </c>
      <c r="L94" s="82" t="str">
        <f t="shared" ca="1" si="33"/>
        <v/>
      </c>
      <c r="M94" s="23" t="str">
        <f t="shared" ca="1" si="34"/>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5"/>
        <v>0</v>
      </c>
      <c r="Y94" s="24" t="str">
        <f t="shared" ca="1" si="28"/>
        <v/>
      </c>
      <c r="Z94" s="24" t="str">
        <f t="shared" ca="1" si="29"/>
        <v/>
      </c>
      <c r="AA94" s="80">
        <f t="shared" si="40"/>
        <v>67</v>
      </c>
      <c r="AB94" s="15" t="s">
        <v>121</v>
      </c>
      <c r="AC94" s="230" t="s">
        <v>121</v>
      </c>
      <c r="AD94" s="231"/>
      <c r="AE94" s="231"/>
      <c r="AF94" s="232"/>
      <c r="AG94" s="233"/>
      <c r="AH94" s="240"/>
      <c r="AI94" s="241"/>
      <c r="AJ94" s="232"/>
      <c r="AK94" s="233"/>
      <c r="AL94" s="240"/>
      <c r="AM94" s="241"/>
      <c r="AN94" s="232"/>
      <c r="AO94" s="233"/>
      <c r="AP94" s="240"/>
      <c r="AQ94" s="241"/>
      <c r="AR94" s="102"/>
    </row>
    <row r="95" spans="1:44" ht="15.75" hidden="1" x14ac:dyDescent="0.25">
      <c r="A95" s="39"/>
      <c r="B95" s="23" t="str">
        <f t="shared" si="25"/>
        <v>Caregiver Functioning - Caregiver #4_8</v>
      </c>
      <c r="C95" s="23" t="str">
        <f t="shared" si="30"/>
        <v/>
      </c>
      <c r="D95" s="23" t="str">
        <f t="shared" si="26"/>
        <v/>
      </c>
      <c r="E95" s="23" t="str">
        <f t="shared" si="26"/>
        <v/>
      </c>
      <c r="F95" s="82">
        <f t="shared" si="41"/>
        <v>6</v>
      </c>
      <c r="G95" s="23">
        <f t="shared" si="42"/>
        <v>8</v>
      </c>
      <c r="H95" s="23" t="str">
        <f t="shared" si="31"/>
        <v>CGF</v>
      </c>
      <c r="I95" s="23" t="str">
        <f t="shared" si="32"/>
        <v>CGF</v>
      </c>
      <c r="J95" s="23" t="str">
        <f t="shared" si="27"/>
        <v>Caregiver Functioning - Caregiver #4</v>
      </c>
      <c r="K95" s="93">
        <v>1</v>
      </c>
      <c r="L95" s="82" t="str">
        <f t="shared" ca="1" si="33"/>
        <v/>
      </c>
      <c r="M95" s="23" t="str">
        <f t="shared" ca="1" si="34"/>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5"/>
        <v>0</v>
      </c>
      <c r="Y95" s="24" t="str">
        <f t="shared" ca="1" si="28"/>
        <v/>
      </c>
      <c r="Z95" s="24" t="str">
        <f t="shared" ca="1" si="29"/>
        <v/>
      </c>
      <c r="AA95" s="80">
        <f t="shared" si="40"/>
        <v>68</v>
      </c>
      <c r="AB95" s="15" t="s">
        <v>279</v>
      </c>
      <c r="AC95" s="236" t="s">
        <v>279</v>
      </c>
      <c r="AD95" s="237"/>
      <c r="AE95" s="237"/>
      <c r="AF95" s="238"/>
      <c r="AG95" s="239"/>
      <c r="AH95" s="242"/>
      <c r="AI95" s="243"/>
      <c r="AJ95" s="238"/>
      <c r="AK95" s="239"/>
      <c r="AL95" s="242"/>
      <c r="AM95" s="243"/>
      <c r="AN95" s="238"/>
      <c r="AO95" s="239"/>
      <c r="AP95" s="242"/>
      <c r="AQ95" s="243"/>
      <c r="AR95" s="102"/>
    </row>
    <row r="96" spans="1:44" ht="15.75" hidden="1" x14ac:dyDescent="0.25">
      <c r="A96" s="39"/>
      <c r="B96" s="23" t="str">
        <f t="shared" si="25"/>
        <v>Caregiver Functioning - Caregiver #4_9</v>
      </c>
      <c r="C96" s="23" t="str">
        <f t="shared" si="30"/>
        <v/>
      </c>
      <c r="D96" s="23" t="str">
        <f t="shared" si="26"/>
        <v/>
      </c>
      <c r="E96" s="23" t="str">
        <f t="shared" si="26"/>
        <v/>
      </c>
      <c r="F96" s="82">
        <f t="shared" si="41"/>
        <v>6</v>
      </c>
      <c r="G96" s="23">
        <f t="shared" si="42"/>
        <v>9</v>
      </c>
      <c r="H96" s="23" t="str">
        <f t="shared" si="31"/>
        <v>CGF</v>
      </c>
      <c r="I96" s="23" t="str">
        <f t="shared" si="32"/>
        <v>CGF</v>
      </c>
      <c r="J96" s="23" t="str">
        <f t="shared" si="27"/>
        <v>Caregiver Functioning - Caregiver #4</v>
      </c>
      <c r="K96" s="93">
        <v>1</v>
      </c>
      <c r="L96" s="82" t="str">
        <f t="shared" ca="1" si="33"/>
        <v/>
      </c>
      <c r="M96" s="23" t="str">
        <f t="shared" ca="1" si="34"/>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5"/>
        <v>0</v>
      </c>
      <c r="Y96" s="24" t="str">
        <f t="shared" ca="1" si="28"/>
        <v/>
      </c>
      <c r="Z96" s="24" t="str">
        <f t="shared" ca="1" si="29"/>
        <v/>
      </c>
      <c r="AA96" s="80">
        <f t="shared" si="40"/>
        <v>69</v>
      </c>
      <c r="AB96" s="15" t="s">
        <v>41</v>
      </c>
      <c r="AC96" s="230" t="s">
        <v>41</v>
      </c>
      <c r="AD96" s="231"/>
      <c r="AE96" s="231"/>
      <c r="AF96" s="232"/>
      <c r="AG96" s="233"/>
      <c r="AH96" s="234"/>
      <c r="AI96" s="235"/>
      <c r="AJ96" s="232"/>
      <c r="AK96" s="233"/>
      <c r="AL96" s="234"/>
      <c r="AM96" s="235"/>
      <c r="AN96" s="232"/>
      <c r="AO96" s="233"/>
      <c r="AP96" s="234"/>
      <c r="AQ96" s="235"/>
      <c r="AR96" s="102"/>
    </row>
    <row r="97" spans="1:44" ht="15.75" hidden="1" x14ac:dyDescent="0.25">
      <c r="A97" s="39"/>
      <c r="B97" s="23" t="str">
        <f t="shared" si="25"/>
        <v>Caregiver Functioning - Caregiver #4_10</v>
      </c>
      <c r="C97" s="23" t="str">
        <f t="shared" si="30"/>
        <v/>
      </c>
      <c r="D97" s="23" t="str">
        <f t="shared" si="26"/>
        <v/>
      </c>
      <c r="E97" s="23" t="str">
        <f t="shared" si="26"/>
        <v/>
      </c>
      <c r="F97" s="82">
        <f t="shared" si="41"/>
        <v>6</v>
      </c>
      <c r="G97" s="23">
        <f t="shared" si="42"/>
        <v>10</v>
      </c>
      <c r="H97" s="23" t="str">
        <f t="shared" si="31"/>
        <v>CGF</v>
      </c>
      <c r="I97" s="23" t="str">
        <f t="shared" si="32"/>
        <v>CGF</v>
      </c>
      <c r="J97" s="23" t="str">
        <f t="shared" si="27"/>
        <v>Caregiver Functioning - Caregiver #4</v>
      </c>
      <c r="K97" s="93">
        <v>1</v>
      </c>
      <c r="L97" s="82" t="str">
        <f t="shared" ca="1" si="33"/>
        <v/>
      </c>
      <c r="M97" s="23" t="str">
        <f t="shared" ca="1" si="34"/>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5"/>
        <v>0</v>
      </c>
      <c r="Y97" s="24" t="str">
        <f t="shared" ca="1" si="28"/>
        <v/>
      </c>
      <c r="Z97" s="24" t="str">
        <f t="shared" ca="1" si="29"/>
        <v/>
      </c>
      <c r="AA97" s="80">
        <f t="shared" si="40"/>
        <v>70</v>
      </c>
      <c r="AB97" s="15" t="s">
        <v>280</v>
      </c>
      <c r="AC97" s="236" t="s">
        <v>280</v>
      </c>
      <c r="AD97" s="237"/>
      <c r="AE97" s="237"/>
      <c r="AF97" s="238"/>
      <c r="AG97" s="239"/>
      <c r="AH97" s="242"/>
      <c r="AI97" s="243"/>
      <c r="AJ97" s="238"/>
      <c r="AK97" s="239"/>
      <c r="AL97" s="242"/>
      <c r="AM97" s="243"/>
      <c r="AN97" s="238"/>
      <c r="AO97" s="239"/>
      <c r="AP97" s="242"/>
      <c r="AQ97" s="243"/>
      <c r="AR97" s="102"/>
    </row>
    <row r="98" spans="1:44" ht="15.75" hidden="1" x14ac:dyDescent="0.25">
      <c r="A98" s="39"/>
      <c r="B98" s="23" t="str">
        <f t="shared" si="25"/>
        <v>Caregiver Functioning - Caregiver #4_11</v>
      </c>
      <c r="C98" s="23" t="str">
        <f t="shared" si="30"/>
        <v/>
      </c>
      <c r="D98" s="23" t="str">
        <f t="shared" si="26"/>
        <v/>
      </c>
      <c r="E98" s="23" t="str">
        <f t="shared" si="26"/>
        <v/>
      </c>
      <c r="F98" s="82">
        <f t="shared" si="41"/>
        <v>6</v>
      </c>
      <c r="G98" s="23">
        <f t="shared" si="42"/>
        <v>11</v>
      </c>
      <c r="H98" s="23" t="str">
        <f t="shared" si="31"/>
        <v>CGF</v>
      </c>
      <c r="I98" s="23" t="str">
        <f t="shared" si="32"/>
        <v>CGF</v>
      </c>
      <c r="J98" s="23" t="str">
        <f t="shared" si="27"/>
        <v>Caregiver Functioning - Caregiver #4</v>
      </c>
      <c r="K98" s="93">
        <v>1</v>
      </c>
      <c r="L98" s="82" t="str">
        <f t="shared" ca="1" si="33"/>
        <v/>
      </c>
      <c r="M98" s="23" t="str">
        <f t="shared" ca="1" si="34"/>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5"/>
        <v>0</v>
      </c>
      <c r="Y98" s="24" t="str">
        <f t="shared" ca="1" si="28"/>
        <v/>
      </c>
      <c r="Z98" s="24" t="str">
        <f t="shared" ca="1" si="29"/>
        <v/>
      </c>
      <c r="AA98" s="80">
        <f t="shared" si="40"/>
        <v>71</v>
      </c>
      <c r="AB98" s="15" t="s">
        <v>281</v>
      </c>
      <c r="AC98" s="230" t="s">
        <v>281</v>
      </c>
      <c r="AD98" s="231"/>
      <c r="AE98" s="231"/>
      <c r="AF98" s="232"/>
      <c r="AG98" s="233"/>
      <c r="AH98" s="234"/>
      <c r="AI98" s="235"/>
      <c r="AJ98" s="232"/>
      <c r="AK98" s="233"/>
      <c r="AL98" s="234"/>
      <c r="AM98" s="235"/>
      <c r="AN98" s="232"/>
      <c r="AO98" s="233"/>
      <c r="AP98" s="234"/>
      <c r="AQ98" s="235"/>
      <c r="AR98" s="102"/>
    </row>
    <row r="99" spans="1:44" ht="15.75" hidden="1" x14ac:dyDescent="0.25">
      <c r="A99" s="39"/>
      <c r="B99" s="23" t="str">
        <f t="shared" si="25"/>
        <v>Caregiver Functioning - Caregiver #4_12</v>
      </c>
      <c r="C99" s="23" t="str">
        <f t="shared" si="30"/>
        <v/>
      </c>
      <c r="D99" s="23" t="str">
        <f t="shared" si="26"/>
        <v/>
      </c>
      <c r="E99" s="23" t="str">
        <f t="shared" si="26"/>
        <v/>
      </c>
      <c r="F99" s="82">
        <f t="shared" si="41"/>
        <v>6</v>
      </c>
      <c r="G99" s="23">
        <f t="shared" si="42"/>
        <v>12</v>
      </c>
      <c r="H99" s="23" t="str">
        <f t="shared" si="31"/>
        <v>CGF</v>
      </c>
      <c r="I99" s="23" t="str">
        <f t="shared" si="32"/>
        <v>CGF</v>
      </c>
      <c r="J99" s="23" t="str">
        <f t="shared" si="27"/>
        <v>Caregiver Functioning - Caregiver #4</v>
      </c>
      <c r="K99" s="93">
        <v>1</v>
      </c>
      <c r="L99" s="82" t="str">
        <f t="shared" ca="1" si="33"/>
        <v/>
      </c>
      <c r="M99" s="23" t="str">
        <f t="shared" ca="1" si="34"/>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5"/>
        <v>0</v>
      </c>
      <c r="Y99" s="24" t="str">
        <f t="shared" ca="1" si="28"/>
        <v/>
      </c>
      <c r="Z99" s="24" t="str">
        <f t="shared" ca="1" si="29"/>
        <v/>
      </c>
      <c r="AA99" s="80">
        <f t="shared" si="40"/>
        <v>72</v>
      </c>
      <c r="AB99" s="15" t="s">
        <v>282</v>
      </c>
      <c r="AC99" s="236" t="s">
        <v>282</v>
      </c>
      <c r="AD99" s="237"/>
      <c r="AE99" s="237"/>
      <c r="AF99" s="238"/>
      <c r="AG99" s="239"/>
      <c r="AH99" s="240"/>
      <c r="AI99" s="241"/>
      <c r="AJ99" s="238"/>
      <c r="AK99" s="239"/>
      <c r="AL99" s="240"/>
      <c r="AM99" s="241"/>
      <c r="AN99" s="238"/>
      <c r="AO99" s="239"/>
      <c r="AP99" s="240"/>
      <c r="AQ99" s="241"/>
      <c r="AR99" s="102"/>
    </row>
    <row r="100" spans="1:44" ht="15.75" hidden="1" x14ac:dyDescent="0.25">
      <c r="A100" s="39"/>
      <c r="B100" s="23" t="str">
        <f t="shared" si="25"/>
        <v>Caregiver Functioning - Caregiver #4_13</v>
      </c>
      <c r="C100" s="23" t="str">
        <f t="shared" si="30"/>
        <v/>
      </c>
      <c r="D100" s="23" t="str">
        <f t="shared" si="26"/>
        <v/>
      </c>
      <c r="E100" s="23" t="str">
        <f t="shared" si="26"/>
        <v/>
      </c>
      <c r="F100" s="82">
        <f t="shared" si="41"/>
        <v>6</v>
      </c>
      <c r="G100" s="23">
        <f t="shared" si="42"/>
        <v>13</v>
      </c>
      <c r="H100" s="23" t="str">
        <f t="shared" si="31"/>
        <v>CGF</v>
      </c>
      <c r="I100" s="23" t="str">
        <f t="shared" si="32"/>
        <v>CGF</v>
      </c>
      <c r="J100" s="23" t="str">
        <f t="shared" si="27"/>
        <v>Caregiver Functioning - Caregiver #4</v>
      </c>
      <c r="K100" s="93">
        <v>1</v>
      </c>
      <c r="L100" s="82" t="str">
        <f t="shared" ca="1" si="33"/>
        <v/>
      </c>
      <c r="M100" s="23" t="str">
        <f t="shared" ca="1" si="34"/>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5"/>
        <v>0</v>
      </c>
      <c r="Y100" s="24" t="str">
        <f t="shared" ca="1" si="28"/>
        <v/>
      </c>
      <c r="Z100" s="24" t="str">
        <f t="shared" ca="1" si="29"/>
        <v/>
      </c>
      <c r="AA100" s="80">
        <f t="shared" si="40"/>
        <v>73</v>
      </c>
      <c r="AB100" s="15" t="s">
        <v>283</v>
      </c>
      <c r="AC100" s="230" t="s">
        <v>283</v>
      </c>
      <c r="AD100" s="231"/>
      <c r="AE100" s="231"/>
      <c r="AF100" s="232"/>
      <c r="AG100" s="233"/>
      <c r="AH100" s="240"/>
      <c r="AI100" s="241"/>
      <c r="AJ100" s="232"/>
      <c r="AK100" s="233"/>
      <c r="AL100" s="240"/>
      <c r="AM100" s="241"/>
      <c r="AN100" s="232"/>
      <c r="AO100" s="233"/>
      <c r="AP100" s="240"/>
      <c r="AQ100" s="241"/>
      <c r="AR100" s="102"/>
    </row>
    <row r="101" spans="1:44" ht="15.75" hidden="1" x14ac:dyDescent="0.25">
      <c r="A101" s="39"/>
      <c r="B101" s="23" t="str">
        <f t="shared" si="25"/>
        <v>Caregiver Functioning - Caregiver #4_14</v>
      </c>
      <c r="C101" s="23" t="str">
        <f t="shared" si="30"/>
        <v>CGF</v>
      </c>
      <c r="D101" s="23" t="str">
        <f t="shared" si="26"/>
        <v>CGF</v>
      </c>
      <c r="E101" s="23" t="str">
        <f t="shared" si="26"/>
        <v>Caregiver Functioning - Caregiver #4</v>
      </c>
      <c r="F101" s="82">
        <f t="shared" si="41"/>
        <v>6</v>
      </c>
      <c r="G101" s="23">
        <f t="shared" si="42"/>
        <v>14</v>
      </c>
      <c r="H101" s="23" t="str">
        <f t="shared" si="31"/>
        <v>CGF</v>
      </c>
      <c r="I101" s="23" t="str">
        <f t="shared" si="32"/>
        <v>CGF</v>
      </c>
      <c r="J101" s="23" t="str">
        <f t="shared" si="27"/>
        <v>Caregiver Functioning - Caregiver #4</v>
      </c>
      <c r="K101" s="93">
        <v>1</v>
      </c>
      <c r="L101" s="82" t="str">
        <f t="shared" ca="1" si="33"/>
        <v/>
      </c>
      <c r="M101" s="23" t="str">
        <f t="shared" ca="1" si="34"/>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5"/>
        <v>0</v>
      </c>
      <c r="Y101" s="24" t="str">
        <f t="shared" ca="1" si="28"/>
        <v/>
      </c>
      <c r="Z101" s="24" t="str">
        <f t="shared" ca="1" si="29"/>
        <v/>
      </c>
      <c r="AA101" s="80">
        <f t="shared" si="40"/>
        <v>74</v>
      </c>
      <c r="AB101" s="15" t="s">
        <v>131</v>
      </c>
      <c r="AC101" s="236" t="s">
        <v>131</v>
      </c>
      <c r="AD101" s="237"/>
      <c r="AE101" s="237"/>
      <c r="AF101" s="238"/>
      <c r="AG101" s="239"/>
      <c r="AH101" s="242"/>
      <c r="AI101" s="243"/>
      <c r="AJ101" s="238"/>
      <c r="AK101" s="239"/>
      <c r="AL101" s="242"/>
      <c r="AM101" s="243"/>
      <c r="AN101" s="238"/>
      <c r="AO101" s="239"/>
      <c r="AP101" s="242"/>
      <c r="AQ101" s="243"/>
      <c r="AR101" s="102"/>
    </row>
    <row r="102" spans="1:44" ht="15.75" x14ac:dyDescent="0.25">
      <c r="A102" s="39"/>
      <c r="B102" s="23" t="str">
        <f t="shared" si="25"/>
        <v>Child Functioning -- Child #1_0</v>
      </c>
      <c r="C102" s="23" t="str">
        <f t="shared" si="30"/>
        <v/>
      </c>
      <c r="D102" s="23" t="str">
        <f t="shared" si="26"/>
        <v/>
      </c>
      <c r="E102" s="23" t="str">
        <f t="shared" si="26"/>
        <v/>
      </c>
      <c r="F102" s="82">
        <f t="shared" si="41"/>
        <v>7</v>
      </c>
      <c r="G102" s="23">
        <f t="shared" si="42"/>
        <v>0</v>
      </c>
      <c r="H102" s="23" t="str">
        <f t="shared" si="31"/>
        <v>CF</v>
      </c>
      <c r="I102" s="23" t="str">
        <f t="shared" si="32"/>
        <v>CF</v>
      </c>
      <c r="J102" s="23" t="str">
        <f t="shared" si="27"/>
        <v>Child Functioning -- Child #1</v>
      </c>
      <c r="K102" s="93">
        <v>0</v>
      </c>
      <c r="L102" s="82" t="str">
        <f t="shared" ca="1" si="33"/>
        <v/>
      </c>
      <c r="M102" s="23" t="str">
        <f t="shared" ca="1" si="34"/>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5"/>
        <v>0</v>
      </c>
      <c r="Y102" s="24" t="str">
        <f t="shared" ca="1" si="28"/>
        <v/>
      </c>
      <c r="Z102" s="24" t="str">
        <f t="shared" ca="1" si="29"/>
        <v/>
      </c>
      <c r="AA102" s="80">
        <f t="shared" si="40"/>
        <v>74</v>
      </c>
      <c r="AC102" s="224" t="s">
        <v>326</v>
      </c>
      <c r="AD102" s="225"/>
      <c r="AE102" s="225"/>
      <c r="AF102" s="226"/>
      <c r="AG102" s="227"/>
      <c r="AH102" s="228"/>
      <c r="AI102" s="229"/>
      <c r="AJ102" s="226"/>
      <c r="AK102" s="227"/>
      <c r="AL102" s="228"/>
      <c r="AM102" s="229"/>
      <c r="AN102" s="226"/>
      <c r="AO102" s="227"/>
      <c r="AP102" s="228"/>
      <c r="AQ102" s="229"/>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1"/>
        <v>CF</v>
      </c>
      <c r="I103" s="23" t="str">
        <f t="shared" si="32"/>
        <v>CF</v>
      </c>
      <c r="J103" s="23" t="str">
        <f t="shared" si="27"/>
        <v>Child Functioning -- Child #1</v>
      </c>
      <c r="K103" s="93">
        <v>2</v>
      </c>
      <c r="L103" s="82" t="str">
        <f t="shared" ca="1" si="33"/>
        <v/>
      </c>
      <c r="M103" s="23" t="str">
        <f t="shared" ca="1" si="34"/>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5"/>
        <v>0</v>
      </c>
      <c r="Y103" s="24" t="str">
        <f t="shared" ca="1" si="28"/>
        <v/>
      </c>
      <c r="Z103" s="24" t="str">
        <f t="shared" ca="1" si="29"/>
        <v/>
      </c>
      <c r="AA103" s="80">
        <f t="shared" si="40"/>
        <v>74</v>
      </c>
      <c r="AC103" s="245" t="s">
        <v>332</v>
      </c>
      <c r="AD103" s="246"/>
      <c r="AE103" s="225"/>
      <c r="AF103" s="226"/>
      <c r="AG103" s="227"/>
      <c r="AH103" s="228"/>
      <c r="AI103" s="229"/>
      <c r="AJ103" s="226"/>
      <c r="AK103" s="227"/>
      <c r="AL103" s="228"/>
      <c r="AM103" s="229"/>
      <c r="AN103" s="226"/>
      <c r="AO103" s="227"/>
      <c r="AP103" s="228"/>
      <c r="AQ103" s="229"/>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3"/>
        <v/>
      </c>
      <c r="M104" s="23" t="str">
        <f t="shared" ca="1" si="34"/>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5"/>
        <v>0</v>
      </c>
      <c r="Y104" s="24" t="str">
        <f t="shared" ca="1" si="28"/>
        <v/>
      </c>
      <c r="Z104" s="24" t="str">
        <f t="shared" ca="1" si="29"/>
        <v/>
      </c>
      <c r="AA104" s="80">
        <f t="shared" si="40"/>
        <v>74</v>
      </c>
      <c r="AC104" s="245" t="s">
        <v>917</v>
      </c>
      <c r="AD104" s="246"/>
      <c r="AE104" s="225"/>
      <c r="AF104" s="226"/>
      <c r="AG104" s="227"/>
      <c r="AH104" s="228"/>
      <c r="AI104" s="229"/>
      <c r="AJ104" s="226"/>
      <c r="AK104" s="227"/>
      <c r="AL104" s="228"/>
      <c r="AM104" s="229"/>
      <c r="AN104" s="226"/>
      <c r="AO104" s="227"/>
      <c r="AP104" s="228"/>
      <c r="AQ104" s="229"/>
      <c r="AR104" s="102"/>
    </row>
    <row r="105" spans="1:44" ht="15.75" x14ac:dyDescent="0.25">
      <c r="A105" s="39"/>
      <c r="B105" s="23" t="str">
        <f t="shared" si="25"/>
        <v>Child Functioning -- Child #1_1</v>
      </c>
      <c r="C105" s="23" t="str">
        <f t="shared" si="30"/>
        <v/>
      </c>
      <c r="D105" s="23" t="str">
        <f t="shared" si="26"/>
        <v/>
      </c>
      <c r="E105" s="23" t="str">
        <f t="shared" si="26"/>
        <v/>
      </c>
      <c r="F105" s="82">
        <f>IF(K105=0, IF(ISNUMBER(F103), F103+1, 1), F103)</f>
        <v>7</v>
      </c>
      <c r="G105" s="23">
        <f>IF(K105=0, 0, IF(K105=1, G103+1, G103))</f>
        <v>1</v>
      </c>
      <c r="H105" s="23" t="str">
        <f t="shared" si="31"/>
        <v>CF</v>
      </c>
      <c r="I105" s="23" t="str">
        <f t="shared" si="32"/>
        <v>CF</v>
      </c>
      <c r="J105" s="23" t="str">
        <f>IF(K105=0, AC105, J103)</f>
        <v>Child Functioning -- Child #1</v>
      </c>
      <c r="K105" s="93">
        <v>1</v>
      </c>
      <c r="L105" s="82" t="str">
        <f t="shared" ca="1" si="33"/>
        <v/>
      </c>
      <c r="M105" s="23" t="str">
        <f t="shared" ca="1" si="34"/>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5"/>
        <v>0</v>
      </c>
      <c r="Y105" s="24" t="str">
        <f t="shared" ca="1" si="28"/>
        <v/>
      </c>
      <c r="Z105" s="24" t="str">
        <f t="shared" ca="1" si="29"/>
        <v/>
      </c>
      <c r="AA105" s="80">
        <f>AA103+IF(AB105=0, 0, 1)</f>
        <v>75</v>
      </c>
      <c r="AB105" s="15" t="s">
        <v>284</v>
      </c>
      <c r="AC105" s="230" t="s">
        <v>284</v>
      </c>
      <c r="AD105" s="231"/>
      <c r="AE105" s="231"/>
      <c r="AF105" s="232"/>
      <c r="AG105" s="233"/>
      <c r="AH105" s="240"/>
      <c r="AI105" s="241"/>
      <c r="AJ105" s="232"/>
      <c r="AK105" s="233"/>
      <c r="AL105" s="240"/>
      <c r="AM105" s="241"/>
      <c r="AN105" s="232"/>
      <c r="AO105" s="233"/>
      <c r="AP105" s="240"/>
      <c r="AQ105" s="241"/>
      <c r="AR105" s="102"/>
    </row>
    <row r="106" spans="1:44" ht="15.75" x14ac:dyDescent="0.25">
      <c r="A106" s="39"/>
      <c r="B106" s="23" t="str">
        <f t="shared" si="25"/>
        <v>Child Functioning -- Child #1_2</v>
      </c>
      <c r="C106" s="23" t="str">
        <f t="shared" si="30"/>
        <v/>
      </c>
      <c r="D106" s="23" t="str">
        <f t="shared" si="26"/>
        <v/>
      </c>
      <c r="E106" s="23" t="str">
        <f t="shared" si="26"/>
        <v/>
      </c>
      <c r="F106" s="82">
        <f t="shared" si="41"/>
        <v>7</v>
      </c>
      <c r="G106" s="23">
        <f t="shared" si="42"/>
        <v>2</v>
      </c>
      <c r="H106" s="23" t="str">
        <f t="shared" si="31"/>
        <v>CF</v>
      </c>
      <c r="I106" s="23" t="str">
        <f t="shared" si="32"/>
        <v>CF</v>
      </c>
      <c r="J106" s="23" t="str">
        <f t="shared" ref="J106:J122" si="44">IF(K106=0, AC106, J105)</f>
        <v>Child Functioning -- Child #1</v>
      </c>
      <c r="K106" s="93">
        <v>1</v>
      </c>
      <c r="L106" s="82" t="str">
        <f t="shared" ca="1" si="33"/>
        <v/>
      </c>
      <c r="M106" s="23" t="str">
        <f t="shared" ca="1" si="34"/>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5"/>
        <v>0</v>
      </c>
      <c r="Y106" s="24" t="str">
        <f t="shared" ca="1" si="28"/>
        <v/>
      </c>
      <c r="Z106" s="24" t="str">
        <f t="shared" ca="1" si="29"/>
        <v/>
      </c>
      <c r="AA106" s="80">
        <f t="shared" ref="AA106:AA122" si="45">AA105+IF(AB106=0, 0, 1)</f>
        <v>76</v>
      </c>
      <c r="AB106" s="15" t="s">
        <v>285</v>
      </c>
      <c r="AC106" s="236" t="s">
        <v>285</v>
      </c>
      <c r="AD106" s="237"/>
      <c r="AE106" s="237"/>
      <c r="AF106" s="238"/>
      <c r="AG106" s="239"/>
      <c r="AH106" s="242"/>
      <c r="AI106" s="243"/>
      <c r="AJ106" s="238"/>
      <c r="AK106" s="239"/>
      <c r="AL106" s="242"/>
      <c r="AM106" s="243"/>
      <c r="AN106" s="238"/>
      <c r="AO106" s="239"/>
      <c r="AP106" s="242"/>
      <c r="AQ106" s="243"/>
      <c r="AR106" s="102"/>
    </row>
    <row r="107" spans="1:44" ht="15.75" x14ac:dyDescent="0.25">
      <c r="A107" s="39"/>
      <c r="B107" s="23" t="str">
        <f t="shared" si="25"/>
        <v>Child Functioning -- Child #1_3</v>
      </c>
      <c r="C107" s="23" t="str">
        <f t="shared" si="30"/>
        <v/>
      </c>
      <c r="D107" s="23" t="str">
        <f t="shared" si="26"/>
        <v/>
      </c>
      <c r="E107" s="23" t="str">
        <f t="shared" si="26"/>
        <v/>
      </c>
      <c r="F107" s="82">
        <f t="shared" si="41"/>
        <v>7</v>
      </c>
      <c r="G107" s="23">
        <f t="shared" si="42"/>
        <v>3</v>
      </c>
      <c r="H107" s="23" t="str">
        <f t="shared" si="31"/>
        <v>CF</v>
      </c>
      <c r="I107" s="23" t="str">
        <f t="shared" si="32"/>
        <v>CF</v>
      </c>
      <c r="J107" s="23" t="str">
        <f t="shared" si="44"/>
        <v>Child Functioning -- Child #1</v>
      </c>
      <c r="K107" s="93">
        <v>1</v>
      </c>
      <c r="L107" s="82" t="str">
        <f t="shared" ca="1" si="33"/>
        <v/>
      </c>
      <c r="M107" s="23" t="str">
        <f t="shared" ca="1" si="34"/>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5"/>
        <v>0</v>
      </c>
      <c r="Y107" s="24" t="str">
        <f t="shared" ca="1" si="28"/>
        <v/>
      </c>
      <c r="Z107" s="24" t="str">
        <f t="shared" ca="1" si="29"/>
        <v/>
      </c>
      <c r="AA107" s="80">
        <f t="shared" si="45"/>
        <v>77</v>
      </c>
      <c r="AB107" s="15" t="s">
        <v>287</v>
      </c>
      <c r="AC107" s="230" t="s">
        <v>287</v>
      </c>
      <c r="AD107" s="231"/>
      <c r="AE107" s="231"/>
      <c r="AF107" s="232"/>
      <c r="AG107" s="233"/>
      <c r="AH107" s="234"/>
      <c r="AI107" s="235"/>
      <c r="AJ107" s="232"/>
      <c r="AK107" s="233"/>
      <c r="AL107" s="234"/>
      <c r="AM107" s="235"/>
      <c r="AN107" s="232"/>
      <c r="AO107" s="233"/>
      <c r="AP107" s="234"/>
      <c r="AQ107" s="235"/>
      <c r="AR107" s="102"/>
    </row>
    <row r="108" spans="1:44" ht="15.75" x14ac:dyDescent="0.25">
      <c r="A108" s="39"/>
      <c r="B108" s="23" t="str">
        <f t="shared" si="25"/>
        <v>Child Functioning -- Child #1_4</v>
      </c>
      <c r="C108" s="23" t="str">
        <f t="shared" si="30"/>
        <v/>
      </c>
      <c r="D108" s="23" t="str">
        <f t="shared" si="26"/>
        <v/>
      </c>
      <c r="E108" s="23" t="str">
        <f t="shared" si="26"/>
        <v/>
      </c>
      <c r="F108" s="82">
        <f t="shared" si="41"/>
        <v>7</v>
      </c>
      <c r="G108" s="23">
        <f t="shared" si="42"/>
        <v>4</v>
      </c>
      <c r="H108" s="23" t="str">
        <f t="shared" si="31"/>
        <v>CF</v>
      </c>
      <c r="I108" s="23" t="str">
        <f t="shared" si="32"/>
        <v>CF</v>
      </c>
      <c r="J108" s="23" t="str">
        <f t="shared" si="44"/>
        <v>Child Functioning -- Child #1</v>
      </c>
      <c r="K108" s="93">
        <v>1</v>
      </c>
      <c r="L108" s="82" t="str">
        <f t="shared" ca="1" si="33"/>
        <v/>
      </c>
      <c r="M108" s="23" t="str">
        <f t="shared" ca="1" si="34"/>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5"/>
        <v>0</v>
      </c>
      <c r="Y108" s="24" t="str">
        <f t="shared" ca="1" si="28"/>
        <v/>
      </c>
      <c r="Z108" s="24" t="str">
        <f t="shared" ca="1" si="29"/>
        <v/>
      </c>
      <c r="AA108" s="80">
        <f t="shared" si="45"/>
        <v>78</v>
      </c>
      <c r="AB108" s="15" t="s">
        <v>482</v>
      </c>
      <c r="AC108" s="236" t="s">
        <v>286</v>
      </c>
      <c r="AD108" s="237"/>
      <c r="AE108" s="237"/>
      <c r="AF108" s="238"/>
      <c r="AG108" s="239"/>
      <c r="AH108" s="242"/>
      <c r="AI108" s="243"/>
      <c r="AJ108" s="238"/>
      <c r="AK108" s="239"/>
      <c r="AL108" s="242"/>
      <c r="AM108" s="243"/>
      <c r="AN108" s="238"/>
      <c r="AO108" s="239"/>
      <c r="AP108" s="242"/>
      <c r="AQ108" s="243"/>
      <c r="AR108" s="102"/>
    </row>
    <row r="109" spans="1:44" ht="15.75" x14ac:dyDescent="0.25">
      <c r="A109" s="39"/>
      <c r="B109" s="23" t="str">
        <f t="shared" si="25"/>
        <v>Child Functioning -- Child #1_5</v>
      </c>
      <c r="C109" s="23" t="str">
        <f t="shared" si="30"/>
        <v/>
      </c>
      <c r="D109" s="23" t="str">
        <f t="shared" si="26"/>
        <v/>
      </c>
      <c r="E109" s="23" t="str">
        <f t="shared" si="26"/>
        <v/>
      </c>
      <c r="F109" s="82">
        <f t="shared" si="41"/>
        <v>7</v>
      </c>
      <c r="G109" s="23">
        <f t="shared" si="42"/>
        <v>5</v>
      </c>
      <c r="H109" s="23" t="str">
        <f t="shared" si="31"/>
        <v>CF</v>
      </c>
      <c r="I109" s="23" t="str">
        <f t="shared" si="32"/>
        <v>CF</v>
      </c>
      <c r="J109" s="23" t="str">
        <f t="shared" si="44"/>
        <v>Child Functioning -- Child #1</v>
      </c>
      <c r="K109" s="93">
        <v>1</v>
      </c>
      <c r="L109" s="82" t="str">
        <f t="shared" ca="1" si="33"/>
        <v/>
      </c>
      <c r="M109" s="23" t="str">
        <f t="shared" ca="1" si="34"/>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5"/>
        <v>0</v>
      </c>
      <c r="Y109" s="24" t="str">
        <f t="shared" ca="1" si="28"/>
        <v/>
      </c>
      <c r="Z109" s="24" t="str">
        <f t="shared" ca="1" si="29"/>
        <v/>
      </c>
      <c r="AA109" s="80">
        <f t="shared" si="45"/>
        <v>79</v>
      </c>
      <c r="AB109" s="15" t="s">
        <v>288</v>
      </c>
      <c r="AC109" s="230" t="s">
        <v>288</v>
      </c>
      <c r="AD109" s="231"/>
      <c r="AE109" s="231"/>
      <c r="AF109" s="232"/>
      <c r="AG109" s="233"/>
      <c r="AH109" s="234"/>
      <c r="AI109" s="235"/>
      <c r="AJ109" s="232"/>
      <c r="AK109" s="233"/>
      <c r="AL109" s="234"/>
      <c r="AM109" s="235"/>
      <c r="AN109" s="232"/>
      <c r="AO109" s="233"/>
      <c r="AP109" s="234"/>
      <c r="AQ109" s="235"/>
      <c r="AR109" s="102"/>
    </row>
    <row r="110" spans="1:44" ht="15.75" x14ac:dyDescent="0.25">
      <c r="A110" s="39"/>
      <c r="B110" s="23" t="str">
        <f t="shared" si="25"/>
        <v>Child Functioning -- Child #1_6</v>
      </c>
      <c r="C110" s="23" t="str">
        <f t="shared" si="30"/>
        <v/>
      </c>
      <c r="D110" s="23" t="str">
        <f t="shared" si="26"/>
        <v/>
      </c>
      <c r="E110" s="23" t="str">
        <f t="shared" si="26"/>
        <v/>
      </c>
      <c r="F110" s="82">
        <f t="shared" si="41"/>
        <v>7</v>
      </c>
      <c r="G110" s="23">
        <f t="shared" si="42"/>
        <v>6</v>
      </c>
      <c r="H110" s="23" t="str">
        <f t="shared" si="31"/>
        <v>CF</v>
      </c>
      <c r="I110" s="23" t="str">
        <f t="shared" si="32"/>
        <v>CF</v>
      </c>
      <c r="J110" s="23" t="str">
        <f t="shared" si="44"/>
        <v>Child Functioning -- Child #1</v>
      </c>
      <c r="K110" s="93">
        <v>1</v>
      </c>
      <c r="L110" s="82" t="str">
        <f t="shared" ca="1" si="33"/>
        <v/>
      </c>
      <c r="M110" s="23" t="str">
        <f t="shared" ca="1" si="34"/>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5"/>
        <v>0</v>
      </c>
      <c r="Y110" s="24" t="str">
        <f t="shared" ca="1" si="28"/>
        <v/>
      </c>
      <c r="Z110" s="24" t="str">
        <f t="shared" ca="1" si="29"/>
        <v/>
      </c>
      <c r="AA110" s="80">
        <f t="shared" si="45"/>
        <v>80</v>
      </c>
      <c r="AB110" s="15" t="s">
        <v>289</v>
      </c>
      <c r="AC110" s="236" t="s">
        <v>289</v>
      </c>
      <c r="AD110" s="237"/>
      <c r="AE110" s="237"/>
      <c r="AF110" s="238"/>
      <c r="AG110" s="239"/>
      <c r="AH110" s="242"/>
      <c r="AI110" s="243"/>
      <c r="AJ110" s="238"/>
      <c r="AK110" s="239"/>
      <c r="AL110" s="242"/>
      <c r="AM110" s="243"/>
      <c r="AN110" s="238"/>
      <c r="AO110" s="239"/>
      <c r="AP110" s="242"/>
      <c r="AQ110" s="243"/>
      <c r="AR110" s="102"/>
    </row>
    <row r="111" spans="1:44" ht="15.75" x14ac:dyDescent="0.25">
      <c r="A111" s="39"/>
      <c r="B111" s="23" t="str">
        <f t="shared" si="25"/>
        <v>Child Functioning -- Child #1_7</v>
      </c>
      <c r="C111" s="23" t="str">
        <f t="shared" si="30"/>
        <v/>
      </c>
      <c r="D111" s="23" t="str">
        <f t="shared" si="26"/>
        <v/>
      </c>
      <c r="E111" s="23" t="str">
        <f t="shared" si="26"/>
        <v/>
      </c>
      <c r="F111" s="82">
        <f t="shared" si="41"/>
        <v>7</v>
      </c>
      <c r="G111" s="23">
        <f t="shared" si="42"/>
        <v>7</v>
      </c>
      <c r="H111" s="23" t="str">
        <f t="shared" si="31"/>
        <v>CF</v>
      </c>
      <c r="I111" s="23" t="str">
        <f t="shared" si="32"/>
        <v>CF</v>
      </c>
      <c r="J111" s="23" t="str">
        <f t="shared" si="44"/>
        <v>Child Functioning -- Child #1</v>
      </c>
      <c r="K111" s="93">
        <v>1</v>
      </c>
      <c r="L111" s="82" t="str">
        <f t="shared" ca="1" si="33"/>
        <v/>
      </c>
      <c r="M111" s="23" t="str">
        <f t="shared" ca="1" si="34"/>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5"/>
        <v>0</v>
      </c>
      <c r="Y111" s="24" t="str">
        <f t="shared" ca="1" si="28"/>
        <v/>
      </c>
      <c r="Z111" s="24" t="str">
        <f t="shared" ca="1" si="29"/>
        <v/>
      </c>
      <c r="AA111" s="80">
        <f t="shared" si="45"/>
        <v>81</v>
      </c>
      <c r="AB111" s="15" t="s">
        <v>132</v>
      </c>
      <c r="AC111" s="230" t="s">
        <v>132</v>
      </c>
      <c r="AD111" s="231"/>
      <c r="AE111" s="231"/>
      <c r="AF111" s="232"/>
      <c r="AG111" s="233"/>
      <c r="AH111" s="234"/>
      <c r="AI111" s="235"/>
      <c r="AJ111" s="232"/>
      <c r="AK111" s="233"/>
      <c r="AL111" s="234"/>
      <c r="AM111" s="235"/>
      <c r="AN111" s="232"/>
      <c r="AO111" s="233"/>
      <c r="AP111" s="234"/>
      <c r="AQ111" s="235"/>
      <c r="AR111" s="102"/>
    </row>
    <row r="112" spans="1:44" ht="15.75" x14ac:dyDescent="0.25">
      <c r="A112" s="39"/>
      <c r="B112" s="23" t="str">
        <f t="shared" si="25"/>
        <v>Child Functioning -- Child #1_8</v>
      </c>
      <c r="C112" s="23" t="str">
        <f t="shared" si="30"/>
        <v/>
      </c>
      <c r="D112" s="23" t="str">
        <f t="shared" si="26"/>
        <v/>
      </c>
      <c r="E112" s="23" t="str">
        <f t="shared" si="26"/>
        <v/>
      </c>
      <c r="F112" s="82">
        <f t="shared" si="41"/>
        <v>7</v>
      </c>
      <c r="G112" s="23">
        <f t="shared" si="42"/>
        <v>8</v>
      </c>
      <c r="H112" s="23" t="str">
        <f t="shared" si="31"/>
        <v>CF</v>
      </c>
      <c r="I112" s="23" t="str">
        <f t="shared" si="32"/>
        <v>CF</v>
      </c>
      <c r="J112" s="23" t="str">
        <f t="shared" si="44"/>
        <v>Child Functioning -- Child #1</v>
      </c>
      <c r="K112" s="93">
        <v>1</v>
      </c>
      <c r="L112" s="82" t="str">
        <f t="shared" ca="1" si="33"/>
        <v/>
      </c>
      <c r="M112" s="23" t="str">
        <f t="shared" ca="1" si="34"/>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5"/>
        <v>0</v>
      </c>
      <c r="Y112" s="24" t="str">
        <f t="shared" ca="1" si="28"/>
        <v/>
      </c>
      <c r="Z112" s="24" t="str">
        <f t="shared" ca="1" si="29"/>
        <v/>
      </c>
      <c r="AA112" s="80">
        <f t="shared" si="45"/>
        <v>82</v>
      </c>
      <c r="AB112" s="15" t="s">
        <v>290</v>
      </c>
      <c r="AC112" s="236" t="s">
        <v>290</v>
      </c>
      <c r="AD112" s="237"/>
      <c r="AE112" s="237"/>
      <c r="AF112" s="238"/>
      <c r="AG112" s="239"/>
      <c r="AH112" s="242"/>
      <c r="AI112" s="243"/>
      <c r="AJ112" s="238"/>
      <c r="AK112" s="239"/>
      <c r="AL112" s="242"/>
      <c r="AM112" s="243"/>
      <c r="AN112" s="238"/>
      <c r="AO112" s="239"/>
      <c r="AP112" s="242"/>
      <c r="AQ112" s="243"/>
      <c r="AR112" s="102"/>
    </row>
    <row r="113" spans="1:44" ht="15.75" x14ac:dyDescent="0.25">
      <c r="A113" s="39"/>
      <c r="B113" s="23" t="str">
        <f t="shared" si="25"/>
        <v>Child Functioning -- Child #1_9</v>
      </c>
      <c r="C113" s="23" t="str">
        <f t="shared" si="30"/>
        <v/>
      </c>
      <c r="D113" s="23" t="str">
        <f t="shared" si="26"/>
        <v/>
      </c>
      <c r="E113" s="23" t="str">
        <f t="shared" si="26"/>
        <v/>
      </c>
      <c r="F113" s="82">
        <f t="shared" si="41"/>
        <v>7</v>
      </c>
      <c r="G113" s="23">
        <f t="shared" si="42"/>
        <v>9</v>
      </c>
      <c r="H113" s="23" t="str">
        <f t="shared" si="31"/>
        <v>CF</v>
      </c>
      <c r="I113" s="23" t="str">
        <f t="shared" si="32"/>
        <v>CF</v>
      </c>
      <c r="J113" s="23" t="str">
        <f t="shared" si="44"/>
        <v>Child Functioning -- Child #1</v>
      </c>
      <c r="K113" s="93">
        <v>1</v>
      </c>
      <c r="L113" s="82" t="str">
        <f t="shared" ca="1" si="33"/>
        <v/>
      </c>
      <c r="M113" s="23" t="str">
        <f t="shared" ca="1" si="34"/>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5"/>
        <v>0</v>
      </c>
      <c r="Y113" s="24" t="str">
        <f t="shared" ca="1" si="28"/>
        <v/>
      </c>
      <c r="Z113" s="24" t="str">
        <f t="shared" ca="1" si="29"/>
        <v/>
      </c>
      <c r="AA113" s="80">
        <f t="shared" si="45"/>
        <v>83</v>
      </c>
      <c r="AB113" s="15" t="s">
        <v>291</v>
      </c>
      <c r="AC113" s="230" t="s">
        <v>291</v>
      </c>
      <c r="AD113" s="231"/>
      <c r="AE113" s="231"/>
      <c r="AF113" s="232"/>
      <c r="AG113" s="233"/>
      <c r="AH113" s="234"/>
      <c r="AI113" s="235"/>
      <c r="AJ113" s="232"/>
      <c r="AK113" s="233"/>
      <c r="AL113" s="234"/>
      <c r="AM113" s="235"/>
      <c r="AN113" s="232"/>
      <c r="AO113" s="233"/>
      <c r="AP113" s="234"/>
      <c r="AQ113" s="235"/>
      <c r="AR113" s="102"/>
    </row>
    <row r="114" spans="1:44" ht="15.75" x14ac:dyDescent="0.25">
      <c r="A114" s="39"/>
      <c r="B114" s="23" t="str">
        <f t="shared" si="25"/>
        <v>Child Functioning -- Child #1_10</v>
      </c>
      <c r="C114" s="23" t="str">
        <f t="shared" si="30"/>
        <v/>
      </c>
      <c r="D114" s="23" t="str">
        <f t="shared" si="26"/>
        <v/>
      </c>
      <c r="E114" s="23" t="str">
        <f t="shared" si="26"/>
        <v/>
      </c>
      <c r="F114" s="82">
        <f t="shared" si="41"/>
        <v>7</v>
      </c>
      <c r="G114" s="23">
        <f t="shared" si="42"/>
        <v>10</v>
      </c>
      <c r="H114" s="23" t="str">
        <f t="shared" si="31"/>
        <v>CF</v>
      </c>
      <c r="I114" s="23" t="str">
        <f t="shared" si="32"/>
        <v>CF</v>
      </c>
      <c r="J114" s="23" t="str">
        <f t="shared" si="44"/>
        <v>Child Functioning -- Child #1</v>
      </c>
      <c r="K114" s="93">
        <v>1</v>
      </c>
      <c r="L114" s="82" t="str">
        <f t="shared" ca="1" si="33"/>
        <v/>
      </c>
      <c r="M114" s="23" t="str">
        <f t="shared" ca="1" si="34"/>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5"/>
        <v>0</v>
      </c>
      <c r="Y114" s="24" t="str">
        <f t="shared" ca="1" si="28"/>
        <v/>
      </c>
      <c r="Z114" s="24" t="str">
        <f t="shared" ca="1" si="29"/>
        <v/>
      </c>
      <c r="AA114" s="80">
        <f t="shared" si="45"/>
        <v>84</v>
      </c>
      <c r="AB114" s="15" t="s">
        <v>292</v>
      </c>
      <c r="AC114" s="236" t="s">
        <v>292</v>
      </c>
      <c r="AD114" s="237"/>
      <c r="AE114" s="237"/>
      <c r="AF114" s="238"/>
      <c r="AG114" s="239"/>
      <c r="AH114" s="240"/>
      <c r="AI114" s="241"/>
      <c r="AJ114" s="238"/>
      <c r="AK114" s="239"/>
      <c r="AL114" s="240"/>
      <c r="AM114" s="241"/>
      <c r="AN114" s="238"/>
      <c r="AO114" s="239"/>
      <c r="AP114" s="240"/>
      <c r="AQ114" s="241"/>
      <c r="AR114" s="102"/>
    </row>
    <row r="115" spans="1:44" ht="15.75" x14ac:dyDescent="0.25">
      <c r="A115" s="39"/>
      <c r="B115" s="23" t="str">
        <f t="shared" si="25"/>
        <v>Child Functioning -- Child #1_11</v>
      </c>
      <c r="C115" s="23" t="str">
        <f t="shared" si="30"/>
        <v/>
      </c>
      <c r="D115" s="23" t="str">
        <f t="shared" si="26"/>
        <v/>
      </c>
      <c r="E115" s="23" t="str">
        <f t="shared" si="26"/>
        <v/>
      </c>
      <c r="F115" s="82">
        <f t="shared" si="41"/>
        <v>7</v>
      </c>
      <c r="G115" s="23">
        <f t="shared" si="42"/>
        <v>11</v>
      </c>
      <c r="H115" s="23" t="str">
        <f t="shared" si="31"/>
        <v>CF</v>
      </c>
      <c r="I115" s="23" t="str">
        <f t="shared" si="32"/>
        <v>CF</v>
      </c>
      <c r="J115" s="23" t="str">
        <f t="shared" si="44"/>
        <v>Child Functioning -- Child #1</v>
      </c>
      <c r="K115" s="93">
        <v>1</v>
      </c>
      <c r="L115" s="82" t="str">
        <f t="shared" ca="1" si="33"/>
        <v/>
      </c>
      <c r="M115" s="23" t="str">
        <f t="shared" ca="1" si="34"/>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293</v>
      </c>
      <c r="AC115" s="230" t="s">
        <v>293</v>
      </c>
      <c r="AD115" s="231"/>
      <c r="AE115" s="231"/>
      <c r="AF115" s="232"/>
      <c r="AG115" s="233"/>
      <c r="AH115" s="240"/>
      <c r="AI115" s="241"/>
      <c r="AJ115" s="232"/>
      <c r="AK115" s="233"/>
      <c r="AL115" s="240"/>
      <c r="AM115" s="241"/>
      <c r="AN115" s="232"/>
      <c r="AO115" s="233"/>
      <c r="AP115" s="240"/>
      <c r="AQ115" s="241"/>
      <c r="AR115" s="102"/>
    </row>
    <row r="116" spans="1:44" ht="15.75" x14ac:dyDescent="0.25">
      <c r="A116" s="39"/>
      <c r="B116" s="23" t="str">
        <f t="shared" si="25"/>
        <v>Child Functioning -- Child #1_12</v>
      </c>
      <c r="C116" s="23" t="str">
        <f t="shared" si="30"/>
        <v/>
      </c>
      <c r="D116" s="23" t="str">
        <f t="shared" si="26"/>
        <v/>
      </c>
      <c r="E116" s="23" t="str">
        <f t="shared" si="26"/>
        <v/>
      </c>
      <c r="F116" s="82">
        <f t="shared" si="41"/>
        <v>7</v>
      </c>
      <c r="G116" s="23">
        <f t="shared" si="42"/>
        <v>12</v>
      </c>
      <c r="H116" s="23" t="str">
        <f t="shared" si="31"/>
        <v>CF</v>
      </c>
      <c r="I116" s="23" t="str">
        <f t="shared" si="32"/>
        <v>CF</v>
      </c>
      <c r="J116" s="23" t="str">
        <f t="shared" si="44"/>
        <v>Child Functioning -- Child #1</v>
      </c>
      <c r="K116" s="93">
        <v>1</v>
      </c>
      <c r="L116" s="82" t="str">
        <f t="shared" ca="1" si="33"/>
        <v/>
      </c>
      <c r="M116" s="23" t="str">
        <f t="shared" ca="1" si="34"/>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294</v>
      </c>
      <c r="AC116" s="236" t="s">
        <v>294</v>
      </c>
      <c r="AD116" s="237"/>
      <c r="AE116" s="237"/>
      <c r="AF116" s="238"/>
      <c r="AG116" s="239"/>
      <c r="AH116" s="242"/>
      <c r="AI116" s="243"/>
      <c r="AJ116" s="238"/>
      <c r="AK116" s="239"/>
      <c r="AL116" s="242"/>
      <c r="AM116" s="243"/>
      <c r="AN116" s="238"/>
      <c r="AO116" s="239"/>
      <c r="AP116" s="242"/>
      <c r="AQ116" s="243"/>
      <c r="AR116" s="102"/>
    </row>
    <row r="117" spans="1:44" ht="15.75" x14ac:dyDescent="0.25">
      <c r="A117" s="39"/>
      <c r="B117" s="23" t="str">
        <f t="shared" si="25"/>
        <v>Child Functioning -- Child #1_13</v>
      </c>
      <c r="C117" s="23" t="str">
        <f t="shared" si="30"/>
        <v/>
      </c>
      <c r="D117" s="23" t="str">
        <f t="shared" si="26"/>
        <v/>
      </c>
      <c r="E117" s="23" t="str">
        <f t="shared" si="26"/>
        <v/>
      </c>
      <c r="F117" s="82">
        <f t="shared" si="41"/>
        <v>7</v>
      </c>
      <c r="G117" s="23">
        <f t="shared" si="42"/>
        <v>13</v>
      </c>
      <c r="H117" s="23" t="str">
        <f t="shared" si="31"/>
        <v>CF</v>
      </c>
      <c r="I117" s="23" t="str">
        <f t="shared" si="32"/>
        <v>CF</v>
      </c>
      <c r="J117" s="23" t="str">
        <f t="shared" si="44"/>
        <v>Child Functioning -- Child #1</v>
      </c>
      <c r="K117" s="93">
        <v>1</v>
      </c>
      <c r="L117" s="82" t="str">
        <f t="shared" ca="1" si="33"/>
        <v/>
      </c>
      <c r="M117" s="23" t="str">
        <f t="shared" ca="1" si="34"/>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30" t="s">
        <v>5</v>
      </c>
      <c r="AD117" s="231"/>
      <c r="AE117" s="231"/>
      <c r="AF117" s="232"/>
      <c r="AG117" s="233"/>
      <c r="AH117" s="234"/>
      <c r="AI117" s="235"/>
      <c r="AJ117" s="232"/>
      <c r="AK117" s="233"/>
      <c r="AL117" s="234"/>
      <c r="AM117" s="235"/>
      <c r="AN117" s="232"/>
      <c r="AO117" s="233"/>
      <c r="AP117" s="234"/>
      <c r="AQ117" s="235"/>
      <c r="AR117" s="102"/>
    </row>
    <row r="118" spans="1:44" ht="15.75" x14ac:dyDescent="0.25">
      <c r="A118" s="39"/>
      <c r="B118" s="23" t="str">
        <f t="shared" si="25"/>
        <v>Child Functioning -- Child #1_14</v>
      </c>
      <c r="C118" s="23" t="str">
        <f t="shared" si="30"/>
        <v/>
      </c>
      <c r="D118" s="23" t="str">
        <f t="shared" si="26"/>
        <v/>
      </c>
      <c r="E118" s="23" t="str">
        <f t="shared" si="26"/>
        <v/>
      </c>
      <c r="F118" s="82">
        <f t="shared" si="41"/>
        <v>7</v>
      </c>
      <c r="G118" s="23">
        <f t="shared" si="42"/>
        <v>14</v>
      </c>
      <c r="H118" s="23" t="str">
        <f t="shared" si="31"/>
        <v>CF</v>
      </c>
      <c r="I118" s="23" t="str">
        <f t="shared" si="32"/>
        <v>CF</v>
      </c>
      <c r="J118" s="23" t="str">
        <f t="shared" si="44"/>
        <v>Child Functioning -- Child #1</v>
      </c>
      <c r="K118" s="93">
        <v>1</v>
      </c>
      <c r="L118" s="82" t="str">
        <f t="shared" ca="1" si="33"/>
        <v/>
      </c>
      <c r="M118" s="23" t="str">
        <f t="shared" ca="1" si="34"/>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295</v>
      </c>
      <c r="AC118" s="236" t="s">
        <v>295</v>
      </c>
      <c r="AD118" s="237"/>
      <c r="AE118" s="237"/>
      <c r="AF118" s="238"/>
      <c r="AG118" s="239"/>
      <c r="AH118" s="242"/>
      <c r="AI118" s="243"/>
      <c r="AJ118" s="238"/>
      <c r="AK118" s="239"/>
      <c r="AL118" s="242"/>
      <c r="AM118" s="243"/>
      <c r="AN118" s="238"/>
      <c r="AO118" s="239"/>
      <c r="AP118" s="242"/>
      <c r="AQ118" s="243"/>
      <c r="AR118" s="102"/>
    </row>
    <row r="119" spans="1:44" ht="15.75" x14ac:dyDescent="0.25">
      <c r="A119" s="39"/>
      <c r="B119" s="23" t="str">
        <f t="shared" si="25"/>
        <v>Child Functioning -- Child #1_15</v>
      </c>
      <c r="C119" s="23" t="str">
        <f t="shared" si="30"/>
        <v/>
      </c>
      <c r="D119" s="23" t="str">
        <f t="shared" si="26"/>
        <v/>
      </c>
      <c r="E119" s="23" t="str">
        <f t="shared" si="26"/>
        <v>Child Functioning -- Child #1</v>
      </c>
      <c r="F119" s="82">
        <f t="shared" si="41"/>
        <v>7</v>
      </c>
      <c r="G119" s="23">
        <f t="shared" si="42"/>
        <v>15</v>
      </c>
      <c r="H119" s="23" t="str">
        <f t="shared" si="31"/>
        <v>CF</v>
      </c>
      <c r="I119" s="23" t="str">
        <f t="shared" si="32"/>
        <v>CF</v>
      </c>
      <c r="J119" s="23" t="str">
        <f t="shared" si="44"/>
        <v>Child Functioning -- Child #1</v>
      </c>
      <c r="K119" s="93">
        <v>1</v>
      </c>
      <c r="L119" s="82" t="str">
        <f t="shared" ca="1" si="33"/>
        <v/>
      </c>
      <c r="M119" s="23" t="str">
        <f t="shared" ca="1" si="34"/>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30" t="s">
        <v>32</v>
      </c>
      <c r="AD119" s="231"/>
      <c r="AE119" s="231"/>
      <c r="AF119" s="232"/>
      <c r="AG119" s="233"/>
      <c r="AH119" s="240"/>
      <c r="AI119" s="241"/>
      <c r="AJ119" s="232"/>
      <c r="AK119" s="233"/>
      <c r="AL119" s="240"/>
      <c r="AM119" s="241"/>
      <c r="AN119" s="232"/>
      <c r="AO119" s="233"/>
      <c r="AP119" s="240"/>
      <c r="AQ119" s="241"/>
      <c r="AR119" s="102"/>
    </row>
    <row r="120" spans="1:44" ht="15.75" hidden="1" x14ac:dyDescent="0.25">
      <c r="A120" s="39"/>
      <c r="B120" s="23" t="str">
        <f t="shared" si="25"/>
        <v>Child Functioning -- Child #2_0</v>
      </c>
      <c r="C120" s="23" t="str">
        <f t="shared" si="30"/>
        <v/>
      </c>
      <c r="D120" s="23" t="str">
        <f t="shared" si="26"/>
        <v/>
      </c>
      <c r="E120" s="23" t="str">
        <f t="shared" si="26"/>
        <v/>
      </c>
      <c r="F120" s="82">
        <f t="shared" si="41"/>
        <v>8</v>
      </c>
      <c r="G120" s="23">
        <f t="shared" si="42"/>
        <v>0</v>
      </c>
      <c r="H120" s="23" t="str">
        <f t="shared" si="31"/>
        <v>CF</v>
      </c>
      <c r="I120" s="23" t="str">
        <f t="shared" si="32"/>
        <v>CF</v>
      </c>
      <c r="J120" s="23" t="str">
        <f t="shared" si="44"/>
        <v>Child Functioning -- Child #2</v>
      </c>
      <c r="K120" s="93">
        <v>0</v>
      </c>
      <c r="L120" s="82" t="str">
        <f t="shared" ca="1" si="33"/>
        <v/>
      </c>
      <c r="M120" s="23" t="str">
        <f t="shared" ca="1" si="34"/>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224" t="s">
        <v>327</v>
      </c>
      <c r="AD120" s="225"/>
      <c r="AE120" s="225"/>
      <c r="AF120" s="226"/>
      <c r="AG120" s="227"/>
      <c r="AH120" s="228"/>
      <c r="AI120" s="229"/>
      <c r="AJ120" s="226"/>
      <c r="AK120" s="227"/>
      <c r="AL120" s="228"/>
      <c r="AM120" s="229"/>
      <c r="AN120" s="226"/>
      <c r="AO120" s="227"/>
      <c r="AP120" s="228"/>
      <c r="AQ120" s="229"/>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1"/>
        <v>CF</v>
      </c>
      <c r="I121" s="23" t="str">
        <f t="shared" si="32"/>
        <v>CF</v>
      </c>
      <c r="J121" s="23" t="str">
        <f t="shared" si="44"/>
        <v>Child Functioning -- Child #2</v>
      </c>
      <c r="K121" s="93">
        <v>2</v>
      </c>
      <c r="L121" s="82" t="str">
        <f t="shared" ca="1" si="33"/>
        <v/>
      </c>
      <c r="M121" s="23" t="str">
        <f t="shared" ca="1" si="34"/>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45" t="s">
        <v>332</v>
      </c>
      <c r="AD121" s="246"/>
      <c r="AE121" s="225"/>
      <c r="AF121" s="226"/>
      <c r="AG121" s="227"/>
      <c r="AH121" s="228"/>
      <c r="AI121" s="229"/>
      <c r="AJ121" s="226"/>
      <c r="AK121" s="227"/>
      <c r="AL121" s="228"/>
      <c r="AM121" s="229"/>
      <c r="AN121" s="226"/>
      <c r="AO121" s="227"/>
      <c r="AP121" s="228"/>
      <c r="AQ121" s="229"/>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3"/>
        <v/>
      </c>
      <c r="M122" s="23" t="str">
        <f t="shared" ca="1" si="34"/>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45" t="s">
        <v>917</v>
      </c>
      <c r="AD122" s="246"/>
      <c r="AE122" s="225"/>
      <c r="AF122" s="226"/>
      <c r="AG122" s="227"/>
      <c r="AH122" s="228"/>
      <c r="AI122" s="229"/>
      <c r="AJ122" s="226"/>
      <c r="AK122" s="227"/>
      <c r="AL122" s="228"/>
      <c r="AM122" s="229"/>
      <c r="AN122" s="226"/>
      <c r="AO122" s="227"/>
      <c r="AP122" s="228"/>
      <c r="AQ122" s="229"/>
      <c r="AR122" s="102"/>
    </row>
    <row r="123" spans="1:44" ht="15.75" hidden="1" x14ac:dyDescent="0.25">
      <c r="A123" s="39"/>
      <c r="B123" s="23" t="str">
        <f t="shared" si="25"/>
        <v>Child Functioning -- Child #2_1</v>
      </c>
      <c r="C123" s="23" t="str">
        <f t="shared" si="30"/>
        <v/>
      </c>
      <c r="D123" s="23" t="str">
        <f t="shared" si="26"/>
        <v/>
      </c>
      <c r="E123" s="23" t="str">
        <f t="shared" si="26"/>
        <v/>
      </c>
      <c r="F123" s="82">
        <f>IF(K123=0, IF(ISNUMBER(F121), F121+1, 1), F121)</f>
        <v>8</v>
      </c>
      <c r="G123" s="23">
        <f>IF(K123=0, 0, IF(K123=1, G121+1, G121))</f>
        <v>1</v>
      </c>
      <c r="H123" s="23" t="str">
        <f t="shared" si="31"/>
        <v>CF</v>
      </c>
      <c r="I123" s="23" t="str">
        <f t="shared" si="32"/>
        <v>CF</v>
      </c>
      <c r="J123" s="23" t="str">
        <f>IF(K123=0, AC123, J121)</f>
        <v>Child Functioning -- Child #2</v>
      </c>
      <c r="K123" s="93">
        <v>1</v>
      </c>
      <c r="L123" s="82" t="str">
        <f t="shared" ca="1" si="33"/>
        <v/>
      </c>
      <c r="M123" s="23" t="str">
        <f t="shared" ca="1" si="34"/>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284</v>
      </c>
      <c r="AC123" s="230" t="s">
        <v>284</v>
      </c>
      <c r="AD123" s="231"/>
      <c r="AE123" s="231"/>
      <c r="AF123" s="232"/>
      <c r="AG123" s="233"/>
      <c r="AH123" s="240"/>
      <c r="AI123" s="241"/>
      <c r="AJ123" s="232"/>
      <c r="AK123" s="233"/>
      <c r="AL123" s="240"/>
      <c r="AM123" s="241"/>
      <c r="AN123" s="232"/>
      <c r="AO123" s="233"/>
      <c r="AP123" s="240"/>
      <c r="AQ123" s="241"/>
      <c r="AR123" s="102"/>
    </row>
    <row r="124" spans="1:44" ht="15.75" hidden="1" x14ac:dyDescent="0.25">
      <c r="A124" s="39"/>
      <c r="B124" s="23" t="str">
        <f t="shared" si="25"/>
        <v>Child Functioning -- Child #2_2</v>
      </c>
      <c r="C124" s="23" t="str">
        <f t="shared" si="30"/>
        <v/>
      </c>
      <c r="D124" s="23" t="str">
        <f t="shared" si="26"/>
        <v/>
      </c>
      <c r="E124" s="23" t="str">
        <f t="shared" si="26"/>
        <v/>
      </c>
      <c r="F124" s="82">
        <f t="shared" si="41"/>
        <v>8</v>
      </c>
      <c r="G124" s="23">
        <f t="shared" si="42"/>
        <v>2</v>
      </c>
      <c r="H124" s="23" t="str">
        <f t="shared" si="31"/>
        <v>CF</v>
      </c>
      <c r="I124" s="23" t="str">
        <f t="shared" si="32"/>
        <v>CF</v>
      </c>
      <c r="J124" s="23" t="str">
        <f t="shared" ref="J124:J140" si="50">IF(K124=0, AC124, J123)</f>
        <v>Child Functioning -- Child #2</v>
      </c>
      <c r="K124" s="93">
        <v>1</v>
      </c>
      <c r="L124" s="82" t="str">
        <f t="shared" ca="1" si="33"/>
        <v/>
      </c>
      <c r="M124" s="23" t="str">
        <f t="shared" ca="1" si="34"/>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285</v>
      </c>
      <c r="AC124" s="236" t="s">
        <v>285</v>
      </c>
      <c r="AD124" s="237"/>
      <c r="AE124" s="237"/>
      <c r="AF124" s="238"/>
      <c r="AG124" s="239"/>
      <c r="AH124" s="242"/>
      <c r="AI124" s="243"/>
      <c r="AJ124" s="238"/>
      <c r="AK124" s="239"/>
      <c r="AL124" s="242"/>
      <c r="AM124" s="243"/>
      <c r="AN124" s="238"/>
      <c r="AO124" s="239"/>
      <c r="AP124" s="242"/>
      <c r="AQ124" s="243"/>
      <c r="AR124" s="102"/>
    </row>
    <row r="125" spans="1:44" ht="15.75" hidden="1" x14ac:dyDescent="0.25">
      <c r="A125" s="39"/>
      <c r="B125" s="23" t="str">
        <f t="shared" si="25"/>
        <v>Child Functioning -- Child #2_3</v>
      </c>
      <c r="C125" s="23" t="str">
        <f t="shared" si="30"/>
        <v/>
      </c>
      <c r="D125" s="23" t="str">
        <f t="shared" si="26"/>
        <v/>
      </c>
      <c r="E125" s="23" t="str">
        <f t="shared" si="26"/>
        <v/>
      </c>
      <c r="F125" s="82">
        <f t="shared" si="41"/>
        <v>8</v>
      </c>
      <c r="G125" s="23">
        <f t="shared" si="42"/>
        <v>3</v>
      </c>
      <c r="H125" s="23" t="str">
        <f t="shared" si="31"/>
        <v>CF</v>
      </c>
      <c r="I125" s="23" t="str">
        <f t="shared" si="32"/>
        <v>CF</v>
      </c>
      <c r="J125" s="23" t="str">
        <f t="shared" si="50"/>
        <v>Child Functioning -- Child #2</v>
      </c>
      <c r="K125" s="93">
        <v>1</v>
      </c>
      <c r="L125" s="82" t="str">
        <f t="shared" ca="1" si="33"/>
        <v/>
      </c>
      <c r="M125" s="23" t="str">
        <f t="shared" ca="1" si="34"/>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287</v>
      </c>
      <c r="AC125" s="230" t="s">
        <v>287</v>
      </c>
      <c r="AD125" s="231"/>
      <c r="AE125" s="231"/>
      <c r="AF125" s="232"/>
      <c r="AG125" s="233"/>
      <c r="AH125" s="234"/>
      <c r="AI125" s="235"/>
      <c r="AJ125" s="232"/>
      <c r="AK125" s="233"/>
      <c r="AL125" s="234"/>
      <c r="AM125" s="235"/>
      <c r="AN125" s="232"/>
      <c r="AO125" s="233"/>
      <c r="AP125" s="234"/>
      <c r="AQ125" s="235"/>
      <c r="AR125" s="102"/>
    </row>
    <row r="126" spans="1:44" ht="15.75" hidden="1" x14ac:dyDescent="0.25">
      <c r="A126" s="39"/>
      <c r="B126" s="23" t="str">
        <f t="shared" si="25"/>
        <v>Child Functioning -- Child #2_4</v>
      </c>
      <c r="C126" s="23" t="str">
        <f t="shared" si="30"/>
        <v/>
      </c>
      <c r="D126" s="23" t="str">
        <f t="shared" si="26"/>
        <v/>
      </c>
      <c r="E126" s="23" t="str">
        <f t="shared" si="26"/>
        <v/>
      </c>
      <c r="F126" s="82">
        <f t="shared" si="41"/>
        <v>8</v>
      </c>
      <c r="G126" s="23">
        <f t="shared" si="42"/>
        <v>4</v>
      </c>
      <c r="H126" s="23" t="str">
        <f t="shared" si="31"/>
        <v>CF</v>
      </c>
      <c r="I126" s="23" t="str">
        <f t="shared" si="32"/>
        <v>CF</v>
      </c>
      <c r="J126" s="23" t="str">
        <f t="shared" si="50"/>
        <v>Child Functioning -- Child #2</v>
      </c>
      <c r="K126" s="93">
        <v>1</v>
      </c>
      <c r="L126" s="82" t="str">
        <f t="shared" ca="1" si="33"/>
        <v/>
      </c>
      <c r="M126" s="23" t="str">
        <f t="shared" ca="1" si="34"/>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482</v>
      </c>
      <c r="AC126" s="236" t="s">
        <v>286</v>
      </c>
      <c r="AD126" s="237"/>
      <c r="AE126" s="237"/>
      <c r="AF126" s="238"/>
      <c r="AG126" s="239"/>
      <c r="AH126" s="242"/>
      <c r="AI126" s="243"/>
      <c r="AJ126" s="238"/>
      <c r="AK126" s="239"/>
      <c r="AL126" s="242"/>
      <c r="AM126" s="243"/>
      <c r="AN126" s="238"/>
      <c r="AO126" s="239"/>
      <c r="AP126" s="242"/>
      <c r="AQ126" s="243"/>
      <c r="AR126" s="102"/>
    </row>
    <row r="127" spans="1:44" ht="15.75" hidden="1" x14ac:dyDescent="0.25">
      <c r="A127" s="39"/>
      <c r="B127" s="23" t="str">
        <f t="shared" si="25"/>
        <v>Child Functioning -- Child #2_5</v>
      </c>
      <c r="C127" s="23" t="str">
        <f t="shared" si="30"/>
        <v/>
      </c>
      <c r="D127" s="23" t="str">
        <f t="shared" si="26"/>
        <v/>
      </c>
      <c r="E127" s="23" t="str">
        <f t="shared" si="26"/>
        <v/>
      </c>
      <c r="F127" s="82">
        <f t="shared" si="41"/>
        <v>8</v>
      </c>
      <c r="G127" s="23">
        <f t="shared" si="42"/>
        <v>5</v>
      </c>
      <c r="H127" s="23" t="str">
        <f t="shared" si="31"/>
        <v>CF</v>
      </c>
      <c r="I127" s="23" t="str">
        <f t="shared" si="32"/>
        <v>CF</v>
      </c>
      <c r="J127" s="23" t="str">
        <f t="shared" si="50"/>
        <v>Child Functioning -- Child #2</v>
      </c>
      <c r="K127" s="93">
        <v>1</v>
      </c>
      <c r="L127" s="82" t="str">
        <f t="shared" ca="1" si="33"/>
        <v/>
      </c>
      <c r="M127" s="23" t="str">
        <f t="shared" ca="1" si="34"/>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288</v>
      </c>
      <c r="AC127" s="230" t="s">
        <v>288</v>
      </c>
      <c r="AD127" s="231"/>
      <c r="AE127" s="231"/>
      <c r="AF127" s="232"/>
      <c r="AG127" s="233"/>
      <c r="AH127" s="234"/>
      <c r="AI127" s="235"/>
      <c r="AJ127" s="232"/>
      <c r="AK127" s="233"/>
      <c r="AL127" s="234"/>
      <c r="AM127" s="235"/>
      <c r="AN127" s="232"/>
      <c r="AO127" s="233"/>
      <c r="AP127" s="234"/>
      <c r="AQ127" s="235"/>
      <c r="AR127" s="102"/>
    </row>
    <row r="128" spans="1:44" ht="15.75" hidden="1" x14ac:dyDescent="0.25">
      <c r="A128" s="39"/>
      <c r="B128" s="23" t="str">
        <f t="shared" si="25"/>
        <v>Child Functioning -- Child #2_6</v>
      </c>
      <c r="C128" s="23" t="str">
        <f t="shared" si="30"/>
        <v/>
      </c>
      <c r="D128" s="23" t="str">
        <f t="shared" si="26"/>
        <v/>
      </c>
      <c r="E128" s="23" t="str">
        <f t="shared" si="26"/>
        <v/>
      </c>
      <c r="F128" s="82">
        <f t="shared" si="41"/>
        <v>8</v>
      </c>
      <c r="G128" s="23">
        <f t="shared" si="42"/>
        <v>6</v>
      </c>
      <c r="H128" s="23" t="str">
        <f t="shared" si="31"/>
        <v>CF</v>
      </c>
      <c r="I128" s="23" t="str">
        <f t="shared" si="32"/>
        <v>CF</v>
      </c>
      <c r="J128" s="23" t="str">
        <f t="shared" si="50"/>
        <v>Child Functioning -- Child #2</v>
      </c>
      <c r="K128" s="93">
        <v>1</v>
      </c>
      <c r="L128" s="82" t="str">
        <f t="shared" ca="1" si="33"/>
        <v/>
      </c>
      <c r="M128" s="23" t="str">
        <f t="shared" ca="1" si="34"/>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289</v>
      </c>
      <c r="AC128" s="236" t="s">
        <v>289</v>
      </c>
      <c r="AD128" s="237"/>
      <c r="AE128" s="237"/>
      <c r="AF128" s="238"/>
      <c r="AG128" s="239"/>
      <c r="AH128" s="242"/>
      <c r="AI128" s="243"/>
      <c r="AJ128" s="238"/>
      <c r="AK128" s="239"/>
      <c r="AL128" s="242"/>
      <c r="AM128" s="243"/>
      <c r="AN128" s="238"/>
      <c r="AO128" s="239"/>
      <c r="AP128" s="242"/>
      <c r="AQ128" s="243"/>
      <c r="AR128" s="102"/>
    </row>
    <row r="129" spans="1:44" ht="15.75" hidden="1" x14ac:dyDescent="0.25">
      <c r="A129" s="39"/>
      <c r="B129" s="23" t="str">
        <f t="shared" si="25"/>
        <v>Child Functioning -- Child #2_7</v>
      </c>
      <c r="C129" s="23" t="str">
        <f t="shared" si="30"/>
        <v/>
      </c>
      <c r="D129" s="23" t="str">
        <f t="shared" si="26"/>
        <v/>
      </c>
      <c r="E129" s="23" t="str">
        <f t="shared" si="26"/>
        <v/>
      </c>
      <c r="F129" s="82">
        <f t="shared" si="41"/>
        <v>8</v>
      </c>
      <c r="G129" s="23">
        <f t="shared" si="42"/>
        <v>7</v>
      </c>
      <c r="H129" s="23" t="str">
        <f t="shared" si="31"/>
        <v>CF</v>
      </c>
      <c r="I129" s="23" t="str">
        <f t="shared" si="32"/>
        <v>CF</v>
      </c>
      <c r="J129" s="23" t="str">
        <f t="shared" si="50"/>
        <v>Child Functioning -- Child #2</v>
      </c>
      <c r="K129" s="93">
        <v>1</v>
      </c>
      <c r="L129" s="82" t="str">
        <f t="shared" ca="1" si="33"/>
        <v/>
      </c>
      <c r="M129" s="23" t="str">
        <f t="shared" ca="1" si="34"/>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30" t="s">
        <v>132</v>
      </c>
      <c r="AD129" s="231"/>
      <c r="AE129" s="231"/>
      <c r="AF129" s="232"/>
      <c r="AG129" s="233"/>
      <c r="AH129" s="234"/>
      <c r="AI129" s="235"/>
      <c r="AJ129" s="232"/>
      <c r="AK129" s="233"/>
      <c r="AL129" s="234"/>
      <c r="AM129" s="235"/>
      <c r="AN129" s="232"/>
      <c r="AO129" s="233"/>
      <c r="AP129" s="234"/>
      <c r="AQ129" s="235"/>
      <c r="AR129" s="102"/>
    </row>
    <row r="130" spans="1:44" ht="15.75" hidden="1" x14ac:dyDescent="0.25">
      <c r="A130" s="39"/>
      <c r="B130" s="23" t="str">
        <f t="shared" si="25"/>
        <v>Child Functioning -- Child #2_8</v>
      </c>
      <c r="C130" s="23" t="str">
        <f t="shared" si="30"/>
        <v/>
      </c>
      <c r="D130" s="23" t="str">
        <f t="shared" si="26"/>
        <v/>
      </c>
      <c r="E130" s="23" t="str">
        <f t="shared" si="26"/>
        <v/>
      </c>
      <c r="F130" s="82">
        <f t="shared" si="41"/>
        <v>8</v>
      </c>
      <c r="G130" s="23">
        <f t="shared" si="42"/>
        <v>8</v>
      </c>
      <c r="H130" s="23" t="str">
        <f t="shared" si="31"/>
        <v>CF</v>
      </c>
      <c r="I130" s="23" t="str">
        <f t="shared" si="32"/>
        <v>CF</v>
      </c>
      <c r="J130" s="23" t="str">
        <f t="shared" si="50"/>
        <v>Child Functioning -- Child #2</v>
      </c>
      <c r="K130" s="93">
        <v>1</v>
      </c>
      <c r="L130" s="82" t="str">
        <f t="shared" ca="1" si="33"/>
        <v/>
      </c>
      <c r="M130" s="23" t="str">
        <f t="shared" ca="1" si="34"/>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290</v>
      </c>
      <c r="AC130" s="236" t="s">
        <v>290</v>
      </c>
      <c r="AD130" s="237"/>
      <c r="AE130" s="237"/>
      <c r="AF130" s="238"/>
      <c r="AG130" s="239"/>
      <c r="AH130" s="242"/>
      <c r="AI130" s="243"/>
      <c r="AJ130" s="238"/>
      <c r="AK130" s="239"/>
      <c r="AL130" s="242"/>
      <c r="AM130" s="243"/>
      <c r="AN130" s="238"/>
      <c r="AO130" s="239"/>
      <c r="AP130" s="242"/>
      <c r="AQ130" s="243"/>
      <c r="AR130" s="102"/>
    </row>
    <row r="131" spans="1:44" ht="15.75" hidden="1" x14ac:dyDescent="0.25">
      <c r="A131" s="39"/>
      <c r="B131" s="23" t="str">
        <f t="shared" si="25"/>
        <v>Child Functioning -- Child #2_9</v>
      </c>
      <c r="C131" s="23" t="str">
        <f t="shared" si="30"/>
        <v/>
      </c>
      <c r="D131" s="23" t="str">
        <f t="shared" si="26"/>
        <v/>
      </c>
      <c r="E131" s="23" t="str">
        <f t="shared" si="26"/>
        <v/>
      </c>
      <c r="F131" s="82">
        <f t="shared" si="41"/>
        <v>8</v>
      </c>
      <c r="G131" s="23">
        <f t="shared" si="42"/>
        <v>9</v>
      </c>
      <c r="H131" s="23" t="str">
        <f t="shared" si="31"/>
        <v>CF</v>
      </c>
      <c r="I131" s="23" t="str">
        <f t="shared" si="32"/>
        <v>CF</v>
      </c>
      <c r="J131" s="23" t="str">
        <f t="shared" si="50"/>
        <v>Child Functioning -- Child #2</v>
      </c>
      <c r="K131" s="93">
        <v>1</v>
      </c>
      <c r="L131" s="82" t="str">
        <f t="shared" ca="1" si="33"/>
        <v/>
      </c>
      <c r="M131" s="23" t="str">
        <f t="shared" ca="1" si="34"/>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291</v>
      </c>
      <c r="AC131" s="230" t="s">
        <v>291</v>
      </c>
      <c r="AD131" s="231"/>
      <c r="AE131" s="231"/>
      <c r="AF131" s="232"/>
      <c r="AG131" s="233"/>
      <c r="AH131" s="234"/>
      <c r="AI131" s="235"/>
      <c r="AJ131" s="232"/>
      <c r="AK131" s="233"/>
      <c r="AL131" s="234"/>
      <c r="AM131" s="235"/>
      <c r="AN131" s="232"/>
      <c r="AO131" s="233"/>
      <c r="AP131" s="234"/>
      <c r="AQ131" s="235"/>
      <c r="AR131" s="102"/>
    </row>
    <row r="132" spans="1:44" ht="15.75" hidden="1" x14ac:dyDescent="0.25">
      <c r="A132" s="39"/>
      <c r="B132" s="23" t="str">
        <f t="shared" si="25"/>
        <v>Child Functioning -- Child #2_10</v>
      </c>
      <c r="C132" s="23" t="str">
        <f t="shared" si="30"/>
        <v/>
      </c>
      <c r="D132" s="23" t="str">
        <f t="shared" si="26"/>
        <v/>
      </c>
      <c r="E132" s="23" t="str">
        <f t="shared" si="26"/>
        <v/>
      </c>
      <c r="F132" s="82">
        <f t="shared" si="41"/>
        <v>8</v>
      </c>
      <c r="G132" s="23">
        <f t="shared" si="42"/>
        <v>10</v>
      </c>
      <c r="H132" s="23" t="str">
        <f t="shared" si="31"/>
        <v>CF</v>
      </c>
      <c r="I132" s="23" t="str">
        <f t="shared" si="32"/>
        <v>CF</v>
      </c>
      <c r="J132" s="23" t="str">
        <f t="shared" si="50"/>
        <v>Child Functioning -- Child #2</v>
      </c>
      <c r="K132" s="93">
        <v>1</v>
      </c>
      <c r="L132" s="82" t="str">
        <f t="shared" ca="1" si="33"/>
        <v/>
      </c>
      <c r="M132" s="23" t="str">
        <f t="shared" ca="1" si="34"/>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292</v>
      </c>
      <c r="AC132" s="236" t="s">
        <v>292</v>
      </c>
      <c r="AD132" s="237"/>
      <c r="AE132" s="237"/>
      <c r="AF132" s="238"/>
      <c r="AG132" s="239"/>
      <c r="AH132" s="240"/>
      <c r="AI132" s="241"/>
      <c r="AJ132" s="238"/>
      <c r="AK132" s="239"/>
      <c r="AL132" s="240"/>
      <c r="AM132" s="241"/>
      <c r="AN132" s="238"/>
      <c r="AO132" s="239"/>
      <c r="AP132" s="240"/>
      <c r="AQ132" s="241"/>
      <c r="AR132" s="102"/>
    </row>
    <row r="133" spans="1:44" ht="15.75" hidden="1" x14ac:dyDescent="0.25">
      <c r="A133" s="39"/>
      <c r="B133" s="23" t="str">
        <f t="shared" si="25"/>
        <v>Child Functioning -- Child #2_11</v>
      </c>
      <c r="C133" s="23" t="str">
        <f t="shared" si="30"/>
        <v/>
      </c>
      <c r="D133" s="23" t="str">
        <f t="shared" si="26"/>
        <v/>
      </c>
      <c r="E133" s="23" t="str">
        <f t="shared" si="26"/>
        <v/>
      </c>
      <c r="F133" s="82">
        <f t="shared" si="41"/>
        <v>8</v>
      </c>
      <c r="G133" s="23">
        <f t="shared" si="42"/>
        <v>11</v>
      </c>
      <c r="H133" s="23" t="str">
        <f t="shared" si="31"/>
        <v>CF</v>
      </c>
      <c r="I133" s="23" t="str">
        <f t="shared" si="32"/>
        <v>CF</v>
      </c>
      <c r="J133" s="23" t="str">
        <f t="shared" si="50"/>
        <v>Child Functioning -- Child #2</v>
      </c>
      <c r="K133" s="93">
        <v>1</v>
      </c>
      <c r="L133" s="82" t="str">
        <f t="shared" ca="1" si="33"/>
        <v/>
      </c>
      <c r="M133" s="23" t="str">
        <f t="shared" ca="1" si="34"/>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293</v>
      </c>
      <c r="AC133" s="230" t="s">
        <v>293</v>
      </c>
      <c r="AD133" s="231"/>
      <c r="AE133" s="231"/>
      <c r="AF133" s="232"/>
      <c r="AG133" s="233"/>
      <c r="AH133" s="240"/>
      <c r="AI133" s="241"/>
      <c r="AJ133" s="232"/>
      <c r="AK133" s="233"/>
      <c r="AL133" s="240"/>
      <c r="AM133" s="241"/>
      <c r="AN133" s="232"/>
      <c r="AO133" s="233"/>
      <c r="AP133" s="240"/>
      <c r="AQ133" s="241"/>
      <c r="AR133" s="102"/>
    </row>
    <row r="134" spans="1:44" ht="15.75" hidden="1" x14ac:dyDescent="0.25">
      <c r="A134" s="39"/>
      <c r="B134" s="23" t="str">
        <f t="shared" si="25"/>
        <v>Child Functioning -- Child #2_12</v>
      </c>
      <c r="C134" s="23" t="str">
        <f t="shared" si="30"/>
        <v/>
      </c>
      <c r="D134" s="23" t="str">
        <f t="shared" si="26"/>
        <v/>
      </c>
      <c r="E134" s="23" t="str">
        <f t="shared" si="26"/>
        <v/>
      </c>
      <c r="F134" s="82">
        <f t="shared" si="41"/>
        <v>8</v>
      </c>
      <c r="G134" s="23">
        <f t="shared" si="42"/>
        <v>12</v>
      </c>
      <c r="H134" s="23" t="str">
        <f t="shared" si="31"/>
        <v>CF</v>
      </c>
      <c r="I134" s="23" t="str">
        <f t="shared" si="32"/>
        <v>CF</v>
      </c>
      <c r="J134" s="23" t="str">
        <f t="shared" si="50"/>
        <v>Child Functioning -- Child #2</v>
      </c>
      <c r="K134" s="93">
        <v>1</v>
      </c>
      <c r="L134" s="82" t="str">
        <f t="shared" ca="1" si="33"/>
        <v/>
      </c>
      <c r="M134" s="23" t="str">
        <f t="shared" ca="1" si="34"/>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294</v>
      </c>
      <c r="AC134" s="236" t="s">
        <v>294</v>
      </c>
      <c r="AD134" s="237"/>
      <c r="AE134" s="237"/>
      <c r="AF134" s="238"/>
      <c r="AG134" s="239"/>
      <c r="AH134" s="242"/>
      <c r="AI134" s="243"/>
      <c r="AJ134" s="238"/>
      <c r="AK134" s="239"/>
      <c r="AL134" s="242"/>
      <c r="AM134" s="243"/>
      <c r="AN134" s="238"/>
      <c r="AO134" s="239"/>
      <c r="AP134" s="242"/>
      <c r="AQ134" s="243"/>
      <c r="AR134" s="102"/>
    </row>
    <row r="135" spans="1:44" ht="15.75" hidden="1" x14ac:dyDescent="0.25">
      <c r="A135" s="39"/>
      <c r="B135" s="23" t="str">
        <f t="shared" si="25"/>
        <v>Child Functioning -- Child #2_13</v>
      </c>
      <c r="C135" s="23" t="str">
        <f t="shared" si="30"/>
        <v/>
      </c>
      <c r="D135" s="23" t="str">
        <f t="shared" si="26"/>
        <v/>
      </c>
      <c r="E135" s="23" t="str">
        <f t="shared" si="26"/>
        <v/>
      </c>
      <c r="F135" s="82">
        <f t="shared" si="41"/>
        <v>8</v>
      </c>
      <c r="G135" s="23">
        <f t="shared" si="42"/>
        <v>13</v>
      </c>
      <c r="H135" s="23" t="str">
        <f t="shared" si="31"/>
        <v>CF</v>
      </c>
      <c r="I135" s="23" t="str">
        <f t="shared" si="32"/>
        <v>CF</v>
      </c>
      <c r="J135" s="23" t="str">
        <f t="shared" si="50"/>
        <v>Child Functioning -- Child #2</v>
      </c>
      <c r="K135" s="93">
        <v>1</v>
      </c>
      <c r="L135" s="82" t="str">
        <f t="shared" ca="1" si="33"/>
        <v/>
      </c>
      <c r="M135" s="23" t="str">
        <f t="shared" ca="1" si="34"/>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30" t="s">
        <v>5</v>
      </c>
      <c r="AD135" s="231"/>
      <c r="AE135" s="231"/>
      <c r="AF135" s="232"/>
      <c r="AG135" s="233"/>
      <c r="AH135" s="234"/>
      <c r="AI135" s="235"/>
      <c r="AJ135" s="232"/>
      <c r="AK135" s="233"/>
      <c r="AL135" s="234"/>
      <c r="AM135" s="235"/>
      <c r="AN135" s="232"/>
      <c r="AO135" s="233"/>
      <c r="AP135" s="234"/>
      <c r="AQ135" s="235"/>
      <c r="AR135" s="102"/>
    </row>
    <row r="136" spans="1:44" ht="15.75" hidden="1" x14ac:dyDescent="0.25">
      <c r="A136" s="39"/>
      <c r="B136" s="23" t="str">
        <f t="shared" si="25"/>
        <v>Child Functioning -- Child #2_14</v>
      </c>
      <c r="C136" s="23" t="str">
        <f t="shared" si="30"/>
        <v/>
      </c>
      <c r="D136" s="23" t="str">
        <f t="shared" si="26"/>
        <v/>
      </c>
      <c r="E136" s="23" t="str">
        <f t="shared" si="26"/>
        <v/>
      </c>
      <c r="F136" s="82">
        <f t="shared" si="41"/>
        <v>8</v>
      </c>
      <c r="G136" s="23">
        <f t="shared" si="42"/>
        <v>14</v>
      </c>
      <c r="H136" s="23" t="str">
        <f t="shared" si="31"/>
        <v>CF</v>
      </c>
      <c r="I136" s="23" t="str">
        <f t="shared" si="32"/>
        <v>CF</v>
      </c>
      <c r="J136" s="23" t="str">
        <f t="shared" si="50"/>
        <v>Child Functioning -- Child #2</v>
      </c>
      <c r="K136" s="93">
        <v>1</v>
      </c>
      <c r="L136" s="82" t="str">
        <f t="shared" ca="1" si="33"/>
        <v/>
      </c>
      <c r="M136" s="23" t="str">
        <f t="shared" ca="1" si="34"/>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295</v>
      </c>
      <c r="AC136" s="236" t="s">
        <v>295</v>
      </c>
      <c r="AD136" s="237"/>
      <c r="AE136" s="237"/>
      <c r="AF136" s="238"/>
      <c r="AG136" s="239"/>
      <c r="AH136" s="242"/>
      <c r="AI136" s="243"/>
      <c r="AJ136" s="238"/>
      <c r="AK136" s="239"/>
      <c r="AL136" s="242"/>
      <c r="AM136" s="243"/>
      <c r="AN136" s="238"/>
      <c r="AO136" s="239"/>
      <c r="AP136" s="242"/>
      <c r="AQ136" s="243"/>
      <c r="AR136" s="102"/>
    </row>
    <row r="137" spans="1:44" ht="15.75" hidden="1" x14ac:dyDescent="0.25">
      <c r="A137" s="39"/>
      <c r="B137" s="23" t="str">
        <f t="shared" si="25"/>
        <v>Child Functioning -- Child #2_15</v>
      </c>
      <c r="C137" s="23" t="str">
        <f t="shared" si="30"/>
        <v/>
      </c>
      <c r="D137" s="23" t="str">
        <f t="shared" si="26"/>
        <v/>
      </c>
      <c r="E137" s="23" t="str">
        <f t="shared" si="26"/>
        <v>Child Functioning -- Child #2</v>
      </c>
      <c r="F137" s="82">
        <f t="shared" si="41"/>
        <v>8</v>
      </c>
      <c r="G137" s="23">
        <f t="shared" si="42"/>
        <v>15</v>
      </c>
      <c r="H137" s="23" t="str">
        <f t="shared" si="31"/>
        <v>CF</v>
      </c>
      <c r="I137" s="23" t="str">
        <f t="shared" si="32"/>
        <v>CF</v>
      </c>
      <c r="J137" s="23" t="str">
        <f t="shared" si="50"/>
        <v>Child Functioning -- Child #2</v>
      </c>
      <c r="K137" s="93">
        <v>1</v>
      </c>
      <c r="L137" s="82" t="str">
        <f t="shared" ca="1" si="33"/>
        <v/>
      </c>
      <c r="M137" s="23" t="str">
        <f t="shared" ca="1" si="34"/>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30" t="s">
        <v>32</v>
      </c>
      <c r="AD137" s="231"/>
      <c r="AE137" s="231"/>
      <c r="AF137" s="232"/>
      <c r="AG137" s="233"/>
      <c r="AH137" s="240"/>
      <c r="AI137" s="241"/>
      <c r="AJ137" s="232"/>
      <c r="AK137" s="233"/>
      <c r="AL137" s="240"/>
      <c r="AM137" s="241"/>
      <c r="AN137" s="232"/>
      <c r="AO137" s="233"/>
      <c r="AP137" s="240"/>
      <c r="AQ137" s="241"/>
      <c r="AR137" s="102"/>
    </row>
    <row r="138" spans="1:44" ht="15.75" hidden="1" x14ac:dyDescent="0.25">
      <c r="A138" s="39"/>
      <c r="B138" s="23" t="str">
        <f t="shared" si="25"/>
        <v>Child Functioning -- Child #3_0</v>
      </c>
      <c r="C138" s="23" t="str">
        <f t="shared" si="30"/>
        <v/>
      </c>
      <c r="D138" s="23" t="str">
        <f t="shared" si="26"/>
        <v/>
      </c>
      <c r="E138" s="23" t="str">
        <f t="shared" si="26"/>
        <v/>
      </c>
      <c r="F138" s="82">
        <f t="shared" si="41"/>
        <v>9</v>
      </c>
      <c r="G138" s="23">
        <f t="shared" si="42"/>
        <v>0</v>
      </c>
      <c r="H138" s="23" t="str">
        <f t="shared" si="31"/>
        <v>CF</v>
      </c>
      <c r="I138" s="23" t="str">
        <f t="shared" si="32"/>
        <v>CF</v>
      </c>
      <c r="J138" s="23" t="str">
        <f t="shared" si="50"/>
        <v>Child Functioning -- Child #3</v>
      </c>
      <c r="K138" s="93">
        <v>0</v>
      </c>
      <c r="L138" s="82" t="str">
        <f t="shared" ca="1" si="33"/>
        <v/>
      </c>
      <c r="M138" s="23" t="str">
        <f t="shared" ca="1" si="34"/>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224" t="s">
        <v>328</v>
      </c>
      <c r="AD138" s="225"/>
      <c r="AE138" s="225"/>
      <c r="AF138" s="226"/>
      <c r="AG138" s="227"/>
      <c r="AH138" s="228"/>
      <c r="AI138" s="229"/>
      <c r="AJ138" s="226"/>
      <c r="AK138" s="227"/>
      <c r="AL138" s="228"/>
      <c r="AM138" s="229"/>
      <c r="AN138" s="226"/>
      <c r="AO138" s="227"/>
      <c r="AP138" s="228"/>
      <c r="AQ138" s="229"/>
      <c r="AR138" s="102"/>
    </row>
    <row r="139" spans="1:44" ht="15.75" hidden="1" x14ac:dyDescent="0.25">
      <c r="A139" s="39"/>
      <c r="B139" s="23" t="str">
        <f t="shared" si="25"/>
        <v>Child Functioning -- Child #3_0</v>
      </c>
      <c r="C139" s="23" t="str">
        <f t="shared" ref="C139:E140" si="52">IF(H139&lt;&gt;H141, H139, "")</f>
        <v/>
      </c>
      <c r="D139" s="23" t="str">
        <f t="shared" si="52"/>
        <v/>
      </c>
      <c r="E139" s="23" t="str">
        <f t="shared" si="52"/>
        <v/>
      </c>
      <c r="F139" s="82">
        <f t="shared" si="41"/>
        <v>9</v>
      </c>
      <c r="G139" s="23">
        <f t="shared" si="42"/>
        <v>0</v>
      </c>
      <c r="H139" s="23" t="str">
        <f t="shared" si="31"/>
        <v>CF</v>
      </c>
      <c r="I139" s="23" t="str">
        <f t="shared" si="32"/>
        <v>CF</v>
      </c>
      <c r="J139" s="23" t="str">
        <f t="shared" si="50"/>
        <v>Child Functioning -- Child #3</v>
      </c>
      <c r="K139" s="93">
        <v>2</v>
      </c>
      <c r="L139" s="82" t="str">
        <f t="shared" ca="1" si="33"/>
        <v/>
      </c>
      <c r="M139" s="23" t="str">
        <f t="shared" ca="1" si="34"/>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45" t="s">
        <v>332</v>
      </c>
      <c r="AD139" s="246"/>
      <c r="AE139" s="225"/>
      <c r="AF139" s="226"/>
      <c r="AG139" s="227"/>
      <c r="AH139" s="228"/>
      <c r="AI139" s="229"/>
      <c r="AJ139" s="226"/>
      <c r="AK139" s="227"/>
      <c r="AL139" s="228"/>
      <c r="AM139" s="229"/>
      <c r="AN139" s="226"/>
      <c r="AO139" s="227"/>
      <c r="AP139" s="228"/>
      <c r="AQ139" s="229"/>
      <c r="AR139" s="102"/>
    </row>
    <row r="140" spans="1:44" ht="15.75" hidden="1" x14ac:dyDescent="0.25">
      <c r="A140" s="39"/>
      <c r="B140" s="23" t="str">
        <f>J140&amp;"_"&amp;G140</f>
        <v>Child Functioning -- Child #3_0</v>
      </c>
      <c r="C140" s="23" t="str">
        <f t="shared" si="52"/>
        <v/>
      </c>
      <c r="D140" s="23" t="str">
        <f t="shared" si="52"/>
        <v/>
      </c>
      <c r="E140" s="23" t="str">
        <f t="shared" si="52"/>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3"/>
        <v/>
      </c>
      <c r="M140" s="23" t="str">
        <f t="shared" ca="1" si="34"/>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45" t="s">
        <v>917</v>
      </c>
      <c r="AD140" s="246"/>
      <c r="AE140" s="225"/>
      <c r="AF140" s="226"/>
      <c r="AG140" s="227"/>
      <c r="AH140" s="228"/>
      <c r="AI140" s="229"/>
      <c r="AJ140" s="226"/>
      <c r="AK140" s="227"/>
      <c r="AL140" s="228"/>
      <c r="AM140" s="229"/>
      <c r="AN140" s="226"/>
      <c r="AO140" s="227"/>
      <c r="AP140" s="228"/>
      <c r="AQ140" s="229"/>
      <c r="AR140" s="102"/>
    </row>
    <row r="141" spans="1:44" ht="15.75" hidden="1" x14ac:dyDescent="0.25">
      <c r="A141" s="39"/>
      <c r="B141" s="23" t="str">
        <f t="shared" si="25"/>
        <v>Child Functioning -- Child #3_1</v>
      </c>
      <c r="C141" s="23" t="str">
        <f t="shared" si="30"/>
        <v/>
      </c>
      <c r="D141" s="23" t="str">
        <f t="shared" si="26"/>
        <v/>
      </c>
      <c r="E141" s="23" t="str">
        <f t="shared" si="26"/>
        <v/>
      </c>
      <c r="F141" s="82">
        <f>IF(K141=0, IF(ISNUMBER(F139), F139+1, 1), F139)</f>
        <v>9</v>
      </c>
      <c r="G141" s="23">
        <f>IF(K141=0, 0, IF(K141=1, G139+1, G139))</f>
        <v>1</v>
      </c>
      <c r="H141" s="23" t="str">
        <f t="shared" si="31"/>
        <v>CF</v>
      </c>
      <c r="I141" s="23" t="str">
        <f t="shared" si="32"/>
        <v>CF</v>
      </c>
      <c r="J141" s="23" t="str">
        <f>IF(K141=0, AC141, J139)</f>
        <v>Child Functioning -- Child #3</v>
      </c>
      <c r="K141" s="93">
        <v>1</v>
      </c>
      <c r="L141" s="82" t="str">
        <f t="shared" ca="1" si="33"/>
        <v/>
      </c>
      <c r="M141" s="23" t="str">
        <f t="shared" ca="1" si="34"/>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284</v>
      </c>
      <c r="AC141" s="230" t="s">
        <v>284</v>
      </c>
      <c r="AD141" s="231"/>
      <c r="AE141" s="231"/>
      <c r="AF141" s="232"/>
      <c r="AG141" s="233"/>
      <c r="AH141" s="240"/>
      <c r="AI141" s="241"/>
      <c r="AJ141" s="232"/>
      <c r="AK141" s="233"/>
      <c r="AL141" s="240"/>
      <c r="AM141" s="241"/>
      <c r="AN141" s="232"/>
      <c r="AO141" s="233"/>
      <c r="AP141" s="240"/>
      <c r="AQ141" s="241"/>
      <c r="AR141" s="102"/>
    </row>
    <row r="142" spans="1:44" ht="15.75" hidden="1" x14ac:dyDescent="0.25">
      <c r="A142" s="39"/>
      <c r="B142" s="23" t="str">
        <f t="shared" si="25"/>
        <v>Child Functioning -- Child #3_2</v>
      </c>
      <c r="C142" s="23" t="str">
        <f t="shared" si="30"/>
        <v/>
      </c>
      <c r="D142" s="23" t="str">
        <f t="shared" si="26"/>
        <v/>
      </c>
      <c r="E142" s="23" t="str">
        <f t="shared" si="26"/>
        <v/>
      </c>
      <c r="F142" s="82">
        <f t="shared" si="41"/>
        <v>9</v>
      </c>
      <c r="G142" s="23">
        <f t="shared" si="42"/>
        <v>2</v>
      </c>
      <c r="H142" s="23" t="str">
        <f t="shared" si="31"/>
        <v>CF</v>
      </c>
      <c r="I142" s="23" t="str">
        <f t="shared" si="32"/>
        <v>CF</v>
      </c>
      <c r="J142" s="23" t="str">
        <f t="shared" ref="J142:J158" si="53">IF(K142=0, AC142, J141)</f>
        <v>Child Functioning -- Child #3</v>
      </c>
      <c r="K142" s="93">
        <v>1</v>
      </c>
      <c r="L142" s="82" t="str">
        <f t="shared" ca="1" si="33"/>
        <v/>
      </c>
      <c r="M142" s="23" t="str">
        <f t="shared" ca="1" si="34"/>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4">AA141+IF(AB142=0, 0, 1)</f>
        <v>106</v>
      </c>
      <c r="AB142" s="15" t="s">
        <v>285</v>
      </c>
      <c r="AC142" s="236" t="s">
        <v>285</v>
      </c>
      <c r="AD142" s="237"/>
      <c r="AE142" s="237"/>
      <c r="AF142" s="238"/>
      <c r="AG142" s="239"/>
      <c r="AH142" s="242"/>
      <c r="AI142" s="243"/>
      <c r="AJ142" s="238"/>
      <c r="AK142" s="239"/>
      <c r="AL142" s="242"/>
      <c r="AM142" s="243"/>
      <c r="AN142" s="238"/>
      <c r="AO142" s="239"/>
      <c r="AP142" s="242"/>
      <c r="AQ142" s="243"/>
      <c r="AR142" s="102"/>
    </row>
    <row r="143" spans="1:44" ht="15.75" hidden="1" x14ac:dyDescent="0.25">
      <c r="A143" s="39"/>
      <c r="B143" s="23" t="str">
        <f t="shared" si="25"/>
        <v>Child Functioning -- Child #3_3</v>
      </c>
      <c r="C143" s="23" t="str">
        <f t="shared" si="30"/>
        <v/>
      </c>
      <c r="D143" s="23" t="str">
        <f t="shared" si="26"/>
        <v/>
      </c>
      <c r="E143" s="23" t="str">
        <f t="shared" si="26"/>
        <v/>
      </c>
      <c r="F143" s="82">
        <f t="shared" si="41"/>
        <v>9</v>
      </c>
      <c r="G143" s="23">
        <f t="shared" si="42"/>
        <v>3</v>
      </c>
      <c r="H143" s="23" t="str">
        <f t="shared" si="31"/>
        <v>CF</v>
      </c>
      <c r="I143" s="23" t="str">
        <f t="shared" si="32"/>
        <v>CF</v>
      </c>
      <c r="J143" s="23" t="str">
        <f t="shared" si="53"/>
        <v>Child Functioning -- Child #3</v>
      </c>
      <c r="K143" s="93">
        <v>1</v>
      </c>
      <c r="L143" s="82" t="str">
        <f t="shared" ca="1" si="33"/>
        <v/>
      </c>
      <c r="M143" s="23" t="str">
        <f t="shared" ca="1" si="34"/>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4"/>
        <v>107</v>
      </c>
      <c r="AB143" s="15" t="s">
        <v>287</v>
      </c>
      <c r="AC143" s="230" t="s">
        <v>287</v>
      </c>
      <c r="AD143" s="231"/>
      <c r="AE143" s="231"/>
      <c r="AF143" s="232"/>
      <c r="AG143" s="233"/>
      <c r="AH143" s="234"/>
      <c r="AI143" s="235"/>
      <c r="AJ143" s="232"/>
      <c r="AK143" s="233"/>
      <c r="AL143" s="234"/>
      <c r="AM143" s="235"/>
      <c r="AN143" s="232"/>
      <c r="AO143" s="233"/>
      <c r="AP143" s="234"/>
      <c r="AQ143" s="235"/>
      <c r="AR143" s="102"/>
    </row>
    <row r="144" spans="1:44" ht="15.75" hidden="1" x14ac:dyDescent="0.25">
      <c r="A144" s="39"/>
      <c r="B144" s="23" t="str">
        <f t="shared" si="25"/>
        <v>Child Functioning -- Child #3_4</v>
      </c>
      <c r="C144" s="23" t="str">
        <f t="shared" si="30"/>
        <v/>
      </c>
      <c r="D144" s="23" t="str">
        <f t="shared" si="26"/>
        <v/>
      </c>
      <c r="E144" s="23" t="str">
        <f t="shared" si="26"/>
        <v/>
      </c>
      <c r="F144" s="82">
        <f t="shared" si="41"/>
        <v>9</v>
      </c>
      <c r="G144" s="23">
        <f t="shared" si="42"/>
        <v>4</v>
      </c>
      <c r="H144" s="23" t="str">
        <f t="shared" si="31"/>
        <v>CF</v>
      </c>
      <c r="I144" s="23" t="str">
        <f t="shared" si="32"/>
        <v>CF</v>
      </c>
      <c r="J144" s="23" t="str">
        <f t="shared" si="53"/>
        <v>Child Functioning -- Child #3</v>
      </c>
      <c r="K144" s="93">
        <v>1</v>
      </c>
      <c r="L144" s="82" t="str">
        <f t="shared" ca="1" si="33"/>
        <v/>
      </c>
      <c r="M144" s="23" t="str">
        <f t="shared" ca="1" si="34"/>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4"/>
        <v>108</v>
      </c>
      <c r="AB144" s="15" t="s">
        <v>482</v>
      </c>
      <c r="AC144" s="236" t="s">
        <v>286</v>
      </c>
      <c r="AD144" s="237"/>
      <c r="AE144" s="237"/>
      <c r="AF144" s="238"/>
      <c r="AG144" s="239"/>
      <c r="AH144" s="242"/>
      <c r="AI144" s="243"/>
      <c r="AJ144" s="238"/>
      <c r="AK144" s="239"/>
      <c r="AL144" s="242"/>
      <c r="AM144" s="243"/>
      <c r="AN144" s="238"/>
      <c r="AO144" s="239"/>
      <c r="AP144" s="242"/>
      <c r="AQ144" s="243"/>
      <c r="AR144" s="102"/>
    </row>
    <row r="145" spans="1:44" ht="15.75" hidden="1" x14ac:dyDescent="0.25">
      <c r="A145" s="39"/>
      <c r="B145" s="23" t="str">
        <f t="shared" si="25"/>
        <v>Child Functioning -- Child #3_5</v>
      </c>
      <c r="C145" s="23" t="str">
        <f t="shared" si="30"/>
        <v/>
      </c>
      <c r="D145" s="23" t="str">
        <f t="shared" si="26"/>
        <v/>
      </c>
      <c r="E145" s="23" t="str">
        <f t="shared" si="26"/>
        <v/>
      </c>
      <c r="F145" s="82">
        <f t="shared" si="41"/>
        <v>9</v>
      </c>
      <c r="G145" s="23">
        <f t="shared" si="42"/>
        <v>5</v>
      </c>
      <c r="H145" s="23" t="str">
        <f t="shared" si="31"/>
        <v>CF</v>
      </c>
      <c r="I145" s="23" t="str">
        <f t="shared" si="32"/>
        <v>CF</v>
      </c>
      <c r="J145" s="23" t="str">
        <f t="shared" si="53"/>
        <v>Child Functioning -- Child #3</v>
      </c>
      <c r="K145" s="93">
        <v>1</v>
      </c>
      <c r="L145" s="82" t="str">
        <f t="shared" ca="1" si="33"/>
        <v/>
      </c>
      <c r="M145" s="23" t="str">
        <f t="shared" ca="1" si="34"/>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4"/>
        <v>109</v>
      </c>
      <c r="AB145" s="15" t="s">
        <v>288</v>
      </c>
      <c r="AC145" s="230" t="s">
        <v>288</v>
      </c>
      <c r="AD145" s="231"/>
      <c r="AE145" s="231"/>
      <c r="AF145" s="232"/>
      <c r="AG145" s="233"/>
      <c r="AH145" s="234"/>
      <c r="AI145" s="235"/>
      <c r="AJ145" s="232"/>
      <c r="AK145" s="233"/>
      <c r="AL145" s="234"/>
      <c r="AM145" s="235"/>
      <c r="AN145" s="232"/>
      <c r="AO145" s="233"/>
      <c r="AP145" s="234"/>
      <c r="AQ145" s="235"/>
      <c r="AR145" s="102"/>
    </row>
    <row r="146" spans="1:44" ht="15.75" hidden="1" x14ac:dyDescent="0.25">
      <c r="A146" s="39"/>
      <c r="B146" s="23" t="str">
        <f t="shared" si="25"/>
        <v>Child Functioning -- Child #3_6</v>
      </c>
      <c r="C146" s="23" t="str">
        <f t="shared" si="30"/>
        <v/>
      </c>
      <c r="D146" s="23" t="str">
        <f t="shared" si="26"/>
        <v/>
      </c>
      <c r="E146" s="23" t="str">
        <f t="shared" si="26"/>
        <v/>
      </c>
      <c r="F146" s="82">
        <f t="shared" si="41"/>
        <v>9</v>
      </c>
      <c r="G146" s="23">
        <f t="shared" si="42"/>
        <v>6</v>
      </c>
      <c r="H146" s="23" t="str">
        <f t="shared" si="31"/>
        <v>CF</v>
      </c>
      <c r="I146" s="23" t="str">
        <f t="shared" si="32"/>
        <v>CF</v>
      </c>
      <c r="J146" s="23" t="str">
        <f t="shared" si="53"/>
        <v>Child Functioning -- Child #3</v>
      </c>
      <c r="K146" s="93">
        <v>1</v>
      </c>
      <c r="L146" s="82" t="str">
        <f t="shared" ca="1" si="33"/>
        <v/>
      </c>
      <c r="M146" s="23" t="str">
        <f t="shared" ca="1" si="34"/>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4"/>
        <v>110</v>
      </c>
      <c r="AB146" s="15" t="s">
        <v>289</v>
      </c>
      <c r="AC146" s="236" t="s">
        <v>289</v>
      </c>
      <c r="AD146" s="237"/>
      <c r="AE146" s="237"/>
      <c r="AF146" s="238"/>
      <c r="AG146" s="239"/>
      <c r="AH146" s="242"/>
      <c r="AI146" s="243"/>
      <c r="AJ146" s="238"/>
      <c r="AK146" s="239"/>
      <c r="AL146" s="242"/>
      <c r="AM146" s="243"/>
      <c r="AN146" s="238"/>
      <c r="AO146" s="239"/>
      <c r="AP146" s="242"/>
      <c r="AQ146" s="243"/>
      <c r="AR146" s="102"/>
    </row>
    <row r="147" spans="1:44" ht="15.75" hidden="1" x14ac:dyDescent="0.25">
      <c r="A147" s="39"/>
      <c r="B147" s="23" t="str">
        <f t="shared" si="25"/>
        <v>Child Functioning -- Child #3_7</v>
      </c>
      <c r="C147" s="23" t="str">
        <f t="shared" si="30"/>
        <v/>
      </c>
      <c r="D147" s="23" t="str">
        <f t="shared" si="26"/>
        <v/>
      </c>
      <c r="E147" s="23" t="str">
        <f t="shared" si="26"/>
        <v/>
      </c>
      <c r="F147" s="82">
        <f t="shared" si="41"/>
        <v>9</v>
      </c>
      <c r="G147" s="23">
        <f t="shared" si="42"/>
        <v>7</v>
      </c>
      <c r="H147" s="23" t="str">
        <f t="shared" si="31"/>
        <v>CF</v>
      </c>
      <c r="I147" s="23" t="str">
        <f t="shared" si="32"/>
        <v>CF</v>
      </c>
      <c r="J147" s="23" t="str">
        <f t="shared" si="53"/>
        <v>Child Functioning -- Child #3</v>
      </c>
      <c r="K147" s="93">
        <v>1</v>
      </c>
      <c r="L147" s="82" t="str">
        <f t="shared" ref="L147:L209" ca="1" si="55">IF($J147=$J146, L146, "")&amp;IF(P147=1, IF(L146="",  "", ", ")&amp;$AC147, "")</f>
        <v/>
      </c>
      <c r="M147" s="23" t="str">
        <f t="shared" ref="M147:M209" ca="1" si="56">IF($J147=$J146, M146, "")&amp;IF(Q147=1, IF(M146="",  "", ", ")&amp;$AC147, "")</f>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4"/>
        <v>111</v>
      </c>
      <c r="AB147" s="15" t="s">
        <v>132</v>
      </c>
      <c r="AC147" s="230" t="s">
        <v>132</v>
      </c>
      <c r="AD147" s="231"/>
      <c r="AE147" s="231"/>
      <c r="AF147" s="232"/>
      <c r="AG147" s="233"/>
      <c r="AH147" s="234"/>
      <c r="AI147" s="235"/>
      <c r="AJ147" s="232"/>
      <c r="AK147" s="233"/>
      <c r="AL147" s="234"/>
      <c r="AM147" s="235"/>
      <c r="AN147" s="232"/>
      <c r="AO147" s="233"/>
      <c r="AP147" s="234"/>
      <c r="AQ147" s="235"/>
      <c r="AR147" s="102"/>
    </row>
    <row r="148" spans="1:44" ht="15.75" hidden="1" x14ac:dyDescent="0.25">
      <c r="A148" s="39"/>
      <c r="B148" s="23" t="str">
        <f t="shared" si="25"/>
        <v>Child Functioning -- Child #3_8</v>
      </c>
      <c r="C148" s="23" t="str">
        <f t="shared" si="30"/>
        <v/>
      </c>
      <c r="D148" s="23" t="str">
        <f t="shared" si="26"/>
        <v/>
      </c>
      <c r="E148" s="23" t="str">
        <f t="shared" si="26"/>
        <v/>
      </c>
      <c r="F148" s="82">
        <f t="shared" si="41"/>
        <v>9</v>
      </c>
      <c r="G148" s="23">
        <f t="shared" si="42"/>
        <v>8</v>
      </c>
      <c r="H148" s="23" t="str">
        <f t="shared" si="31"/>
        <v>CF</v>
      </c>
      <c r="I148" s="23" t="str">
        <f t="shared" si="32"/>
        <v>CF</v>
      </c>
      <c r="J148" s="23" t="str">
        <f t="shared" si="53"/>
        <v>Child Functioning -- Child #3</v>
      </c>
      <c r="K148" s="93">
        <v>1</v>
      </c>
      <c r="L148" s="82" t="str">
        <f t="shared" ca="1" si="55"/>
        <v/>
      </c>
      <c r="M148" s="23" t="str">
        <f t="shared" ca="1" si="56"/>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4"/>
        <v>112</v>
      </c>
      <c r="AB148" s="15" t="s">
        <v>290</v>
      </c>
      <c r="AC148" s="236" t="s">
        <v>290</v>
      </c>
      <c r="AD148" s="237"/>
      <c r="AE148" s="237"/>
      <c r="AF148" s="238"/>
      <c r="AG148" s="239"/>
      <c r="AH148" s="242"/>
      <c r="AI148" s="243"/>
      <c r="AJ148" s="238"/>
      <c r="AK148" s="239"/>
      <c r="AL148" s="242"/>
      <c r="AM148" s="243"/>
      <c r="AN148" s="238"/>
      <c r="AO148" s="239"/>
      <c r="AP148" s="242"/>
      <c r="AQ148" s="243"/>
      <c r="AR148" s="102"/>
    </row>
    <row r="149" spans="1:44" ht="15.75" hidden="1" x14ac:dyDescent="0.25">
      <c r="A149" s="39"/>
      <c r="B149" s="23" t="str">
        <f t="shared" ref="B149:B209" si="62">J149&amp;"_"&amp;G149</f>
        <v>Child Functioning -- Child #3_9</v>
      </c>
      <c r="C149" s="23" t="str">
        <f t="shared" si="30"/>
        <v/>
      </c>
      <c r="D149" s="23" t="str">
        <f t="shared" ref="D149:E209" si="63">IF(I149&lt;&gt;I150, I149, "")</f>
        <v/>
      </c>
      <c r="E149" s="23" t="str">
        <f t="shared" si="63"/>
        <v/>
      </c>
      <c r="F149" s="82">
        <f t="shared" si="41"/>
        <v>9</v>
      </c>
      <c r="G149" s="23">
        <f t="shared" si="42"/>
        <v>9</v>
      </c>
      <c r="H149" s="23" t="str">
        <f t="shared" si="31"/>
        <v>CF</v>
      </c>
      <c r="I149" s="23" t="str">
        <f t="shared" si="32"/>
        <v>CF</v>
      </c>
      <c r="J149" s="23" t="str">
        <f t="shared" si="53"/>
        <v>Child Functioning -- Child #3</v>
      </c>
      <c r="K149" s="93">
        <v>1</v>
      </c>
      <c r="L149" s="82" t="str">
        <f t="shared" ca="1" si="55"/>
        <v/>
      </c>
      <c r="M149" s="23" t="str">
        <f t="shared" ca="1" si="56"/>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4"/>
        <v>113</v>
      </c>
      <c r="AB149" s="15" t="s">
        <v>291</v>
      </c>
      <c r="AC149" s="230" t="s">
        <v>291</v>
      </c>
      <c r="AD149" s="231"/>
      <c r="AE149" s="231"/>
      <c r="AF149" s="232"/>
      <c r="AG149" s="233"/>
      <c r="AH149" s="234"/>
      <c r="AI149" s="235"/>
      <c r="AJ149" s="232"/>
      <c r="AK149" s="233"/>
      <c r="AL149" s="234"/>
      <c r="AM149" s="235"/>
      <c r="AN149" s="232"/>
      <c r="AO149" s="233"/>
      <c r="AP149" s="234"/>
      <c r="AQ149" s="235"/>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3"/>
        <v>Child Functioning -- Child #3</v>
      </c>
      <c r="K150" s="93">
        <v>1</v>
      </c>
      <c r="L150" s="82" t="str">
        <f t="shared" ca="1" si="55"/>
        <v/>
      </c>
      <c r="M150" s="23" t="str">
        <f t="shared" ca="1" si="56"/>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4"/>
        <v>114</v>
      </c>
      <c r="AB150" s="15" t="s">
        <v>292</v>
      </c>
      <c r="AC150" s="236" t="s">
        <v>292</v>
      </c>
      <c r="AD150" s="237"/>
      <c r="AE150" s="237"/>
      <c r="AF150" s="238"/>
      <c r="AG150" s="239"/>
      <c r="AH150" s="240"/>
      <c r="AI150" s="241"/>
      <c r="AJ150" s="238"/>
      <c r="AK150" s="239"/>
      <c r="AL150" s="240"/>
      <c r="AM150" s="241"/>
      <c r="AN150" s="238"/>
      <c r="AO150" s="239"/>
      <c r="AP150" s="240"/>
      <c r="AQ150" s="241"/>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3"/>
        <v>Child Functioning -- Child #3</v>
      </c>
      <c r="K151" s="93">
        <v>1</v>
      </c>
      <c r="L151" s="82" t="str">
        <f t="shared" ca="1" si="55"/>
        <v/>
      </c>
      <c r="M151" s="23" t="str">
        <f t="shared" ca="1" si="56"/>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4"/>
        <v>115</v>
      </c>
      <c r="AB151" s="15" t="s">
        <v>293</v>
      </c>
      <c r="AC151" s="230" t="s">
        <v>293</v>
      </c>
      <c r="AD151" s="231"/>
      <c r="AE151" s="231"/>
      <c r="AF151" s="232"/>
      <c r="AG151" s="233"/>
      <c r="AH151" s="240"/>
      <c r="AI151" s="241"/>
      <c r="AJ151" s="232"/>
      <c r="AK151" s="233"/>
      <c r="AL151" s="240"/>
      <c r="AM151" s="241"/>
      <c r="AN151" s="232"/>
      <c r="AO151" s="233"/>
      <c r="AP151" s="240"/>
      <c r="AQ151" s="241"/>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3"/>
        <v>Child Functioning -- Child #3</v>
      </c>
      <c r="K152" s="93">
        <v>1</v>
      </c>
      <c r="L152" s="82" t="str">
        <f t="shared" ca="1" si="55"/>
        <v/>
      </c>
      <c r="M152" s="23" t="str">
        <f t="shared" ca="1" si="56"/>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4"/>
        <v>116</v>
      </c>
      <c r="AB152" s="15" t="s">
        <v>294</v>
      </c>
      <c r="AC152" s="236" t="s">
        <v>294</v>
      </c>
      <c r="AD152" s="237"/>
      <c r="AE152" s="237"/>
      <c r="AF152" s="238"/>
      <c r="AG152" s="239"/>
      <c r="AH152" s="242"/>
      <c r="AI152" s="243"/>
      <c r="AJ152" s="238"/>
      <c r="AK152" s="239"/>
      <c r="AL152" s="242"/>
      <c r="AM152" s="243"/>
      <c r="AN152" s="238"/>
      <c r="AO152" s="239"/>
      <c r="AP152" s="242"/>
      <c r="AQ152" s="243"/>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3"/>
        <v>Child Functioning -- Child #3</v>
      </c>
      <c r="K153" s="93">
        <v>1</v>
      </c>
      <c r="L153" s="82" t="str">
        <f t="shared" ca="1" si="55"/>
        <v/>
      </c>
      <c r="M153" s="23" t="str">
        <f t="shared" ca="1" si="56"/>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4"/>
        <v>117</v>
      </c>
      <c r="AB153" s="15" t="s">
        <v>5</v>
      </c>
      <c r="AC153" s="230" t="s">
        <v>5</v>
      </c>
      <c r="AD153" s="231"/>
      <c r="AE153" s="231"/>
      <c r="AF153" s="232"/>
      <c r="AG153" s="233"/>
      <c r="AH153" s="234"/>
      <c r="AI153" s="235"/>
      <c r="AJ153" s="232"/>
      <c r="AK153" s="233"/>
      <c r="AL153" s="234"/>
      <c r="AM153" s="235"/>
      <c r="AN153" s="232"/>
      <c r="AO153" s="233"/>
      <c r="AP153" s="234"/>
      <c r="AQ153" s="235"/>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3"/>
        <v>Child Functioning -- Child #3</v>
      </c>
      <c r="K154" s="93">
        <v>1</v>
      </c>
      <c r="L154" s="82" t="str">
        <f t="shared" ca="1" si="55"/>
        <v/>
      </c>
      <c r="M154" s="23" t="str">
        <f t="shared" ca="1" si="56"/>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4"/>
        <v>118</v>
      </c>
      <c r="AB154" s="15" t="s">
        <v>295</v>
      </c>
      <c r="AC154" s="236" t="s">
        <v>295</v>
      </c>
      <c r="AD154" s="237"/>
      <c r="AE154" s="237"/>
      <c r="AF154" s="238"/>
      <c r="AG154" s="239"/>
      <c r="AH154" s="242"/>
      <c r="AI154" s="243"/>
      <c r="AJ154" s="238"/>
      <c r="AK154" s="239"/>
      <c r="AL154" s="242"/>
      <c r="AM154" s="243"/>
      <c r="AN154" s="238"/>
      <c r="AO154" s="239"/>
      <c r="AP154" s="242"/>
      <c r="AQ154" s="243"/>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3"/>
        <v>Child Functioning -- Child #3</v>
      </c>
      <c r="K155" s="93">
        <v>1</v>
      </c>
      <c r="L155" s="82" t="str">
        <f t="shared" ca="1" si="55"/>
        <v/>
      </c>
      <c r="M155" s="23" t="str">
        <f t="shared" ca="1" si="56"/>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4"/>
        <v>119</v>
      </c>
      <c r="AB155" s="15" t="s">
        <v>32</v>
      </c>
      <c r="AC155" s="230" t="s">
        <v>32</v>
      </c>
      <c r="AD155" s="231"/>
      <c r="AE155" s="231"/>
      <c r="AF155" s="232"/>
      <c r="AG155" s="233"/>
      <c r="AH155" s="240"/>
      <c r="AI155" s="241"/>
      <c r="AJ155" s="232"/>
      <c r="AK155" s="233"/>
      <c r="AL155" s="240"/>
      <c r="AM155" s="241"/>
      <c r="AN155" s="232"/>
      <c r="AO155" s="233"/>
      <c r="AP155" s="240"/>
      <c r="AQ155" s="241"/>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3"/>
        <v>Child Functioning -- Child #4</v>
      </c>
      <c r="K156" s="93">
        <v>0</v>
      </c>
      <c r="L156" s="82" t="str">
        <f t="shared" ca="1" si="55"/>
        <v/>
      </c>
      <c r="M156" s="23" t="str">
        <f t="shared" ca="1" si="56"/>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4"/>
        <v>119</v>
      </c>
      <c r="AC156" s="224" t="s">
        <v>329</v>
      </c>
      <c r="AD156" s="225"/>
      <c r="AE156" s="225"/>
      <c r="AF156" s="226"/>
      <c r="AG156" s="227"/>
      <c r="AH156" s="228"/>
      <c r="AI156" s="229"/>
      <c r="AJ156" s="226"/>
      <c r="AK156" s="227"/>
      <c r="AL156" s="228"/>
      <c r="AM156" s="229"/>
      <c r="AN156" s="226"/>
      <c r="AO156" s="227"/>
      <c r="AP156" s="228"/>
      <c r="AQ156" s="229"/>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3"/>
        <v>Child Functioning -- Child #4</v>
      </c>
      <c r="K157" s="93">
        <v>2</v>
      </c>
      <c r="L157" s="82" t="str">
        <f t="shared" ca="1" si="55"/>
        <v/>
      </c>
      <c r="M157" s="23" t="str">
        <f t="shared" ca="1" si="56"/>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4"/>
        <v>119</v>
      </c>
      <c r="AC157" s="245" t="s">
        <v>332</v>
      </c>
      <c r="AD157" s="246"/>
      <c r="AE157" s="225"/>
      <c r="AF157" s="226"/>
      <c r="AG157" s="227"/>
      <c r="AH157" s="228"/>
      <c r="AI157" s="229"/>
      <c r="AJ157" s="226"/>
      <c r="AK157" s="227"/>
      <c r="AL157" s="228"/>
      <c r="AM157" s="229"/>
      <c r="AN157" s="226"/>
      <c r="AO157" s="227"/>
      <c r="AP157" s="228"/>
      <c r="AQ157" s="229"/>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3"/>
        <v>Child Functioning -- Child #4</v>
      </c>
      <c r="K158" s="93">
        <v>2</v>
      </c>
      <c r="L158" s="82" t="str">
        <f t="shared" ca="1" si="55"/>
        <v/>
      </c>
      <c r="M158" s="23" t="str">
        <f t="shared" ca="1" si="56"/>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4"/>
        <v>119</v>
      </c>
      <c r="AC158" s="245" t="s">
        <v>917</v>
      </c>
      <c r="AD158" s="246"/>
      <c r="AE158" s="225"/>
      <c r="AF158" s="226"/>
      <c r="AG158" s="227"/>
      <c r="AH158" s="228"/>
      <c r="AI158" s="229"/>
      <c r="AJ158" s="226"/>
      <c r="AK158" s="227"/>
      <c r="AL158" s="228"/>
      <c r="AM158" s="229"/>
      <c r="AN158" s="226"/>
      <c r="AO158" s="227"/>
      <c r="AP158" s="228"/>
      <c r="AQ158" s="229"/>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5"/>
        <v/>
      </c>
      <c r="M159" s="23" t="str">
        <f t="shared" ca="1" si="56"/>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284</v>
      </c>
      <c r="AC159" s="230" t="s">
        <v>284</v>
      </c>
      <c r="AD159" s="231"/>
      <c r="AE159" s="231"/>
      <c r="AF159" s="232"/>
      <c r="AG159" s="233"/>
      <c r="AH159" s="240"/>
      <c r="AI159" s="241"/>
      <c r="AJ159" s="232"/>
      <c r="AK159" s="233"/>
      <c r="AL159" s="240"/>
      <c r="AM159" s="241"/>
      <c r="AN159" s="232"/>
      <c r="AO159" s="233"/>
      <c r="AP159" s="240"/>
      <c r="AQ159" s="241"/>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5"/>
        <v/>
      </c>
      <c r="M160" s="23" t="str">
        <f t="shared" ca="1" si="56"/>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285</v>
      </c>
      <c r="AC160" s="236" t="s">
        <v>285</v>
      </c>
      <c r="AD160" s="237"/>
      <c r="AE160" s="237"/>
      <c r="AF160" s="238"/>
      <c r="AG160" s="239"/>
      <c r="AH160" s="242"/>
      <c r="AI160" s="243"/>
      <c r="AJ160" s="238"/>
      <c r="AK160" s="239"/>
      <c r="AL160" s="242"/>
      <c r="AM160" s="243"/>
      <c r="AN160" s="238"/>
      <c r="AO160" s="239"/>
      <c r="AP160" s="242"/>
      <c r="AQ160" s="243"/>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5"/>
        <v/>
      </c>
      <c r="M161" s="23" t="str">
        <f t="shared" ca="1" si="56"/>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287</v>
      </c>
      <c r="AC161" s="230" t="s">
        <v>287</v>
      </c>
      <c r="AD161" s="231"/>
      <c r="AE161" s="231"/>
      <c r="AF161" s="232"/>
      <c r="AG161" s="233"/>
      <c r="AH161" s="234"/>
      <c r="AI161" s="235"/>
      <c r="AJ161" s="232"/>
      <c r="AK161" s="233"/>
      <c r="AL161" s="234"/>
      <c r="AM161" s="235"/>
      <c r="AN161" s="232"/>
      <c r="AO161" s="233"/>
      <c r="AP161" s="234"/>
      <c r="AQ161" s="235"/>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5"/>
        <v/>
      </c>
      <c r="M162" s="23" t="str">
        <f t="shared" ca="1" si="56"/>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482</v>
      </c>
      <c r="AC162" s="236" t="s">
        <v>286</v>
      </c>
      <c r="AD162" s="237"/>
      <c r="AE162" s="237"/>
      <c r="AF162" s="238"/>
      <c r="AG162" s="239"/>
      <c r="AH162" s="242"/>
      <c r="AI162" s="243"/>
      <c r="AJ162" s="238"/>
      <c r="AK162" s="239"/>
      <c r="AL162" s="242"/>
      <c r="AM162" s="243"/>
      <c r="AN162" s="238"/>
      <c r="AO162" s="239"/>
      <c r="AP162" s="242"/>
      <c r="AQ162" s="243"/>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5"/>
        <v/>
      </c>
      <c r="M163" s="23" t="str">
        <f t="shared" ca="1" si="56"/>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288</v>
      </c>
      <c r="AC163" s="230" t="s">
        <v>288</v>
      </c>
      <c r="AD163" s="231"/>
      <c r="AE163" s="231"/>
      <c r="AF163" s="232"/>
      <c r="AG163" s="233"/>
      <c r="AH163" s="234"/>
      <c r="AI163" s="235"/>
      <c r="AJ163" s="232"/>
      <c r="AK163" s="233"/>
      <c r="AL163" s="234"/>
      <c r="AM163" s="235"/>
      <c r="AN163" s="232"/>
      <c r="AO163" s="233"/>
      <c r="AP163" s="234"/>
      <c r="AQ163" s="235"/>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5"/>
        <v/>
      </c>
      <c r="M164" s="23" t="str">
        <f t="shared" ca="1" si="56"/>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289</v>
      </c>
      <c r="AC164" s="236" t="s">
        <v>289</v>
      </c>
      <c r="AD164" s="237"/>
      <c r="AE164" s="237"/>
      <c r="AF164" s="238"/>
      <c r="AG164" s="239"/>
      <c r="AH164" s="242"/>
      <c r="AI164" s="243"/>
      <c r="AJ164" s="238"/>
      <c r="AK164" s="239"/>
      <c r="AL164" s="242"/>
      <c r="AM164" s="243"/>
      <c r="AN164" s="238"/>
      <c r="AO164" s="239"/>
      <c r="AP164" s="242"/>
      <c r="AQ164" s="243"/>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5"/>
        <v/>
      </c>
      <c r="M165" s="23" t="str">
        <f t="shared" ca="1" si="56"/>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30" t="s">
        <v>132</v>
      </c>
      <c r="AD165" s="231"/>
      <c r="AE165" s="231"/>
      <c r="AF165" s="232"/>
      <c r="AG165" s="233"/>
      <c r="AH165" s="234"/>
      <c r="AI165" s="235"/>
      <c r="AJ165" s="232"/>
      <c r="AK165" s="233"/>
      <c r="AL165" s="234"/>
      <c r="AM165" s="235"/>
      <c r="AN165" s="232"/>
      <c r="AO165" s="233"/>
      <c r="AP165" s="234"/>
      <c r="AQ165" s="235"/>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5"/>
        <v/>
      </c>
      <c r="M166" s="23" t="str">
        <f t="shared" ca="1" si="56"/>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290</v>
      </c>
      <c r="AC166" s="236" t="s">
        <v>290</v>
      </c>
      <c r="AD166" s="237"/>
      <c r="AE166" s="237"/>
      <c r="AF166" s="238"/>
      <c r="AG166" s="239"/>
      <c r="AH166" s="242"/>
      <c r="AI166" s="243"/>
      <c r="AJ166" s="238"/>
      <c r="AK166" s="239"/>
      <c r="AL166" s="242"/>
      <c r="AM166" s="243"/>
      <c r="AN166" s="238"/>
      <c r="AO166" s="239"/>
      <c r="AP166" s="242"/>
      <c r="AQ166" s="243"/>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5"/>
        <v/>
      </c>
      <c r="M167" s="23" t="str">
        <f t="shared" ca="1" si="56"/>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291</v>
      </c>
      <c r="AC167" s="230" t="s">
        <v>291</v>
      </c>
      <c r="AD167" s="231"/>
      <c r="AE167" s="231"/>
      <c r="AF167" s="232"/>
      <c r="AG167" s="233"/>
      <c r="AH167" s="234"/>
      <c r="AI167" s="235"/>
      <c r="AJ167" s="232"/>
      <c r="AK167" s="233"/>
      <c r="AL167" s="234"/>
      <c r="AM167" s="235"/>
      <c r="AN167" s="232"/>
      <c r="AO167" s="233"/>
      <c r="AP167" s="234"/>
      <c r="AQ167" s="235"/>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5"/>
        <v/>
      </c>
      <c r="M168" s="23" t="str">
        <f t="shared" ca="1" si="56"/>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292</v>
      </c>
      <c r="AC168" s="236" t="s">
        <v>292</v>
      </c>
      <c r="AD168" s="237"/>
      <c r="AE168" s="237"/>
      <c r="AF168" s="238"/>
      <c r="AG168" s="239"/>
      <c r="AH168" s="240"/>
      <c r="AI168" s="241"/>
      <c r="AJ168" s="238"/>
      <c r="AK168" s="239"/>
      <c r="AL168" s="240"/>
      <c r="AM168" s="241"/>
      <c r="AN168" s="238"/>
      <c r="AO168" s="239"/>
      <c r="AP168" s="240"/>
      <c r="AQ168" s="241"/>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5"/>
        <v/>
      </c>
      <c r="M169" s="23" t="str">
        <f t="shared" ca="1" si="56"/>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293</v>
      </c>
      <c r="AC169" s="230" t="s">
        <v>293</v>
      </c>
      <c r="AD169" s="231"/>
      <c r="AE169" s="231"/>
      <c r="AF169" s="232"/>
      <c r="AG169" s="233"/>
      <c r="AH169" s="240"/>
      <c r="AI169" s="241"/>
      <c r="AJ169" s="232"/>
      <c r="AK169" s="233"/>
      <c r="AL169" s="240"/>
      <c r="AM169" s="241"/>
      <c r="AN169" s="232"/>
      <c r="AO169" s="233"/>
      <c r="AP169" s="240"/>
      <c r="AQ169" s="241"/>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5"/>
        <v/>
      </c>
      <c r="M170" s="23" t="str">
        <f t="shared" ca="1" si="56"/>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294</v>
      </c>
      <c r="AC170" s="236" t="s">
        <v>294</v>
      </c>
      <c r="AD170" s="237"/>
      <c r="AE170" s="237"/>
      <c r="AF170" s="238"/>
      <c r="AG170" s="239"/>
      <c r="AH170" s="242"/>
      <c r="AI170" s="243"/>
      <c r="AJ170" s="238"/>
      <c r="AK170" s="239"/>
      <c r="AL170" s="242"/>
      <c r="AM170" s="243"/>
      <c r="AN170" s="238"/>
      <c r="AO170" s="239"/>
      <c r="AP170" s="242"/>
      <c r="AQ170" s="243"/>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5"/>
        <v/>
      </c>
      <c r="M171" s="23" t="str">
        <f t="shared" ca="1" si="56"/>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30" t="s">
        <v>5</v>
      </c>
      <c r="AD171" s="231"/>
      <c r="AE171" s="231"/>
      <c r="AF171" s="232"/>
      <c r="AG171" s="233"/>
      <c r="AH171" s="234"/>
      <c r="AI171" s="235"/>
      <c r="AJ171" s="232"/>
      <c r="AK171" s="233"/>
      <c r="AL171" s="234"/>
      <c r="AM171" s="235"/>
      <c r="AN171" s="232"/>
      <c r="AO171" s="233"/>
      <c r="AP171" s="234"/>
      <c r="AQ171" s="235"/>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5"/>
        <v/>
      </c>
      <c r="M172" s="23" t="str">
        <f t="shared" ca="1" si="56"/>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295</v>
      </c>
      <c r="AC172" s="236" t="s">
        <v>295</v>
      </c>
      <c r="AD172" s="237"/>
      <c r="AE172" s="237"/>
      <c r="AF172" s="238"/>
      <c r="AG172" s="239"/>
      <c r="AH172" s="242"/>
      <c r="AI172" s="243"/>
      <c r="AJ172" s="238"/>
      <c r="AK172" s="239"/>
      <c r="AL172" s="242"/>
      <c r="AM172" s="243"/>
      <c r="AN172" s="238"/>
      <c r="AO172" s="239"/>
      <c r="AP172" s="242"/>
      <c r="AQ172" s="243"/>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5"/>
        <v/>
      </c>
      <c r="M173" s="23" t="str">
        <f t="shared" ca="1" si="56"/>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30" t="s">
        <v>32</v>
      </c>
      <c r="AD173" s="231"/>
      <c r="AE173" s="231"/>
      <c r="AF173" s="232"/>
      <c r="AG173" s="233"/>
      <c r="AH173" s="240"/>
      <c r="AI173" s="241"/>
      <c r="AJ173" s="232"/>
      <c r="AK173" s="233"/>
      <c r="AL173" s="240"/>
      <c r="AM173" s="241"/>
      <c r="AN173" s="232"/>
      <c r="AO173" s="233"/>
      <c r="AP173" s="240"/>
      <c r="AQ173" s="241"/>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5"/>
        <v/>
      </c>
      <c r="M174" s="23" t="str">
        <f t="shared" ca="1" si="56"/>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224" t="s">
        <v>330</v>
      </c>
      <c r="AD174" s="225"/>
      <c r="AE174" s="225"/>
      <c r="AF174" s="226"/>
      <c r="AG174" s="227"/>
      <c r="AH174" s="228"/>
      <c r="AI174" s="229"/>
      <c r="AJ174" s="226"/>
      <c r="AK174" s="227"/>
      <c r="AL174" s="228"/>
      <c r="AM174" s="229"/>
      <c r="AN174" s="226"/>
      <c r="AO174" s="227"/>
      <c r="AP174" s="228"/>
      <c r="AQ174" s="229"/>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5"/>
        <v/>
      </c>
      <c r="M175" s="23" t="str">
        <f t="shared" ca="1" si="56"/>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45" t="s">
        <v>332</v>
      </c>
      <c r="AD175" s="246"/>
      <c r="AE175" s="225"/>
      <c r="AF175" s="226"/>
      <c r="AG175" s="227"/>
      <c r="AH175" s="228"/>
      <c r="AI175" s="229"/>
      <c r="AJ175" s="226"/>
      <c r="AK175" s="227"/>
      <c r="AL175" s="228"/>
      <c r="AM175" s="229"/>
      <c r="AN175" s="226"/>
      <c r="AO175" s="227"/>
      <c r="AP175" s="228"/>
      <c r="AQ175" s="229"/>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5"/>
        <v/>
      </c>
      <c r="M176" s="23" t="str">
        <f t="shared" ca="1" si="56"/>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45" t="s">
        <v>917</v>
      </c>
      <c r="AD176" s="246"/>
      <c r="AE176" s="225"/>
      <c r="AF176" s="226"/>
      <c r="AG176" s="227"/>
      <c r="AH176" s="228"/>
      <c r="AI176" s="229"/>
      <c r="AJ176" s="226"/>
      <c r="AK176" s="227"/>
      <c r="AL176" s="228"/>
      <c r="AM176" s="229"/>
      <c r="AN176" s="226"/>
      <c r="AO176" s="227"/>
      <c r="AP176" s="228"/>
      <c r="AQ176" s="229"/>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5"/>
        <v/>
      </c>
      <c r="M177" s="23" t="str">
        <f t="shared" ca="1" si="56"/>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284</v>
      </c>
      <c r="AC177" s="230" t="s">
        <v>284</v>
      </c>
      <c r="AD177" s="231"/>
      <c r="AE177" s="231"/>
      <c r="AF177" s="232"/>
      <c r="AG177" s="233"/>
      <c r="AH177" s="240"/>
      <c r="AI177" s="241"/>
      <c r="AJ177" s="232"/>
      <c r="AK177" s="233"/>
      <c r="AL177" s="240"/>
      <c r="AM177" s="241"/>
      <c r="AN177" s="232"/>
      <c r="AO177" s="233"/>
      <c r="AP177" s="240"/>
      <c r="AQ177" s="241"/>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5"/>
        <v/>
      </c>
      <c r="M178" s="23" t="str">
        <f t="shared" ca="1" si="56"/>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285</v>
      </c>
      <c r="AC178" s="236" t="s">
        <v>285</v>
      </c>
      <c r="AD178" s="237"/>
      <c r="AE178" s="237"/>
      <c r="AF178" s="238"/>
      <c r="AG178" s="239"/>
      <c r="AH178" s="242"/>
      <c r="AI178" s="243"/>
      <c r="AJ178" s="238"/>
      <c r="AK178" s="239"/>
      <c r="AL178" s="242"/>
      <c r="AM178" s="243"/>
      <c r="AN178" s="238"/>
      <c r="AO178" s="239"/>
      <c r="AP178" s="242"/>
      <c r="AQ178" s="243"/>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5"/>
        <v/>
      </c>
      <c r="M179" s="23" t="str">
        <f t="shared" ca="1" si="56"/>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287</v>
      </c>
      <c r="AC179" s="230" t="s">
        <v>287</v>
      </c>
      <c r="AD179" s="231"/>
      <c r="AE179" s="231"/>
      <c r="AF179" s="232"/>
      <c r="AG179" s="233"/>
      <c r="AH179" s="234"/>
      <c r="AI179" s="235"/>
      <c r="AJ179" s="232"/>
      <c r="AK179" s="233"/>
      <c r="AL179" s="234"/>
      <c r="AM179" s="235"/>
      <c r="AN179" s="232"/>
      <c r="AO179" s="233"/>
      <c r="AP179" s="234"/>
      <c r="AQ179" s="235"/>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5"/>
        <v/>
      </c>
      <c r="M180" s="23" t="str">
        <f t="shared" ca="1" si="56"/>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482</v>
      </c>
      <c r="AC180" s="236" t="s">
        <v>286</v>
      </c>
      <c r="AD180" s="237"/>
      <c r="AE180" s="237"/>
      <c r="AF180" s="238"/>
      <c r="AG180" s="239"/>
      <c r="AH180" s="242"/>
      <c r="AI180" s="243"/>
      <c r="AJ180" s="238"/>
      <c r="AK180" s="239"/>
      <c r="AL180" s="242"/>
      <c r="AM180" s="243"/>
      <c r="AN180" s="238"/>
      <c r="AO180" s="239"/>
      <c r="AP180" s="242"/>
      <c r="AQ180" s="243"/>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5"/>
        <v/>
      </c>
      <c r="M181" s="23" t="str">
        <f t="shared" ca="1" si="56"/>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288</v>
      </c>
      <c r="AC181" s="230" t="s">
        <v>288</v>
      </c>
      <c r="AD181" s="231"/>
      <c r="AE181" s="231"/>
      <c r="AF181" s="232"/>
      <c r="AG181" s="233"/>
      <c r="AH181" s="234"/>
      <c r="AI181" s="235"/>
      <c r="AJ181" s="232"/>
      <c r="AK181" s="233"/>
      <c r="AL181" s="234"/>
      <c r="AM181" s="235"/>
      <c r="AN181" s="232"/>
      <c r="AO181" s="233"/>
      <c r="AP181" s="234"/>
      <c r="AQ181" s="235"/>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5"/>
        <v/>
      </c>
      <c r="M182" s="23" t="str">
        <f t="shared" ca="1" si="56"/>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289</v>
      </c>
      <c r="AC182" s="236" t="s">
        <v>289</v>
      </c>
      <c r="AD182" s="237"/>
      <c r="AE182" s="237"/>
      <c r="AF182" s="238"/>
      <c r="AG182" s="239"/>
      <c r="AH182" s="242"/>
      <c r="AI182" s="243"/>
      <c r="AJ182" s="238"/>
      <c r="AK182" s="239"/>
      <c r="AL182" s="242"/>
      <c r="AM182" s="243"/>
      <c r="AN182" s="238"/>
      <c r="AO182" s="239"/>
      <c r="AP182" s="242"/>
      <c r="AQ182" s="243"/>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5"/>
        <v/>
      </c>
      <c r="M183" s="23" t="str">
        <f t="shared" ca="1" si="56"/>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30" t="s">
        <v>132</v>
      </c>
      <c r="AD183" s="231"/>
      <c r="AE183" s="231"/>
      <c r="AF183" s="232"/>
      <c r="AG183" s="233"/>
      <c r="AH183" s="234"/>
      <c r="AI183" s="235"/>
      <c r="AJ183" s="232"/>
      <c r="AK183" s="233"/>
      <c r="AL183" s="234"/>
      <c r="AM183" s="235"/>
      <c r="AN183" s="232"/>
      <c r="AO183" s="233"/>
      <c r="AP183" s="234"/>
      <c r="AQ183" s="235"/>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5"/>
        <v/>
      </c>
      <c r="M184" s="23" t="str">
        <f t="shared" ca="1" si="56"/>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290</v>
      </c>
      <c r="AC184" s="236" t="s">
        <v>290</v>
      </c>
      <c r="AD184" s="237"/>
      <c r="AE184" s="237"/>
      <c r="AF184" s="238"/>
      <c r="AG184" s="239"/>
      <c r="AH184" s="242"/>
      <c r="AI184" s="243"/>
      <c r="AJ184" s="238"/>
      <c r="AK184" s="239"/>
      <c r="AL184" s="242"/>
      <c r="AM184" s="243"/>
      <c r="AN184" s="238"/>
      <c r="AO184" s="239"/>
      <c r="AP184" s="242"/>
      <c r="AQ184" s="243"/>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5"/>
        <v/>
      </c>
      <c r="M185" s="23" t="str">
        <f t="shared" ca="1" si="56"/>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291</v>
      </c>
      <c r="AC185" s="230" t="s">
        <v>291</v>
      </c>
      <c r="AD185" s="231"/>
      <c r="AE185" s="231"/>
      <c r="AF185" s="232"/>
      <c r="AG185" s="233"/>
      <c r="AH185" s="234"/>
      <c r="AI185" s="235"/>
      <c r="AJ185" s="232"/>
      <c r="AK185" s="233"/>
      <c r="AL185" s="234"/>
      <c r="AM185" s="235"/>
      <c r="AN185" s="232"/>
      <c r="AO185" s="233"/>
      <c r="AP185" s="234"/>
      <c r="AQ185" s="235"/>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5"/>
        <v/>
      </c>
      <c r="M186" s="23" t="str">
        <f t="shared" ca="1" si="56"/>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292</v>
      </c>
      <c r="AC186" s="236" t="s">
        <v>292</v>
      </c>
      <c r="AD186" s="237"/>
      <c r="AE186" s="237"/>
      <c r="AF186" s="238"/>
      <c r="AG186" s="239"/>
      <c r="AH186" s="240"/>
      <c r="AI186" s="241"/>
      <c r="AJ186" s="238"/>
      <c r="AK186" s="239"/>
      <c r="AL186" s="240"/>
      <c r="AM186" s="241"/>
      <c r="AN186" s="238"/>
      <c r="AO186" s="239"/>
      <c r="AP186" s="240"/>
      <c r="AQ186" s="241"/>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5"/>
        <v/>
      </c>
      <c r="M187" s="23" t="str">
        <f t="shared" ca="1" si="56"/>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293</v>
      </c>
      <c r="AC187" s="230" t="s">
        <v>293</v>
      </c>
      <c r="AD187" s="231"/>
      <c r="AE187" s="231"/>
      <c r="AF187" s="232"/>
      <c r="AG187" s="233"/>
      <c r="AH187" s="240"/>
      <c r="AI187" s="241"/>
      <c r="AJ187" s="232"/>
      <c r="AK187" s="233"/>
      <c r="AL187" s="240"/>
      <c r="AM187" s="241"/>
      <c r="AN187" s="232"/>
      <c r="AO187" s="233"/>
      <c r="AP187" s="240"/>
      <c r="AQ187" s="241"/>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5"/>
        <v/>
      </c>
      <c r="M188" s="23" t="str">
        <f t="shared" ca="1" si="56"/>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294</v>
      </c>
      <c r="AC188" s="236" t="s">
        <v>294</v>
      </c>
      <c r="AD188" s="237"/>
      <c r="AE188" s="237"/>
      <c r="AF188" s="238"/>
      <c r="AG188" s="239"/>
      <c r="AH188" s="242"/>
      <c r="AI188" s="243"/>
      <c r="AJ188" s="238"/>
      <c r="AK188" s="239"/>
      <c r="AL188" s="242"/>
      <c r="AM188" s="243"/>
      <c r="AN188" s="238"/>
      <c r="AO188" s="239"/>
      <c r="AP188" s="242"/>
      <c r="AQ188" s="243"/>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5"/>
        <v/>
      </c>
      <c r="M189" s="23" t="str">
        <f t="shared" ca="1" si="56"/>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30" t="s">
        <v>5</v>
      </c>
      <c r="AD189" s="231"/>
      <c r="AE189" s="231"/>
      <c r="AF189" s="232"/>
      <c r="AG189" s="233"/>
      <c r="AH189" s="234"/>
      <c r="AI189" s="235"/>
      <c r="AJ189" s="232"/>
      <c r="AK189" s="233"/>
      <c r="AL189" s="234"/>
      <c r="AM189" s="235"/>
      <c r="AN189" s="232"/>
      <c r="AO189" s="233"/>
      <c r="AP189" s="234"/>
      <c r="AQ189" s="235"/>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5"/>
        <v/>
      </c>
      <c r="M190" s="23" t="str">
        <f t="shared" ca="1" si="56"/>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295</v>
      </c>
      <c r="AC190" s="236" t="s">
        <v>295</v>
      </c>
      <c r="AD190" s="237"/>
      <c r="AE190" s="237"/>
      <c r="AF190" s="238"/>
      <c r="AG190" s="239"/>
      <c r="AH190" s="242"/>
      <c r="AI190" s="243"/>
      <c r="AJ190" s="238"/>
      <c r="AK190" s="239"/>
      <c r="AL190" s="242"/>
      <c r="AM190" s="243"/>
      <c r="AN190" s="238"/>
      <c r="AO190" s="239"/>
      <c r="AP190" s="242"/>
      <c r="AQ190" s="243"/>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5"/>
        <v/>
      </c>
      <c r="M191" s="23" t="str">
        <f t="shared" ca="1" si="56"/>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30" t="s">
        <v>32</v>
      </c>
      <c r="AD191" s="231"/>
      <c r="AE191" s="231"/>
      <c r="AF191" s="232"/>
      <c r="AG191" s="233"/>
      <c r="AH191" s="240"/>
      <c r="AI191" s="241"/>
      <c r="AJ191" s="232"/>
      <c r="AK191" s="233"/>
      <c r="AL191" s="240"/>
      <c r="AM191" s="241"/>
      <c r="AN191" s="232"/>
      <c r="AO191" s="233"/>
      <c r="AP191" s="240"/>
      <c r="AQ191" s="241"/>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5"/>
        <v/>
      </c>
      <c r="M192" s="23" t="str">
        <f t="shared" ca="1" si="56"/>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224" t="s">
        <v>331</v>
      </c>
      <c r="AD192" s="225"/>
      <c r="AE192" s="225"/>
      <c r="AF192" s="226"/>
      <c r="AG192" s="227"/>
      <c r="AH192" s="228"/>
      <c r="AI192" s="229"/>
      <c r="AJ192" s="226"/>
      <c r="AK192" s="227"/>
      <c r="AL192" s="228"/>
      <c r="AM192" s="229"/>
      <c r="AN192" s="226"/>
      <c r="AO192" s="227"/>
      <c r="AP192" s="228"/>
      <c r="AQ192" s="229"/>
      <c r="AR192" s="102"/>
    </row>
    <row r="193" spans="1:44" ht="15.75" hidden="1" x14ac:dyDescent="0.25">
      <c r="A193" s="39"/>
      <c r="B193" s="23" t="str">
        <f t="shared" si="62"/>
        <v>Child Functioning -- Child #6_0</v>
      </c>
      <c r="C193" s="23" t="str">
        <f t="shared" ref="C193:E194" si="80">IF(H193&lt;&gt;H195, H193, "")</f>
        <v/>
      </c>
      <c r="D193" s="23" t="str">
        <f t="shared" si="80"/>
        <v/>
      </c>
      <c r="E193" s="23" t="str">
        <f t="shared" si="80"/>
        <v/>
      </c>
      <c r="F193" s="82">
        <f t="shared" si="72"/>
        <v>12</v>
      </c>
      <c r="G193" s="23">
        <f t="shared" si="73"/>
        <v>0</v>
      </c>
      <c r="H193" s="23" t="str">
        <f t="shared" si="67"/>
        <v>CF</v>
      </c>
      <c r="I193" s="23" t="str">
        <f t="shared" si="68"/>
        <v>CF</v>
      </c>
      <c r="J193" s="23" t="str">
        <f t="shared" si="75"/>
        <v>Child Functioning -- Child #6</v>
      </c>
      <c r="K193" s="93">
        <v>2</v>
      </c>
      <c r="L193" s="82" t="str">
        <f t="shared" ca="1" si="55"/>
        <v/>
      </c>
      <c r="M193" s="23" t="str">
        <f t="shared" ca="1" si="56"/>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45" t="s">
        <v>332</v>
      </c>
      <c r="AD193" s="246"/>
      <c r="AE193" s="225"/>
      <c r="AF193" s="226"/>
      <c r="AG193" s="227"/>
      <c r="AH193" s="228"/>
      <c r="AI193" s="229"/>
      <c r="AJ193" s="226"/>
      <c r="AK193" s="227"/>
      <c r="AL193" s="228"/>
      <c r="AM193" s="229"/>
      <c r="AN193" s="226"/>
      <c r="AO193" s="227"/>
      <c r="AP193" s="228"/>
      <c r="AQ193" s="229"/>
      <c r="AR193" s="102"/>
    </row>
    <row r="194" spans="1:44" ht="15.75" hidden="1" x14ac:dyDescent="0.25">
      <c r="A194" s="39"/>
      <c r="B194" s="23" t="str">
        <f>J194&amp;"_"&amp;G194</f>
        <v>Child Functioning -- Child #6_0</v>
      </c>
      <c r="C194" s="23" t="str">
        <f t="shared" si="80"/>
        <v/>
      </c>
      <c r="D194" s="23" t="str">
        <f t="shared" si="80"/>
        <v/>
      </c>
      <c r="E194" s="23" t="str">
        <f t="shared" si="80"/>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5"/>
        <v/>
      </c>
      <c r="M194" s="23" t="str">
        <f t="shared" ca="1" si="56"/>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45" t="s">
        <v>917</v>
      </c>
      <c r="AD194" s="246"/>
      <c r="AE194" s="225"/>
      <c r="AF194" s="226"/>
      <c r="AG194" s="227"/>
      <c r="AH194" s="228"/>
      <c r="AI194" s="229"/>
      <c r="AJ194" s="226"/>
      <c r="AK194" s="227"/>
      <c r="AL194" s="228"/>
      <c r="AM194" s="229"/>
      <c r="AN194" s="226"/>
      <c r="AO194" s="227"/>
      <c r="AP194" s="228"/>
      <c r="AQ194" s="229"/>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5"/>
        <v/>
      </c>
      <c r="M195" s="23" t="str">
        <f t="shared" ca="1" si="56"/>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284</v>
      </c>
      <c r="AC195" s="230" t="s">
        <v>284</v>
      </c>
      <c r="AD195" s="231"/>
      <c r="AE195" s="231"/>
      <c r="AF195" s="232"/>
      <c r="AG195" s="233"/>
      <c r="AH195" s="240"/>
      <c r="AI195" s="241"/>
      <c r="AJ195" s="232"/>
      <c r="AK195" s="233"/>
      <c r="AL195" s="240"/>
      <c r="AM195" s="241"/>
      <c r="AN195" s="232"/>
      <c r="AO195" s="233"/>
      <c r="AP195" s="240"/>
      <c r="AQ195" s="241"/>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1">IF(K196=0, AC196, J195)</f>
        <v>Child Functioning -- Child #6</v>
      </c>
      <c r="K196" s="93">
        <v>1</v>
      </c>
      <c r="L196" s="82" t="str">
        <f t="shared" ca="1" si="55"/>
        <v/>
      </c>
      <c r="M196" s="23" t="str">
        <f t="shared" ca="1" si="56"/>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2">AA195+IF(AB196=0, 0, 1)</f>
        <v>151</v>
      </c>
      <c r="AB196" s="15" t="s">
        <v>285</v>
      </c>
      <c r="AC196" s="236" t="s">
        <v>285</v>
      </c>
      <c r="AD196" s="237"/>
      <c r="AE196" s="237"/>
      <c r="AF196" s="238"/>
      <c r="AG196" s="239"/>
      <c r="AH196" s="242"/>
      <c r="AI196" s="243"/>
      <c r="AJ196" s="238"/>
      <c r="AK196" s="239"/>
      <c r="AL196" s="242"/>
      <c r="AM196" s="243"/>
      <c r="AN196" s="238"/>
      <c r="AO196" s="239"/>
      <c r="AP196" s="242"/>
      <c r="AQ196" s="243"/>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1"/>
        <v>Child Functioning -- Child #6</v>
      </c>
      <c r="K197" s="93">
        <v>1</v>
      </c>
      <c r="L197" s="82" t="str">
        <f t="shared" ca="1" si="55"/>
        <v/>
      </c>
      <c r="M197" s="23" t="str">
        <f t="shared" ca="1" si="56"/>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2"/>
        <v>152</v>
      </c>
      <c r="AB197" s="15" t="s">
        <v>287</v>
      </c>
      <c r="AC197" s="230" t="s">
        <v>287</v>
      </c>
      <c r="AD197" s="231"/>
      <c r="AE197" s="231"/>
      <c r="AF197" s="232"/>
      <c r="AG197" s="233"/>
      <c r="AH197" s="234"/>
      <c r="AI197" s="235"/>
      <c r="AJ197" s="232"/>
      <c r="AK197" s="233"/>
      <c r="AL197" s="234"/>
      <c r="AM197" s="235"/>
      <c r="AN197" s="232"/>
      <c r="AO197" s="233"/>
      <c r="AP197" s="234"/>
      <c r="AQ197" s="235"/>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1"/>
        <v>Child Functioning -- Child #6</v>
      </c>
      <c r="K198" s="93">
        <v>1</v>
      </c>
      <c r="L198" s="82" t="str">
        <f t="shared" ca="1" si="55"/>
        <v/>
      </c>
      <c r="M198" s="23" t="str">
        <f t="shared" ca="1" si="56"/>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2"/>
        <v>153</v>
      </c>
      <c r="AB198" s="15" t="s">
        <v>482</v>
      </c>
      <c r="AC198" s="236" t="s">
        <v>286</v>
      </c>
      <c r="AD198" s="237"/>
      <c r="AE198" s="237"/>
      <c r="AF198" s="238"/>
      <c r="AG198" s="239"/>
      <c r="AH198" s="242"/>
      <c r="AI198" s="243"/>
      <c r="AJ198" s="238"/>
      <c r="AK198" s="239"/>
      <c r="AL198" s="242"/>
      <c r="AM198" s="243"/>
      <c r="AN198" s="238"/>
      <c r="AO198" s="239"/>
      <c r="AP198" s="242"/>
      <c r="AQ198" s="243"/>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1"/>
        <v>Child Functioning -- Child #6</v>
      </c>
      <c r="K199" s="93">
        <v>1</v>
      </c>
      <c r="L199" s="82" t="str">
        <f t="shared" ca="1" si="55"/>
        <v/>
      </c>
      <c r="M199" s="23" t="str">
        <f t="shared" ca="1" si="56"/>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2"/>
        <v>154</v>
      </c>
      <c r="AB199" s="16" t="s">
        <v>288</v>
      </c>
      <c r="AC199" s="230" t="s">
        <v>288</v>
      </c>
      <c r="AD199" s="231"/>
      <c r="AE199" s="231"/>
      <c r="AF199" s="232"/>
      <c r="AG199" s="233"/>
      <c r="AH199" s="234"/>
      <c r="AI199" s="235"/>
      <c r="AJ199" s="232"/>
      <c r="AK199" s="233"/>
      <c r="AL199" s="234"/>
      <c r="AM199" s="235"/>
      <c r="AN199" s="232"/>
      <c r="AO199" s="233"/>
      <c r="AP199" s="234"/>
      <c r="AQ199" s="235"/>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1"/>
        <v>Child Functioning -- Child #6</v>
      </c>
      <c r="K200" s="93">
        <v>1</v>
      </c>
      <c r="L200" s="82" t="str">
        <f t="shared" ca="1" si="55"/>
        <v/>
      </c>
      <c r="M200" s="23" t="str">
        <f t="shared" ca="1" si="56"/>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2"/>
        <v>155</v>
      </c>
      <c r="AB200" s="16" t="s">
        <v>289</v>
      </c>
      <c r="AC200" s="236" t="s">
        <v>289</v>
      </c>
      <c r="AD200" s="237"/>
      <c r="AE200" s="237"/>
      <c r="AF200" s="238"/>
      <c r="AG200" s="239"/>
      <c r="AH200" s="242"/>
      <c r="AI200" s="243"/>
      <c r="AJ200" s="238"/>
      <c r="AK200" s="239"/>
      <c r="AL200" s="242"/>
      <c r="AM200" s="243"/>
      <c r="AN200" s="238"/>
      <c r="AO200" s="239"/>
      <c r="AP200" s="242"/>
      <c r="AQ200" s="243"/>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1"/>
        <v>Child Functioning -- Child #6</v>
      </c>
      <c r="K201" s="93">
        <v>1</v>
      </c>
      <c r="L201" s="82" t="str">
        <f t="shared" ca="1" si="55"/>
        <v/>
      </c>
      <c r="M201" s="23" t="str">
        <f t="shared" ca="1" si="56"/>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2"/>
        <v>156</v>
      </c>
      <c r="AB201" s="16" t="s">
        <v>132</v>
      </c>
      <c r="AC201" s="230" t="s">
        <v>132</v>
      </c>
      <c r="AD201" s="231"/>
      <c r="AE201" s="231"/>
      <c r="AF201" s="232"/>
      <c r="AG201" s="233"/>
      <c r="AH201" s="234"/>
      <c r="AI201" s="235"/>
      <c r="AJ201" s="232"/>
      <c r="AK201" s="233"/>
      <c r="AL201" s="234"/>
      <c r="AM201" s="235"/>
      <c r="AN201" s="232"/>
      <c r="AO201" s="233"/>
      <c r="AP201" s="234"/>
      <c r="AQ201" s="235"/>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1"/>
        <v>Child Functioning -- Child #6</v>
      </c>
      <c r="K202" s="93">
        <v>1</v>
      </c>
      <c r="L202" s="82" t="str">
        <f t="shared" ca="1" si="55"/>
        <v/>
      </c>
      <c r="M202" s="23" t="str">
        <f t="shared" ca="1" si="56"/>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2"/>
        <v>157</v>
      </c>
      <c r="AB202" s="15" t="s">
        <v>290</v>
      </c>
      <c r="AC202" s="236" t="s">
        <v>290</v>
      </c>
      <c r="AD202" s="237"/>
      <c r="AE202" s="237"/>
      <c r="AF202" s="238"/>
      <c r="AG202" s="239"/>
      <c r="AH202" s="242"/>
      <c r="AI202" s="243"/>
      <c r="AJ202" s="238"/>
      <c r="AK202" s="239"/>
      <c r="AL202" s="242"/>
      <c r="AM202" s="243"/>
      <c r="AN202" s="238"/>
      <c r="AO202" s="239"/>
      <c r="AP202" s="242"/>
      <c r="AQ202" s="243"/>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1"/>
        <v>Child Functioning -- Child #6</v>
      </c>
      <c r="K203" s="93">
        <v>1</v>
      </c>
      <c r="L203" s="82" t="str">
        <f t="shared" ca="1" si="55"/>
        <v/>
      </c>
      <c r="M203" s="23" t="str">
        <f t="shared" ca="1" si="56"/>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2"/>
        <v>158</v>
      </c>
      <c r="AB203" s="15" t="s">
        <v>291</v>
      </c>
      <c r="AC203" s="230" t="s">
        <v>291</v>
      </c>
      <c r="AD203" s="231"/>
      <c r="AE203" s="231"/>
      <c r="AF203" s="232"/>
      <c r="AG203" s="233"/>
      <c r="AH203" s="234"/>
      <c r="AI203" s="235"/>
      <c r="AJ203" s="232"/>
      <c r="AK203" s="233"/>
      <c r="AL203" s="234"/>
      <c r="AM203" s="235"/>
      <c r="AN203" s="232"/>
      <c r="AO203" s="233"/>
      <c r="AP203" s="234"/>
      <c r="AQ203" s="235"/>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1"/>
        <v>Child Functioning -- Child #6</v>
      </c>
      <c r="K204" s="93">
        <v>1</v>
      </c>
      <c r="L204" s="82" t="str">
        <f t="shared" ca="1" si="55"/>
        <v/>
      </c>
      <c r="M204" s="23" t="str">
        <f t="shared" ca="1" si="56"/>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2"/>
        <v>159</v>
      </c>
      <c r="AB204" s="15" t="s">
        <v>292</v>
      </c>
      <c r="AC204" s="236" t="s">
        <v>292</v>
      </c>
      <c r="AD204" s="237"/>
      <c r="AE204" s="237"/>
      <c r="AF204" s="238"/>
      <c r="AG204" s="239"/>
      <c r="AH204" s="240"/>
      <c r="AI204" s="241"/>
      <c r="AJ204" s="238"/>
      <c r="AK204" s="239"/>
      <c r="AL204" s="240"/>
      <c r="AM204" s="241"/>
      <c r="AN204" s="238"/>
      <c r="AO204" s="239"/>
      <c r="AP204" s="240"/>
      <c r="AQ204" s="241"/>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1"/>
        <v>Child Functioning -- Child #6</v>
      </c>
      <c r="K205" s="93">
        <v>1</v>
      </c>
      <c r="L205" s="82" t="str">
        <f t="shared" ca="1" si="55"/>
        <v/>
      </c>
      <c r="M205" s="23" t="str">
        <f t="shared" ca="1" si="56"/>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2"/>
        <v>160</v>
      </c>
      <c r="AB205" s="15" t="s">
        <v>293</v>
      </c>
      <c r="AC205" s="230" t="s">
        <v>293</v>
      </c>
      <c r="AD205" s="231"/>
      <c r="AE205" s="231"/>
      <c r="AF205" s="232"/>
      <c r="AG205" s="233"/>
      <c r="AH205" s="240"/>
      <c r="AI205" s="241"/>
      <c r="AJ205" s="232"/>
      <c r="AK205" s="233"/>
      <c r="AL205" s="240"/>
      <c r="AM205" s="241"/>
      <c r="AN205" s="232"/>
      <c r="AO205" s="233"/>
      <c r="AP205" s="240"/>
      <c r="AQ205" s="241"/>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1"/>
        <v>Child Functioning -- Child #6</v>
      </c>
      <c r="K206" s="93">
        <v>1</v>
      </c>
      <c r="L206" s="82" t="str">
        <f t="shared" ca="1" si="55"/>
        <v/>
      </c>
      <c r="M206" s="23" t="str">
        <f t="shared" ca="1" si="56"/>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2"/>
        <v>161</v>
      </c>
      <c r="AB206" s="15" t="s">
        <v>294</v>
      </c>
      <c r="AC206" s="236" t="s">
        <v>294</v>
      </c>
      <c r="AD206" s="237"/>
      <c r="AE206" s="237"/>
      <c r="AF206" s="238"/>
      <c r="AG206" s="239"/>
      <c r="AH206" s="242"/>
      <c r="AI206" s="243"/>
      <c r="AJ206" s="238"/>
      <c r="AK206" s="239"/>
      <c r="AL206" s="242"/>
      <c r="AM206" s="243"/>
      <c r="AN206" s="238"/>
      <c r="AO206" s="239"/>
      <c r="AP206" s="242"/>
      <c r="AQ206" s="243"/>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1"/>
        <v>Child Functioning -- Child #6</v>
      </c>
      <c r="K207" s="93">
        <v>1</v>
      </c>
      <c r="L207" s="82" t="str">
        <f t="shared" ca="1" si="55"/>
        <v/>
      </c>
      <c r="M207" s="23" t="str">
        <f t="shared" ca="1" si="56"/>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2"/>
        <v>162</v>
      </c>
      <c r="AB207" s="15" t="s">
        <v>5</v>
      </c>
      <c r="AC207" s="230" t="s">
        <v>5</v>
      </c>
      <c r="AD207" s="231"/>
      <c r="AE207" s="231"/>
      <c r="AF207" s="232"/>
      <c r="AG207" s="233"/>
      <c r="AH207" s="234"/>
      <c r="AI207" s="235"/>
      <c r="AJ207" s="232"/>
      <c r="AK207" s="233"/>
      <c r="AL207" s="234"/>
      <c r="AM207" s="235"/>
      <c r="AN207" s="232"/>
      <c r="AO207" s="233"/>
      <c r="AP207" s="234"/>
      <c r="AQ207" s="235"/>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1"/>
        <v>Child Functioning -- Child #6</v>
      </c>
      <c r="K208" s="93">
        <v>1</v>
      </c>
      <c r="L208" s="82" t="str">
        <f t="shared" ca="1" si="55"/>
        <v/>
      </c>
      <c r="M208" s="23" t="str">
        <f t="shared" ca="1" si="56"/>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2"/>
        <v>163</v>
      </c>
      <c r="AB208" s="15" t="s">
        <v>295</v>
      </c>
      <c r="AC208" s="236" t="s">
        <v>295</v>
      </c>
      <c r="AD208" s="237"/>
      <c r="AE208" s="237"/>
      <c r="AF208" s="238"/>
      <c r="AG208" s="239"/>
      <c r="AH208" s="242"/>
      <c r="AI208" s="243"/>
      <c r="AJ208" s="238"/>
      <c r="AK208" s="239"/>
      <c r="AL208" s="242"/>
      <c r="AM208" s="243"/>
      <c r="AN208" s="238"/>
      <c r="AO208" s="239"/>
      <c r="AP208" s="242"/>
      <c r="AQ208" s="243"/>
      <c r="AR208" s="102"/>
    </row>
    <row r="209" spans="1:44" ht="15.75" hidden="1" x14ac:dyDescent="0.25">
      <c r="A209" s="39"/>
      <c r="B209" s="171" t="str">
        <f t="shared" si="62"/>
        <v>Child Functioning -- Child #6_15</v>
      </c>
      <c r="C209" s="171" t="str">
        <f t="shared" si="66"/>
        <v>CF</v>
      </c>
      <c r="D209" s="171" t="str">
        <f t="shared" si="63"/>
        <v>CF</v>
      </c>
      <c r="E209" s="171" t="str">
        <f t="shared" si="63"/>
        <v>Child Functioning -- Child #6</v>
      </c>
      <c r="F209" s="82">
        <f t="shared" si="72"/>
        <v>12</v>
      </c>
      <c r="G209" s="171">
        <f t="shared" si="73"/>
        <v>15</v>
      </c>
      <c r="H209" s="171" t="str">
        <f t="shared" si="67"/>
        <v>CF</v>
      </c>
      <c r="I209" s="171" t="str">
        <f t="shared" si="68"/>
        <v>CF</v>
      </c>
      <c r="J209" s="171" t="str">
        <f t="shared" si="81"/>
        <v>Child Functioning -- Child #6</v>
      </c>
      <c r="K209" s="172">
        <v>1</v>
      </c>
      <c r="L209" s="82" t="str">
        <f t="shared" ca="1" si="55"/>
        <v/>
      </c>
      <c r="M209" s="23" t="str">
        <f t="shared" ca="1" si="56"/>
        <v/>
      </c>
      <c r="N209" s="171" t="str">
        <f t="shared" ca="1" si="57"/>
        <v/>
      </c>
      <c r="O209" s="171" t="str">
        <f t="shared" ca="1" si="58"/>
        <v/>
      </c>
      <c r="P209" s="80" t="str">
        <f ca="1">IFERROR(IF(AND($X209=3, ISNUMBER($X209)), COUNTIFS(X$18:X209, "=3", $AC$18:$AC209, $AC209), "-"), "err")</f>
        <v>-</v>
      </c>
      <c r="Q209" s="24" t="str">
        <f ca="1">IFERROR(IF(AND($X209=2, ISNUMBER($X209)), COUNTIFS(X$18:X209, "=2", $AC$18:$AC209, $AC209), "-"), "err")</f>
        <v>-</v>
      </c>
      <c r="R209" s="23">
        <f t="shared" ca="1" si="59"/>
        <v>0</v>
      </c>
      <c r="S209" s="170" t="str">
        <f ca="1">IFERROR(IF(AND($X209&gt;=2, ISNUMBER($X209)), COUNTIFS(X$18:X209, "&gt;=2", $AC$18:$AC209, $AC209), "-"), "err")</f>
        <v>-</v>
      </c>
      <c r="T209" s="171">
        <f t="shared" ca="1" si="60"/>
        <v>0</v>
      </c>
      <c r="U209" s="170" t="str">
        <f ca="1">IFERROR(IF(Y209="Yes", COUNTIFS(Y$18:Y209, "Yes", $AC$18:$AC209, $AC209), "-"), "err")</f>
        <v>-</v>
      </c>
      <c r="V209" s="23">
        <f t="shared" ca="1" si="61"/>
        <v>0</v>
      </c>
      <c r="W209" s="170" t="str">
        <f ca="1">IFERROR(IF($Z209="Yes", COUNTIFS(Z$18:Z209, "Yes", $AC$18:AC209, $AC209), "-"), "err")</f>
        <v>-</v>
      </c>
      <c r="X209" s="80">
        <f t="shared" ca="1" si="77"/>
        <v>0</v>
      </c>
      <c r="Y209" s="170" t="str">
        <f t="shared" ca="1" si="78"/>
        <v/>
      </c>
      <c r="Z209" s="170" t="str">
        <f t="shared" ca="1" si="79"/>
        <v/>
      </c>
      <c r="AA209" s="80">
        <f t="shared" si="82"/>
        <v>164</v>
      </c>
      <c r="AB209" s="15" t="s">
        <v>32</v>
      </c>
      <c r="AC209" s="247" t="s">
        <v>32</v>
      </c>
      <c r="AD209" s="248"/>
      <c r="AE209" s="248"/>
      <c r="AF209" s="249"/>
      <c r="AG209" s="250"/>
      <c r="AH209" s="251"/>
      <c r="AI209" s="252"/>
      <c r="AJ209" s="249"/>
      <c r="AK209" s="250"/>
      <c r="AL209" s="251"/>
      <c r="AM209" s="252"/>
      <c r="AN209" s="249"/>
      <c r="AO209" s="250"/>
      <c r="AP209" s="251"/>
      <c r="AQ209" s="252"/>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333</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335</v>
      </c>
      <c r="I3" s="18" t="str">
        <f>CaseID&amp;""</f>
        <v/>
      </c>
      <c r="J3" s="18" t="str">
        <f>CaseID&amp;""</f>
        <v/>
      </c>
      <c r="K3" s="18" t="str">
        <f>CaseID&amp;""</f>
        <v/>
      </c>
      <c r="L3" s="18"/>
      <c r="M3" s="18"/>
      <c r="N3" s="18"/>
      <c r="O3" s="18"/>
      <c r="P3" s="18"/>
      <c r="Q3" s="18"/>
      <c r="R3" s="18"/>
      <c r="S3" s="18"/>
      <c r="T3" s="18"/>
      <c r="U3" s="18"/>
    </row>
    <row r="4" spans="1:21" x14ac:dyDescent="0.25">
      <c r="H4" t="s">
        <v>336</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688</v>
      </c>
      <c r="C5" s="14"/>
      <c r="H5" t="s">
        <v>337</v>
      </c>
      <c r="I5" s="18" t="str">
        <f>agency&amp;""</f>
        <v/>
      </c>
      <c r="J5" s="18" t="str">
        <f>agency&amp;""</f>
        <v/>
      </c>
      <c r="K5" s="18" t="str">
        <f>agency&amp;""</f>
        <v/>
      </c>
      <c r="L5" s="18"/>
      <c r="M5" s="18"/>
      <c r="N5" s="18"/>
      <c r="O5" s="18"/>
      <c r="P5" s="18"/>
      <c r="Q5" s="18"/>
      <c r="R5" s="18"/>
      <c r="S5" s="18"/>
      <c r="T5" s="18"/>
      <c r="U5" s="18"/>
    </row>
    <row r="6" spans="1:21" x14ac:dyDescent="0.25">
      <c r="H6" t="s">
        <v>338</v>
      </c>
      <c r="I6" s="18" t="str">
        <f>office&amp;""</f>
        <v/>
      </c>
      <c r="J6" s="18" t="str">
        <f>office&amp;""</f>
        <v/>
      </c>
      <c r="K6" s="18" t="str">
        <f>office&amp;""</f>
        <v/>
      </c>
      <c r="L6" s="18"/>
      <c r="M6" s="18"/>
      <c r="N6" s="18"/>
      <c r="O6" s="18"/>
      <c r="P6" s="18"/>
      <c r="Q6" s="18"/>
      <c r="R6" s="18"/>
      <c r="S6" s="18"/>
      <c r="T6" s="18"/>
      <c r="U6" s="18"/>
    </row>
    <row r="7" spans="1:21" x14ac:dyDescent="0.25">
      <c r="H7" t="s">
        <v>314</v>
      </c>
      <c r="I7" s="18" t="str">
        <f>serviceType&amp;""</f>
        <v/>
      </c>
      <c r="J7" s="18" t="str">
        <f>serviceType&amp;""</f>
        <v/>
      </c>
      <c r="K7" s="18" t="str">
        <f>serviceType&amp;""</f>
        <v/>
      </c>
      <c r="L7" s="18"/>
      <c r="M7" s="18"/>
      <c r="N7" s="18"/>
      <c r="O7" s="18"/>
      <c r="P7" s="18"/>
      <c r="Q7" s="18"/>
      <c r="R7" s="18"/>
      <c r="S7" s="18"/>
      <c r="T7" s="18"/>
      <c r="U7" s="18"/>
    </row>
    <row r="8" spans="1:21" x14ac:dyDescent="0.25">
      <c r="H8" t="s">
        <v>339</v>
      </c>
      <c r="I8" s="19">
        <f>nCaregivers</f>
        <v>1</v>
      </c>
      <c r="J8" s="19">
        <f>nCaregivers</f>
        <v>1</v>
      </c>
      <c r="K8" s="19">
        <f>nCaregivers</f>
        <v>1</v>
      </c>
      <c r="L8" s="19"/>
      <c r="M8" s="19"/>
      <c r="N8" s="19"/>
      <c r="O8" s="19"/>
      <c r="P8" s="19"/>
      <c r="Q8" s="19"/>
      <c r="R8" s="19"/>
      <c r="S8" s="19"/>
      <c r="T8" s="19"/>
      <c r="U8" s="19"/>
    </row>
    <row r="9" spans="1:21" x14ac:dyDescent="0.25">
      <c r="B9" s="14" t="s">
        <v>51</v>
      </c>
      <c r="C9" s="14" t="s">
        <v>691</v>
      </c>
      <c r="D9" s="14" t="s">
        <v>690</v>
      </c>
      <c r="E9" s="14" t="s">
        <v>689</v>
      </c>
      <c r="F9" s="14" t="s">
        <v>57</v>
      </c>
      <c r="G9" s="14" t="s">
        <v>334</v>
      </c>
      <c r="H9" t="s">
        <v>340</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335</v>
      </c>
      <c r="B1" s="21" t="s">
        <v>336</v>
      </c>
      <c r="C1" s="21" t="s">
        <v>337</v>
      </c>
      <c r="D1" s="21" t="s">
        <v>338</v>
      </c>
      <c r="E1" s="21" t="s">
        <v>314</v>
      </c>
      <c r="F1" s="21" t="s">
        <v>339</v>
      </c>
      <c r="G1" s="21" t="s">
        <v>340</v>
      </c>
      <c r="H1" s="21" t="s">
        <v>263</v>
      </c>
      <c r="I1" s="21" t="s">
        <v>264</v>
      </c>
      <c r="J1" s="21" t="s">
        <v>45</v>
      </c>
      <c r="K1" s="21" t="s">
        <v>265</v>
      </c>
      <c r="L1" s="21" t="s">
        <v>115</v>
      </c>
      <c r="M1" s="21" t="s">
        <v>118</v>
      </c>
      <c r="N1" s="21" t="s">
        <v>266</v>
      </c>
      <c r="O1" s="21" t="s">
        <v>267</v>
      </c>
      <c r="P1" s="21" t="s">
        <v>268</v>
      </c>
      <c r="Q1" s="21" t="s">
        <v>116</v>
      </c>
      <c r="R1" s="21" t="s">
        <v>359</v>
      </c>
      <c r="S1" s="21" t="s">
        <v>360</v>
      </c>
      <c r="T1" s="21" t="s">
        <v>361</v>
      </c>
      <c r="U1" s="21" t="s">
        <v>272</v>
      </c>
      <c r="V1" s="21" t="s">
        <v>273</v>
      </c>
      <c r="W1" s="21" t="s">
        <v>22</v>
      </c>
      <c r="X1" s="21" t="s">
        <v>362</v>
      </c>
      <c r="Y1" s="21" t="s">
        <v>363</v>
      </c>
      <c r="Z1" s="21" t="s">
        <v>693</v>
      </c>
      <c r="AA1" s="21" t="s">
        <v>694</v>
      </c>
      <c r="AB1" s="21" t="s">
        <v>695</v>
      </c>
      <c r="AC1" s="21" t="s">
        <v>696</v>
      </c>
      <c r="AD1" s="21" t="s">
        <v>697</v>
      </c>
      <c r="AE1" s="21" t="s">
        <v>698</v>
      </c>
      <c r="AF1" s="21" t="s">
        <v>699</v>
      </c>
      <c r="AG1" s="21" t="s">
        <v>700</v>
      </c>
      <c r="AH1" s="21" t="s">
        <v>701</v>
      </c>
      <c r="AI1" s="21" t="s">
        <v>702</v>
      </c>
      <c r="AJ1" s="21" t="s">
        <v>703</v>
      </c>
      <c r="AK1" s="21" t="s">
        <v>704</v>
      </c>
      <c r="AL1" s="21" t="s">
        <v>705</v>
      </c>
      <c r="AM1" s="21" t="s">
        <v>706</v>
      </c>
      <c r="AN1" s="21" t="s">
        <v>380</v>
      </c>
      <c r="AO1" s="21" t="s">
        <v>381</v>
      </c>
      <c r="AP1" s="21" t="s">
        <v>382</v>
      </c>
      <c r="AQ1" s="21" t="s">
        <v>383</v>
      </c>
      <c r="AR1" s="21" t="s">
        <v>384</v>
      </c>
      <c r="AS1" s="21" t="s">
        <v>385</v>
      </c>
      <c r="AT1" s="21" t="s">
        <v>386</v>
      </c>
      <c r="AU1" s="21" t="s">
        <v>387</v>
      </c>
      <c r="AV1" s="21" t="s">
        <v>388</v>
      </c>
      <c r="AW1" s="21" t="s">
        <v>389</v>
      </c>
      <c r="AX1" s="21" t="s">
        <v>390</v>
      </c>
      <c r="AY1" s="21" t="s">
        <v>391</v>
      </c>
      <c r="AZ1" s="21" t="s">
        <v>392</v>
      </c>
      <c r="BA1" s="21" t="s">
        <v>393</v>
      </c>
      <c r="BB1" s="21" t="s">
        <v>414</v>
      </c>
      <c r="BC1" s="21" t="s">
        <v>415</v>
      </c>
      <c r="BD1" s="21" t="s">
        <v>416</v>
      </c>
      <c r="BE1" s="21" t="s">
        <v>417</v>
      </c>
      <c r="BF1" s="21" t="s">
        <v>418</v>
      </c>
      <c r="BG1" s="21" t="s">
        <v>419</v>
      </c>
      <c r="BH1" s="21" t="s">
        <v>420</v>
      </c>
      <c r="BI1" s="21" t="s">
        <v>421</v>
      </c>
      <c r="BJ1" s="21" t="s">
        <v>422</v>
      </c>
      <c r="BK1" s="21" t="s">
        <v>423</v>
      </c>
      <c r="BL1" s="21" t="s">
        <v>424</v>
      </c>
      <c r="BM1" s="21" t="s">
        <v>425</v>
      </c>
      <c r="BN1" s="21" t="s">
        <v>426</v>
      </c>
      <c r="BO1" s="21" t="s">
        <v>427</v>
      </c>
      <c r="BP1" s="21" t="s">
        <v>448</v>
      </c>
      <c r="BQ1" s="21" t="s">
        <v>449</v>
      </c>
      <c r="BR1" s="21" t="s">
        <v>450</v>
      </c>
      <c r="BS1" s="21" t="s">
        <v>451</v>
      </c>
      <c r="BT1" s="21" t="s">
        <v>452</v>
      </c>
      <c r="BU1" s="21" t="s">
        <v>453</v>
      </c>
      <c r="BV1" s="21" t="s">
        <v>454</v>
      </c>
      <c r="BW1" s="21" t="s">
        <v>455</v>
      </c>
      <c r="BX1" s="21" t="s">
        <v>456</v>
      </c>
      <c r="BY1" s="21" t="s">
        <v>457</v>
      </c>
      <c r="BZ1" s="21" t="s">
        <v>458</v>
      </c>
      <c r="CA1" s="21" t="s">
        <v>459</v>
      </c>
      <c r="CB1" s="21" t="s">
        <v>460</v>
      </c>
      <c r="CC1" s="21" t="s">
        <v>461</v>
      </c>
      <c r="CD1" s="21" t="s">
        <v>707</v>
      </c>
      <c r="CE1" s="21" t="s">
        <v>708</v>
      </c>
      <c r="CF1" s="21" t="s">
        <v>709</v>
      </c>
      <c r="CG1" s="21" t="s">
        <v>710</v>
      </c>
      <c r="CH1" s="21" t="s">
        <v>711</v>
      </c>
      <c r="CI1" s="21" t="s">
        <v>712</v>
      </c>
      <c r="CJ1" s="21" t="s">
        <v>713</v>
      </c>
      <c r="CK1" s="21" t="s">
        <v>714</v>
      </c>
      <c r="CL1" s="21" t="s">
        <v>715</v>
      </c>
      <c r="CM1" s="21" t="s">
        <v>716</v>
      </c>
      <c r="CN1" s="21" t="s">
        <v>717</v>
      </c>
      <c r="CO1" s="21" t="s">
        <v>718</v>
      </c>
      <c r="CP1" s="21" t="s">
        <v>719</v>
      </c>
      <c r="CQ1" s="21" t="s">
        <v>720</v>
      </c>
      <c r="CR1" s="21" t="s">
        <v>721</v>
      </c>
      <c r="CS1" s="21" t="s">
        <v>483</v>
      </c>
      <c r="CT1" s="21" t="s">
        <v>484</v>
      </c>
      <c r="CU1" s="21" t="s">
        <v>485</v>
      </c>
      <c r="CV1" s="21" t="s">
        <v>486</v>
      </c>
      <c r="CW1" s="21" t="s">
        <v>487</v>
      </c>
      <c r="CX1" s="21" t="s">
        <v>488</v>
      </c>
      <c r="CY1" s="21" t="s">
        <v>489</v>
      </c>
      <c r="CZ1" s="21" t="s">
        <v>490</v>
      </c>
      <c r="DA1" s="21" t="s">
        <v>491</v>
      </c>
      <c r="DB1" s="21" t="s">
        <v>492</v>
      </c>
      <c r="DC1" s="21" t="s">
        <v>493</v>
      </c>
      <c r="DD1" s="21" t="s">
        <v>494</v>
      </c>
      <c r="DE1" s="21" t="s">
        <v>495</v>
      </c>
      <c r="DF1" s="21" t="s">
        <v>496</v>
      </c>
      <c r="DG1" s="21" t="s">
        <v>497</v>
      </c>
      <c r="DH1" s="21" t="s">
        <v>520</v>
      </c>
      <c r="DI1" s="21" t="s">
        <v>521</v>
      </c>
      <c r="DJ1" s="21" t="s">
        <v>522</v>
      </c>
      <c r="DK1" s="21" t="s">
        <v>523</v>
      </c>
      <c r="DL1" s="21" t="s">
        <v>524</v>
      </c>
      <c r="DM1" s="21" t="s">
        <v>525</v>
      </c>
      <c r="DN1" s="21" t="s">
        <v>526</v>
      </c>
      <c r="DO1" s="21" t="s">
        <v>527</v>
      </c>
      <c r="DP1" s="21" t="s">
        <v>528</v>
      </c>
      <c r="DQ1" s="21" t="s">
        <v>529</v>
      </c>
      <c r="DR1" s="21" t="s">
        <v>530</v>
      </c>
      <c r="DS1" s="21" t="s">
        <v>531</v>
      </c>
      <c r="DT1" s="21" t="s">
        <v>532</v>
      </c>
      <c r="DU1" s="21" t="s">
        <v>533</v>
      </c>
      <c r="DV1" s="21" t="s">
        <v>534</v>
      </c>
      <c r="DW1" s="21" t="s">
        <v>557</v>
      </c>
      <c r="DX1" s="21" t="s">
        <v>558</v>
      </c>
      <c r="DY1" s="21" t="s">
        <v>559</v>
      </c>
      <c r="DZ1" s="21" t="s">
        <v>560</v>
      </c>
      <c r="EA1" s="21" t="s">
        <v>561</v>
      </c>
      <c r="EB1" s="21" t="s">
        <v>562</v>
      </c>
      <c r="EC1" s="21" t="s">
        <v>563</v>
      </c>
      <c r="ED1" s="21" t="s">
        <v>564</v>
      </c>
      <c r="EE1" s="21" t="s">
        <v>565</v>
      </c>
      <c r="EF1" s="21" t="s">
        <v>566</v>
      </c>
      <c r="EG1" s="21" t="s">
        <v>567</v>
      </c>
      <c r="EH1" s="21" t="s">
        <v>568</v>
      </c>
      <c r="EI1" s="21" t="s">
        <v>569</v>
      </c>
      <c r="EJ1" s="21" t="s">
        <v>570</v>
      </c>
      <c r="EK1" s="21" t="s">
        <v>571</v>
      </c>
      <c r="EL1" s="21" t="s">
        <v>594</v>
      </c>
      <c r="EM1" s="21" t="s">
        <v>595</v>
      </c>
      <c r="EN1" s="21" t="s">
        <v>596</v>
      </c>
      <c r="EO1" s="21" t="s">
        <v>597</v>
      </c>
      <c r="EP1" s="21" t="s">
        <v>722</v>
      </c>
      <c r="EQ1" s="21" t="s">
        <v>723</v>
      </c>
      <c r="ER1" s="21" t="s">
        <v>598</v>
      </c>
      <c r="ES1" s="21" t="s">
        <v>599</v>
      </c>
      <c r="ET1" s="21" t="s">
        <v>600</v>
      </c>
      <c r="EU1" s="21" t="s">
        <v>601</v>
      </c>
      <c r="EV1" s="21" t="s">
        <v>602</v>
      </c>
      <c r="EW1" s="21" t="s">
        <v>603</v>
      </c>
      <c r="EX1" s="21" t="s">
        <v>604</v>
      </c>
      <c r="EY1" s="21" t="s">
        <v>605</v>
      </c>
      <c r="EZ1" s="21" t="s">
        <v>606</v>
      </c>
      <c r="FA1" s="21" t="s">
        <v>629</v>
      </c>
      <c r="FB1" s="21" t="s">
        <v>630</v>
      </c>
      <c r="FC1" s="21" t="s">
        <v>631</v>
      </c>
      <c r="FD1" s="21" t="s">
        <v>632</v>
      </c>
      <c r="FE1" s="21" t="s">
        <v>633</v>
      </c>
      <c r="FF1" s="21" t="s">
        <v>634</v>
      </c>
      <c r="FG1" s="21" t="s">
        <v>635</v>
      </c>
      <c r="FH1" s="21" t="s">
        <v>636</v>
      </c>
      <c r="FI1" s="21" t="s">
        <v>637</v>
      </c>
      <c r="FJ1" s="21" t="s">
        <v>638</v>
      </c>
      <c r="FK1" s="21" t="s">
        <v>639</v>
      </c>
      <c r="FL1" s="21" t="s">
        <v>640</v>
      </c>
      <c r="FM1" s="21" t="s">
        <v>641</v>
      </c>
      <c r="FN1" s="21" t="s">
        <v>642</v>
      </c>
      <c r="FO1" s="21" t="s">
        <v>643</v>
      </c>
      <c r="FP1" s="21" t="s">
        <v>341</v>
      </c>
      <c r="FQ1" s="21"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61" t="s">
        <v>161</v>
      </c>
      <c r="B3" s="161" t="s">
        <v>54</v>
      </c>
      <c r="C3" s="161" t="s">
        <v>56</v>
      </c>
      <c r="D3" s="161" t="s">
        <v>57</v>
      </c>
      <c r="E3" s="161" t="s">
        <v>58</v>
      </c>
      <c r="F3" s="161" t="s">
        <v>0</v>
      </c>
      <c r="G3" s="161" t="s">
        <v>162</v>
      </c>
      <c r="H3" s="161" t="s">
        <v>61</v>
      </c>
      <c r="I3" s="161" t="s">
        <v>51</v>
      </c>
      <c r="J3" s="161" t="s">
        <v>59</v>
      </c>
      <c r="K3" s="161" t="s">
        <v>50</v>
      </c>
      <c r="L3" s="161" t="s">
        <v>60</v>
      </c>
      <c r="O3" s="118" t="s">
        <v>918</v>
      </c>
      <c r="P3" s="118" t="s">
        <v>919</v>
      </c>
      <c r="Q3" s="118" t="s">
        <v>920</v>
      </c>
      <c r="R3" s="118" t="s">
        <v>921</v>
      </c>
      <c r="S3" s="118" t="s">
        <v>922</v>
      </c>
      <c r="T3" s="118" t="s">
        <v>923</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62" t="str">
        <f t="shared" ref="R4:R53" ca="1" si="2">IFERROR(INDEX(Items, MATCH(ROW()-ROW(R$3), Needs, 0)), "")</f>
        <v/>
      </c>
      <c r="S4" s="162" t="str">
        <f t="shared" ref="S4:S53" ca="1" si="3">IFERROR(INDEX(Items, MATCH(ROW()-ROW(S$3), UsefulStrengths, 0)), "")</f>
        <v/>
      </c>
      <c r="T4" s="162"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62" t="str">
        <f t="shared" ca="1" si="2"/>
        <v/>
      </c>
      <c r="S5" s="162" t="str">
        <f t="shared" ca="1" si="3"/>
        <v/>
      </c>
      <c r="T5" s="162"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62" t="str">
        <f t="shared" ca="1" si="2"/>
        <v/>
      </c>
      <c r="S6" s="162" t="str">
        <f t="shared" ca="1" si="3"/>
        <v/>
      </c>
      <c r="T6" s="162"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62" t="str">
        <f t="shared" ca="1" si="2"/>
        <v/>
      </c>
      <c r="S7" s="162" t="str">
        <f t="shared" ca="1" si="3"/>
        <v/>
      </c>
      <c r="T7" s="162"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62" t="str">
        <f t="shared" ca="1" si="2"/>
        <v/>
      </c>
      <c r="S8" s="162" t="str">
        <f t="shared" ca="1" si="3"/>
        <v/>
      </c>
      <c r="T8" s="162"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62" t="str">
        <f t="shared" ca="1" si="2"/>
        <v/>
      </c>
      <c r="S9" s="162" t="str">
        <f t="shared" ca="1" si="3"/>
        <v/>
      </c>
      <c r="T9" s="162"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62" t="str">
        <f t="shared" ca="1" si="2"/>
        <v/>
      </c>
      <c r="S10" s="162" t="str">
        <f t="shared" ca="1" si="3"/>
        <v/>
      </c>
      <c r="T10" s="162"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62" t="str">
        <f t="shared" ca="1" si="2"/>
        <v/>
      </c>
      <c r="S11" s="162" t="str">
        <f t="shared" ca="1" si="3"/>
        <v/>
      </c>
      <c r="T11" s="162"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62" t="str">
        <f t="shared" ca="1" si="2"/>
        <v/>
      </c>
      <c r="S12" s="162" t="str">
        <f t="shared" ca="1" si="3"/>
        <v/>
      </c>
      <c r="T12" s="162"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62" t="str">
        <f t="shared" ca="1" si="2"/>
        <v/>
      </c>
      <c r="S13" s="162" t="str">
        <f t="shared" ca="1" si="3"/>
        <v/>
      </c>
      <c r="T13" s="162"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62" t="str">
        <f t="shared" ca="1" si="2"/>
        <v/>
      </c>
      <c r="S14" s="162" t="str">
        <f t="shared" ca="1" si="3"/>
        <v/>
      </c>
      <c r="T14" s="162"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62" t="str">
        <f t="shared" ca="1" si="2"/>
        <v/>
      </c>
      <c r="S15" s="162" t="str">
        <f t="shared" ca="1" si="3"/>
        <v/>
      </c>
      <c r="T15" s="162"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62" t="str">
        <f t="shared" ca="1" si="2"/>
        <v/>
      </c>
      <c r="S16" s="162" t="str">
        <f t="shared" ca="1" si="3"/>
        <v/>
      </c>
      <c r="T16" s="162"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62" t="str">
        <f t="shared" ca="1" si="2"/>
        <v/>
      </c>
      <c r="S17" s="162" t="str">
        <f t="shared" ca="1" si="3"/>
        <v/>
      </c>
      <c r="T17" s="162"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62" t="str">
        <f t="shared" ca="1" si="2"/>
        <v/>
      </c>
      <c r="S18" s="162" t="str">
        <f t="shared" ca="1" si="3"/>
        <v/>
      </c>
      <c r="T18" s="162"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62" t="str">
        <f t="shared" ca="1" si="2"/>
        <v/>
      </c>
      <c r="S19" s="162" t="str">
        <f t="shared" ca="1" si="3"/>
        <v/>
      </c>
      <c r="T19" s="162"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62" t="str">
        <f t="shared" ca="1" si="2"/>
        <v/>
      </c>
      <c r="S20" s="162" t="str">
        <f t="shared" ca="1" si="3"/>
        <v/>
      </c>
      <c r="T20" s="162"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62" t="str">
        <f t="shared" ca="1" si="2"/>
        <v/>
      </c>
      <c r="S21" s="162" t="str">
        <f t="shared" ca="1" si="3"/>
        <v/>
      </c>
      <c r="T21" s="162"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62" t="str">
        <f t="shared" ca="1" si="2"/>
        <v/>
      </c>
      <c r="S22" s="162" t="str">
        <f t="shared" ca="1" si="3"/>
        <v/>
      </c>
      <c r="T22" s="162"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62" t="str">
        <f t="shared" ca="1" si="2"/>
        <v/>
      </c>
      <c r="S23" s="162" t="str">
        <f t="shared" ca="1" si="3"/>
        <v/>
      </c>
      <c r="T23" s="162"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62" t="str">
        <f t="shared" ca="1" si="2"/>
        <v/>
      </c>
      <c r="S24" s="162" t="str">
        <f t="shared" ca="1" si="3"/>
        <v/>
      </c>
      <c r="T24" s="162"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62" t="str">
        <f t="shared" ca="1" si="2"/>
        <v/>
      </c>
      <c r="S25" s="162" t="str">
        <f t="shared" ca="1" si="3"/>
        <v/>
      </c>
      <c r="T25" s="162"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62" t="str">
        <f t="shared" ca="1" si="2"/>
        <v/>
      </c>
      <c r="S26" s="162" t="str">
        <f t="shared" ca="1" si="3"/>
        <v/>
      </c>
      <c r="T26" s="162"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62" t="str">
        <f t="shared" ca="1" si="2"/>
        <v/>
      </c>
      <c r="S27" s="162" t="str">
        <f t="shared" ca="1" si="3"/>
        <v/>
      </c>
      <c r="T27" s="162"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62" t="str">
        <f t="shared" ca="1" si="2"/>
        <v/>
      </c>
      <c r="S28" s="162" t="str">
        <f t="shared" ca="1" si="3"/>
        <v/>
      </c>
      <c r="T28" s="162"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62" t="str">
        <f t="shared" ca="1" si="2"/>
        <v/>
      </c>
      <c r="S29" s="162" t="str">
        <f t="shared" ca="1" si="3"/>
        <v/>
      </c>
      <c r="T29" s="162"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62" t="str">
        <f t="shared" ca="1" si="2"/>
        <v/>
      </c>
      <c r="S30" s="162" t="str">
        <f t="shared" ca="1" si="3"/>
        <v/>
      </c>
      <c r="T30" s="162"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62" t="str">
        <f t="shared" ca="1" si="2"/>
        <v/>
      </c>
      <c r="S31" s="162" t="str">
        <f t="shared" ca="1" si="3"/>
        <v/>
      </c>
      <c r="T31" s="162"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62" t="str">
        <f t="shared" ca="1" si="2"/>
        <v/>
      </c>
      <c r="S32" s="162" t="str">
        <f t="shared" ca="1" si="3"/>
        <v/>
      </c>
      <c r="T32" s="162"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62" t="str">
        <f t="shared" ca="1" si="2"/>
        <v/>
      </c>
      <c r="S33" s="162" t="str">
        <f t="shared" ca="1" si="3"/>
        <v/>
      </c>
      <c r="T33" s="162"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62" t="str">
        <f t="shared" ca="1" si="2"/>
        <v/>
      </c>
      <c r="S34" s="162" t="str">
        <f t="shared" ca="1" si="3"/>
        <v/>
      </c>
      <c r="T34" s="162"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62" t="str">
        <f t="shared" ca="1" si="2"/>
        <v/>
      </c>
      <c r="S35" s="162" t="str">
        <f t="shared" ca="1" si="3"/>
        <v/>
      </c>
      <c r="T35" s="162"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62" t="str">
        <f t="shared" ca="1" si="2"/>
        <v/>
      </c>
      <c r="S36" s="162" t="str">
        <f t="shared" ca="1" si="3"/>
        <v/>
      </c>
      <c r="T36" s="162"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62" t="str">
        <f t="shared" ca="1" si="2"/>
        <v/>
      </c>
      <c r="S37" s="162" t="str">
        <f t="shared" ca="1" si="3"/>
        <v/>
      </c>
      <c r="T37" s="162"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62" t="str">
        <f t="shared" ca="1" si="2"/>
        <v/>
      </c>
      <c r="S38" s="162" t="str">
        <f t="shared" ca="1" si="3"/>
        <v/>
      </c>
      <c r="T38" s="162"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62" t="str">
        <f t="shared" ca="1" si="2"/>
        <v/>
      </c>
      <c r="S39" s="162" t="str">
        <f t="shared" ca="1" si="3"/>
        <v/>
      </c>
      <c r="T39" s="162"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62" t="str">
        <f t="shared" ca="1" si="2"/>
        <v/>
      </c>
      <c r="S40" s="162" t="str">
        <f t="shared" ca="1" si="3"/>
        <v/>
      </c>
      <c r="T40" s="162"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62" t="str">
        <f t="shared" ca="1" si="2"/>
        <v/>
      </c>
      <c r="S41" s="162" t="str">
        <f t="shared" ca="1" si="3"/>
        <v/>
      </c>
      <c r="T41" s="162"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62" t="str">
        <f t="shared" ca="1" si="2"/>
        <v/>
      </c>
      <c r="S42" s="162" t="str">
        <f t="shared" ca="1" si="3"/>
        <v/>
      </c>
      <c r="T42" s="162"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62" t="str">
        <f t="shared" ca="1" si="2"/>
        <v/>
      </c>
      <c r="S43" s="162" t="str">
        <f t="shared" ca="1" si="3"/>
        <v/>
      </c>
      <c r="T43" s="162"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62" t="str">
        <f t="shared" ca="1" si="2"/>
        <v/>
      </c>
      <c r="S44" s="162" t="str">
        <f t="shared" ca="1" si="3"/>
        <v/>
      </c>
      <c r="T44" s="162"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62" t="str">
        <f t="shared" ca="1" si="2"/>
        <v/>
      </c>
      <c r="S45" s="162" t="str">
        <f t="shared" ca="1" si="3"/>
        <v/>
      </c>
      <c r="T45" s="162"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62" t="str">
        <f t="shared" ca="1" si="2"/>
        <v/>
      </c>
      <c r="S46" s="162" t="str">
        <f t="shared" ca="1" si="3"/>
        <v/>
      </c>
      <c r="T46" s="162"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62" t="str">
        <f t="shared" ca="1" si="2"/>
        <v/>
      </c>
      <c r="S47" s="162" t="str">
        <f t="shared" ca="1" si="3"/>
        <v/>
      </c>
      <c r="T47" s="162"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62" t="str">
        <f t="shared" ca="1" si="2"/>
        <v/>
      </c>
      <c r="S48" s="162" t="str">
        <f t="shared" ca="1" si="3"/>
        <v/>
      </c>
      <c r="T48" s="162"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62" t="str">
        <f t="shared" ca="1" si="2"/>
        <v/>
      </c>
      <c r="S49" s="162" t="str">
        <f t="shared" ca="1" si="3"/>
        <v/>
      </c>
      <c r="T49" s="162"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62" t="str">
        <f t="shared" ca="1" si="2"/>
        <v/>
      </c>
      <c r="S50" s="162" t="str">
        <f t="shared" ca="1" si="3"/>
        <v/>
      </c>
      <c r="T50" s="162"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62" t="str">
        <f t="shared" ca="1" si="2"/>
        <v/>
      </c>
      <c r="S51" s="162" t="str">
        <f t="shared" ca="1" si="3"/>
        <v/>
      </c>
      <c r="T51" s="162"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62" t="str">
        <f t="shared" ca="1" si="2"/>
        <v/>
      </c>
      <c r="S52" s="162" t="str">
        <f t="shared" ca="1" si="3"/>
        <v/>
      </c>
      <c r="T52" s="162"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62" t="str">
        <f t="shared" ca="1" si="2"/>
        <v/>
      </c>
      <c r="S53" s="162" t="str">
        <f t="shared" ca="1" si="3"/>
        <v/>
      </c>
      <c r="T53" s="162"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0" sqref="C10"/>
    </sheetView>
  </sheetViews>
  <sheetFormatPr defaultRowHeight="15" x14ac:dyDescent="0.25"/>
  <cols>
    <col min="1" max="1" width="3.7109375" style="111" customWidth="1"/>
    <col min="2" max="2" width="76.7109375" style="150"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93" t="s">
        <v>304</v>
      </c>
      <c r="B1" s="133"/>
      <c r="C1" s="192"/>
      <c r="D1" s="134"/>
      <c r="E1" s="134"/>
      <c r="F1" s="134"/>
    </row>
    <row r="2" spans="1:6" x14ac:dyDescent="0.25">
      <c r="A2" s="135"/>
      <c r="B2" s="136"/>
      <c r="C2" s="139" t="s">
        <v>305</v>
      </c>
      <c r="D2" s="139" t="str">
        <f>FamilyName&amp;""</f>
        <v/>
      </c>
      <c r="E2" s="137"/>
      <c r="F2" s="135"/>
    </row>
    <row r="3" spans="1:6" x14ac:dyDescent="0.25">
      <c r="A3" s="124"/>
      <c r="B3" s="138"/>
      <c r="C3" s="139" t="str">
        <f>"Information from latest assessment: "&amp;TEXT(dateLastAssess, "M/D/YYYY")</f>
        <v>Information from latest assessment: 1/1/2018</v>
      </c>
      <c r="D3" s="140"/>
      <c r="E3" s="137"/>
      <c r="F3" s="124"/>
    </row>
    <row r="4" spans="1:6" x14ac:dyDescent="0.25">
      <c r="A4" s="124"/>
      <c r="B4" s="138"/>
      <c r="C4" s="139"/>
      <c r="D4" s="140"/>
      <c r="E4" s="137"/>
      <c r="F4" s="124"/>
    </row>
    <row r="5" spans="1:6" x14ac:dyDescent="0.25">
      <c r="A5" s="124"/>
      <c r="B5" s="141" t="s">
        <v>681</v>
      </c>
      <c r="C5" s="142"/>
      <c r="D5" s="143" t="s">
        <v>258</v>
      </c>
      <c r="E5" s="143" t="s">
        <v>259</v>
      </c>
      <c r="F5" s="124"/>
    </row>
    <row r="6" spans="1:6" x14ac:dyDescent="0.25">
      <c r="A6" s="124"/>
      <c r="B6" s="138" t="s">
        <v>3</v>
      </c>
      <c r="C6" s="199" t="s">
        <v>3</v>
      </c>
      <c r="D6" s="144" t="str">
        <f t="shared" ref="D6:D17" ca="1" si="0">INDEX(ActionNeeds, MATCH($B6, LastDomainItem, 0))&amp;""</f>
        <v/>
      </c>
      <c r="E6" s="144" t="str">
        <f t="shared" ref="E6:E17" ca="1" si="1">INDEX(IActionNeeds, MATCH($B6, LastDomainItem, 0))&amp;""</f>
        <v/>
      </c>
      <c r="F6" s="124"/>
    </row>
    <row r="7" spans="1:6" x14ac:dyDescent="0.25">
      <c r="A7" s="124"/>
      <c r="B7" s="138" t="s">
        <v>306</v>
      </c>
      <c r="C7" s="199" t="s">
        <v>306</v>
      </c>
      <c r="D7" s="144" t="str">
        <f t="shared" ca="1" si="0"/>
        <v/>
      </c>
      <c r="E7" s="144" t="str">
        <f t="shared" ca="1" si="1"/>
        <v/>
      </c>
      <c r="F7" s="124"/>
    </row>
    <row r="8" spans="1:6" x14ac:dyDescent="0.25">
      <c r="A8" s="124"/>
      <c r="B8" s="138" t="s">
        <v>324</v>
      </c>
      <c r="C8" s="199" t="str">
        <f>"Caregiver Functioning - "&amp;CGName1</f>
        <v xml:space="preserve">Caregiver Functioning - </v>
      </c>
      <c r="D8" s="144" t="str">
        <f t="shared" ca="1" si="0"/>
        <v/>
      </c>
      <c r="E8" s="144" t="str">
        <f t="shared" ca="1" si="1"/>
        <v/>
      </c>
      <c r="F8" s="124"/>
    </row>
    <row r="9" spans="1:6" x14ac:dyDescent="0.25">
      <c r="A9" s="124"/>
      <c r="B9" s="138" t="s">
        <v>325</v>
      </c>
      <c r="C9" s="199" t="str">
        <f>"Caregiver Functioning - "&amp;CGName2</f>
        <v xml:space="preserve">Caregiver Functioning - </v>
      </c>
      <c r="D9" s="144" t="str">
        <f t="shared" ca="1" si="0"/>
        <v/>
      </c>
      <c r="E9" s="144" t="str">
        <f t="shared" ca="1" si="1"/>
        <v/>
      </c>
      <c r="F9" s="124"/>
    </row>
    <row r="10" spans="1:6" x14ac:dyDescent="0.25">
      <c r="A10" s="124"/>
      <c r="B10" s="138" t="s">
        <v>668</v>
      </c>
      <c r="C10" s="199" t="str">
        <f>"Caregiver Functioning - "&amp;CGName3</f>
        <v xml:space="preserve">Caregiver Functioning - </v>
      </c>
      <c r="D10" s="144" t="str">
        <f t="shared" ca="1" si="0"/>
        <v/>
      </c>
      <c r="E10" s="144" t="str">
        <f t="shared" ca="1" si="1"/>
        <v/>
      </c>
      <c r="F10" s="124"/>
    </row>
    <row r="11" spans="1:6" x14ac:dyDescent="0.25">
      <c r="A11" s="124"/>
      <c r="B11" s="138" t="s">
        <v>669</v>
      </c>
      <c r="C11" s="199" t="str">
        <f>"Caregiver Functioning - "&amp;CGName4</f>
        <v xml:space="preserve">Caregiver Functioning - </v>
      </c>
      <c r="D11" s="144" t="str">
        <f t="shared" ca="1" si="0"/>
        <v/>
      </c>
      <c r="E11" s="144" t="str">
        <f t="shared" ca="1" si="1"/>
        <v/>
      </c>
      <c r="F11" s="124"/>
    </row>
    <row r="12" spans="1:6" x14ac:dyDescent="0.25">
      <c r="A12" s="124"/>
      <c r="B12" s="138" t="s">
        <v>326</v>
      </c>
      <c r="C12" s="199" t="str">
        <f>"Child Functioning - "&amp;ChildName1</f>
        <v xml:space="preserve">Child Functioning - </v>
      </c>
      <c r="D12" s="144" t="str">
        <f t="shared" ca="1" si="0"/>
        <v/>
      </c>
      <c r="E12" s="144" t="str">
        <f t="shared" ca="1" si="1"/>
        <v/>
      </c>
      <c r="F12" s="124"/>
    </row>
    <row r="13" spans="1:6" x14ac:dyDescent="0.25">
      <c r="A13" s="124"/>
      <c r="B13" s="138" t="s">
        <v>327</v>
      </c>
      <c r="C13" s="199" t="str">
        <f>"Child Functioning - "&amp;ChildName2</f>
        <v xml:space="preserve">Child Functioning - </v>
      </c>
      <c r="D13" s="144" t="str">
        <f t="shared" ca="1" si="0"/>
        <v/>
      </c>
      <c r="E13" s="144" t="str">
        <f t="shared" ca="1" si="1"/>
        <v/>
      </c>
      <c r="F13" s="124"/>
    </row>
    <row r="14" spans="1:6" x14ac:dyDescent="0.25">
      <c r="A14" s="124"/>
      <c r="B14" s="138" t="s">
        <v>328</v>
      </c>
      <c r="C14" s="199" t="str">
        <f>"Child Functioning - "&amp;ChildName3</f>
        <v xml:space="preserve">Child Functioning - </v>
      </c>
      <c r="D14" s="144" t="str">
        <f t="shared" ca="1" si="0"/>
        <v/>
      </c>
      <c r="E14" s="144" t="str">
        <f t="shared" ca="1" si="1"/>
        <v/>
      </c>
      <c r="F14" s="124"/>
    </row>
    <row r="15" spans="1:6" x14ac:dyDescent="0.25">
      <c r="A15" s="124"/>
      <c r="B15" s="138" t="s">
        <v>329</v>
      </c>
      <c r="C15" s="199" t="str">
        <f>"Child Functioning - "&amp;ChildName4</f>
        <v xml:space="preserve">Child Functioning - </v>
      </c>
      <c r="D15" s="144" t="str">
        <f t="shared" ca="1" si="0"/>
        <v/>
      </c>
      <c r="E15" s="144" t="str">
        <f t="shared" ca="1" si="1"/>
        <v/>
      </c>
      <c r="F15" s="124"/>
    </row>
    <row r="16" spans="1:6" x14ac:dyDescent="0.25">
      <c r="A16" s="124"/>
      <c r="B16" s="138" t="s">
        <v>330</v>
      </c>
      <c r="C16" s="199" t="str">
        <f>"Child Functioning - "&amp;ChildName5</f>
        <v xml:space="preserve">Child Functioning - </v>
      </c>
      <c r="D16" s="144" t="str">
        <f t="shared" ca="1" si="0"/>
        <v/>
      </c>
      <c r="E16" s="144" t="str">
        <f t="shared" ca="1" si="1"/>
        <v/>
      </c>
      <c r="F16" s="124"/>
    </row>
    <row r="17" spans="1:6" x14ac:dyDescent="0.25">
      <c r="A17" s="124"/>
      <c r="B17" s="138" t="s">
        <v>331</v>
      </c>
      <c r="C17" s="199" t="str">
        <f>"Child Functioning - "&amp;ChildName6</f>
        <v xml:space="preserve">Child Functioning - </v>
      </c>
      <c r="D17" s="144" t="str">
        <f t="shared" ca="1" si="0"/>
        <v/>
      </c>
      <c r="E17" s="144" t="str">
        <f t="shared" ca="1" si="1"/>
        <v/>
      </c>
      <c r="F17" s="124"/>
    </row>
    <row r="18" spans="1:6" x14ac:dyDescent="0.25">
      <c r="A18" s="124"/>
      <c r="B18" s="138"/>
      <c r="C18" s="145"/>
      <c r="D18" s="146" t="s">
        <v>307</v>
      </c>
      <c r="E18" s="146" t="s">
        <v>308</v>
      </c>
      <c r="F18" s="124"/>
    </row>
    <row r="19" spans="1:6" x14ac:dyDescent="0.25">
      <c r="A19" s="124"/>
      <c r="B19" s="138" t="s">
        <v>683</v>
      </c>
      <c r="C19" s="199" t="s">
        <v>10</v>
      </c>
      <c r="D19" s="144" t="str">
        <f ca="1">INDEX(USList, MATCH($B19, LastDomShortItem, 0))&amp;""</f>
        <v/>
      </c>
      <c r="E19" s="144" t="str">
        <f ca="1">INDEX(SBList, MATCH($B19, LastDomShortItem, 0))&amp;""</f>
        <v/>
      </c>
      <c r="F19" s="124"/>
    </row>
    <row r="20" spans="1:6" x14ac:dyDescent="0.25">
      <c r="A20" s="124"/>
      <c r="B20" s="138" t="s">
        <v>666</v>
      </c>
      <c r="C20" s="199" t="s">
        <v>309</v>
      </c>
      <c r="D20" s="144" t="str">
        <f ca="1">INDEX(USList, MATCH($B20, LastDomShortItem, 0))&amp;""</f>
        <v/>
      </c>
      <c r="E20" s="144" t="str">
        <f ca="1">INDEX(SBList, MATCH($B20, LastDomShortItem, 0))&amp;""</f>
        <v/>
      </c>
      <c r="F20" s="124"/>
    </row>
    <row r="21" spans="1:6" x14ac:dyDescent="0.25">
      <c r="A21" s="124"/>
      <c r="B21" s="138" t="s">
        <v>667</v>
      </c>
      <c r="C21" s="199" t="s">
        <v>310</v>
      </c>
      <c r="D21" s="144" t="str">
        <f ca="1">INDEX(USList, MATCH($B21, LastDomShortItem, 0))&amp;""</f>
        <v/>
      </c>
      <c r="E21" s="144" t="str">
        <f ca="1">INDEX(SBList, MATCH($B21, LastDomShortItem, 0))&amp;""</f>
        <v/>
      </c>
      <c r="F21" s="124"/>
    </row>
    <row r="22" spans="1:6" x14ac:dyDescent="0.25">
      <c r="A22" s="124"/>
      <c r="B22" s="124"/>
      <c r="C22" s="124"/>
      <c r="D22" s="124"/>
      <c r="E22" s="124"/>
      <c r="F22" s="124"/>
    </row>
    <row r="23" spans="1:6" x14ac:dyDescent="0.25">
      <c r="A23" s="124"/>
      <c r="B23" s="141" t="s">
        <v>684</v>
      </c>
      <c r="C23" s="147" t="s">
        <v>311</v>
      </c>
      <c r="D23" s="148"/>
      <c r="E23" s="148"/>
      <c r="F23" s="124"/>
    </row>
    <row r="24" spans="1:6" x14ac:dyDescent="0.25">
      <c r="A24" s="124"/>
      <c r="B24" s="149">
        <f>FamilyGoals</f>
        <v>0</v>
      </c>
      <c r="C24" s="199" t="s">
        <v>312</v>
      </c>
      <c r="D24" s="277" t="str">
        <f>FamilyGoals &amp; ""</f>
        <v/>
      </c>
      <c r="E24" s="277"/>
      <c r="F24" s="124"/>
    </row>
    <row r="25" spans="1:6" x14ac:dyDescent="0.25">
      <c r="A25" s="124"/>
      <c r="B25" s="149">
        <f>FamilyStrengths</f>
        <v>0</v>
      </c>
      <c r="C25" s="199" t="s">
        <v>10</v>
      </c>
      <c r="D25" s="277" t="str">
        <f>FamilyStrengths &amp; ""</f>
        <v/>
      </c>
      <c r="E25" s="277"/>
      <c r="F25" s="124"/>
    </row>
    <row r="26" spans="1:6" x14ac:dyDescent="0.25">
      <c r="A26" s="124"/>
      <c r="B26" s="138"/>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208">
        <f>IF(dateAssess1="", "&lt;No 1st Assm't&gt;", dateAssess1)</f>
        <v>43101</v>
      </c>
      <c r="G2" s="17" t="str">
        <f>IF(dateAssess2="", "&lt;No 2nd Assm't&gt;", dateAssess2)</f>
        <v>&lt;No 2nd Assm't&gt;</v>
      </c>
      <c r="H2" s="17" t="str">
        <f>IF(dateAssess3="", "&lt;No 3rd Assm't&gt;", dateAssess3)</f>
        <v>&lt;No 3rd Assm't&gt;</v>
      </c>
      <c r="N2" s="208">
        <f>IF(dateAssess1="", "&lt;No 1st Assm't&gt;", dateAssess1)</f>
        <v>43101</v>
      </c>
      <c r="O2" s="17" t="str">
        <f>IF(dateAssess2="", "&lt;No 2nd Assm't&gt;", dateAssess2)</f>
        <v>&lt;No 2nd Assm't&gt;</v>
      </c>
      <c r="P2" s="17" t="str">
        <f>IF(dateAssess3="", "&lt;No 3rd Assm't&gt;", dateAssess3)</f>
        <v>&lt;No 3rd Assm't&gt;</v>
      </c>
      <c r="V2" s="208">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324</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326</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324</v>
      </c>
      <c r="K4">
        <f>K3+1</f>
        <v>2</v>
      </c>
      <c r="L4" s="20" t="str">
        <f t="shared" ref="L4:L12" si="7">J4&amp;"_"&amp;K4</f>
        <v>Caregiver Functioning - Caregiver #1_2</v>
      </c>
      <c r="M4" s="20" t="str">
        <f t="shared" si="2"/>
        <v>Distress Tolerance</v>
      </c>
      <c r="N4" t="e">
        <f t="shared" si="3"/>
        <v>#N/A</v>
      </c>
      <c r="O4" t="e">
        <f t="shared" si="3"/>
        <v>#N/A</v>
      </c>
      <c r="P4" t="e">
        <f t="shared" si="3"/>
        <v>#N/A</v>
      </c>
      <c r="R4" s="52" t="s">
        <v>326</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324</v>
      </c>
      <c r="K5">
        <f t="shared" ref="K5:K12" si="10">K4+1</f>
        <v>3</v>
      </c>
      <c r="L5" s="20" t="str">
        <f t="shared" si="7"/>
        <v>Caregiver Functioning - Caregiver #1_3</v>
      </c>
      <c r="M5" s="20" t="str">
        <f t="shared" si="2"/>
        <v>Supervision</v>
      </c>
      <c r="N5" t="e">
        <f t="shared" si="3"/>
        <v>#N/A</v>
      </c>
      <c r="O5" t="e">
        <f t="shared" si="3"/>
        <v>#N/A</v>
      </c>
      <c r="P5" t="e">
        <f t="shared" si="3"/>
        <v>#N/A</v>
      </c>
      <c r="R5" s="52" t="s">
        <v>326</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324</v>
      </c>
      <c r="K6">
        <f t="shared" si="10"/>
        <v>4</v>
      </c>
      <c r="L6" s="20" t="str">
        <f t="shared" si="7"/>
        <v>Caregiver Functioning - Caregiver #1_4</v>
      </c>
      <c r="M6" s="20" t="str">
        <f t="shared" si="2"/>
        <v>Discipline</v>
      </c>
      <c r="N6" t="e">
        <f t="shared" si="3"/>
        <v>#N/A</v>
      </c>
      <c r="O6" t="e">
        <f t="shared" si="3"/>
        <v>#N/A</v>
      </c>
      <c r="P6" t="e">
        <f t="shared" si="3"/>
        <v>#N/A</v>
      </c>
      <c r="R6" s="52" t="s">
        <v>326</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324</v>
      </c>
      <c r="K7">
        <f t="shared" si="10"/>
        <v>5</v>
      </c>
      <c r="L7" s="20" t="str">
        <f t="shared" si="7"/>
        <v>Caregiver Functioning - Caregiver #1_5</v>
      </c>
      <c r="M7" s="20" t="str">
        <f t="shared" si="2"/>
        <v>Mental Health</v>
      </c>
      <c r="N7" t="e">
        <f t="shared" si="3"/>
        <v>#N/A</v>
      </c>
      <c r="O7" t="e">
        <f t="shared" si="3"/>
        <v>#N/A</v>
      </c>
      <c r="P7" t="e">
        <f t="shared" si="3"/>
        <v>#N/A</v>
      </c>
      <c r="R7" s="52" t="s">
        <v>326</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324</v>
      </c>
      <c r="K8">
        <f t="shared" si="10"/>
        <v>6</v>
      </c>
      <c r="L8" s="20" t="str">
        <f t="shared" si="7"/>
        <v>Caregiver Functioning - Caregiver #1_6</v>
      </c>
      <c r="M8" s="20" t="str">
        <f t="shared" si="2"/>
        <v>Partner Relations</v>
      </c>
      <c r="N8" t="e">
        <f t="shared" si="3"/>
        <v>#N/A</v>
      </c>
      <c r="O8" t="e">
        <f t="shared" si="3"/>
        <v>#N/A</v>
      </c>
      <c r="P8" t="e">
        <f t="shared" si="3"/>
        <v>#N/A</v>
      </c>
      <c r="R8" s="52" t="s">
        <v>326</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324</v>
      </c>
      <c r="K9">
        <f t="shared" si="10"/>
        <v>7</v>
      </c>
      <c r="L9" s="20" t="str">
        <f t="shared" si="7"/>
        <v>Caregiver Functioning - Caregiver #1_7</v>
      </c>
      <c r="M9" s="20" t="str">
        <f t="shared" si="2"/>
        <v>Substance Abuse</v>
      </c>
      <c r="N9" t="e">
        <f t="shared" si="3"/>
        <v>#N/A</v>
      </c>
      <c r="O9" t="e">
        <f t="shared" si="3"/>
        <v>#N/A</v>
      </c>
      <c r="P9" t="e">
        <f t="shared" si="3"/>
        <v>#N/A</v>
      </c>
      <c r="R9" s="52" t="s">
        <v>326</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324</v>
      </c>
      <c r="K10">
        <f t="shared" si="10"/>
        <v>8</v>
      </c>
      <c r="L10" s="20" t="str">
        <f t="shared" si="7"/>
        <v>Caregiver Functioning - Caregiver #1_8</v>
      </c>
      <c r="M10" s="20" t="str">
        <f t="shared" si="2"/>
        <v>Physical Health</v>
      </c>
      <c r="N10" t="e">
        <f t="shared" si="3"/>
        <v>#N/A</v>
      </c>
      <c r="O10" t="e">
        <f t="shared" si="3"/>
        <v>#N/A</v>
      </c>
      <c r="P10" t="e">
        <f t="shared" si="3"/>
        <v>#N/A</v>
      </c>
      <c r="R10" s="52" t="s">
        <v>326</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324</v>
      </c>
      <c r="K11">
        <f t="shared" si="10"/>
        <v>9</v>
      </c>
      <c r="L11" s="20" t="str">
        <f t="shared" si="7"/>
        <v>Caregiver Functioning - Caregiver #1_9</v>
      </c>
      <c r="M11" s="20" t="str">
        <f t="shared" si="2"/>
        <v>Organization</v>
      </c>
      <c r="N11" t="e">
        <f t="shared" si="3"/>
        <v>#N/A</v>
      </c>
      <c r="O11" t="e">
        <f t="shared" si="3"/>
        <v>#N/A</v>
      </c>
      <c r="P11" t="e">
        <f t="shared" si="3"/>
        <v>#N/A</v>
      </c>
      <c r="R11" s="52" t="s">
        <v>326</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324</v>
      </c>
      <c r="K12">
        <f t="shared" si="10"/>
        <v>10</v>
      </c>
      <c r="L12" s="20" t="str">
        <f t="shared" si="7"/>
        <v>Caregiver Functioning - Caregiver #1_10</v>
      </c>
      <c r="M12" s="20" t="str">
        <f t="shared" si="2"/>
        <v>Parental Attribution</v>
      </c>
      <c r="N12" t="e">
        <f t="shared" si="3"/>
        <v>#N/A</v>
      </c>
      <c r="O12" t="e">
        <f t="shared" si="3"/>
        <v>#N/A</v>
      </c>
      <c r="P12" t="e">
        <f t="shared" si="3"/>
        <v>#N/A</v>
      </c>
      <c r="R12" s="52" t="s">
        <v>326</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324</v>
      </c>
      <c r="K13">
        <f>K12+1</f>
        <v>11</v>
      </c>
      <c r="L13" s="20" t="str">
        <f>J13&amp;"_"&amp;K13</f>
        <v>Caregiver Functioning - Caregiver #1_11</v>
      </c>
      <c r="M13" s="20" t="str">
        <f t="shared" si="2"/>
        <v>Emotional Responsiveness</v>
      </c>
      <c r="N13" t="e">
        <f t="shared" si="3"/>
        <v>#N/A</v>
      </c>
      <c r="O13" t="e">
        <f t="shared" si="3"/>
        <v>#N/A</v>
      </c>
      <c r="P13" t="e">
        <f t="shared" si="3"/>
        <v>#N/A</v>
      </c>
      <c r="R13" s="52" t="s">
        <v>326</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306</v>
      </c>
      <c r="J14" s="52" t="s">
        <v>324</v>
      </c>
      <c r="K14">
        <f>K13+1</f>
        <v>12</v>
      </c>
      <c r="L14" s="20" t="str">
        <f>J14&amp;"_"&amp;K14</f>
        <v>Caregiver Functioning - Caregiver #1_12</v>
      </c>
      <c r="M14" s="20" t="str">
        <f t="shared" si="2"/>
        <v>Caregiver Posttraumatic Reactions</v>
      </c>
      <c r="N14" t="e">
        <f t="shared" si="3"/>
        <v>#N/A</v>
      </c>
      <c r="O14" t="e">
        <f t="shared" si="3"/>
        <v>#N/A</v>
      </c>
      <c r="P14" t="e">
        <f t="shared" si="3"/>
        <v>#N/A</v>
      </c>
      <c r="R14" s="52" t="s">
        <v>326</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208">
        <f>IF(dateAssess1="", "&lt;No 1st Assm't&gt;", dateAssess1)</f>
        <v>43101</v>
      </c>
      <c r="G15" s="17" t="str">
        <f>IF(dateAssess2="", "&lt;No 2nd Assm't&gt;", dateAssess2)</f>
        <v>&lt;No 2nd Assm't&gt;</v>
      </c>
      <c r="H15" s="17" t="str">
        <f>IF(dateAssess3="", "&lt;No 3rd Assm't&gt;", dateAssess3)</f>
        <v>&lt;No 3rd Assm't&gt;</v>
      </c>
      <c r="J15" s="52" t="s">
        <v>324</v>
      </c>
      <c r="K15">
        <f>K14+1</f>
        <v>13</v>
      </c>
      <c r="L15" s="20" t="str">
        <f>J15&amp;"_"&amp;K15</f>
        <v>Caregiver Functioning - Caregiver #1_13</v>
      </c>
      <c r="M15" s="20" t="str">
        <f t="shared" si="2"/>
        <v>Family Stress</v>
      </c>
      <c r="N15" t="e">
        <f t="shared" si="3"/>
        <v>#N/A</v>
      </c>
      <c r="O15" t="e">
        <f t="shared" si="3"/>
        <v>#N/A</v>
      </c>
      <c r="P15" t="e">
        <f t="shared" si="3"/>
        <v>#N/A</v>
      </c>
      <c r="R15" s="52" t="s">
        <v>326</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324</v>
      </c>
      <c r="K16">
        <f>K15+1</f>
        <v>14</v>
      </c>
      <c r="L16" s="20" t="str">
        <f>J16&amp;"_"&amp;K16</f>
        <v>Caregiver Functioning - Caregiver #1_14</v>
      </c>
      <c r="M16" s="20" t="str">
        <f t="shared" si="2"/>
        <v>Boundaries</v>
      </c>
      <c r="N16" t="e">
        <f t="shared" si="3"/>
        <v>#N/A</v>
      </c>
      <c r="O16" t="e">
        <f t="shared" si="3"/>
        <v>#N/A</v>
      </c>
      <c r="P16" t="e">
        <f t="shared" si="3"/>
        <v>#N/A</v>
      </c>
      <c r="R16" s="52" t="s">
        <v>326</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#VALUE!</v>
      </c>
      <c r="G17" t="e">
        <f t="shared" si="14"/>
        <v>#N/A</v>
      </c>
      <c r="H17" t="e">
        <f t="shared" si="14"/>
        <v>#N/A</v>
      </c>
      <c r="R17" s="52" t="s">
        <v>326</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#VALUE!</v>
      </c>
      <c r="G19" t="e">
        <f t="shared" si="14"/>
        <v>#N/A</v>
      </c>
      <c r="H19" t="e">
        <f t="shared" si="14"/>
        <v>#N/A</v>
      </c>
      <c r="J19" s="14"/>
      <c r="N19" s="208">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#VALUE!</v>
      </c>
      <c r="G20" t="e">
        <f t="shared" si="14"/>
        <v>#N/A</v>
      </c>
      <c r="H20" t="e">
        <f t="shared" si="14"/>
        <v>#N/A</v>
      </c>
      <c r="J20" s="52" t="s">
        <v>325</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208">
        <f>IF(dateAssess1="", "&lt;No 1st Assm't&gt;", dateAssess1)</f>
        <v>43101</v>
      </c>
      <c r="W20" s="17" t="str">
        <f>IF(dateAssess2="", "&lt;No 2nd Assm't&gt;", dateAssess2)</f>
        <v>&lt;No 2nd Assm't&gt;</v>
      </c>
      <c r="X20" s="17"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#VALUE!</v>
      </c>
      <c r="G21" t="e">
        <f t="shared" si="14"/>
        <v>#N/A</v>
      </c>
      <c r="H21" t="e">
        <f t="shared" si="14"/>
        <v>#N/A</v>
      </c>
      <c r="J21" s="52" t="s">
        <v>325</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327</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#VALUE!</v>
      </c>
      <c r="G22" t="e">
        <f t="shared" si="14"/>
        <v>#N/A</v>
      </c>
      <c r="H22" t="e">
        <f t="shared" si="14"/>
        <v>#N/A</v>
      </c>
      <c r="J22" s="52" t="s">
        <v>325</v>
      </c>
      <c r="K22">
        <f t="shared" ref="K22:K29" si="21">K21+1</f>
        <v>3</v>
      </c>
      <c r="L22" s="20" t="str">
        <f t="shared" si="18"/>
        <v>Caregiver Functioning - Caregiver #2_3</v>
      </c>
      <c r="M22" s="20" t="str">
        <f t="shared" si="16"/>
        <v>Supervision</v>
      </c>
      <c r="N22" t="e">
        <f t="shared" si="17"/>
        <v>#N/A</v>
      </c>
      <c r="O22" t="e">
        <f t="shared" si="17"/>
        <v>#N/A</v>
      </c>
      <c r="P22" t="e">
        <f t="shared" si="17"/>
        <v>#N/A</v>
      </c>
      <c r="R22" s="52" t="s">
        <v>327</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#VALUE!</v>
      </c>
      <c r="G23" t="e">
        <f t="shared" si="14"/>
        <v>#N/A</v>
      </c>
      <c r="H23" t="e">
        <f t="shared" si="14"/>
        <v>#N/A</v>
      </c>
      <c r="J23" s="52" t="s">
        <v>325</v>
      </c>
      <c r="K23">
        <f t="shared" si="21"/>
        <v>4</v>
      </c>
      <c r="L23" s="20" t="str">
        <f t="shared" si="18"/>
        <v>Caregiver Functioning - Caregiver #2_4</v>
      </c>
      <c r="M23" s="20" t="str">
        <f t="shared" si="16"/>
        <v>Discipline</v>
      </c>
      <c r="N23" t="e">
        <f t="shared" si="17"/>
        <v>#N/A</v>
      </c>
      <c r="O23" t="e">
        <f t="shared" si="17"/>
        <v>#N/A</v>
      </c>
      <c r="P23" t="e">
        <f t="shared" si="17"/>
        <v>#N/A</v>
      </c>
      <c r="R23" s="52" t="s">
        <v>327</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325</v>
      </c>
      <c r="K24">
        <f t="shared" si="21"/>
        <v>5</v>
      </c>
      <c r="L24" s="20" t="str">
        <f t="shared" si="18"/>
        <v>Caregiver Functioning - Caregiver #2_5</v>
      </c>
      <c r="M24" s="20" t="str">
        <f t="shared" si="16"/>
        <v>Mental Health</v>
      </c>
      <c r="N24" t="e">
        <f t="shared" si="17"/>
        <v>#N/A</v>
      </c>
      <c r="O24" t="e">
        <f t="shared" si="17"/>
        <v>#N/A</v>
      </c>
      <c r="P24" t="e">
        <f t="shared" si="17"/>
        <v>#N/A</v>
      </c>
      <c r="R24" s="52" t="s">
        <v>327</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325</v>
      </c>
      <c r="K25">
        <f t="shared" si="21"/>
        <v>6</v>
      </c>
      <c r="L25" s="20" t="str">
        <f t="shared" si="18"/>
        <v>Caregiver Functioning - Caregiver #2_6</v>
      </c>
      <c r="M25" s="20" t="str">
        <f t="shared" si="16"/>
        <v>Partner Relations</v>
      </c>
      <c r="N25" t="e">
        <f t="shared" si="17"/>
        <v>#N/A</v>
      </c>
      <c r="O25" t="e">
        <f t="shared" si="17"/>
        <v>#N/A</v>
      </c>
      <c r="P25" t="e">
        <f t="shared" si="17"/>
        <v>#N/A</v>
      </c>
      <c r="R25" s="52" t="s">
        <v>327</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325</v>
      </c>
      <c r="K26">
        <f t="shared" si="21"/>
        <v>7</v>
      </c>
      <c r="L26" s="20" t="str">
        <f t="shared" si="18"/>
        <v>Caregiver Functioning - Caregiver #2_7</v>
      </c>
      <c r="M26" s="20" t="str">
        <f t="shared" si="16"/>
        <v>Substance Abuse</v>
      </c>
      <c r="N26" t="e">
        <f t="shared" si="17"/>
        <v>#N/A</v>
      </c>
      <c r="O26" t="e">
        <f t="shared" si="17"/>
        <v>#N/A</v>
      </c>
      <c r="P26" t="e">
        <f t="shared" si="17"/>
        <v>#N/A</v>
      </c>
      <c r="R26" s="52" t="s">
        <v>327</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325</v>
      </c>
      <c r="K27">
        <f t="shared" si="21"/>
        <v>8</v>
      </c>
      <c r="L27" s="20" t="str">
        <f t="shared" si="18"/>
        <v>Caregiver Functioning - Caregiver #2_8</v>
      </c>
      <c r="M27" s="20" t="str">
        <f t="shared" si="16"/>
        <v>Physical Health</v>
      </c>
      <c r="N27" t="e">
        <f t="shared" si="17"/>
        <v>#N/A</v>
      </c>
      <c r="O27" t="e">
        <f t="shared" si="17"/>
        <v>#N/A</v>
      </c>
      <c r="P27" t="e">
        <f t="shared" si="17"/>
        <v>#N/A</v>
      </c>
      <c r="R27" s="52" t="s">
        <v>327</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325</v>
      </c>
      <c r="K28">
        <f t="shared" si="21"/>
        <v>9</v>
      </c>
      <c r="L28" s="20" t="str">
        <f t="shared" si="18"/>
        <v>Caregiver Functioning - Caregiver #2_9</v>
      </c>
      <c r="M28" s="20" t="str">
        <f t="shared" si="16"/>
        <v>Organization</v>
      </c>
      <c r="N28" t="e">
        <f t="shared" si="17"/>
        <v>#N/A</v>
      </c>
      <c r="O28" t="e">
        <f t="shared" si="17"/>
        <v>#N/A</v>
      </c>
      <c r="P28" t="e">
        <f t="shared" si="17"/>
        <v>#N/A</v>
      </c>
      <c r="R28" s="52" t="s">
        <v>327</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325</v>
      </c>
      <c r="K29">
        <f t="shared" si="21"/>
        <v>10</v>
      </c>
      <c r="L29" s="20" t="str">
        <f t="shared" si="18"/>
        <v>Caregiver Functioning - Caregiver #2_10</v>
      </c>
      <c r="M29" s="20" t="str">
        <f t="shared" si="16"/>
        <v>Parental Attribution</v>
      </c>
      <c r="N29" t="e">
        <f t="shared" si="17"/>
        <v>#N/A</v>
      </c>
      <c r="O29" t="e">
        <f t="shared" si="17"/>
        <v>#N/A</v>
      </c>
      <c r="P29" t="e">
        <f t="shared" si="17"/>
        <v>#N/A</v>
      </c>
      <c r="R29" s="52" t="s">
        <v>327</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325</v>
      </c>
      <c r="K30">
        <f>K29+1</f>
        <v>11</v>
      </c>
      <c r="L30" s="20" t="str">
        <f>J30&amp;"_"&amp;K30</f>
        <v>Caregiver Functioning - Caregiver #2_11</v>
      </c>
      <c r="M30" s="20" t="str">
        <f t="shared" si="16"/>
        <v>Emotional Responsiveness</v>
      </c>
      <c r="N30" t="e">
        <f t="shared" si="17"/>
        <v>#N/A</v>
      </c>
      <c r="O30" t="e">
        <f t="shared" si="17"/>
        <v>#N/A</v>
      </c>
      <c r="P30" t="e">
        <f t="shared" si="17"/>
        <v>#N/A</v>
      </c>
      <c r="R30" s="52" t="s">
        <v>327</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325</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327</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325</v>
      </c>
      <c r="K32">
        <f>K31+1</f>
        <v>13</v>
      </c>
      <c r="L32" s="20" t="str">
        <f>J32&amp;"_"&amp;K32</f>
        <v>Caregiver Functioning - Caregiver #2_13</v>
      </c>
      <c r="M32" s="20" t="str">
        <f t="shared" si="16"/>
        <v>Family Stress</v>
      </c>
      <c r="N32" t="e">
        <f t="shared" si="17"/>
        <v>#N/A</v>
      </c>
      <c r="O32" t="e">
        <f t="shared" si="17"/>
        <v>#N/A</v>
      </c>
      <c r="P32" t="e">
        <f t="shared" si="17"/>
        <v>#N/A</v>
      </c>
      <c r="R32" s="52" t="s">
        <v>327</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325</v>
      </c>
      <c r="K33">
        <f>K32+1</f>
        <v>14</v>
      </c>
      <c r="L33" s="20" t="str">
        <f>J33&amp;"_"&amp;K33</f>
        <v>Caregiver Functioning - Caregiver #2_14</v>
      </c>
      <c r="M33" s="20" t="str">
        <f t="shared" si="16"/>
        <v>Boundaries</v>
      </c>
      <c r="N33" t="e">
        <f t="shared" si="17"/>
        <v>#N/A</v>
      </c>
      <c r="O33" t="e">
        <f t="shared" si="17"/>
        <v>#N/A</v>
      </c>
      <c r="P33" t="e">
        <f t="shared" si="17"/>
        <v>#N/A</v>
      </c>
      <c r="R33" s="52" t="s">
        <v>327</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327</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327</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208">
        <f>IF(dateAssess1="", "&lt;No 1st Assm't&gt;", dateAssess1)</f>
        <v>43101</v>
      </c>
      <c r="O36" s="17" t="str">
        <f>IF(dateAssess2="", "&lt;No 2nd Assm't&gt;", dateAssess2)</f>
        <v>&lt;No 2nd Assm't&gt;</v>
      </c>
      <c r="P36" s="17" t="str">
        <f>IF(dateAssess3="", "&lt;No 3rd Assm't&gt;", dateAssess3)</f>
        <v>&lt;No 3rd Assm't&gt;</v>
      </c>
    </row>
    <row r="37" spans="10:24" x14ac:dyDescent="0.25">
      <c r="J37" s="52" t="s">
        <v>668</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668</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208">
        <f>IF(dateAssess1="", "&lt;No 1st Assm't&gt;", dateAssess1)</f>
        <v>43101</v>
      </c>
      <c r="W38" s="17" t="str">
        <f>IF(dateAssess2="", "&lt;No 2nd Assm't&gt;", dateAssess2)</f>
        <v>&lt;No 2nd Assm't&gt;</v>
      </c>
      <c r="X38" s="17" t="str">
        <f>IF(dateAssess3="", "&lt;No 3rd Assm't&gt;", dateAssess3)</f>
        <v>&lt;No 3rd Assm't&gt;</v>
      </c>
    </row>
    <row r="39" spans="10:24" x14ac:dyDescent="0.25">
      <c r="J39" s="52" t="s">
        <v>668</v>
      </c>
      <c r="K39">
        <f t="shared" ref="K39:K47" si="27">K38+1</f>
        <v>3</v>
      </c>
      <c r="L39" s="20" t="str">
        <f t="shared" si="26"/>
        <v>Caregiver Functioning - Caregiver #3_3</v>
      </c>
      <c r="M39" s="20" t="str">
        <f t="shared" si="24"/>
        <v>Supervision</v>
      </c>
      <c r="N39" t="e">
        <f t="shared" si="25"/>
        <v>#N/A</v>
      </c>
      <c r="O39" t="e">
        <f t="shared" si="25"/>
        <v>#N/A</v>
      </c>
      <c r="P39" t="e">
        <f t="shared" si="25"/>
        <v>#N/A</v>
      </c>
      <c r="R39" s="52" t="s">
        <v>328</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668</v>
      </c>
      <c r="K40">
        <f t="shared" si="27"/>
        <v>4</v>
      </c>
      <c r="L40" s="20" t="str">
        <f t="shared" si="26"/>
        <v>Caregiver Functioning - Caregiver #3_4</v>
      </c>
      <c r="M40" s="20" t="str">
        <f t="shared" si="24"/>
        <v>Discipline</v>
      </c>
      <c r="N40" t="e">
        <f t="shared" si="25"/>
        <v>#N/A</v>
      </c>
      <c r="O40" t="e">
        <f t="shared" si="25"/>
        <v>#N/A</v>
      </c>
      <c r="P40" t="e">
        <f t="shared" si="25"/>
        <v>#N/A</v>
      </c>
      <c r="R40" s="52" t="s">
        <v>328</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668</v>
      </c>
      <c r="K41">
        <f t="shared" si="27"/>
        <v>5</v>
      </c>
      <c r="L41" s="20" t="str">
        <f t="shared" si="26"/>
        <v>Caregiver Functioning - Caregiver #3_5</v>
      </c>
      <c r="M41" s="20" t="str">
        <f t="shared" si="24"/>
        <v>Mental Health</v>
      </c>
      <c r="N41" t="e">
        <f t="shared" si="25"/>
        <v>#N/A</v>
      </c>
      <c r="O41" t="e">
        <f t="shared" si="25"/>
        <v>#N/A</v>
      </c>
      <c r="P41" t="e">
        <f t="shared" si="25"/>
        <v>#N/A</v>
      </c>
      <c r="R41" s="52" t="s">
        <v>328</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668</v>
      </c>
      <c r="K42">
        <f t="shared" si="27"/>
        <v>6</v>
      </c>
      <c r="L42" s="20" t="str">
        <f t="shared" si="26"/>
        <v>Caregiver Functioning - Caregiver #3_6</v>
      </c>
      <c r="M42" s="20" t="str">
        <f t="shared" si="24"/>
        <v>Partner Relations</v>
      </c>
      <c r="N42" t="e">
        <f t="shared" si="25"/>
        <v>#N/A</v>
      </c>
      <c r="O42" t="e">
        <f t="shared" si="25"/>
        <v>#N/A</v>
      </c>
      <c r="P42" t="e">
        <f t="shared" si="25"/>
        <v>#N/A</v>
      </c>
      <c r="R42" s="52" t="s">
        <v>328</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668</v>
      </c>
      <c r="K43">
        <f t="shared" si="27"/>
        <v>7</v>
      </c>
      <c r="L43" s="20" t="str">
        <f t="shared" si="26"/>
        <v>Caregiver Functioning - Caregiver #3_7</v>
      </c>
      <c r="M43" s="20" t="str">
        <f t="shared" si="24"/>
        <v>Substance Abuse</v>
      </c>
      <c r="N43" t="e">
        <f t="shared" si="25"/>
        <v>#N/A</v>
      </c>
      <c r="O43" t="e">
        <f t="shared" si="25"/>
        <v>#N/A</v>
      </c>
      <c r="P43" t="e">
        <f t="shared" si="25"/>
        <v>#N/A</v>
      </c>
      <c r="R43" s="52" t="s">
        <v>328</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668</v>
      </c>
      <c r="K44">
        <f t="shared" si="27"/>
        <v>8</v>
      </c>
      <c r="L44" s="20" t="str">
        <f t="shared" si="26"/>
        <v>Caregiver Functioning - Caregiver #3_8</v>
      </c>
      <c r="M44" s="20" t="str">
        <f t="shared" si="24"/>
        <v>Physical Health</v>
      </c>
      <c r="N44" t="e">
        <f t="shared" si="25"/>
        <v>#N/A</v>
      </c>
      <c r="O44" t="e">
        <f t="shared" si="25"/>
        <v>#N/A</v>
      </c>
      <c r="P44" t="e">
        <f t="shared" si="25"/>
        <v>#N/A</v>
      </c>
      <c r="R44" s="52" t="s">
        <v>328</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668</v>
      </c>
      <c r="K45">
        <f t="shared" si="27"/>
        <v>9</v>
      </c>
      <c r="L45" s="20" t="str">
        <f t="shared" si="26"/>
        <v>Caregiver Functioning - Caregiver #3_9</v>
      </c>
      <c r="M45" s="20" t="str">
        <f t="shared" si="24"/>
        <v>Organization</v>
      </c>
      <c r="N45" t="e">
        <f t="shared" si="25"/>
        <v>#N/A</v>
      </c>
      <c r="O45" t="e">
        <f t="shared" si="25"/>
        <v>#N/A</v>
      </c>
      <c r="P45" t="e">
        <f t="shared" si="25"/>
        <v>#N/A</v>
      </c>
      <c r="R45" s="52" t="s">
        <v>328</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668</v>
      </c>
      <c r="K46">
        <f t="shared" si="27"/>
        <v>10</v>
      </c>
      <c r="L46" s="20" t="str">
        <f t="shared" si="26"/>
        <v>Caregiver Functioning - Caregiver #3_10</v>
      </c>
      <c r="M46" s="20" t="str">
        <f t="shared" si="24"/>
        <v>Parental Attribution</v>
      </c>
      <c r="N46" t="e">
        <f t="shared" si="25"/>
        <v>#N/A</v>
      </c>
      <c r="O46" t="e">
        <f t="shared" si="25"/>
        <v>#N/A</v>
      </c>
      <c r="P46" t="e">
        <f t="shared" si="25"/>
        <v>#N/A</v>
      </c>
      <c r="R46" s="52" t="s">
        <v>328</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668</v>
      </c>
      <c r="K47">
        <f t="shared" si="27"/>
        <v>11</v>
      </c>
      <c r="L47" s="20" t="str">
        <f t="shared" si="26"/>
        <v>Caregiver Functioning - Caregiver #3_11</v>
      </c>
      <c r="M47" s="20" t="str">
        <f t="shared" si="24"/>
        <v>Emotional Responsiveness</v>
      </c>
      <c r="N47" t="e">
        <f t="shared" si="25"/>
        <v>#N/A</v>
      </c>
      <c r="O47" t="e">
        <f t="shared" si="25"/>
        <v>#N/A</v>
      </c>
      <c r="P47" t="e">
        <f t="shared" si="25"/>
        <v>#N/A</v>
      </c>
      <c r="R47" s="52" t="s">
        <v>328</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668</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328</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668</v>
      </c>
      <c r="K49">
        <f>K48+1</f>
        <v>13</v>
      </c>
      <c r="L49" s="20" t="str">
        <f>J49&amp;"_"&amp;K49</f>
        <v>Caregiver Functioning - Caregiver #3_13</v>
      </c>
      <c r="M49" s="20" t="str">
        <f t="shared" si="24"/>
        <v>Family Stress</v>
      </c>
      <c r="N49" t="e">
        <f t="shared" si="25"/>
        <v>#N/A</v>
      </c>
      <c r="O49" t="e">
        <f t="shared" si="25"/>
        <v>#N/A</v>
      </c>
      <c r="P49" t="e">
        <f t="shared" si="25"/>
        <v>#N/A</v>
      </c>
      <c r="R49" s="52" t="s">
        <v>328</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668</v>
      </c>
      <c r="K50">
        <f>K49+1</f>
        <v>14</v>
      </c>
      <c r="L50" s="20" t="str">
        <f>J50&amp;"_"&amp;K50</f>
        <v>Caregiver Functioning - Caregiver #3_14</v>
      </c>
      <c r="M50" s="20" t="str">
        <f t="shared" si="24"/>
        <v>Boundaries</v>
      </c>
      <c r="N50" t="e">
        <f t="shared" si="25"/>
        <v>#N/A</v>
      </c>
      <c r="O50" t="e">
        <f t="shared" si="25"/>
        <v>#N/A</v>
      </c>
      <c r="P50" t="e">
        <f t="shared" si="25"/>
        <v>#N/A</v>
      </c>
      <c r="R50" s="52" t="s">
        <v>328</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328</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328</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208">
        <f>IF(dateAssess1="", "&lt;No 1st Assm't&gt;", dateAssess1)</f>
        <v>43101</v>
      </c>
      <c r="O53" s="17" t="str">
        <f>IF(dateAssess2="", "&lt;No 2nd Assm't&gt;", dateAssess2)</f>
        <v>&lt;No 2nd Assm't&gt;</v>
      </c>
      <c r="P53" s="17" t="str">
        <f>IF(dateAssess3="", "&lt;No 3rd Assm't&gt;", dateAssess3)</f>
        <v>&lt;No 3rd Assm't&gt;</v>
      </c>
      <c r="R53" s="52" t="s">
        <v>328</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669</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669</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669</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208">
        <f>IF(dateAssess1="", "&lt;No 1st Assm't&gt;", dateAssess1)</f>
        <v>43101</v>
      </c>
      <c r="W56" s="17" t="str">
        <f>IF(dateAssess2="", "&lt;No 2nd Assm't&gt;", dateAssess2)</f>
        <v>&lt;No 2nd Assm't&gt;</v>
      </c>
      <c r="X56" s="17" t="str">
        <f>IF(dateAssess3="", "&lt;No 3rd Assm't&gt;", dateAssess3)</f>
        <v>&lt;No 3rd Assm't&gt;</v>
      </c>
    </row>
    <row r="57" spans="10:24" x14ac:dyDescent="0.25">
      <c r="J57" s="52" t="s">
        <v>669</v>
      </c>
      <c r="K57">
        <f t="shared" si="35"/>
        <v>4</v>
      </c>
      <c r="L57" s="20" t="str">
        <f t="shared" si="34"/>
        <v>Caregiver Functioning - Caregiver #4_4</v>
      </c>
      <c r="M57" s="20" t="str">
        <f t="shared" si="32"/>
        <v>Discipline</v>
      </c>
      <c r="N57" t="e">
        <f t="shared" si="33"/>
        <v>#N/A</v>
      </c>
      <c r="O57" t="e">
        <f t="shared" si="33"/>
        <v>#N/A</v>
      </c>
      <c r="P57" t="e">
        <f t="shared" si="33"/>
        <v>#N/A</v>
      </c>
      <c r="R57" s="52" t="s">
        <v>329</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669</v>
      </c>
      <c r="K58">
        <f t="shared" si="35"/>
        <v>5</v>
      </c>
      <c r="L58" s="20" t="str">
        <f t="shared" si="34"/>
        <v>Caregiver Functioning - Caregiver #4_5</v>
      </c>
      <c r="M58" s="20" t="str">
        <f t="shared" si="32"/>
        <v>Mental Health</v>
      </c>
      <c r="N58" t="e">
        <f t="shared" si="33"/>
        <v>#N/A</v>
      </c>
      <c r="O58" t="e">
        <f t="shared" si="33"/>
        <v>#N/A</v>
      </c>
      <c r="P58" t="e">
        <f t="shared" si="33"/>
        <v>#N/A</v>
      </c>
      <c r="R58" s="52" t="s">
        <v>329</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669</v>
      </c>
      <c r="K59">
        <f t="shared" si="35"/>
        <v>6</v>
      </c>
      <c r="L59" s="20" t="str">
        <f t="shared" si="34"/>
        <v>Caregiver Functioning - Caregiver #4_6</v>
      </c>
      <c r="M59" s="20" t="str">
        <f t="shared" si="32"/>
        <v>Partner Relations</v>
      </c>
      <c r="N59" t="e">
        <f t="shared" si="33"/>
        <v>#N/A</v>
      </c>
      <c r="O59" t="e">
        <f t="shared" si="33"/>
        <v>#N/A</v>
      </c>
      <c r="P59" t="e">
        <f t="shared" si="33"/>
        <v>#N/A</v>
      </c>
      <c r="R59" s="52" t="s">
        <v>329</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669</v>
      </c>
      <c r="K60">
        <f t="shared" si="35"/>
        <v>7</v>
      </c>
      <c r="L60" s="20" t="str">
        <f t="shared" si="34"/>
        <v>Caregiver Functioning - Caregiver #4_7</v>
      </c>
      <c r="M60" s="20" t="str">
        <f t="shared" si="32"/>
        <v>Substance Abuse</v>
      </c>
      <c r="N60" t="e">
        <f t="shared" si="33"/>
        <v>#N/A</v>
      </c>
      <c r="O60" t="e">
        <f t="shared" si="33"/>
        <v>#N/A</v>
      </c>
      <c r="P60" t="e">
        <f t="shared" si="33"/>
        <v>#N/A</v>
      </c>
      <c r="R60" s="52" t="s">
        <v>329</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669</v>
      </c>
      <c r="K61">
        <f t="shared" si="35"/>
        <v>8</v>
      </c>
      <c r="L61" s="20" t="str">
        <f t="shared" si="34"/>
        <v>Caregiver Functioning - Caregiver #4_8</v>
      </c>
      <c r="M61" s="20" t="str">
        <f t="shared" si="32"/>
        <v>Physical Health</v>
      </c>
      <c r="N61" t="e">
        <f t="shared" si="33"/>
        <v>#N/A</v>
      </c>
      <c r="O61" t="e">
        <f t="shared" si="33"/>
        <v>#N/A</v>
      </c>
      <c r="P61" t="e">
        <f t="shared" si="33"/>
        <v>#N/A</v>
      </c>
      <c r="R61" s="52" t="s">
        <v>329</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669</v>
      </c>
      <c r="K62">
        <f t="shared" si="35"/>
        <v>9</v>
      </c>
      <c r="L62" s="20" t="str">
        <f t="shared" si="34"/>
        <v>Caregiver Functioning - Caregiver #4_9</v>
      </c>
      <c r="M62" s="20" t="str">
        <f t="shared" si="32"/>
        <v>Organization</v>
      </c>
      <c r="N62" t="e">
        <f t="shared" si="33"/>
        <v>#N/A</v>
      </c>
      <c r="O62" t="e">
        <f t="shared" si="33"/>
        <v>#N/A</v>
      </c>
      <c r="P62" t="e">
        <f t="shared" si="33"/>
        <v>#N/A</v>
      </c>
      <c r="R62" s="52" t="s">
        <v>329</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669</v>
      </c>
      <c r="K63">
        <f t="shared" si="35"/>
        <v>10</v>
      </c>
      <c r="L63" s="20" t="str">
        <f t="shared" si="34"/>
        <v>Caregiver Functioning - Caregiver #4_10</v>
      </c>
      <c r="M63" s="20" t="str">
        <f t="shared" si="32"/>
        <v>Parental Attribution</v>
      </c>
      <c r="N63" t="e">
        <f t="shared" si="33"/>
        <v>#N/A</v>
      </c>
      <c r="O63" t="e">
        <f t="shared" si="33"/>
        <v>#N/A</v>
      </c>
      <c r="P63" t="e">
        <f t="shared" si="33"/>
        <v>#N/A</v>
      </c>
      <c r="R63" s="52" t="s">
        <v>329</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669</v>
      </c>
      <c r="K64">
        <f>K63+1</f>
        <v>11</v>
      </c>
      <c r="L64" s="20" t="str">
        <f>J64&amp;"_"&amp;K64</f>
        <v>Caregiver Functioning - Caregiver #4_11</v>
      </c>
      <c r="M64" s="20" t="str">
        <f t="shared" si="32"/>
        <v>Emotional Responsiveness</v>
      </c>
      <c r="N64" t="e">
        <f t="shared" si="33"/>
        <v>#N/A</v>
      </c>
      <c r="O64" t="e">
        <f t="shared" si="33"/>
        <v>#N/A</v>
      </c>
      <c r="P64" t="e">
        <f t="shared" si="33"/>
        <v>#N/A</v>
      </c>
      <c r="R64" s="52" t="s">
        <v>329</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669</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329</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669</v>
      </c>
      <c r="K66">
        <f>K65+1</f>
        <v>13</v>
      </c>
      <c r="L66" s="20" t="str">
        <f>J66&amp;"_"&amp;K66</f>
        <v>Caregiver Functioning - Caregiver #4_13</v>
      </c>
      <c r="M66" s="20" t="str">
        <f t="shared" si="32"/>
        <v>Family Stress</v>
      </c>
      <c r="N66" t="e">
        <f t="shared" si="33"/>
        <v>#N/A</v>
      </c>
      <c r="O66" t="e">
        <f t="shared" si="33"/>
        <v>#N/A</v>
      </c>
      <c r="P66" t="e">
        <f t="shared" si="33"/>
        <v>#N/A</v>
      </c>
      <c r="R66" s="52" t="s">
        <v>329</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669</v>
      </c>
      <c r="K67">
        <f>K66+1</f>
        <v>14</v>
      </c>
      <c r="L67" s="20" t="str">
        <f>J67&amp;"_"&amp;K67</f>
        <v>Caregiver Functioning - Caregiver #4_14</v>
      </c>
      <c r="M67" s="20" t="str">
        <f t="shared" si="32"/>
        <v>Boundaries</v>
      </c>
      <c r="N67" t="e">
        <f t="shared" si="33"/>
        <v>#N/A</v>
      </c>
      <c r="O67" t="e">
        <f t="shared" si="33"/>
        <v>#N/A</v>
      </c>
      <c r="P67" t="e">
        <f t="shared" si="33"/>
        <v>#N/A</v>
      </c>
      <c r="R67" s="52" t="s">
        <v>329</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329</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329</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329</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329</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208">
        <f>IF(dateAssess1="", "&lt;No 1st Assm't&gt;", dateAssess1)</f>
        <v>43101</v>
      </c>
      <c r="W74" s="17" t="str">
        <f>IF(dateAssess2="", "&lt;No 2nd Assm't&gt;", dateAssess2)</f>
        <v>&lt;No 2nd Assm't&gt;</v>
      </c>
      <c r="X74" s="17" t="str">
        <f>IF(dateAssess3="", "&lt;No 3rd Assm't&gt;", dateAssess3)</f>
        <v>&lt;No 3rd Assm't&gt;</v>
      </c>
    </row>
    <row r="75" spans="10:24" x14ac:dyDescent="0.25">
      <c r="R75" s="52" t="s">
        <v>330</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330</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330</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330</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330</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330</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330</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330</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330</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330</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330</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330</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330</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330</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330</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208">
        <f>IF(dateAssess1="", "&lt;No 1st Assm't&gt;", dateAssess1)</f>
        <v>43101</v>
      </c>
      <c r="W92" s="17" t="str">
        <f>IF(dateAssess2="", "&lt;No 2nd Assm't&gt;", dateAssess2)</f>
        <v>&lt;No 2nd Assm't&gt;</v>
      </c>
      <c r="X92" s="17" t="str">
        <f>IF(dateAssess3="", "&lt;No 3rd Assm't&gt;", dateAssess3)</f>
        <v>&lt;No 3rd Assm't&gt;</v>
      </c>
    </row>
    <row r="93" spans="18:24" x14ac:dyDescent="0.25">
      <c r="R93" s="52" t="s">
        <v>331</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331</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331</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331</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331</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331</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331</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331</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331</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331</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331</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331</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331</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331</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331</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208"/>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zoomScale="75" zoomScaleNormal="75" workbookViewId="0">
      <pane ySplit="1" topLeftCell="A2" activePane="bottomLeft" state="frozen"/>
      <selection activeCell="C10" sqref="C10"/>
      <selection pane="bottomLeft" activeCell="J5" sqref="J5"/>
    </sheetView>
  </sheetViews>
  <sheetFormatPr defaultColWidth="9.140625" defaultRowHeight="15" zeroHeight="1" x14ac:dyDescent="0.25"/>
  <cols>
    <col min="1" max="1" width="13.5703125" style="112" hidden="1" customWidth="1"/>
    <col min="2" max="2" width="14.28515625" style="112" hidden="1" customWidth="1"/>
    <col min="3" max="3" width="3" style="122" customWidth="1"/>
    <col min="4" max="4" width="38.42578125" style="122" customWidth="1"/>
    <col min="5" max="5" width="17.7109375" style="122" customWidth="1"/>
    <col min="6" max="6" width="26.7109375" style="122" bestFit="1" customWidth="1"/>
    <col min="7" max="7" width="17.7109375" style="122" hidden="1" customWidth="1"/>
    <col min="8" max="8" width="26.7109375" style="122" hidden="1" customWidth="1"/>
    <col min="9" max="9" width="3" style="191" customWidth="1"/>
    <col min="10" max="10" width="29.5703125" style="122" customWidth="1"/>
    <col min="11" max="11" width="26.7109375" style="122" bestFit="1" customWidth="1"/>
    <col min="12" max="12" width="3" style="191" customWidth="1"/>
    <col min="13" max="13" width="30.140625" style="122" customWidth="1"/>
    <col min="14" max="14" width="3" style="191" customWidth="1"/>
    <col min="15" max="15" width="12.140625" style="122" customWidth="1"/>
    <col min="16" max="16" width="3.140625" style="122" customWidth="1"/>
    <col min="17" max="19" width="26.28515625" style="121"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84"/>
      <c r="J1" s="108"/>
      <c r="K1" s="108"/>
      <c r="L1" s="184"/>
      <c r="M1" s="108"/>
      <c r="N1" s="184"/>
      <c r="O1" s="108"/>
      <c r="P1" s="108"/>
      <c r="Q1" s="109"/>
      <c r="R1" s="109"/>
      <c r="S1" s="109"/>
      <c r="T1" s="110"/>
      <c r="U1" s="110"/>
      <c r="V1" s="110"/>
      <c r="W1" s="110"/>
      <c r="X1" s="110"/>
      <c r="Y1" s="110"/>
      <c r="Z1" s="110"/>
      <c r="AA1" s="110"/>
      <c r="AB1" s="110"/>
      <c r="AC1" s="110"/>
    </row>
    <row r="2" spans="1:29" x14ac:dyDescent="0.25">
      <c r="C2" s="113"/>
      <c r="D2" s="113"/>
      <c r="E2" s="113"/>
      <c r="F2" s="113"/>
      <c r="G2" s="113"/>
      <c r="H2" s="113"/>
      <c r="I2" s="132"/>
      <c r="J2" s="113"/>
      <c r="K2" s="113"/>
      <c r="L2" s="132"/>
      <c r="M2" s="113"/>
      <c r="N2" s="132"/>
      <c r="O2" s="113"/>
      <c r="P2" s="113"/>
      <c r="Q2" s="114"/>
      <c r="R2" s="114"/>
      <c r="S2" s="114"/>
    </row>
    <row r="3" spans="1:29" ht="30" x14ac:dyDescent="0.25">
      <c r="A3" s="115"/>
      <c r="B3" s="112">
        <f t="array" ref="B3">MAX(IF(A:A=TRUE, ROW(A:A)))+7</f>
        <v>11</v>
      </c>
      <c r="C3" s="116"/>
      <c r="D3" s="151" t="s">
        <v>92</v>
      </c>
      <c r="E3" s="152"/>
      <c r="F3" s="152"/>
      <c r="G3" s="152"/>
      <c r="H3" s="152"/>
      <c r="I3" s="185"/>
      <c r="J3" s="152"/>
      <c r="K3" s="152"/>
      <c r="L3" s="185"/>
      <c r="M3" s="152"/>
      <c r="N3" s="185"/>
      <c r="O3" s="153"/>
      <c r="P3" s="117"/>
      <c r="Q3" s="118" t="s">
        <v>302</v>
      </c>
      <c r="R3" s="118" t="s">
        <v>301</v>
      </c>
      <c r="S3" s="118" t="s">
        <v>303</v>
      </c>
    </row>
    <row r="4" spans="1:29" x14ac:dyDescent="0.25">
      <c r="A4" s="112" t="b">
        <v>1</v>
      </c>
      <c r="C4" s="124"/>
      <c r="D4" s="125" t="s">
        <v>62</v>
      </c>
      <c r="E4" s="126" t="s">
        <v>928</v>
      </c>
      <c r="F4" s="127"/>
      <c r="G4" s="126" t="s">
        <v>929</v>
      </c>
      <c r="H4" s="127"/>
      <c r="I4" s="128" t="s">
        <v>63</v>
      </c>
      <c r="J4" s="127"/>
      <c r="K4" s="126" t="s">
        <v>930</v>
      </c>
      <c r="L4" s="128" t="s">
        <v>64</v>
      </c>
      <c r="M4" s="127"/>
      <c r="N4" s="128" t="s">
        <v>931</v>
      </c>
      <c r="O4" s="127"/>
      <c r="P4" s="124"/>
      <c r="Q4" s="173" t="str">
        <f t="shared" ref="Q4:Q35" ca="1" si="0">IFERROR(INDEX(Needs_Q, MATCH(ROW()-ROW(Q$3), Needs_Q_Ix, 0)), "")</f>
        <v/>
      </c>
      <c r="R4" s="173" t="str">
        <f t="shared" ref="R4:R35" ca="1" si="1">IFERROR(INDEX(US_Q, MATCH(ROW()-ROW(R$3), US_Q_Ix, 0)), "")</f>
        <v/>
      </c>
      <c r="S4" s="173" t="str">
        <f t="shared" ref="S4:S35" ca="1" si="2">IFERROR(INDEX(SB_Q, MATCH(ROW()-ROW(S$3), SB_Q_Ix, 0)), "")</f>
        <v/>
      </c>
    </row>
    <row r="5" spans="1:29" x14ac:dyDescent="0.25">
      <c r="B5" s="112" t="str">
        <f t="shared" ref="B5:B36" si="3">IFERROR(CHOOSE(MATCH(G5, Val_ResponseCat, 0), "IdentifiedNeeds", "IdentifiedUsefulStrengths", "IdentifiedStrengthsToBuild"), "")</f>
        <v/>
      </c>
      <c r="C5" s="124"/>
      <c r="D5" s="281"/>
      <c r="E5" s="176"/>
      <c r="F5" s="176"/>
      <c r="G5" s="176"/>
      <c r="H5" s="176"/>
      <c r="I5" s="215" t="s">
        <v>65</v>
      </c>
      <c r="J5" s="154"/>
      <c r="K5" s="176"/>
      <c r="L5" s="186" t="s">
        <v>65</v>
      </c>
      <c r="M5" s="154"/>
      <c r="N5" s="186" t="s">
        <v>65</v>
      </c>
      <c r="O5" s="155"/>
      <c r="P5" s="124"/>
      <c r="Q5" s="173" t="str">
        <f t="shared" ca="1" si="0"/>
        <v/>
      </c>
      <c r="R5" s="173" t="str">
        <f t="shared" ca="1" si="1"/>
        <v/>
      </c>
      <c r="S5" s="173" t="str">
        <f t="shared" ca="1" si="2"/>
        <v/>
      </c>
    </row>
    <row r="6" spans="1:29" x14ac:dyDescent="0.25">
      <c r="B6" s="112" t="str">
        <f t="shared" si="3"/>
        <v/>
      </c>
      <c r="C6" s="124"/>
      <c r="D6" s="282"/>
      <c r="E6" s="176"/>
      <c r="F6" s="176"/>
      <c r="G6" s="176"/>
      <c r="H6" s="176"/>
      <c r="I6" s="186" t="s">
        <v>66</v>
      </c>
      <c r="J6" s="154"/>
      <c r="K6" s="176"/>
      <c r="L6" s="186" t="s">
        <v>66</v>
      </c>
      <c r="M6" s="154"/>
      <c r="N6" s="186" t="s">
        <v>66</v>
      </c>
      <c r="O6" s="155"/>
      <c r="P6" s="124"/>
      <c r="Q6" s="173" t="str">
        <f t="shared" ca="1" si="0"/>
        <v/>
      </c>
      <c r="R6" s="173" t="str">
        <f t="shared" ca="1" si="1"/>
        <v/>
      </c>
      <c r="S6" s="173" t="str">
        <f t="shared" ca="1" si="2"/>
        <v/>
      </c>
    </row>
    <row r="7" spans="1:29" x14ac:dyDescent="0.25">
      <c r="B7" s="112" t="str">
        <f t="shared" si="3"/>
        <v/>
      </c>
      <c r="C7" s="124"/>
      <c r="D7" s="282"/>
      <c r="E7" s="176"/>
      <c r="F7" s="176"/>
      <c r="G7" s="176"/>
      <c r="H7" s="176"/>
      <c r="I7" s="186" t="s">
        <v>67</v>
      </c>
      <c r="J7" s="154"/>
      <c r="K7" s="176"/>
      <c r="L7" s="186" t="s">
        <v>67</v>
      </c>
      <c r="M7" s="154"/>
      <c r="N7" s="186" t="s">
        <v>67</v>
      </c>
      <c r="O7" s="155"/>
      <c r="P7" s="124"/>
      <c r="Q7" s="173" t="str">
        <f t="shared" ca="1" si="0"/>
        <v/>
      </c>
      <c r="R7" s="173" t="str">
        <f t="shared" ca="1" si="1"/>
        <v/>
      </c>
      <c r="S7" s="173" t="str">
        <f t="shared" ca="1" si="2"/>
        <v/>
      </c>
    </row>
    <row r="8" spans="1:29" x14ac:dyDescent="0.25">
      <c r="B8" s="112" t="str">
        <f t="shared" si="3"/>
        <v/>
      </c>
      <c r="C8" s="124"/>
      <c r="D8" s="282"/>
      <c r="E8" s="176"/>
      <c r="F8" s="176"/>
      <c r="G8" s="176"/>
      <c r="H8" s="176"/>
      <c r="I8" s="186" t="s">
        <v>68</v>
      </c>
      <c r="J8" s="154"/>
      <c r="K8" s="176"/>
      <c r="L8" s="186" t="s">
        <v>68</v>
      </c>
      <c r="M8" s="154"/>
      <c r="N8" s="186" t="s">
        <v>68</v>
      </c>
      <c r="O8" s="155"/>
      <c r="P8" s="124"/>
      <c r="Q8" s="173" t="str">
        <f t="shared" ca="1" si="0"/>
        <v/>
      </c>
      <c r="R8" s="173" t="str">
        <f t="shared" ca="1" si="1"/>
        <v/>
      </c>
      <c r="S8" s="173" t="str">
        <f t="shared" ca="1" si="2"/>
        <v/>
      </c>
    </row>
    <row r="9" spans="1:29" x14ac:dyDescent="0.25">
      <c r="B9" s="112" t="str">
        <f t="shared" si="3"/>
        <v/>
      </c>
      <c r="C9" s="124"/>
      <c r="D9" s="282"/>
      <c r="E9" s="176"/>
      <c r="F9" s="176"/>
      <c r="G9" s="176"/>
      <c r="H9" s="176"/>
      <c r="I9" s="186" t="s">
        <v>69</v>
      </c>
      <c r="J9" s="154"/>
      <c r="K9" s="176"/>
      <c r="L9" s="186" t="s">
        <v>69</v>
      </c>
      <c r="M9" s="154"/>
      <c r="N9" s="186" t="s">
        <v>69</v>
      </c>
      <c r="O9" s="155"/>
      <c r="P9" s="124"/>
      <c r="Q9" s="173" t="str">
        <f t="shared" ca="1" si="0"/>
        <v/>
      </c>
      <c r="R9" s="173" t="str">
        <f t="shared" ca="1" si="1"/>
        <v/>
      </c>
      <c r="S9" s="173" t="str">
        <f t="shared" ca="1" si="2"/>
        <v/>
      </c>
    </row>
    <row r="10" spans="1:29" x14ac:dyDescent="0.25">
      <c r="B10" s="112" t="str">
        <f t="shared" si="3"/>
        <v/>
      </c>
      <c r="C10" s="124"/>
      <c r="D10" s="283"/>
      <c r="E10" s="177"/>
      <c r="F10" s="177"/>
      <c r="G10" s="177"/>
      <c r="H10" s="177"/>
      <c r="I10" s="187" t="s">
        <v>70</v>
      </c>
      <c r="J10" s="156"/>
      <c r="K10" s="177"/>
      <c r="L10" s="187" t="s">
        <v>70</v>
      </c>
      <c r="M10" s="156"/>
      <c r="N10" s="187" t="s">
        <v>70</v>
      </c>
      <c r="O10" s="157"/>
      <c r="P10" s="124"/>
      <c r="Q10" s="173" t="str">
        <f t="shared" ca="1" si="0"/>
        <v/>
      </c>
      <c r="R10" s="173" t="str">
        <f t="shared" ca="1" si="1"/>
        <v/>
      </c>
      <c r="S10" s="173" t="str">
        <f t="shared" ca="1" si="2"/>
        <v/>
      </c>
    </row>
    <row r="11" spans="1:29" x14ac:dyDescent="0.25">
      <c r="B11" s="112" t="str">
        <f t="shared" si="3"/>
        <v/>
      </c>
      <c r="C11" s="124"/>
      <c r="D11" s="178"/>
      <c r="E11" s="178"/>
      <c r="F11" s="178"/>
      <c r="G11" s="178"/>
      <c r="H11" s="178"/>
      <c r="I11" s="179"/>
      <c r="J11" s="178"/>
      <c r="K11" s="178"/>
      <c r="L11" s="179"/>
      <c r="M11" s="178"/>
      <c r="N11" s="179"/>
      <c r="O11" s="178"/>
      <c r="P11" s="124"/>
      <c r="Q11" s="173" t="str">
        <f t="shared" ca="1" si="0"/>
        <v/>
      </c>
      <c r="R11" s="173" t="str">
        <f t="shared" ca="1" si="1"/>
        <v/>
      </c>
      <c r="S11" s="173" t="str">
        <f t="shared" ca="1" si="2"/>
        <v/>
      </c>
    </row>
    <row r="12" spans="1:29" ht="18.75" x14ac:dyDescent="0.25">
      <c r="A12" s="112" t="b">
        <v>0</v>
      </c>
      <c r="B12" s="112" t="str">
        <f t="shared" si="3"/>
        <v/>
      </c>
      <c r="C12" s="129"/>
      <c r="D12" s="125" t="s">
        <v>71</v>
      </c>
      <c r="E12" s="126" t="s">
        <v>928</v>
      </c>
      <c r="F12" s="127"/>
      <c r="G12" s="126" t="s">
        <v>929</v>
      </c>
      <c r="H12" s="127"/>
      <c r="I12" s="128" t="s">
        <v>63</v>
      </c>
      <c r="J12" s="127"/>
      <c r="K12" s="126" t="s">
        <v>930</v>
      </c>
      <c r="L12" s="128" t="s">
        <v>64</v>
      </c>
      <c r="M12" s="127"/>
      <c r="N12" s="128" t="s">
        <v>931</v>
      </c>
      <c r="O12" s="127"/>
      <c r="P12" s="129"/>
      <c r="Q12" s="173" t="str">
        <f t="shared" ca="1" si="0"/>
        <v/>
      </c>
      <c r="R12" s="173" t="str">
        <f t="shared" ca="1" si="1"/>
        <v/>
      </c>
      <c r="S12" s="173" t="str">
        <f t="shared" ca="1" si="2"/>
        <v/>
      </c>
    </row>
    <row r="13" spans="1:29" x14ac:dyDescent="0.25">
      <c r="B13" s="112" t="str">
        <f t="shared" si="3"/>
        <v/>
      </c>
      <c r="C13" s="124"/>
      <c r="D13" s="281"/>
      <c r="E13" s="176"/>
      <c r="F13" s="176"/>
      <c r="G13" s="176"/>
      <c r="H13" s="176"/>
      <c r="I13" s="186" t="s">
        <v>65</v>
      </c>
      <c r="J13" s="154"/>
      <c r="K13" s="176"/>
      <c r="L13" s="186" t="s">
        <v>65</v>
      </c>
      <c r="M13" s="154"/>
      <c r="N13" s="186" t="s">
        <v>65</v>
      </c>
      <c r="O13" s="155"/>
      <c r="P13" s="124"/>
      <c r="Q13" s="173" t="str">
        <f t="shared" ca="1" si="0"/>
        <v/>
      </c>
      <c r="R13" s="173" t="str">
        <f t="shared" ca="1" si="1"/>
        <v/>
      </c>
      <c r="S13" s="173" t="str">
        <f t="shared" ca="1" si="2"/>
        <v/>
      </c>
    </row>
    <row r="14" spans="1:29" x14ac:dyDescent="0.25">
      <c r="B14" s="112" t="str">
        <f t="shared" si="3"/>
        <v/>
      </c>
      <c r="C14" s="124"/>
      <c r="D14" s="282"/>
      <c r="E14" s="176"/>
      <c r="F14" s="176"/>
      <c r="G14" s="176"/>
      <c r="H14" s="176"/>
      <c r="I14" s="186" t="s">
        <v>66</v>
      </c>
      <c r="J14" s="154"/>
      <c r="K14" s="176"/>
      <c r="L14" s="186" t="s">
        <v>66</v>
      </c>
      <c r="M14" s="154"/>
      <c r="N14" s="186" t="s">
        <v>66</v>
      </c>
      <c r="O14" s="155"/>
      <c r="P14" s="124"/>
      <c r="Q14" s="173" t="str">
        <f t="shared" ca="1" si="0"/>
        <v/>
      </c>
      <c r="R14" s="173" t="str">
        <f t="shared" ca="1" si="1"/>
        <v/>
      </c>
      <c r="S14" s="173" t="str">
        <f t="shared" ca="1" si="2"/>
        <v/>
      </c>
    </row>
    <row r="15" spans="1:29" x14ac:dyDescent="0.25">
      <c r="B15" s="112" t="str">
        <f t="shared" si="3"/>
        <v/>
      </c>
      <c r="C15" s="124"/>
      <c r="D15" s="282"/>
      <c r="E15" s="176"/>
      <c r="F15" s="176"/>
      <c r="G15" s="176"/>
      <c r="H15" s="176"/>
      <c r="I15" s="186" t="s">
        <v>67</v>
      </c>
      <c r="J15" s="154"/>
      <c r="K15" s="176"/>
      <c r="L15" s="186" t="s">
        <v>67</v>
      </c>
      <c r="M15" s="154"/>
      <c r="N15" s="186" t="s">
        <v>67</v>
      </c>
      <c r="O15" s="155"/>
      <c r="P15" s="124"/>
      <c r="Q15" s="173" t="str">
        <f t="shared" ca="1" si="0"/>
        <v/>
      </c>
      <c r="R15" s="173" t="str">
        <f t="shared" ca="1" si="1"/>
        <v/>
      </c>
      <c r="S15" s="173" t="str">
        <f t="shared" ca="1" si="2"/>
        <v/>
      </c>
    </row>
    <row r="16" spans="1:29" x14ac:dyDescent="0.25">
      <c r="B16" s="112" t="str">
        <f t="shared" si="3"/>
        <v/>
      </c>
      <c r="C16" s="124"/>
      <c r="D16" s="282"/>
      <c r="E16" s="176"/>
      <c r="F16" s="176"/>
      <c r="G16" s="176"/>
      <c r="H16" s="176"/>
      <c r="I16" s="186" t="s">
        <v>68</v>
      </c>
      <c r="J16" s="154"/>
      <c r="K16" s="176"/>
      <c r="L16" s="186" t="s">
        <v>68</v>
      </c>
      <c r="M16" s="154"/>
      <c r="N16" s="186" t="s">
        <v>68</v>
      </c>
      <c r="O16" s="155"/>
      <c r="P16" s="124"/>
      <c r="Q16" s="173" t="str">
        <f t="shared" ca="1" si="0"/>
        <v/>
      </c>
      <c r="R16" s="173" t="str">
        <f t="shared" ca="1" si="1"/>
        <v/>
      </c>
      <c r="S16" s="173" t="str">
        <f t="shared" ca="1" si="2"/>
        <v/>
      </c>
    </row>
    <row r="17" spans="1:19" x14ac:dyDescent="0.25">
      <c r="B17" s="112" t="str">
        <f t="shared" si="3"/>
        <v/>
      </c>
      <c r="C17" s="124"/>
      <c r="D17" s="282"/>
      <c r="E17" s="176"/>
      <c r="F17" s="176"/>
      <c r="G17" s="176"/>
      <c r="H17" s="176"/>
      <c r="I17" s="186" t="s">
        <v>69</v>
      </c>
      <c r="J17" s="154"/>
      <c r="K17" s="176"/>
      <c r="L17" s="186" t="s">
        <v>69</v>
      </c>
      <c r="M17" s="154"/>
      <c r="N17" s="186" t="s">
        <v>69</v>
      </c>
      <c r="O17" s="155"/>
      <c r="P17" s="124"/>
      <c r="Q17" s="173" t="str">
        <f t="shared" ca="1" si="0"/>
        <v/>
      </c>
      <c r="R17" s="173" t="str">
        <f t="shared" ca="1" si="1"/>
        <v/>
      </c>
      <c r="S17" s="173" t="str">
        <f t="shared" ca="1" si="2"/>
        <v/>
      </c>
    </row>
    <row r="18" spans="1:19" x14ac:dyDescent="0.25">
      <c r="B18" s="112" t="str">
        <f t="shared" si="3"/>
        <v/>
      </c>
      <c r="C18" s="124"/>
      <c r="D18" s="283"/>
      <c r="E18" s="177"/>
      <c r="F18" s="177"/>
      <c r="G18" s="177"/>
      <c r="H18" s="177"/>
      <c r="I18" s="187" t="s">
        <v>70</v>
      </c>
      <c r="J18" s="156"/>
      <c r="K18" s="177"/>
      <c r="L18" s="187" t="s">
        <v>70</v>
      </c>
      <c r="M18" s="156"/>
      <c r="N18" s="187" t="s">
        <v>70</v>
      </c>
      <c r="O18" s="157"/>
      <c r="P18" s="124"/>
      <c r="Q18" s="173" t="str">
        <f t="shared" ca="1" si="0"/>
        <v/>
      </c>
      <c r="R18" s="173" t="str">
        <f t="shared" ca="1" si="1"/>
        <v/>
      </c>
      <c r="S18" s="173" t="str">
        <f t="shared" ca="1" si="2"/>
        <v/>
      </c>
    </row>
    <row r="19" spans="1:19" x14ac:dyDescent="0.25">
      <c r="B19" s="112" t="str">
        <f t="shared" si="3"/>
        <v/>
      </c>
      <c r="C19" s="124"/>
      <c r="D19" s="178"/>
      <c r="E19" s="180"/>
      <c r="F19" s="180"/>
      <c r="G19" s="180"/>
      <c r="H19" s="180"/>
      <c r="I19" s="181"/>
      <c r="J19" s="180"/>
      <c r="K19" s="180"/>
      <c r="L19" s="181"/>
      <c r="M19" s="180"/>
      <c r="N19" s="181"/>
      <c r="O19" s="180"/>
      <c r="P19" s="124"/>
      <c r="Q19" s="173" t="str">
        <f t="shared" ca="1" si="0"/>
        <v/>
      </c>
      <c r="R19" s="173" t="str">
        <f t="shared" ca="1" si="1"/>
        <v/>
      </c>
      <c r="S19" s="173" t="str">
        <f t="shared" ca="1" si="2"/>
        <v/>
      </c>
    </row>
    <row r="20" spans="1:19" x14ac:dyDescent="0.25">
      <c r="A20" s="112" t="b">
        <v>0</v>
      </c>
      <c r="B20" s="112" t="str">
        <f t="shared" si="3"/>
        <v/>
      </c>
      <c r="C20" s="130"/>
      <c r="D20" s="125" t="s">
        <v>72</v>
      </c>
      <c r="E20" s="126" t="s">
        <v>928</v>
      </c>
      <c r="F20" s="127"/>
      <c r="G20" s="126" t="s">
        <v>929</v>
      </c>
      <c r="H20" s="127"/>
      <c r="I20" s="128" t="s">
        <v>63</v>
      </c>
      <c r="J20" s="127"/>
      <c r="K20" s="126" t="s">
        <v>930</v>
      </c>
      <c r="L20" s="128" t="s">
        <v>64</v>
      </c>
      <c r="M20" s="127"/>
      <c r="N20" s="128" t="s">
        <v>931</v>
      </c>
      <c r="O20" s="127"/>
      <c r="P20" s="130"/>
      <c r="Q20" s="173" t="str">
        <f t="shared" ca="1" si="0"/>
        <v/>
      </c>
      <c r="R20" s="173" t="str">
        <f t="shared" ca="1" si="1"/>
        <v/>
      </c>
      <c r="S20" s="173" t="str">
        <f t="shared" ca="1" si="2"/>
        <v/>
      </c>
    </row>
    <row r="21" spans="1:19" x14ac:dyDescent="0.25">
      <c r="B21" s="112" t="str">
        <f t="shared" si="3"/>
        <v/>
      </c>
      <c r="C21" s="130"/>
      <c r="D21" s="281"/>
      <c r="E21" s="176"/>
      <c r="F21" s="176"/>
      <c r="G21" s="176"/>
      <c r="H21" s="176"/>
      <c r="I21" s="186" t="s">
        <v>65</v>
      </c>
      <c r="J21" s="154"/>
      <c r="K21" s="176"/>
      <c r="L21" s="186" t="s">
        <v>65</v>
      </c>
      <c r="M21" s="154"/>
      <c r="N21" s="186" t="s">
        <v>65</v>
      </c>
      <c r="O21" s="155"/>
      <c r="P21" s="130"/>
      <c r="Q21" s="173" t="str">
        <f t="shared" ca="1" si="0"/>
        <v/>
      </c>
      <c r="R21" s="173" t="str">
        <f t="shared" ca="1" si="1"/>
        <v/>
      </c>
      <c r="S21" s="173" t="str">
        <f t="shared" ca="1" si="2"/>
        <v/>
      </c>
    </row>
    <row r="22" spans="1:19" x14ac:dyDescent="0.25">
      <c r="B22" s="112" t="str">
        <f t="shared" si="3"/>
        <v/>
      </c>
      <c r="C22" s="130"/>
      <c r="D22" s="282"/>
      <c r="E22" s="176"/>
      <c r="F22" s="176"/>
      <c r="G22" s="176"/>
      <c r="H22" s="176"/>
      <c r="I22" s="186" t="s">
        <v>66</v>
      </c>
      <c r="J22" s="154"/>
      <c r="K22" s="176"/>
      <c r="L22" s="186" t="s">
        <v>66</v>
      </c>
      <c r="M22" s="154"/>
      <c r="N22" s="186" t="s">
        <v>66</v>
      </c>
      <c r="O22" s="155"/>
      <c r="P22" s="130"/>
      <c r="Q22" s="173" t="str">
        <f t="shared" ca="1" si="0"/>
        <v/>
      </c>
      <c r="R22" s="173" t="str">
        <f t="shared" ca="1" si="1"/>
        <v/>
      </c>
      <c r="S22" s="173" t="str">
        <f t="shared" ca="1" si="2"/>
        <v/>
      </c>
    </row>
    <row r="23" spans="1:19" x14ac:dyDescent="0.25">
      <c r="B23" s="112" t="str">
        <f t="shared" si="3"/>
        <v/>
      </c>
      <c r="C23" s="130"/>
      <c r="D23" s="282"/>
      <c r="E23" s="176"/>
      <c r="F23" s="176"/>
      <c r="G23" s="176"/>
      <c r="H23" s="176"/>
      <c r="I23" s="186" t="s">
        <v>67</v>
      </c>
      <c r="J23" s="154"/>
      <c r="K23" s="176"/>
      <c r="L23" s="186" t="s">
        <v>67</v>
      </c>
      <c r="M23" s="154"/>
      <c r="N23" s="186" t="s">
        <v>67</v>
      </c>
      <c r="O23" s="155"/>
      <c r="P23" s="130"/>
      <c r="Q23" s="173" t="str">
        <f t="shared" ca="1" si="0"/>
        <v/>
      </c>
      <c r="R23" s="173" t="str">
        <f t="shared" ca="1" si="1"/>
        <v/>
      </c>
      <c r="S23" s="173" t="str">
        <f t="shared" ca="1" si="2"/>
        <v/>
      </c>
    </row>
    <row r="24" spans="1:19" x14ac:dyDescent="0.25">
      <c r="B24" s="112" t="str">
        <f t="shared" si="3"/>
        <v/>
      </c>
      <c r="C24" s="130"/>
      <c r="D24" s="282"/>
      <c r="E24" s="176"/>
      <c r="F24" s="176"/>
      <c r="G24" s="176"/>
      <c r="H24" s="176"/>
      <c r="I24" s="186" t="s">
        <v>68</v>
      </c>
      <c r="J24" s="154"/>
      <c r="K24" s="176"/>
      <c r="L24" s="186" t="s">
        <v>68</v>
      </c>
      <c r="M24" s="154"/>
      <c r="N24" s="186" t="s">
        <v>68</v>
      </c>
      <c r="O24" s="155"/>
      <c r="P24" s="130"/>
      <c r="Q24" s="173" t="str">
        <f t="shared" ca="1" si="0"/>
        <v/>
      </c>
      <c r="R24" s="173" t="str">
        <f t="shared" ca="1" si="1"/>
        <v/>
      </c>
      <c r="S24" s="173" t="str">
        <f t="shared" ca="1" si="2"/>
        <v/>
      </c>
    </row>
    <row r="25" spans="1:19" x14ac:dyDescent="0.25">
      <c r="B25" s="112" t="str">
        <f t="shared" si="3"/>
        <v/>
      </c>
      <c r="C25" s="130"/>
      <c r="D25" s="282"/>
      <c r="E25" s="176"/>
      <c r="F25" s="176"/>
      <c r="G25" s="176"/>
      <c r="H25" s="176"/>
      <c r="I25" s="186" t="s">
        <v>69</v>
      </c>
      <c r="J25" s="154"/>
      <c r="K25" s="176"/>
      <c r="L25" s="186" t="s">
        <v>69</v>
      </c>
      <c r="M25" s="154"/>
      <c r="N25" s="186" t="s">
        <v>69</v>
      </c>
      <c r="O25" s="155"/>
      <c r="P25" s="130"/>
      <c r="Q25" s="173" t="str">
        <f t="shared" ca="1" si="0"/>
        <v/>
      </c>
      <c r="R25" s="173" t="str">
        <f t="shared" ca="1" si="1"/>
        <v/>
      </c>
      <c r="S25" s="173" t="str">
        <f t="shared" ca="1" si="2"/>
        <v/>
      </c>
    </row>
    <row r="26" spans="1:19" x14ac:dyDescent="0.25">
      <c r="B26" s="112" t="str">
        <f t="shared" si="3"/>
        <v/>
      </c>
      <c r="C26" s="130"/>
      <c r="D26" s="283"/>
      <c r="E26" s="177"/>
      <c r="F26" s="177"/>
      <c r="G26" s="177"/>
      <c r="H26" s="177"/>
      <c r="I26" s="187" t="s">
        <v>70</v>
      </c>
      <c r="J26" s="156"/>
      <c r="K26" s="177"/>
      <c r="L26" s="187" t="s">
        <v>70</v>
      </c>
      <c r="M26" s="156"/>
      <c r="N26" s="187" t="s">
        <v>70</v>
      </c>
      <c r="O26" s="157"/>
      <c r="P26" s="130"/>
      <c r="Q26" s="173" t="str">
        <f t="shared" ca="1" si="0"/>
        <v/>
      </c>
      <c r="R26" s="173" t="str">
        <f t="shared" ca="1" si="1"/>
        <v/>
      </c>
      <c r="S26" s="173" t="str">
        <f t="shared" ca="1" si="2"/>
        <v/>
      </c>
    </row>
    <row r="27" spans="1:19" x14ac:dyDescent="0.25">
      <c r="B27" s="112" t="str">
        <f t="shared" si="3"/>
        <v/>
      </c>
      <c r="C27" s="124"/>
      <c r="D27" s="178"/>
      <c r="E27" s="180"/>
      <c r="F27" s="180"/>
      <c r="G27" s="180"/>
      <c r="H27" s="180"/>
      <c r="I27" s="181"/>
      <c r="J27" s="180"/>
      <c r="K27" s="180"/>
      <c r="L27" s="181"/>
      <c r="M27" s="180"/>
      <c r="N27" s="181"/>
      <c r="O27" s="180"/>
      <c r="P27" s="124"/>
      <c r="Q27" s="173" t="str">
        <f t="shared" ca="1" si="0"/>
        <v/>
      </c>
      <c r="R27" s="173" t="str">
        <f t="shared" ca="1" si="1"/>
        <v/>
      </c>
      <c r="S27" s="173" t="str">
        <f t="shared" ca="1" si="2"/>
        <v/>
      </c>
    </row>
    <row r="28" spans="1:19" x14ac:dyDescent="0.25">
      <c r="A28" s="112" t="b">
        <v>0</v>
      </c>
      <c r="B28" s="112" t="str">
        <f t="shared" si="3"/>
        <v/>
      </c>
      <c r="C28" s="130"/>
      <c r="D28" s="125" t="s">
        <v>73</v>
      </c>
      <c r="E28" s="126" t="s">
        <v>928</v>
      </c>
      <c r="F28" s="127"/>
      <c r="G28" s="126" t="s">
        <v>929</v>
      </c>
      <c r="H28" s="127"/>
      <c r="I28" s="128" t="s">
        <v>63</v>
      </c>
      <c r="J28" s="127"/>
      <c r="K28" s="126" t="s">
        <v>930</v>
      </c>
      <c r="L28" s="128" t="s">
        <v>64</v>
      </c>
      <c r="M28" s="127"/>
      <c r="N28" s="128" t="s">
        <v>931</v>
      </c>
      <c r="O28" s="127"/>
      <c r="P28" s="130"/>
      <c r="Q28" s="173" t="str">
        <f t="shared" ca="1" si="0"/>
        <v/>
      </c>
      <c r="R28" s="173" t="str">
        <f t="shared" ca="1" si="1"/>
        <v/>
      </c>
      <c r="S28" s="173" t="str">
        <f t="shared" ca="1" si="2"/>
        <v/>
      </c>
    </row>
    <row r="29" spans="1:19" x14ac:dyDescent="0.25">
      <c r="B29" s="112" t="str">
        <f t="shared" si="3"/>
        <v/>
      </c>
      <c r="C29" s="130"/>
      <c r="D29" s="281"/>
      <c r="E29" s="176"/>
      <c r="F29" s="176"/>
      <c r="G29" s="176"/>
      <c r="H29" s="176"/>
      <c r="I29" s="186" t="s">
        <v>65</v>
      </c>
      <c r="J29" s="154"/>
      <c r="K29" s="176"/>
      <c r="L29" s="186" t="s">
        <v>65</v>
      </c>
      <c r="M29" s="154"/>
      <c r="N29" s="186" t="s">
        <v>65</v>
      </c>
      <c r="O29" s="155"/>
      <c r="P29" s="130"/>
      <c r="Q29" s="173" t="str">
        <f t="shared" ca="1" si="0"/>
        <v/>
      </c>
      <c r="R29" s="173" t="str">
        <f t="shared" ca="1" si="1"/>
        <v/>
      </c>
      <c r="S29" s="173" t="str">
        <f t="shared" ca="1" si="2"/>
        <v/>
      </c>
    </row>
    <row r="30" spans="1:19" x14ac:dyDescent="0.25">
      <c r="B30" s="112" t="str">
        <f t="shared" si="3"/>
        <v/>
      </c>
      <c r="C30" s="130"/>
      <c r="D30" s="282"/>
      <c r="E30" s="176"/>
      <c r="F30" s="176"/>
      <c r="G30" s="176"/>
      <c r="H30" s="176"/>
      <c r="I30" s="186" t="s">
        <v>66</v>
      </c>
      <c r="J30" s="154"/>
      <c r="K30" s="176"/>
      <c r="L30" s="186" t="s">
        <v>66</v>
      </c>
      <c r="M30" s="154"/>
      <c r="N30" s="186" t="s">
        <v>66</v>
      </c>
      <c r="O30" s="155"/>
      <c r="P30" s="130"/>
      <c r="Q30" s="173" t="str">
        <f t="shared" ca="1" si="0"/>
        <v/>
      </c>
      <c r="R30" s="173" t="str">
        <f t="shared" ca="1" si="1"/>
        <v/>
      </c>
      <c r="S30" s="173" t="str">
        <f t="shared" ca="1" si="2"/>
        <v/>
      </c>
    </row>
    <row r="31" spans="1:19" x14ac:dyDescent="0.25">
      <c r="B31" s="112" t="str">
        <f t="shared" si="3"/>
        <v/>
      </c>
      <c r="C31" s="130"/>
      <c r="D31" s="282"/>
      <c r="E31" s="176"/>
      <c r="F31" s="176"/>
      <c r="G31" s="176"/>
      <c r="H31" s="176"/>
      <c r="I31" s="186" t="s">
        <v>67</v>
      </c>
      <c r="J31" s="154"/>
      <c r="K31" s="176"/>
      <c r="L31" s="186" t="s">
        <v>67</v>
      </c>
      <c r="M31" s="154"/>
      <c r="N31" s="186" t="s">
        <v>67</v>
      </c>
      <c r="O31" s="155"/>
      <c r="P31" s="130"/>
      <c r="Q31" s="173" t="str">
        <f t="shared" ca="1" si="0"/>
        <v/>
      </c>
      <c r="R31" s="173" t="str">
        <f t="shared" ca="1" si="1"/>
        <v/>
      </c>
      <c r="S31" s="173" t="str">
        <f t="shared" ca="1" si="2"/>
        <v/>
      </c>
    </row>
    <row r="32" spans="1:19" x14ac:dyDescent="0.25">
      <c r="B32" s="112" t="str">
        <f t="shared" si="3"/>
        <v/>
      </c>
      <c r="C32" s="130"/>
      <c r="D32" s="282"/>
      <c r="E32" s="176"/>
      <c r="F32" s="176"/>
      <c r="G32" s="176"/>
      <c r="H32" s="176"/>
      <c r="I32" s="186" t="s">
        <v>68</v>
      </c>
      <c r="J32" s="154"/>
      <c r="K32" s="176"/>
      <c r="L32" s="186" t="s">
        <v>68</v>
      </c>
      <c r="M32" s="154"/>
      <c r="N32" s="186" t="s">
        <v>68</v>
      </c>
      <c r="O32" s="155"/>
      <c r="P32" s="130"/>
      <c r="Q32" s="173" t="str">
        <f t="shared" ca="1" si="0"/>
        <v/>
      </c>
      <c r="R32" s="173" t="str">
        <f t="shared" ca="1" si="1"/>
        <v/>
      </c>
      <c r="S32" s="173" t="str">
        <f t="shared" ca="1" si="2"/>
        <v/>
      </c>
    </row>
    <row r="33" spans="1:19" x14ac:dyDescent="0.25">
      <c r="B33" s="112" t="str">
        <f t="shared" si="3"/>
        <v/>
      </c>
      <c r="C33" s="130"/>
      <c r="D33" s="282"/>
      <c r="E33" s="176"/>
      <c r="F33" s="176"/>
      <c r="G33" s="176"/>
      <c r="H33" s="176"/>
      <c r="I33" s="186" t="s">
        <v>69</v>
      </c>
      <c r="J33" s="154"/>
      <c r="K33" s="176"/>
      <c r="L33" s="186" t="s">
        <v>69</v>
      </c>
      <c r="M33" s="154"/>
      <c r="N33" s="186" t="s">
        <v>69</v>
      </c>
      <c r="O33" s="155"/>
      <c r="P33" s="130"/>
      <c r="Q33" s="173" t="str">
        <f t="shared" ca="1" si="0"/>
        <v/>
      </c>
      <c r="R33" s="173" t="str">
        <f t="shared" ca="1" si="1"/>
        <v/>
      </c>
      <c r="S33" s="173" t="str">
        <f t="shared" ca="1" si="2"/>
        <v/>
      </c>
    </row>
    <row r="34" spans="1:19" x14ac:dyDescent="0.25">
      <c r="B34" s="112" t="str">
        <f t="shared" si="3"/>
        <v/>
      </c>
      <c r="C34" s="130"/>
      <c r="D34" s="283"/>
      <c r="E34" s="177"/>
      <c r="F34" s="177"/>
      <c r="G34" s="177"/>
      <c r="H34" s="177"/>
      <c r="I34" s="187" t="s">
        <v>70</v>
      </c>
      <c r="J34" s="156"/>
      <c r="K34" s="177"/>
      <c r="L34" s="187" t="s">
        <v>70</v>
      </c>
      <c r="M34" s="156"/>
      <c r="N34" s="187" t="s">
        <v>70</v>
      </c>
      <c r="O34" s="157"/>
      <c r="P34" s="130"/>
      <c r="Q34" s="173" t="str">
        <f t="shared" ca="1" si="0"/>
        <v/>
      </c>
      <c r="R34" s="173" t="str">
        <f t="shared" ca="1" si="1"/>
        <v/>
      </c>
      <c r="S34" s="173" t="str">
        <f t="shared" ca="1" si="2"/>
        <v/>
      </c>
    </row>
    <row r="35" spans="1:19" x14ac:dyDescent="0.25">
      <c r="B35" s="112" t="str">
        <f t="shared" si="3"/>
        <v/>
      </c>
      <c r="C35" s="130"/>
      <c r="D35" s="178"/>
      <c r="E35" s="180"/>
      <c r="F35" s="180"/>
      <c r="G35" s="180"/>
      <c r="H35" s="180"/>
      <c r="I35" s="181"/>
      <c r="J35" s="180"/>
      <c r="K35" s="180"/>
      <c r="L35" s="181"/>
      <c r="M35" s="180"/>
      <c r="N35" s="181"/>
      <c r="O35" s="180"/>
      <c r="P35" s="130"/>
      <c r="Q35" s="173" t="str">
        <f t="shared" ca="1" si="0"/>
        <v/>
      </c>
      <c r="R35" s="173" t="str">
        <f t="shared" ca="1" si="1"/>
        <v/>
      </c>
      <c r="S35" s="173" t="str">
        <f t="shared" ca="1" si="2"/>
        <v/>
      </c>
    </row>
    <row r="36" spans="1:19" x14ac:dyDescent="0.25">
      <c r="A36" s="112" t="b">
        <v>0</v>
      </c>
      <c r="B36" s="112" t="str">
        <f t="shared" si="3"/>
        <v/>
      </c>
      <c r="C36" s="113"/>
      <c r="D36" s="131" t="s">
        <v>74</v>
      </c>
      <c r="E36" s="126" t="s">
        <v>928</v>
      </c>
      <c r="F36" s="127"/>
      <c r="G36" s="126" t="s">
        <v>929</v>
      </c>
      <c r="H36" s="127"/>
      <c r="I36" s="128" t="s">
        <v>63</v>
      </c>
      <c r="J36" s="127"/>
      <c r="K36" s="126" t="s">
        <v>930</v>
      </c>
      <c r="L36" s="128" t="s">
        <v>64</v>
      </c>
      <c r="M36" s="127"/>
      <c r="N36" s="128" t="s">
        <v>931</v>
      </c>
      <c r="O36" s="127"/>
      <c r="P36" s="113"/>
      <c r="Q36" s="173" t="str">
        <f t="shared" ref="Q36:Q53" ca="1" si="4">IFERROR(INDEX(Needs_Q, MATCH(ROW()-ROW(Q$3), Needs_Q_Ix, 0)), "")</f>
        <v/>
      </c>
      <c r="R36" s="173" t="str">
        <f t="shared" ref="R36:R53" ca="1" si="5">IFERROR(INDEX(US_Q, MATCH(ROW()-ROW(R$3), US_Q_Ix, 0)), "")</f>
        <v/>
      </c>
      <c r="S36" s="173" t="str">
        <f t="shared" ref="S36:S53" ca="1" si="6">IFERROR(INDEX(SB_Q, MATCH(ROW()-ROW(S$3), SB_Q_Ix, 0)), "")</f>
        <v/>
      </c>
    </row>
    <row r="37" spans="1:19" x14ac:dyDescent="0.25">
      <c r="B37" s="112" t="str">
        <f t="shared" ref="B37:B68" si="7">IFERROR(CHOOSE(MATCH(G37, Val_ResponseCat, 0), "IdentifiedNeeds", "IdentifiedUsefulStrengths", "IdentifiedStrengthsToBuild"), "")</f>
        <v/>
      </c>
      <c r="C37" s="113"/>
      <c r="D37" s="281"/>
      <c r="E37" s="176"/>
      <c r="F37" s="176"/>
      <c r="G37" s="176"/>
      <c r="H37" s="176"/>
      <c r="I37" s="186" t="s">
        <v>65</v>
      </c>
      <c r="J37" s="154"/>
      <c r="K37" s="176"/>
      <c r="L37" s="186" t="s">
        <v>65</v>
      </c>
      <c r="M37" s="154"/>
      <c r="N37" s="186" t="s">
        <v>65</v>
      </c>
      <c r="O37" s="155"/>
      <c r="P37" s="113"/>
      <c r="Q37" s="173" t="str">
        <f t="shared" ca="1" si="4"/>
        <v/>
      </c>
      <c r="R37" s="173" t="str">
        <f t="shared" ca="1" si="5"/>
        <v/>
      </c>
      <c r="S37" s="173" t="str">
        <f t="shared" ca="1" si="6"/>
        <v/>
      </c>
    </row>
    <row r="38" spans="1:19" x14ac:dyDescent="0.25">
      <c r="B38" s="112" t="str">
        <f t="shared" si="7"/>
        <v/>
      </c>
      <c r="C38" s="113"/>
      <c r="D38" s="282"/>
      <c r="E38" s="176"/>
      <c r="F38" s="176"/>
      <c r="G38" s="176"/>
      <c r="H38" s="176"/>
      <c r="I38" s="186" t="s">
        <v>66</v>
      </c>
      <c r="J38" s="154"/>
      <c r="K38" s="176"/>
      <c r="L38" s="186" t="s">
        <v>66</v>
      </c>
      <c r="M38" s="154"/>
      <c r="N38" s="186" t="s">
        <v>66</v>
      </c>
      <c r="O38" s="155"/>
      <c r="P38" s="113"/>
      <c r="Q38" s="173" t="str">
        <f t="shared" ca="1" si="4"/>
        <v/>
      </c>
      <c r="R38" s="173" t="str">
        <f t="shared" ca="1" si="5"/>
        <v/>
      </c>
      <c r="S38" s="173" t="str">
        <f t="shared" ca="1" si="6"/>
        <v/>
      </c>
    </row>
    <row r="39" spans="1:19" x14ac:dyDescent="0.25">
      <c r="B39" s="112" t="str">
        <f t="shared" si="7"/>
        <v/>
      </c>
      <c r="C39" s="113"/>
      <c r="D39" s="282"/>
      <c r="E39" s="176"/>
      <c r="F39" s="176"/>
      <c r="G39" s="176"/>
      <c r="H39" s="176"/>
      <c r="I39" s="186" t="s">
        <v>67</v>
      </c>
      <c r="J39" s="154"/>
      <c r="K39" s="176"/>
      <c r="L39" s="186" t="s">
        <v>67</v>
      </c>
      <c r="M39" s="154"/>
      <c r="N39" s="186" t="s">
        <v>67</v>
      </c>
      <c r="O39" s="155"/>
      <c r="P39" s="113"/>
      <c r="Q39" s="173" t="str">
        <f t="shared" ca="1" si="4"/>
        <v/>
      </c>
      <c r="R39" s="173" t="str">
        <f t="shared" ca="1" si="5"/>
        <v/>
      </c>
      <c r="S39" s="173" t="str">
        <f t="shared" ca="1" si="6"/>
        <v/>
      </c>
    </row>
    <row r="40" spans="1:19" x14ac:dyDescent="0.25">
      <c r="B40" s="112" t="str">
        <f t="shared" si="7"/>
        <v/>
      </c>
      <c r="C40" s="113"/>
      <c r="D40" s="282"/>
      <c r="E40" s="176"/>
      <c r="F40" s="176"/>
      <c r="G40" s="176"/>
      <c r="H40" s="176"/>
      <c r="I40" s="186" t="s">
        <v>68</v>
      </c>
      <c r="J40" s="154"/>
      <c r="K40" s="176"/>
      <c r="L40" s="186" t="s">
        <v>68</v>
      </c>
      <c r="M40" s="154"/>
      <c r="N40" s="186" t="s">
        <v>68</v>
      </c>
      <c r="O40" s="155"/>
      <c r="P40" s="113"/>
      <c r="Q40" s="173" t="str">
        <f t="shared" ca="1" si="4"/>
        <v/>
      </c>
      <c r="R40" s="173" t="str">
        <f t="shared" ca="1" si="5"/>
        <v/>
      </c>
      <c r="S40" s="173" t="str">
        <f t="shared" ca="1" si="6"/>
        <v/>
      </c>
    </row>
    <row r="41" spans="1:19" x14ac:dyDescent="0.25">
      <c r="B41" s="112" t="str">
        <f t="shared" si="7"/>
        <v/>
      </c>
      <c r="C41" s="113"/>
      <c r="D41" s="282"/>
      <c r="E41" s="176"/>
      <c r="F41" s="176"/>
      <c r="G41" s="176"/>
      <c r="H41" s="176"/>
      <c r="I41" s="186" t="s">
        <v>69</v>
      </c>
      <c r="J41" s="154"/>
      <c r="K41" s="176"/>
      <c r="L41" s="186" t="s">
        <v>69</v>
      </c>
      <c r="M41" s="154"/>
      <c r="N41" s="186" t="s">
        <v>69</v>
      </c>
      <c r="O41" s="155"/>
      <c r="P41" s="113"/>
      <c r="Q41" s="173" t="str">
        <f t="shared" ca="1" si="4"/>
        <v/>
      </c>
      <c r="R41" s="173" t="str">
        <f t="shared" ca="1" si="5"/>
        <v/>
      </c>
      <c r="S41" s="173" t="str">
        <f t="shared" ca="1" si="6"/>
        <v/>
      </c>
    </row>
    <row r="42" spans="1:19" x14ac:dyDescent="0.25">
      <c r="B42" s="112" t="str">
        <f t="shared" si="7"/>
        <v/>
      </c>
      <c r="C42" s="113"/>
      <c r="D42" s="283"/>
      <c r="E42" s="177"/>
      <c r="F42" s="177"/>
      <c r="G42" s="177"/>
      <c r="H42" s="177"/>
      <c r="I42" s="187" t="s">
        <v>70</v>
      </c>
      <c r="J42" s="156"/>
      <c r="K42" s="177"/>
      <c r="L42" s="187" t="s">
        <v>70</v>
      </c>
      <c r="M42" s="156"/>
      <c r="N42" s="187" t="s">
        <v>70</v>
      </c>
      <c r="O42" s="157"/>
      <c r="P42" s="113"/>
      <c r="Q42" s="173" t="str">
        <f t="shared" ca="1" si="4"/>
        <v/>
      </c>
      <c r="R42" s="173" t="str">
        <f t="shared" ca="1" si="5"/>
        <v/>
      </c>
      <c r="S42" s="173" t="str">
        <f t="shared" ca="1" si="6"/>
        <v/>
      </c>
    </row>
    <row r="43" spans="1:19" x14ac:dyDescent="0.25">
      <c r="B43" s="112" t="str">
        <f t="shared" si="7"/>
        <v/>
      </c>
      <c r="C43" s="113"/>
      <c r="D43" s="182"/>
      <c r="E43" s="182"/>
      <c r="F43" s="182"/>
      <c r="G43" s="182"/>
      <c r="H43" s="182"/>
      <c r="I43" s="183"/>
      <c r="J43" s="182"/>
      <c r="K43" s="182"/>
      <c r="L43" s="183"/>
      <c r="M43" s="182"/>
      <c r="N43" s="183"/>
      <c r="O43" s="182"/>
      <c r="P43" s="113"/>
      <c r="Q43" s="173" t="str">
        <f t="shared" ca="1" si="4"/>
        <v/>
      </c>
      <c r="R43" s="173" t="str">
        <f t="shared" ca="1" si="5"/>
        <v/>
      </c>
      <c r="S43" s="173" t="str">
        <f t="shared" ca="1" si="6"/>
        <v/>
      </c>
    </row>
    <row r="44" spans="1:19" x14ac:dyDescent="0.25">
      <c r="A44" s="112" t="b">
        <v>0</v>
      </c>
      <c r="B44" s="112" t="str">
        <f t="shared" si="7"/>
        <v/>
      </c>
      <c r="C44" s="113"/>
      <c r="D44" s="131" t="s">
        <v>75</v>
      </c>
      <c r="E44" s="126" t="s">
        <v>928</v>
      </c>
      <c r="F44" s="127"/>
      <c r="G44" s="126" t="s">
        <v>929</v>
      </c>
      <c r="H44" s="127"/>
      <c r="I44" s="128" t="s">
        <v>63</v>
      </c>
      <c r="J44" s="127"/>
      <c r="K44" s="126" t="s">
        <v>930</v>
      </c>
      <c r="L44" s="128" t="s">
        <v>64</v>
      </c>
      <c r="M44" s="127"/>
      <c r="N44" s="128" t="s">
        <v>931</v>
      </c>
      <c r="O44" s="127"/>
      <c r="P44" s="113"/>
      <c r="Q44" s="173" t="str">
        <f t="shared" ca="1" si="4"/>
        <v/>
      </c>
      <c r="R44" s="173" t="str">
        <f t="shared" ca="1" si="5"/>
        <v/>
      </c>
      <c r="S44" s="173" t="str">
        <f t="shared" ca="1" si="6"/>
        <v/>
      </c>
    </row>
    <row r="45" spans="1:19" x14ac:dyDescent="0.25">
      <c r="B45" s="112" t="str">
        <f t="shared" si="7"/>
        <v/>
      </c>
      <c r="C45" s="113"/>
      <c r="D45" s="281"/>
      <c r="E45" s="176"/>
      <c r="F45" s="176"/>
      <c r="G45" s="176"/>
      <c r="H45" s="176"/>
      <c r="I45" s="186" t="s">
        <v>65</v>
      </c>
      <c r="J45" s="154"/>
      <c r="K45" s="176"/>
      <c r="L45" s="186" t="s">
        <v>65</v>
      </c>
      <c r="M45" s="154"/>
      <c r="N45" s="186" t="s">
        <v>65</v>
      </c>
      <c r="O45" s="155"/>
      <c r="P45" s="113"/>
      <c r="Q45" s="173" t="str">
        <f t="shared" ca="1" si="4"/>
        <v/>
      </c>
      <c r="R45" s="173" t="str">
        <f t="shared" ca="1" si="5"/>
        <v/>
      </c>
      <c r="S45" s="173" t="str">
        <f t="shared" ca="1" si="6"/>
        <v/>
      </c>
    </row>
    <row r="46" spans="1:19" x14ac:dyDescent="0.25">
      <c r="B46" s="112" t="str">
        <f t="shared" si="7"/>
        <v/>
      </c>
      <c r="C46" s="113"/>
      <c r="D46" s="282"/>
      <c r="E46" s="176"/>
      <c r="F46" s="176"/>
      <c r="G46" s="176"/>
      <c r="H46" s="176"/>
      <c r="I46" s="186" t="s">
        <v>66</v>
      </c>
      <c r="J46" s="154"/>
      <c r="K46" s="176"/>
      <c r="L46" s="186" t="s">
        <v>66</v>
      </c>
      <c r="M46" s="154"/>
      <c r="N46" s="186" t="s">
        <v>66</v>
      </c>
      <c r="O46" s="155"/>
      <c r="P46" s="113"/>
      <c r="Q46" s="173" t="str">
        <f t="shared" ca="1" si="4"/>
        <v/>
      </c>
      <c r="R46" s="173" t="str">
        <f t="shared" ca="1" si="5"/>
        <v/>
      </c>
      <c r="S46" s="173" t="str">
        <f t="shared" ca="1" si="6"/>
        <v/>
      </c>
    </row>
    <row r="47" spans="1:19" x14ac:dyDescent="0.25">
      <c r="B47" s="112" t="str">
        <f t="shared" si="7"/>
        <v/>
      </c>
      <c r="C47" s="113"/>
      <c r="D47" s="282"/>
      <c r="E47" s="176"/>
      <c r="F47" s="176"/>
      <c r="G47" s="176"/>
      <c r="H47" s="176"/>
      <c r="I47" s="186" t="s">
        <v>67</v>
      </c>
      <c r="J47" s="154"/>
      <c r="K47" s="176"/>
      <c r="L47" s="186" t="s">
        <v>67</v>
      </c>
      <c r="M47" s="154"/>
      <c r="N47" s="186" t="s">
        <v>67</v>
      </c>
      <c r="O47" s="155"/>
      <c r="P47" s="113"/>
      <c r="Q47" s="173" t="str">
        <f t="shared" ca="1" si="4"/>
        <v/>
      </c>
      <c r="R47" s="173" t="str">
        <f t="shared" ca="1" si="5"/>
        <v/>
      </c>
      <c r="S47" s="173" t="str">
        <f t="shared" ca="1" si="6"/>
        <v/>
      </c>
    </row>
    <row r="48" spans="1:19" x14ac:dyDescent="0.25">
      <c r="B48" s="112" t="str">
        <f t="shared" si="7"/>
        <v/>
      </c>
      <c r="C48" s="113"/>
      <c r="D48" s="282"/>
      <c r="E48" s="176"/>
      <c r="F48" s="176"/>
      <c r="G48" s="176"/>
      <c r="H48" s="176"/>
      <c r="I48" s="186" t="s">
        <v>68</v>
      </c>
      <c r="J48" s="154"/>
      <c r="K48" s="176"/>
      <c r="L48" s="186" t="s">
        <v>68</v>
      </c>
      <c r="M48" s="154"/>
      <c r="N48" s="186" t="s">
        <v>68</v>
      </c>
      <c r="O48" s="155"/>
      <c r="P48" s="113"/>
      <c r="Q48" s="173" t="str">
        <f t="shared" ca="1" si="4"/>
        <v/>
      </c>
      <c r="R48" s="173" t="str">
        <f t="shared" ca="1" si="5"/>
        <v/>
      </c>
      <c r="S48" s="173" t="str">
        <f t="shared" ca="1" si="6"/>
        <v/>
      </c>
    </row>
    <row r="49" spans="1:19" x14ac:dyDescent="0.25">
      <c r="B49" s="112" t="str">
        <f t="shared" si="7"/>
        <v/>
      </c>
      <c r="C49" s="113"/>
      <c r="D49" s="282"/>
      <c r="E49" s="176"/>
      <c r="F49" s="176"/>
      <c r="G49" s="176"/>
      <c r="H49" s="176"/>
      <c r="I49" s="186" t="s">
        <v>69</v>
      </c>
      <c r="J49" s="154"/>
      <c r="K49" s="176"/>
      <c r="L49" s="186" t="s">
        <v>69</v>
      </c>
      <c r="M49" s="154"/>
      <c r="N49" s="186" t="s">
        <v>69</v>
      </c>
      <c r="O49" s="155"/>
      <c r="P49" s="113"/>
      <c r="Q49" s="173" t="str">
        <f t="shared" ca="1" si="4"/>
        <v/>
      </c>
      <c r="R49" s="173" t="str">
        <f t="shared" ca="1" si="5"/>
        <v/>
      </c>
      <c r="S49" s="173" t="str">
        <f t="shared" ca="1" si="6"/>
        <v/>
      </c>
    </row>
    <row r="50" spans="1:19" x14ac:dyDescent="0.25">
      <c r="B50" s="112" t="str">
        <f t="shared" si="7"/>
        <v/>
      </c>
      <c r="C50" s="113"/>
      <c r="D50" s="283"/>
      <c r="E50" s="177"/>
      <c r="F50" s="177"/>
      <c r="G50" s="177"/>
      <c r="H50" s="177"/>
      <c r="I50" s="187" t="s">
        <v>70</v>
      </c>
      <c r="J50" s="156"/>
      <c r="K50" s="177"/>
      <c r="L50" s="187" t="s">
        <v>70</v>
      </c>
      <c r="M50" s="156"/>
      <c r="N50" s="187" t="s">
        <v>70</v>
      </c>
      <c r="O50" s="157"/>
      <c r="P50" s="113"/>
      <c r="Q50" s="173" t="str">
        <f t="shared" ca="1" si="4"/>
        <v/>
      </c>
      <c r="R50" s="173" t="str">
        <f t="shared" ca="1" si="5"/>
        <v/>
      </c>
      <c r="S50" s="173" t="str">
        <f t="shared" ca="1" si="6"/>
        <v/>
      </c>
    </row>
    <row r="51" spans="1:19" x14ac:dyDescent="0.25">
      <c r="B51" s="112" t="str">
        <f t="shared" si="7"/>
        <v/>
      </c>
      <c r="C51" s="113"/>
      <c r="D51" s="182"/>
      <c r="E51" s="182"/>
      <c r="F51" s="182"/>
      <c r="G51" s="182"/>
      <c r="H51" s="182"/>
      <c r="I51" s="183"/>
      <c r="J51" s="182"/>
      <c r="K51" s="182"/>
      <c r="L51" s="183"/>
      <c r="M51" s="182"/>
      <c r="N51" s="183"/>
      <c r="O51" s="182"/>
      <c r="P51" s="113"/>
      <c r="Q51" s="173" t="str">
        <f t="shared" ca="1" si="4"/>
        <v/>
      </c>
      <c r="R51" s="173" t="str">
        <f t="shared" ca="1" si="5"/>
        <v/>
      </c>
      <c r="S51" s="173" t="str">
        <f t="shared" ca="1" si="6"/>
        <v/>
      </c>
    </row>
    <row r="52" spans="1:19" x14ac:dyDescent="0.25">
      <c r="A52" s="112" t="b">
        <v>0</v>
      </c>
      <c r="B52" s="112" t="str">
        <f t="shared" si="7"/>
        <v/>
      </c>
      <c r="C52" s="113"/>
      <c r="D52" s="131" t="s">
        <v>76</v>
      </c>
      <c r="E52" s="126" t="s">
        <v>928</v>
      </c>
      <c r="F52" s="127"/>
      <c r="G52" s="126" t="s">
        <v>929</v>
      </c>
      <c r="H52" s="127"/>
      <c r="I52" s="128" t="s">
        <v>63</v>
      </c>
      <c r="J52" s="127"/>
      <c r="K52" s="126" t="s">
        <v>930</v>
      </c>
      <c r="L52" s="128" t="s">
        <v>64</v>
      </c>
      <c r="M52" s="127"/>
      <c r="N52" s="128" t="s">
        <v>931</v>
      </c>
      <c r="O52" s="127"/>
      <c r="P52" s="113"/>
      <c r="Q52" s="173" t="str">
        <f t="shared" ca="1" si="4"/>
        <v/>
      </c>
      <c r="R52" s="173" t="str">
        <f t="shared" ca="1" si="5"/>
        <v/>
      </c>
      <c r="S52" s="173" t="str">
        <f t="shared" ca="1" si="6"/>
        <v/>
      </c>
    </row>
    <row r="53" spans="1:19" x14ac:dyDescent="0.25">
      <c r="B53" s="112" t="str">
        <f t="shared" si="7"/>
        <v/>
      </c>
      <c r="C53" s="113"/>
      <c r="D53" s="278"/>
      <c r="E53" s="176"/>
      <c r="F53" s="176"/>
      <c r="G53" s="176"/>
      <c r="H53" s="176"/>
      <c r="I53" s="188" t="s">
        <v>65</v>
      </c>
      <c r="J53" s="158"/>
      <c r="K53" s="176"/>
      <c r="L53" s="188" t="s">
        <v>65</v>
      </c>
      <c r="M53" s="158"/>
      <c r="N53" s="188" t="s">
        <v>65</v>
      </c>
      <c r="O53" s="155"/>
      <c r="P53" s="113"/>
      <c r="Q53" s="173" t="str">
        <f t="shared" ca="1" si="4"/>
        <v/>
      </c>
      <c r="R53" s="173" t="str">
        <f t="shared" ca="1" si="5"/>
        <v/>
      </c>
      <c r="S53" s="173" t="str">
        <f t="shared" ca="1" si="6"/>
        <v/>
      </c>
    </row>
    <row r="54" spans="1:19" x14ac:dyDescent="0.25">
      <c r="B54" s="112" t="str">
        <f t="shared" si="7"/>
        <v/>
      </c>
      <c r="C54" s="113"/>
      <c r="D54" s="279"/>
      <c r="E54" s="176"/>
      <c r="F54" s="176"/>
      <c r="G54" s="176"/>
      <c r="H54" s="176"/>
      <c r="I54" s="188" t="s">
        <v>66</v>
      </c>
      <c r="J54" s="158"/>
      <c r="K54" s="176"/>
      <c r="L54" s="188" t="s">
        <v>66</v>
      </c>
      <c r="M54" s="158"/>
      <c r="N54" s="188" t="s">
        <v>66</v>
      </c>
      <c r="O54" s="155"/>
      <c r="P54" s="113"/>
      <c r="Q54" s="114"/>
      <c r="R54" s="114"/>
      <c r="S54" s="114"/>
    </row>
    <row r="55" spans="1:19" x14ac:dyDescent="0.25">
      <c r="B55" s="112" t="str">
        <f t="shared" si="7"/>
        <v/>
      </c>
      <c r="C55" s="113"/>
      <c r="D55" s="279"/>
      <c r="E55" s="176"/>
      <c r="F55" s="176"/>
      <c r="G55" s="176"/>
      <c r="H55" s="176"/>
      <c r="I55" s="188" t="s">
        <v>67</v>
      </c>
      <c r="J55" s="158"/>
      <c r="K55" s="176"/>
      <c r="L55" s="188" t="s">
        <v>67</v>
      </c>
      <c r="M55" s="158"/>
      <c r="N55" s="188" t="s">
        <v>67</v>
      </c>
      <c r="O55" s="155"/>
      <c r="P55" s="113"/>
      <c r="Q55" s="114"/>
      <c r="R55" s="114"/>
      <c r="S55" s="114"/>
    </row>
    <row r="56" spans="1:19" x14ac:dyDescent="0.25">
      <c r="B56" s="112" t="str">
        <f t="shared" si="7"/>
        <v/>
      </c>
      <c r="C56" s="113"/>
      <c r="D56" s="279"/>
      <c r="E56" s="176"/>
      <c r="F56" s="176"/>
      <c r="G56" s="176"/>
      <c r="H56" s="176"/>
      <c r="I56" s="188" t="s">
        <v>68</v>
      </c>
      <c r="J56" s="158"/>
      <c r="K56" s="176"/>
      <c r="L56" s="188" t="s">
        <v>68</v>
      </c>
      <c r="M56" s="158"/>
      <c r="N56" s="188" t="s">
        <v>68</v>
      </c>
      <c r="O56" s="155"/>
      <c r="P56" s="113"/>
      <c r="Q56" s="114"/>
      <c r="R56" s="114"/>
      <c r="S56" s="114"/>
    </row>
    <row r="57" spans="1:19" x14ac:dyDescent="0.25">
      <c r="B57" s="112" t="str">
        <f t="shared" si="7"/>
        <v/>
      </c>
      <c r="C57" s="113"/>
      <c r="D57" s="279"/>
      <c r="E57" s="176"/>
      <c r="F57" s="176"/>
      <c r="G57" s="176"/>
      <c r="H57" s="176"/>
      <c r="I57" s="188" t="s">
        <v>69</v>
      </c>
      <c r="J57" s="158"/>
      <c r="K57" s="176"/>
      <c r="L57" s="188" t="s">
        <v>69</v>
      </c>
      <c r="M57" s="158"/>
      <c r="N57" s="188" t="s">
        <v>69</v>
      </c>
      <c r="O57" s="155"/>
      <c r="P57" s="113"/>
      <c r="Q57" s="114"/>
      <c r="R57" s="114"/>
      <c r="S57" s="114"/>
    </row>
    <row r="58" spans="1:19" x14ac:dyDescent="0.25">
      <c r="B58" s="112" t="str">
        <f t="shared" si="7"/>
        <v/>
      </c>
      <c r="C58" s="113"/>
      <c r="D58" s="280"/>
      <c r="E58" s="177"/>
      <c r="F58" s="177"/>
      <c r="G58" s="177"/>
      <c r="H58" s="177"/>
      <c r="I58" s="189" t="s">
        <v>70</v>
      </c>
      <c r="J58" s="159"/>
      <c r="K58" s="177"/>
      <c r="L58" s="189" t="s">
        <v>70</v>
      </c>
      <c r="M58" s="159"/>
      <c r="N58" s="189" t="s">
        <v>70</v>
      </c>
      <c r="O58" s="157"/>
      <c r="P58" s="113"/>
      <c r="Q58" s="114"/>
      <c r="R58" s="114"/>
      <c r="S58" s="114"/>
    </row>
    <row r="59" spans="1:19" x14ac:dyDescent="0.25">
      <c r="B59" s="112" t="str">
        <f t="shared" si="7"/>
        <v/>
      </c>
      <c r="C59" s="113"/>
      <c r="D59" s="182"/>
      <c r="E59" s="182"/>
      <c r="F59" s="182"/>
      <c r="G59" s="182"/>
      <c r="H59" s="182"/>
      <c r="I59" s="183"/>
      <c r="J59" s="182"/>
      <c r="K59" s="182"/>
      <c r="L59" s="183"/>
      <c r="M59" s="182"/>
      <c r="N59" s="183"/>
      <c r="O59" s="182"/>
      <c r="P59" s="113"/>
      <c r="Q59" s="114"/>
      <c r="R59" s="114"/>
      <c r="S59" s="114"/>
    </row>
    <row r="60" spans="1:19" x14ac:dyDescent="0.25">
      <c r="A60" s="112" t="b">
        <v>0</v>
      </c>
      <c r="B60" s="112" t="str">
        <f t="shared" si="7"/>
        <v/>
      </c>
      <c r="C60" s="113"/>
      <c r="D60" s="131" t="s">
        <v>77</v>
      </c>
      <c r="E60" s="126" t="s">
        <v>928</v>
      </c>
      <c r="F60" s="127"/>
      <c r="G60" s="126" t="s">
        <v>929</v>
      </c>
      <c r="H60" s="127"/>
      <c r="I60" s="128" t="s">
        <v>63</v>
      </c>
      <c r="J60" s="127"/>
      <c r="K60" s="126" t="s">
        <v>930</v>
      </c>
      <c r="L60" s="128" t="s">
        <v>64</v>
      </c>
      <c r="M60" s="127"/>
      <c r="N60" s="128" t="s">
        <v>931</v>
      </c>
      <c r="O60" s="127"/>
      <c r="P60" s="113"/>
      <c r="Q60" s="114"/>
      <c r="R60" s="114"/>
      <c r="S60" s="114"/>
    </row>
    <row r="61" spans="1:19" x14ac:dyDescent="0.25">
      <c r="B61" s="112" t="str">
        <f t="shared" si="7"/>
        <v/>
      </c>
      <c r="C61" s="113"/>
      <c r="D61" s="278"/>
      <c r="E61" s="176"/>
      <c r="F61" s="176"/>
      <c r="G61" s="176"/>
      <c r="H61" s="176"/>
      <c r="I61" s="188" t="s">
        <v>65</v>
      </c>
      <c r="J61" s="158"/>
      <c r="K61" s="176"/>
      <c r="L61" s="188" t="s">
        <v>65</v>
      </c>
      <c r="M61" s="158"/>
      <c r="N61" s="188" t="s">
        <v>65</v>
      </c>
      <c r="O61" s="155"/>
      <c r="P61" s="113"/>
      <c r="Q61" s="114"/>
      <c r="R61" s="114"/>
      <c r="S61" s="114"/>
    </row>
    <row r="62" spans="1:19" x14ac:dyDescent="0.25">
      <c r="B62" s="112" t="str">
        <f t="shared" si="7"/>
        <v/>
      </c>
      <c r="C62" s="113"/>
      <c r="D62" s="279"/>
      <c r="E62" s="176"/>
      <c r="F62" s="176"/>
      <c r="G62" s="176"/>
      <c r="H62" s="176"/>
      <c r="I62" s="188" t="s">
        <v>66</v>
      </c>
      <c r="J62" s="158"/>
      <c r="K62" s="176"/>
      <c r="L62" s="188" t="s">
        <v>66</v>
      </c>
      <c r="M62" s="158"/>
      <c r="N62" s="188" t="s">
        <v>66</v>
      </c>
      <c r="O62" s="155"/>
      <c r="P62" s="113"/>
      <c r="Q62" s="114"/>
      <c r="R62" s="114"/>
      <c r="S62" s="114"/>
    </row>
    <row r="63" spans="1:19" x14ac:dyDescent="0.25">
      <c r="B63" s="112" t="str">
        <f t="shared" si="7"/>
        <v/>
      </c>
      <c r="C63" s="113"/>
      <c r="D63" s="279"/>
      <c r="E63" s="176"/>
      <c r="F63" s="176"/>
      <c r="G63" s="176"/>
      <c r="H63" s="176"/>
      <c r="I63" s="188" t="s">
        <v>67</v>
      </c>
      <c r="J63" s="158"/>
      <c r="K63" s="176"/>
      <c r="L63" s="188" t="s">
        <v>67</v>
      </c>
      <c r="M63" s="158"/>
      <c r="N63" s="188" t="s">
        <v>67</v>
      </c>
      <c r="O63" s="155"/>
      <c r="P63" s="113"/>
      <c r="Q63" s="114"/>
      <c r="R63" s="114"/>
      <c r="S63" s="114"/>
    </row>
    <row r="64" spans="1:19" x14ac:dyDescent="0.25">
      <c r="B64" s="112" t="str">
        <f t="shared" si="7"/>
        <v/>
      </c>
      <c r="C64" s="113"/>
      <c r="D64" s="279"/>
      <c r="E64" s="176"/>
      <c r="F64" s="176"/>
      <c r="G64" s="176"/>
      <c r="H64" s="176"/>
      <c r="I64" s="188" t="s">
        <v>68</v>
      </c>
      <c r="J64" s="158"/>
      <c r="K64" s="176"/>
      <c r="L64" s="188" t="s">
        <v>68</v>
      </c>
      <c r="M64" s="158"/>
      <c r="N64" s="188" t="s">
        <v>68</v>
      </c>
      <c r="O64" s="155"/>
      <c r="P64" s="113"/>
      <c r="Q64" s="114"/>
      <c r="R64" s="114"/>
      <c r="S64" s="114"/>
    </row>
    <row r="65" spans="1:19" x14ac:dyDescent="0.25">
      <c r="B65" s="112" t="str">
        <f t="shared" si="7"/>
        <v/>
      </c>
      <c r="C65" s="113"/>
      <c r="D65" s="279"/>
      <c r="E65" s="176"/>
      <c r="F65" s="176"/>
      <c r="G65" s="176"/>
      <c r="H65" s="176"/>
      <c r="I65" s="188" t="s">
        <v>69</v>
      </c>
      <c r="J65" s="158"/>
      <c r="K65" s="176"/>
      <c r="L65" s="188" t="s">
        <v>69</v>
      </c>
      <c r="M65" s="158"/>
      <c r="N65" s="188" t="s">
        <v>69</v>
      </c>
      <c r="O65" s="155"/>
      <c r="P65" s="113"/>
      <c r="Q65" s="114"/>
      <c r="R65" s="114"/>
      <c r="S65" s="114"/>
    </row>
    <row r="66" spans="1:19" x14ac:dyDescent="0.25">
      <c r="B66" s="112" t="str">
        <f t="shared" si="7"/>
        <v/>
      </c>
      <c r="C66" s="113"/>
      <c r="D66" s="280"/>
      <c r="E66" s="177"/>
      <c r="F66" s="177"/>
      <c r="G66" s="177"/>
      <c r="H66" s="177"/>
      <c r="I66" s="189" t="s">
        <v>70</v>
      </c>
      <c r="J66" s="159"/>
      <c r="K66" s="177"/>
      <c r="L66" s="189" t="s">
        <v>70</v>
      </c>
      <c r="M66" s="159"/>
      <c r="N66" s="189" t="s">
        <v>70</v>
      </c>
      <c r="O66" s="157"/>
      <c r="P66" s="113"/>
      <c r="Q66" s="114"/>
      <c r="R66" s="114"/>
      <c r="S66" s="114"/>
    </row>
    <row r="67" spans="1:19" x14ac:dyDescent="0.25">
      <c r="B67" s="112" t="str">
        <f t="shared" si="7"/>
        <v/>
      </c>
      <c r="C67" s="113"/>
      <c r="D67" s="182"/>
      <c r="E67" s="182"/>
      <c r="F67" s="182"/>
      <c r="G67" s="182"/>
      <c r="H67" s="182"/>
      <c r="I67" s="183"/>
      <c r="J67" s="182"/>
      <c r="K67" s="182"/>
      <c r="L67" s="183"/>
      <c r="M67" s="182"/>
      <c r="N67" s="183"/>
      <c r="O67" s="182"/>
      <c r="P67" s="113"/>
      <c r="Q67" s="114"/>
      <c r="R67" s="114"/>
      <c r="S67" s="114"/>
    </row>
    <row r="68" spans="1:19" x14ac:dyDescent="0.25">
      <c r="A68" s="112" t="b">
        <v>0</v>
      </c>
      <c r="B68" s="112" t="str">
        <f t="shared" si="7"/>
        <v/>
      </c>
      <c r="C68" s="113"/>
      <c r="D68" s="131" t="s">
        <v>78</v>
      </c>
      <c r="E68" s="126" t="s">
        <v>928</v>
      </c>
      <c r="F68" s="127"/>
      <c r="G68" s="126" t="s">
        <v>929</v>
      </c>
      <c r="H68" s="127"/>
      <c r="I68" s="128" t="s">
        <v>63</v>
      </c>
      <c r="J68" s="127"/>
      <c r="K68" s="126" t="s">
        <v>930</v>
      </c>
      <c r="L68" s="128" t="s">
        <v>64</v>
      </c>
      <c r="M68" s="127"/>
      <c r="N68" s="128" t="s">
        <v>931</v>
      </c>
      <c r="O68" s="127"/>
      <c r="P68" s="113"/>
      <c r="Q68" s="114"/>
      <c r="R68" s="114"/>
      <c r="S68" s="114"/>
    </row>
    <row r="69" spans="1:19" x14ac:dyDescent="0.25">
      <c r="B69" s="112" t="str">
        <f t="shared" ref="B69:B75" si="8">IFERROR(CHOOSE(MATCH(G69, Val_ResponseCat, 0), "IdentifiedNeeds", "IdentifiedUsefulStrengths", "IdentifiedStrengthsToBuild"), "")</f>
        <v/>
      </c>
      <c r="C69" s="113"/>
      <c r="D69" s="278"/>
      <c r="E69" s="176"/>
      <c r="F69" s="176"/>
      <c r="G69" s="176"/>
      <c r="H69" s="176"/>
      <c r="I69" s="188" t="s">
        <v>65</v>
      </c>
      <c r="J69" s="158"/>
      <c r="K69" s="176"/>
      <c r="L69" s="188" t="s">
        <v>65</v>
      </c>
      <c r="M69" s="158"/>
      <c r="N69" s="188" t="s">
        <v>65</v>
      </c>
      <c r="O69" s="155"/>
      <c r="P69" s="113"/>
      <c r="Q69" s="114"/>
      <c r="R69" s="114"/>
      <c r="S69" s="114"/>
    </row>
    <row r="70" spans="1:19" x14ac:dyDescent="0.25">
      <c r="B70" s="112" t="str">
        <f t="shared" si="8"/>
        <v/>
      </c>
      <c r="C70" s="113"/>
      <c r="D70" s="279"/>
      <c r="E70" s="176"/>
      <c r="F70" s="176"/>
      <c r="G70" s="176"/>
      <c r="H70" s="176"/>
      <c r="I70" s="188" t="s">
        <v>66</v>
      </c>
      <c r="J70" s="158"/>
      <c r="K70" s="176"/>
      <c r="L70" s="188" t="s">
        <v>66</v>
      </c>
      <c r="M70" s="158"/>
      <c r="N70" s="188" t="s">
        <v>66</v>
      </c>
      <c r="O70" s="155"/>
      <c r="P70" s="113"/>
      <c r="Q70" s="114"/>
      <c r="R70" s="114"/>
      <c r="S70" s="114"/>
    </row>
    <row r="71" spans="1:19" x14ac:dyDescent="0.25">
      <c r="B71" s="112" t="str">
        <f t="shared" si="8"/>
        <v/>
      </c>
      <c r="C71" s="113"/>
      <c r="D71" s="279"/>
      <c r="E71" s="176"/>
      <c r="F71" s="176"/>
      <c r="G71" s="176"/>
      <c r="H71" s="176"/>
      <c r="I71" s="188" t="s">
        <v>67</v>
      </c>
      <c r="J71" s="158"/>
      <c r="K71" s="176"/>
      <c r="L71" s="188" t="s">
        <v>67</v>
      </c>
      <c r="M71" s="158"/>
      <c r="N71" s="188" t="s">
        <v>67</v>
      </c>
      <c r="O71" s="155"/>
      <c r="P71" s="113"/>
      <c r="Q71" s="114"/>
      <c r="R71" s="114"/>
      <c r="S71" s="114"/>
    </row>
    <row r="72" spans="1:19" x14ac:dyDescent="0.25">
      <c r="B72" s="112" t="str">
        <f t="shared" si="8"/>
        <v/>
      </c>
      <c r="C72" s="113"/>
      <c r="D72" s="279"/>
      <c r="E72" s="176"/>
      <c r="F72" s="176"/>
      <c r="G72" s="176"/>
      <c r="H72" s="176"/>
      <c r="I72" s="188" t="s">
        <v>68</v>
      </c>
      <c r="J72" s="158"/>
      <c r="K72" s="176"/>
      <c r="L72" s="188" t="s">
        <v>68</v>
      </c>
      <c r="M72" s="158"/>
      <c r="N72" s="188" t="s">
        <v>68</v>
      </c>
      <c r="O72" s="155"/>
      <c r="P72" s="113"/>
      <c r="Q72" s="114"/>
      <c r="R72" s="114"/>
      <c r="S72" s="114"/>
    </row>
    <row r="73" spans="1:19" x14ac:dyDescent="0.25">
      <c r="B73" s="112" t="str">
        <f t="shared" si="8"/>
        <v/>
      </c>
      <c r="C73" s="113"/>
      <c r="D73" s="279"/>
      <c r="E73" s="176"/>
      <c r="F73" s="176"/>
      <c r="G73" s="176"/>
      <c r="H73" s="176"/>
      <c r="I73" s="188" t="s">
        <v>257</v>
      </c>
      <c r="J73" s="158"/>
      <c r="K73" s="176"/>
      <c r="L73" s="188" t="s">
        <v>69</v>
      </c>
      <c r="M73" s="158"/>
      <c r="N73" s="188" t="s">
        <v>69</v>
      </c>
      <c r="O73" s="155"/>
      <c r="P73" s="113"/>
      <c r="Q73" s="114"/>
      <c r="R73" s="114"/>
      <c r="S73" s="114"/>
    </row>
    <row r="74" spans="1:19" x14ac:dyDescent="0.25">
      <c r="B74" s="112" t="str">
        <f t="shared" si="8"/>
        <v/>
      </c>
      <c r="C74" s="113"/>
      <c r="D74" s="280"/>
      <c r="E74" s="177"/>
      <c r="F74" s="177"/>
      <c r="G74" s="177"/>
      <c r="H74" s="177"/>
      <c r="I74" s="189" t="s">
        <v>70</v>
      </c>
      <c r="J74" s="159"/>
      <c r="K74" s="177"/>
      <c r="L74" s="189" t="s">
        <v>70</v>
      </c>
      <c r="M74" s="159"/>
      <c r="N74" s="189" t="s">
        <v>70</v>
      </c>
      <c r="O74" s="157"/>
      <c r="P74" s="113"/>
      <c r="Q74" s="114"/>
      <c r="R74" s="114"/>
      <c r="S74" s="114"/>
    </row>
    <row r="75" spans="1:19" x14ac:dyDescent="0.25">
      <c r="B75" s="112" t="str">
        <f t="shared" si="8"/>
        <v/>
      </c>
      <c r="C75" s="113"/>
      <c r="D75" s="113"/>
      <c r="E75" s="113"/>
      <c r="F75" s="113"/>
      <c r="G75" s="113"/>
      <c r="H75" s="113"/>
      <c r="I75" s="132"/>
      <c r="J75" s="113"/>
      <c r="K75" s="113"/>
      <c r="L75" s="132"/>
      <c r="M75" s="113"/>
      <c r="N75" s="132"/>
      <c r="O75" s="113"/>
      <c r="P75" s="113"/>
      <c r="Q75" s="114"/>
      <c r="R75" s="114"/>
      <c r="S75" s="114"/>
    </row>
    <row r="76" spans="1:19" x14ac:dyDescent="0.25">
      <c r="A76" s="120"/>
      <c r="B76" s="120"/>
      <c r="C76" s="111"/>
      <c r="D76" s="111"/>
      <c r="E76" s="111"/>
      <c r="F76" s="111"/>
      <c r="G76" s="111"/>
      <c r="H76" s="111"/>
      <c r="I76" s="190"/>
      <c r="J76" s="111"/>
      <c r="K76" s="111"/>
      <c r="L76" s="190"/>
      <c r="M76" s="111"/>
      <c r="N76" s="190"/>
      <c r="O76" s="111"/>
      <c r="P76" s="111"/>
      <c r="Q76" s="114"/>
      <c r="R76" s="114"/>
      <c r="S76" s="114"/>
    </row>
    <row r="77" spans="1:19" x14ac:dyDescent="0.25">
      <c r="A77" s="120"/>
      <c r="B77" s="120"/>
      <c r="C77" s="111"/>
      <c r="D77" s="111"/>
      <c r="E77" s="111"/>
      <c r="F77" s="111"/>
      <c r="G77" s="111"/>
      <c r="H77" s="111"/>
      <c r="I77" s="190"/>
      <c r="J77" s="111"/>
      <c r="K77" s="111"/>
      <c r="L77" s="190"/>
      <c r="M77" s="111"/>
      <c r="N77" s="190"/>
      <c r="O77" s="111"/>
      <c r="P77" s="111"/>
      <c r="Q77" s="114"/>
      <c r="R77" s="114"/>
      <c r="S77" s="114"/>
    </row>
    <row r="78" spans="1:19" x14ac:dyDescent="0.25">
      <c r="A78" s="120"/>
      <c r="B78" s="120"/>
      <c r="C78" s="111"/>
      <c r="D78" s="111"/>
      <c r="E78" s="111"/>
      <c r="F78" s="111"/>
      <c r="G78" s="111"/>
      <c r="H78" s="111"/>
      <c r="I78" s="190"/>
      <c r="J78" s="111"/>
      <c r="K78" s="111"/>
      <c r="L78" s="190"/>
      <c r="M78" s="111"/>
      <c r="N78" s="190"/>
      <c r="O78" s="111"/>
      <c r="P78" s="111"/>
      <c r="Q78" s="114"/>
      <c r="R78" s="114"/>
      <c r="S78" s="114"/>
    </row>
    <row r="79" spans="1:19" x14ac:dyDescent="0.25">
      <c r="A79" s="120"/>
      <c r="B79" s="120"/>
      <c r="C79" s="111"/>
      <c r="D79" s="111"/>
      <c r="E79" s="111"/>
      <c r="F79" s="111"/>
      <c r="G79" s="111"/>
      <c r="H79" s="111"/>
      <c r="I79" s="190"/>
      <c r="J79" s="111"/>
      <c r="K79" s="111"/>
      <c r="L79" s="190"/>
      <c r="M79" s="111"/>
      <c r="N79" s="190"/>
      <c r="O79" s="111"/>
      <c r="P79" s="111"/>
      <c r="Q79" s="114"/>
      <c r="R79" s="114"/>
      <c r="S79" s="114"/>
    </row>
    <row r="80" spans="1:19" hidden="1" x14ac:dyDescent="0.25">
      <c r="A80" s="120"/>
      <c r="B80" s="120"/>
      <c r="C80" s="111"/>
      <c r="D80" s="111"/>
      <c r="E80" s="111"/>
      <c r="F80" s="111"/>
      <c r="G80" s="111"/>
      <c r="H80" s="111"/>
      <c r="I80" s="190"/>
      <c r="J80" s="111"/>
      <c r="K80" s="111"/>
      <c r="L80" s="190"/>
      <c r="M80" s="111"/>
      <c r="N80" s="190"/>
      <c r="O80" s="111"/>
      <c r="P80" s="111"/>
      <c r="Q80" s="114"/>
      <c r="R80" s="114"/>
      <c r="S80" s="114"/>
    </row>
    <row r="81" spans="1:19" hidden="1" x14ac:dyDescent="0.25">
      <c r="A81" s="120"/>
      <c r="B81" s="120"/>
      <c r="C81" s="111"/>
      <c r="D81" s="111"/>
      <c r="E81" s="111"/>
      <c r="F81" s="111"/>
      <c r="G81" s="111"/>
      <c r="H81" s="111"/>
      <c r="I81" s="190"/>
      <c r="J81" s="111"/>
      <c r="K81" s="111"/>
      <c r="L81" s="190"/>
      <c r="M81" s="111"/>
      <c r="N81" s="190"/>
      <c r="O81" s="111"/>
      <c r="P81" s="111"/>
      <c r="Q81" s="114"/>
      <c r="R81" s="114"/>
      <c r="S81" s="114"/>
    </row>
    <row r="82" spans="1:19" hidden="1" x14ac:dyDescent="0.25">
      <c r="A82" s="120"/>
      <c r="B82" s="120"/>
      <c r="C82" s="111"/>
      <c r="D82" s="111"/>
      <c r="E82" s="111"/>
      <c r="F82" s="111"/>
      <c r="G82" s="111"/>
      <c r="H82" s="111"/>
      <c r="I82" s="190"/>
      <c r="J82" s="111"/>
      <c r="K82" s="111"/>
      <c r="L82" s="190"/>
      <c r="M82" s="111"/>
      <c r="N82" s="190"/>
      <c r="O82" s="111"/>
      <c r="P82" s="111"/>
      <c r="Q82" s="114"/>
      <c r="R82" s="114"/>
      <c r="S82" s="114"/>
    </row>
    <row r="83" spans="1:19" hidden="1" x14ac:dyDescent="0.25">
      <c r="A83" s="120"/>
      <c r="B83" s="120"/>
      <c r="C83" s="111"/>
      <c r="D83" s="111"/>
      <c r="E83" s="111"/>
      <c r="F83" s="111"/>
      <c r="G83" s="111"/>
      <c r="H83" s="111"/>
      <c r="I83" s="190"/>
      <c r="J83" s="111"/>
      <c r="K83" s="111"/>
      <c r="L83" s="190"/>
      <c r="M83" s="111"/>
      <c r="N83" s="190"/>
      <c r="O83" s="111"/>
      <c r="P83" s="111"/>
      <c r="Q83" s="114"/>
      <c r="R83" s="114"/>
      <c r="S83" s="114"/>
    </row>
    <row r="84" spans="1:19" hidden="1" x14ac:dyDescent="0.25">
      <c r="A84" s="120"/>
      <c r="B84" s="120"/>
      <c r="C84" s="111"/>
      <c r="D84" s="111"/>
      <c r="E84" s="111"/>
      <c r="F84" s="111"/>
      <c r="G84" s="111"/>
      <c r="H84" s="111"/>
      <c r="I84" s="190"/>
      <c r="J84" s="111"/>
      <c r="K84" s="111"/>
      <c r="L84" s="190"/>
      <c r="M84" s="111"/>
      <c r="N84" s="190"/>
      <c r="O84" s="111"/>
      <c r="P84" s="111"/>
      <c r="Q84" s="114"/>
      <c r="R84" s="114"/>
      <c r="S84" s="114"/>
    </row>
    <row r="85" spans="1:19" hidden="1" x14ac:dyDescent="0.25">
      <c r="A85" s="120"/>
      <c r="B85" s="120"/>
      <c r="C85" s="111"/>
      <c r="D85" s="111"/>
      <c r="E85" s="111"/>
      <c r="F85" s="111"/>
      <c r="G85" s="111"/>
      <c r="H85" s="111"/>
      <c r="I85" s="190"/>
      <c r="J85" s="111"/>
      <c r="K85" s="111"/>
      <c r="L85" s="190"/>
      <c r="M85" s="111"/>
      <c r="N85" s="190"/>
      <c r="O85" s="111"/>
      <c r="P85" s="111"/>
      <c r="Q85" s="114"/>
      <c r="R85" s="114"/>
      <c r="S85" s="114"/>
    </row>
    <row r="86" spans="1:19" x14ac:dyDescent="0.25">
      <c r="A86" s="120"/>
      <c r="B86" s="120"/>
      <c r="C86" s="111"/>
      <c r="D86" s="111"/>
      <c r="E86" s="111"/>
      <c r="F86" s="111"/>
      <c r="G86" s="111"/>
      <c r="H86" s="111"/>
      <c r="I86" s="190"/>
      <c r="J86" s="111"/>
      <c r="K86" s="111"/>
      <c r="L86" s="190"/>
      <c r="M86" s="111"/>
      <c r="N86" s="190"/>
      <c r="O86" s="111"/>
      <c r="P86" s="111"/>
    </row>
    <row r="87" spans="1:19" x14ac:dyDescent="0.25">
      <c r="A87" s="120"/>
      <c r="B87" s="120"/>
      <c r="C87" s="111"/>
      <c r="D87" s="111"/>
      <c r="E87" s="111"/>
      <c r="F87" s="111"/>
      <c r="G87" s="111"/>
      <c r="H87" s="111"/>
      <c r="I87" s="190"/>
      <c r="J87" s="194"/>
      <c r="K87" s="111"/>
      <c r="L87" s="190"/>
      <c r="M87" s="111"/>
      <c r="N87" s="190"/>
      <c r="O87" s="111"/>
      <c r="P87" s="111"/>
    </row>
    <row r="88" spans="1:19" x14ac:dyDescent="0.25">
      <c r="A88" s="120"/>
      <c r="B88" s="120"/>
      <c r="C88" s="111"/>
      <c r="D88" s="111"/>
      <c r="E88" s="111"/>
      <c r="F88" s="111"/>
      <c r="G88" s="111"/>
      <c r="H88" s="111"/>
      <c r="I88" s="190"/>
      <c r="J88" s="111"/>
      <c r="K88" s="111"/>
      <c r="L88" s="190"/>
      <c r="M88" s="111"/>
      <c r="N88" s="190"/>
      <c r="O88" s="111"/>
      <c r="P88" s="111"/>
    </row>
    <row r="89" spans="1:19" x14ac:dyDescent="0.25">
      <c r="A89" s="120"/>
      <c r="B89" s="120"/>
      <c r="C89" s="111"/>
      <c r="D89" s="111"/>
      <c r="E89" s="111"/>
      <c r="F89" s="111"/>
      <c r="G89" s="111"/>
      <c r="H89" s="111"/>
      <c r="I89" s="190"/>
      <c r="J89" s="111"/>
      <c r="K89" s="111"/>
      <c r="L89" s="190"/>
      <c r="M89" s="111"/>
      <c r="N89" s="190"/>
      <c r="O89" s="111"/>
      <c r="P89" s="111"/>
    </row>
    <row r="90" spans="1:19" x14ac:dyDescent="0.25">
      <c r="A90" s="120"/>
      <c r="B90" s="120"/>
      <c r="C90" s="111"/>
      <c r="D90" s="111"/>
      <c r="E90" s="111"/>
      <c r="F90" s="111"/>
      <c r="G90" s="111"/>
      <c r="H90" s="111"/>
      <c r="I90" s="190"/>
      <c r="J90" s="111"/>
      <c r="K90" s="111"/>
      <c r="L90" s="190"/>
      <c r="M90" s="111"/>
      <c r="N90" s="190"/>
      <c r="O90" s="111"/>
      <c r="P90" s="111"/>
    </row>
    <row r="91" spans="1:19" x14ac:dyDescent="0.25">
      <c r="A91" s="120"/>
      <c r="B91" s="120"/>
      <c r="C91" s="111"/>
      <c r="D91" s="111"/>
      <c r="E91" s="111"/>
      <c r="F91" s="111"/>
      <c r="G91" s="111"/>
      <c r="H91" s="111"/>
      <c r="I91" s="190"/>
      <c r="J91" s="111"/>
      <c r="K91" s="111"/>
      <c r="L91" s="190"/>
      <c r="M91" s="111"/>
      <c r="N91" s="190"/>
      <c r="O91" s="111"/>
      <c r="P91" s="111"/>
    </row>
    <row r="92" spans="1:19" x14ac:dyDescent="0.25">
      <c r="A92" s="120"/>
      <c r="B92" s="120"/>
      <c r="C92" s="111"/>
      <c r="D92" s="111"/>
      <c r="E92" s="111"/>
      <c r="F92" s="111"/>
      <c r="G92" s="111"/>
      <c r="H92" s="111"/>
      <c r="I92" s="190"/>
      <c r="J92" s="111"/>
      <c r="K92" s="111"/>
      <c r="L92" s="190"/>
      <c r="M92" s="111"/>
      <c r="N92" s="190"/>
      <c r="O92" s="111"/>
      <c r="P92" s="111"/>
    </row>
    <row r="93" spans="1:19" x14ac:dyDescent="0.25">
      <c r="A93" s="120"/>
      <c r="B93" s="120"/>
      <c r="C93" s="111"/>
      <c r="D93" s="111"/>
      <c r="E93" s="111"/>
      <c r="F93" s="111"/>
      <c r="G93" s="111"/>
      <c r="H93" s="111"/>
      <c r="I93" s="190"/>
      <c r="J93" s="111"/>
      <c r="K93" s="111"/>
      <c r="L93" s="190"/>
      <c r="M93" s="111"/>
      <c r="N93" s="190"/>
      <c r="O93" s="111"/>
      <c r="P93" s="111"/>
    </row>
    <row r="94" spans="1:19" x14ac:dyDescent="0.25">
      <c r="A94" s="120"/>
      <c r="B94" s="120"/>
      <c r="C94" s="111"/>
      <c r="D94" s="111"/>
      <c r="E94" s="111"/>
      <c r="F94" s="111"/>
      <c r="G94" s="111"/>
      <c r="H94" s="111"/>
      <c r="I94" s="190"/>
      <c r="J94" s="111"/>
      <c r="K94" s="111"/>
      <c r="L94" s="190"/>
      <c r="M94" s="111"/>
      <c r="N94" s="190"/>
      <c r="O94" s="111"/>
      <c r="P94" s="111"/>
    </row>
    <row r="95" spans="1:19" x14ac:dyDescent="0.25">
      <c r="A95" s="120"/>
      <c r="B95" s="120"/>
      <c r="C95" s="111"/>
      <c r="D95" s="111"/>
      <c r="E95" s="111"/>
      <c r="F95" s="111"/>
      <c r="G95" s="111"/>
      <c r="H95" s="111"/>
      <c r="I95" s="190"/>
      <c r="J95" s="111"/>
      <c r="K95" s="111"/>
      <c r="L95" s="190"/>
      <c r="M95" s="111"/>
      <c r="N95" s="190"/>
      <c r="O95" s="111"/>
      <c r="P95" s="111"/>
    </row>
    <row r="96" spans="1:19" x14ac:dyDescent="0.25">
      <c r="A96" s="120"/>
      <c r="B96" s="120"/>
      <c r="C96" s="111"/>
      <c r="D96" s="111"/>
      <c r="E96" s="111"/>
      <c r="F96" s="111"/>
      <c r="G96" s="111"/>
      <c r="H96" s="111"/>
      <c r="I96" s="190"/>
      <c r="J96" s="111"/>
      <c r="K96" s="111"/>
      <c r="L96" s="190"/>
      <c r="M96" s="111"/>
      <c r="N96" s="190"/>
      <c r="O96" s="111"/>
      <c r="P96" s="111"/>
    </row>
    <row r="97" hidden="1" x14ac:dyDescent="0.25"/>
    <row r="98" hidden="1" x14ac:dyDescent="0.25"/>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7" right="0.7" top="0.75" bottom="0.75" header="0.3" footer="0.3"/>
  <pageSetup scale="62"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856</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84" t="s">
        <v>855</v>
      </c>
      <c r="E3" s="284"/>
      <c r="F3" s="117"/>
      <c r="G3" s="118" t="s">
        <v>302</v>
      </c>
      <c r="H3" s="118" t="s">
        <v>301</v>
      </c>
      <c r="I3" s="118" t="s">
        <v>303</v>
      </c>
    </row>
    <row r="4" spans="1:19" ht="15" x14ac:dyDescent="0.25">
      <c r="A4" s="112" t="b">
        <v>1</v>
      </c>
      <c r="C4" s="116"/>
      <c r="D4" s="119" t="s">
        <v>65</v>
      </c>
      <c r="E4" s="160"/>
      <c r="F4" s="117"/>
      <c r="G4" s="173" t="str">
        <f t="shared" ref="G4:G53" ca="1" si="0">IFERROR(INDEX(Needs_Q, MATCH(ROW()-ROW(G$3), Needs_Q_Ix, 0)), "")</f>
        <v/>
      </c>
      <c r="H4" s="173" t="str">
        <f t="shared" ref="H4:H35" ca="1" si="1">IFERROR(INDEX(US_Q, MATCH(ROW()-ROW(H$3), US_Q_Ix, 0)), "")</f>
        <v/>
      </c>
      <c r="I4" s="173"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60"/>
      <c r="F5" s="117"/>
      <c r="G5" s="173" t="str">
        <f t="shared" ca="1" si="0"/>
        <v/>
      </c>
      <c r="H5" s="173" t="str">
        <f t="shared" ca="1" si="1"/>
        <v/>
      </c>
      <c r="I5" s="173" t="str">
        <f t="shared" ca="1" si="2"/>
        <v/>
      </c>
    </row>
    <row r="6" spans="1:19" ht="15" x14ac:dyDescent="0.25">
      <c r="B6" s="112" t="str">
        <f>IFERROR(CHOOSE(MATCH(#REF!, Val_ResponseCat, 0), "IdentifiedNeeds", "IdentifiedUsefulStrengths", "IdentifiedStrengthsToBuild"), "")</f>
        <v/>
      </c>
      <c r="C6" s="116"/>
      <c r="D6" s="119" t="s">
        <v>67</v>
      </c>
      <c r="E6" s="160"/>
      <c r="F6" s="117"/>
      <c r="G6" s="173" t="str">
        <f t="shared" ca="1" si="0"/>
        <v/>
      </c>
      <c r="H6" s="173" t="str">
        <f t="shared" ca="1" si="1"/>
        <v/>
      </c>
      <c r="I6" s="173" t="str">
        <f t="shared" ca="1" si="2"/>
        <v/>
      </c>
    </row>
    <row r="7" spans="1:19" ht="15" x14ac:dyDescent="0.25">
      <c r="B7" s="112" t="str">
        <f>IFERROR(CHOOSE(MATCH(#REF!, Val_ResponseCat, 0), "IdentifiedNeeds", "IdentifiedUsefulStrengths", "IdentifiedStrengthsToBuild"), "")</f>
        <v/>
      </c>
      <c r="C7" s="116"/>
      <c r="D7" s="119" t="s">
        <v>68</v>
      </c>
      <c r="E7" s="160"/>
      <c r="F7" s="117"/>
      <c r="G7" s="173" t="str">
        <f t="shared" ca="1" si="0"/>
        <v/>
      </c>
      <c r="H7" s="173" t="str">
        <f t="shared" ca="1" si="1"/>
        <v/>
      </c>
      <c r="I7" s="173" t="str">
        <f t="shared" ca="1" si="2"/>
        <v/>
      </c>
    </row>
    <row r="8" spans="1:19" ht="15" x14ac:dyDescent="0.25">
      <c r="B8" s="112" t="str">
        <f>IFERROR(CHOOSE(MATCH(#REF!, Val_ResponseCat, 0), "IdentifiedNeeds", "IdentifiedUsefulStrengths", "IdentifiedStrengthsToBuild"), "")</f>
        <v/>
      </c>
      <c r="C8" s="116"/>
      <c r="D8" s="119" t="s">
        <v>69</v>
      </c>
      <c r="E8" s="160"/>
      <c r="F8" s="117"/>
      <c r="G8" s="173" t="str">
        <f t="shared" ca="1" si="0"/>
        <v/>
      </c>
      <c r="H8" s="173" t="str">
        <f t="shared" ca="1" si="1"/>
        <v/>
      </c>
      <c r="I8" s="173" t="str">
        <f t="shared" ca="1" si="2"/>
        <v/>
      </c>
    </row>
    <row r="9" spans="1:19" ht="15" x14ac:dyDescent="0.25">
      <c r="B9" s="112" t="str">
        <f>IFERROR(CHOOSE(MATCH(#REF!, Val_ResponseCat, 0), "IdentifiedNeeds", "IdentifiedUsefulStrengths", "IdentifiedStrengthsToBuild"), "")</f>
        <v/>
      </c>
      <c r="C9" s="116"/>
      <c r="D9" s="119" t="s">
        <v>70</v>
      </c>
      <c r="E9" s="160"/>
      <c r="F9" s="117"/>
      <c r="G9" s="173" t="str">
        <f t="shared" ca="1" si="0"/>
        <v/>
      </c>
      <c r="H9" s="173" t="str">
        <f t="shared" ca="1" si="1"/>
        <v/>
      </c>
      <c r="I9" s="173" t="str">
        <f t="shared" ca="1" si="2"/>
        <v/>
      </c>
    </row>
    <row r="10" spans="1:19" ht="15" x14ac:dyDescent="0.25">
      <c r="B10" s="112" t="str">
        <f>IFERROR(CHOOSE(MATCH(#REF!, Val_ResponseCat, 0), "IdentifiedNeeds", "IdentifiedUsefulStrengths", "IdentifiedStrengthsToBuild"), "")</f>
        <v/>
      </c>
      <c r="C10" s="116"/>
      <c r="D10" s="116"/>
      <c r="E10" s="116"/>
      <c r="F10" s="117"/>
      <c r="G10" s="173" t="str">
        <f t="shared" ca="1" si="0"/>
        <v/>
      </c>
      <c r="H10" s="173" t="str">
        <f t="shared" ca="1" si="1"/>
        <v/>
      </c>
      <c r="I10" s="173" t="str">
        <f t="shared" ca="1" si="2"/>
        <v/>
      </c>
    </row>
    <row r="11" spans="1:19" ht="15" x14ac:dyDescent="0.25">
      <c r="A11" s="120"/>
      <c r="B11" s="120" t="str">
        <f>IFERROR(CHOOSE(MATCH(#REF!, Val_ResponseCat, 0), "IdentifiedNeeds", "IdentifiedUsefulStrengths", "IdentifiedStrengthsToBuild"), "")</f>
        <v/>
      </c>
      <c r="C11" s="111"/>
      <c r="D11" s="111"/>
      <c r="E11" s="111"/>
      <c r="F11" s="111"/>
      <c r="G11" s="173" t="str">
        <f t="shared" ca="1" si="0"/>
        <v/>
      </c>
      <c r="H11" s="173" t="str">
        <f t="shared" ca="1" si="1"/>
        <v/>
      </c>
      <c r="I11" s="173"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73" t="str">
        <f t="shared" ca="1" si="0"/>
        <v/>
      </c>
      <c r="H12" s="173" t="str">
        <f t="shared" ca="1" si="1"/>
        <v/>
      </c>
      <c r="I12" s="173" t="str">
        <f t="shared" ca="1" si="2"/>
        <v/>
      </c>
    </row>
    <row r="13" spans="1:19" ht="15" x14ac:dyDescent="0.25">
      <c r="A13" s="120"/>
      <c r="B13" s="120" t="str">
        <f>IFERROR(CHOOSE(MATCH(#REF!, Val_ResponseCat, 0), "IdentifiedNeeds", "IdentifiedUsefulStrengths", "IdentifiedStrengthsToBuild"), "")</f>
        <v/>
      </c>
      <c r="C13" s="111"/>
      <c r="D13" s="111"/>
      <c r="E13" s="111"/>
      <c r="F13" s="111"/>
      <c r="G13" s="173" t="str">
        <f t="shared" ca="1" si="0"/>
        <v/>
      </c>
      <c r="H13" s="173" t="str">
        <f t="shared" ca="1" si="1"/>
        <v/>
      </c>
      <c r="I13" s="173" t="str">
        <f t="shared" ca="1" si="2"/>
        <v/>
      </c>
    </row>
    <row r="14" spans="1:19" ht="15" x14ac:dyDescent="0.25">
      <c r="A14" s="120"/>
      <c r="B14" s="120" t="str">
        <f>IFERROR(CHOOSE(MATCH(#REF!, Val_ResponseCat, 0), "IdentifiedNeeds", "IdentifiedUsefulStrengths", "IdentifiedStrengthsToBuild"), "")</f>
        <v/>
      </c>
      <c r="C14" s="111"/>
      <c r="D14" s="111"/>
      <c r="E14" s="111"/>
      <c r="F14" s="111"/>
      <c r="G14" s="173" t="str">
        <f t="shared" ca="1" si="0"/>
        <v/>
      </c>
      <c r="H14" s="173" t="str">
        <f t="shared" ca="1" si="1"/>
        <v/>
      </c>
      <c r="I14" s="173" t="str">
        <f t="shared" ca="1" si="2"/>
        <v/>
      </c>
    </row>
    <row r="15" spans="1:19" ht="15" x14ac:dyDescent="0.25">
      <c r="A15" s="120"/>
      <c r="B15" s="120" t="str">
        <f>IFERROR(CHOOSE(MATCH(#REF!, Val_ResponseCat, 0), "IdentifiedNeeds", "IdentifiedUsefulStrengths", "IdentifiedStrengthsToBuild"), "")</f>
        <v/>
      </c>
      <c r="C15" s="111"/>
      <c r="D15" s="111"/>
      <c r="E15" s="111"/>
      <c r="F15" s="111"/>
      <c r="G15" s="173" t="str">
        <f t="shared" ca="1" si="0"/>
        <v/>
      </c>
      <c r="H15" s="173" t="str">
        <f t="shared" ca="1" si="1"/>
        <v/>
      </c>
      <c r="I15" s="173" t="str">
        <f t="shared" ca="1" si="2"/>
        <v/>
      </c>
    </row>
    <row r="16" spans="1:19" ht="15" x14ac:dyDescent="0.25">
      <c r="A16" s="120"/>
      <c r="B16" s="120" t="str">
        <f>IFERROR(CHOOSE(MATCH(#REF!, Val_ResponseCat, 0), "IdentifiedNeeds", "IdentifiedUsefulStrengths", "IdentifiedStrengthsToBuild"), "")</f>
        <v/>
      </c>
      <c r="C16" s="111"/>
      <c r="D16" s="111"/>
      <c r="E16" s="111"/>
      <c r="F16" s="111"/>
      <c r="G16" s="173" t="str">
        <f t="shared" ca="1" si="0"/>
        <v/>
      </c>
      <c r="H16" s="173" t="str">
        <f t="shared" ca="1" si="1"/>
        <v/>
      </c>
      <c r="I16" s="173" t="str">
        <f t="shared" ca="1" si="2"/>
        <v/>
      </c>
    </row>
    <row r="17" spans="1:9" ht="15" x14ac:dyDescent="0.25">
      <c r="A17" s="120"/>
      <c r="B17" s="120" t="str">
        <f>IFERROR(CHOOSE(MATCH(#REF!, Val_ResponseCat, 0), "IdentifiedNeeds", "IdentifiedUsefulStrengths", "IdentifiedStrengthsToBuild"), "")</f>
        <v/>
      </c>
      <c r="C17" s="111"/>
      <c r="D17" s="111"/>
      <c r="E17" s="111"/>
      <c r="F17" s="111"/>
      <c r="G17" s="173" t="str">
        <f t="shared" ca="1" si="0"/>
        <v/>
      </c>
      <c r="H17" s="173" t="str">
        <f t="shared" ca="1" si="1"/>
        <v/>
      </c>
      <c r="I17" s="173" t="str">
        <f t="shared" ca="1" si="2"/>
        <v/>
      </c>
    </row>
    <row r="18" spans="1:9" ht="15" x14ac:dyDescent="0.25">
      <c r="A18" s="120"/>
      <c r="B18" s="120" t="str">
        <f>IFERROR(CHOOSE(MATCH(#REF!, Val_ResponseCat, 0), "IdentifiedNeeds", "IdentifiedUsefulStrengths", "IdentifiedStrengthsToBuild"), "")</f>
        <v/>
      </c>
      <c r="C18" s="111"/>
      <c r="D18" s="111"/>
      <c r="E18" s="111"/>
      <c r="F18" s="111"/>
      <c r="G18" s="173" t="str">
        <f t="shared" ca="1" si="0"/>
        <v/>
      </c>
      <c r="H18" s="173" t="str">
        <f t="shared" ca="1" si="1"/>
        <v/>
      </c>
      <c r="I18" s="173" t="str">
        <f t="shared" ca="1" si="2"/>
        <v/>
      </c>
    </row>
    <row r="19" spans="1:9" ht="15" x14ac:dyDescent="0.25">
      <c r="A19" s="120"/>
      <c r="B19" s="120" t="str">
        <f>IFERROR(CHOOSE(MATCH(#REF!, Val_ResponseCat, 0), "IdentifiedNeeds", "IdentifiedUsefulStrengths", "IdentifiedStrengthsToBuild"), "")</f>
        <v/>
      </c>
      <c r="C19" s="111"/>
      <c r="D19" s="111"/>
      <c r="E19" s="111"/>
      <c r="F19" s="111"/>
      <c r="G19" s="173" t="str">
        <f t="shared" ca="1" si="0"/>
        <v/>
      </c>
      <c r="H19" s="173" t="str">
        <f t="shared" ca="1" si="1"/>
        <v/>
      </c>
      <c r="I19" s="173" t="str">
        <f t="shared" ca="1" si="2"/>
        <v/>
      </c>
    </row>
    <row r="20" spans="1:9" ht="15" x14ac:dyDescent="0.25">
      <c r="A20" s="120"/>
      <c r="B20" s="120" t="str">
        <f>IFERROR(CHOOSE(MATCH(#REF!, Val_ResponseCat, 0), "IdentifiedNeeds", "IdentifiedUsefulStrengths", "IdentifiedStrengthsToBuild"), "")</f>
        <v/>
      </c>
      <c r="C20" s="111"/>
      <c r="D20" s="111"/>
      <c r="E20" s="111"/>
      <c r="F20" s="111"/>
      <c r="G20" s="173" t="str">
        <f t="shared" ca="1" si="0"/>
        <v/>
      </c>
      <c r="H20" s="173" t="str">
        <f t="shared" ca="1" si="1"/>
        <v/>
      </c>
      <c r="I20" s="173" t="str">
        <f t="shared" ca="1" si="2"/>
        <v/>
      </c>
    </row>
    <row r="21" spans="1:9" ht="15" x14ac:dyDescent="0.25">
      <c r="A21" s="120"/>
      <c r="B21" s="120" t="str">
        <f>IFERROR(CHOOSE(MATCH(#REF!, Val_ResponseCat, 0), "IdentifiedNeeds", "IdentifiedUsefulStrengths", "IdentifiedStrengthsToBuild"), "")</f>
        <v/>
      </c>
      <c r="C21" s="111"/>
      <c r="D21" s="111"/>
      <c r="E21" s="111"/>
      <c r="F21" s="111"/>
      <c r="G21" s="173" t="str">
        <f t="shared" ca="1" si="0"/>
        <v/>
      </c>
      <c r="H21" s="173" t="str">
        <f t="shared" ca="1" si="1"/>
        <v/>
      </c>
      <c r="I21" s="173" t="str">
        <f t="shared" ca="1" si="2"/>
        <v/>
      </c>
    </row>
    <row r="22" spans="1:9" ht="15" x14ac:dyDescent="0.25">
      <c r="A22" s="120"/>
      <c r="B22" s="120" t="str">
        <f>IFERROR(CHOOSE(MATCH(#REF!, Val_ResponseCat, 0), "IdentifiedNeeds", "IdentifiedUsefulStrengths", "IdentifiedStrengthsToBuild"), "")</f>
        <v/>
      </c>
      <c r="C22" s="111"/>
      <c r="D22" s="111"/>
      <c r="E22" s="111"/>
      <c r="F22" s="111"/>
      <c r="G22" s="173" t="str">
        <f t="shared" ca="1" si="0"/>
        <v/>
      </c>
      <c r="H22" s="173" t="str">
        <f t="shared" ca="1" si="1"/>
        <v/>
      </c>
      <c r="I22" s="173" t="str">
        <f t="shared" ca="1" si="2"/>
        <v/>
      </c>
    </row>
    <row r="23" spans="1:9" ht="15" x14ac:dyDescent="0.25">
      <c r="A23" s="120"/>
      <c r="B23" s="120" t="str">
        <f>IFERROR(CHOOSE(MATCH(#REF!, Val_ResponseCat, 0), "IdentifiedNeeds", "IdentifiedUsefulStrengths", "IdentifiedStrengthsToBuild"), "")</f>
        <v/>
      </c>
      <c r="C23" s="111"/>
      <c r="D23" s="111"/>
      <c r="E23" s="111"/>
      <c r="F23" s="111"/>
      <c r="G23" s="173" t="str">
        <f t="shared" ca="1" si="0"/>
        <v/>
      </c>
      <c r="H23" s="173" t="str">
        <f t="shared" ca="1" si="1"/>
        <v/>
      </c>
      <c r="I23" s="173" t="str">
        <f t="shared" ca="1" si="2"/>
        <v/>
      </c>
    </row>
    <row r="24" spans="1:9" ht="15" x14ac:dyDescent="0.25">
      <c r="A24" s="120"/>
      <c r="B24" s="120" t="str">
        <f>IFERROR(CHOOSE(MATCH(#REF!, Val_ResponseCat, 0), "IdentifiedNeeds", "IdentifiedUsefulStrengths", "IdentifiedStrengthsToBuild"), "")</f>
        <v/>
      </c>
      <c r="C24" s="111"/>
      <c r="D24" s="111"/>
      <c r="E24" s="111"/>
      <c r="F24" s="111"/>
      <c r="G24" s="173" t="str">
        <f t="shared" ca="1" si="0"/>
        <v/>
      </c>
      <c r="H24" s="173" t="str">
        <f t="shared" ca="1" si="1"/>
        <v/>
      </c>
      <c r="I24" s="173" t="str">
        <f t="shared" ca="1" si="2"/>
        <v/>
      </c>
    </row>
    <row r="25" spans="1:9" ht="15" x14ac:dyDescent="0.25">
      <c r="A25" s="120"/>
      <c r="B25" s="120" t="str">
        <f>IFERROR(CHOOSE(MATCH(#REF!, Val_ResponseCat, 0), "IdentifiedNeeds", "IdentifiedUsefulStrengths", "IdentifiedStrengthsToBuild"), "")</f>
        <v/>
      </c>
      <c r="C25" s="111"/>
      <c r="D25" s="111"/>
      <c r="E25" s="111"/>
      <c r="F25" s="111"/>
      <c r="G25" s="173" t="str">
        <f t="shared" ca="1" si="0"/>
        <v/>
      </c>
      <c r="H25" s="173" t="str">
        <f t="shared" ca="1" si="1"/>
        <v/>
      </c>
      <c r="I25" s="173" t="str">
        <f t="shared" ca="1" si="2"/>
        <v/>
      </c>
    </row>
    <row r="26" spans="1:9" ht="15" x14ac:dyDescent="0.25">
      <c r="A26" s="120"/>
      <c r="B26" s="120" t="str">
        <f>IFERROR(CHOOSE(MATCH(#REF!, Val_ResponseCat, 0), "IdentifiedNeeds", "IdentifiedUsefulStrengths", "IdentifiedStrengthsToBuild"), "")</f>
        <v/>
      </c>
      <c r="C26" s="111"/>
      <c r="D26" s="111"/>
      <c r="E26" s="111"/>
      <c r="F26" s="111"/>
      <c r="G26" s="173" t="str">
        <f t="shared" ca="1" si="0"/>
        <v/>
      </c>
      <c r="H26" s="173" t="str">
        <f t="shared" ca="1" si="1"/>
        <v/>
      </c>
      <c r="I26" s="173" t="str">
        <f t="shared" ca="1" si="2"/>
        <v/>
      </c>
    </row>
    <row r="27" spans="1:9" ht="15" x14ac:dyDescent="0.25">
      <c r="A27" s="120"/>
      <c r="B27" s="120" t="str">
        <f>IFERROR(CHOOSE(MATCH(#REF!, Val_ResponseCat, 0), "IdentifiedNeeds", "IdentifiedUsefulStrengths", "IdentifiedStrengthsToBuild"), "")</f>
        <v/>
      </c>
      <c r="C27" s="111"/>
      <c r="D27" s="111"/>
      <c r="E27" s="111"/>
      <c r="F27" s="111"/>
      <c r="G27" s="173" t="str">
        <f t="shared" ca="1" si="0"/>
        <v/>
      </c>
      <c r="H27" s="173" t="str">
        <f t="shared" ca="1" si="1"/>
        <v/>
      </c>
      <c r="I27" s="173" t="str">
        <f t="shared" ca="1" si="2"/>
        <v/>
      </c>
    </row>
    <row r="28" spans="1:9" ht="15" x14ac:dyDescent="0.25">
      <c r="A28" s="120"/>
      <c r="B28" s="120" t="str">
        <f>IFERROR(CHOOSE(MATCH(#REF!, Val_ResponseCat, 0), "IdentifiedNeeds", "IdentifiedUsefulStrengths", "IdentifiedStrengthsToBuild"), "")</f>
        <v/>
      </c>
      <c r="C28" s="111"/>
      <c r="D28" s="111"/>
      <c r="E28" s="111"/>
      <c r="F28" s="111"/>
      <c r="G28" s="173" t="str">
        <f t="shared" ca="1" si="0"/>
        <v/>
      </c>
      <c r="H28" s="173" t="str">
        <f t="shared" ca="1" si="1"/>
        <v/>
      </c>
      <c r="I28" s="173" t="str">
        <f t="shared" ca="1" si="2"/>
        <v/>
      </c>
    </row>
    <row r="29" spans="1:9" ht="15" x14ac:dyDescent="0.25">
      <c r="A29" s="120"/>
      <c r="B29" s="120" t="str">
        <f>IFERROR(CHOOSE(MATCH(#REF!, Val_ResponseCat, 0), "IdentifiedNeeds", "IdentifiedUsefulStrengths", "IdentifiedStrengthsToBuild"), "")</f>
        <v/>
      </c>
      <c r="C29" s="111"/>
      <c r="D29" s="111"/>
      <c r="E29" s="111"/>
      <c r="F29" s="111"/>
      <c r="G29" s="173" t="str">
        <f t="shared" ca="1" si="0"/>
        <v/>
      </c>
      <c r="H29" s="173" t="str">
        <f t="shared" ca="1" si="1"/>
        <v/>
      </c>
      <c r="I29" s="173" t="str">
        <f t="shared" ca="1" si="2"/>
        <v/>
      </c>
    </row>
    <row r="30" spans="1:9" ht="15" x14ac:dyDescent="0.25">
      <c r="A30" s="120"/>
      <c r="B30" s="120" t="str">
        <f>IFERROR(CHOOSE(MATCH(#REF!, Val_ResponseCat, 0), "IdentifiedNeeds", "IdentifiedUsefulStrengths", "IdentifiedStrengthsToBuild"), "")</f>
        <v/>
      </c>
      <c r="C30" s="111"/>
      <c r="D30" s="111"/>
      <c r="E30" s="111"/>
      <c r="F30" s="111"/>
      <c r="G30" s="173" t="str">
        <f t="shared" ca="1" si="0"/>
        <v/>
      </c>
      <c r="H30" s="173" t="str">
        <f t="shared" ca="1" si="1"/>
        <v/>
      </c>
      <c r="I30" s="173" t="str">
        <f t="shared" ca="1" si="2"/>
        <v/>
      </c>
    </row>
    <row r="31" spans="1:9" ht="15" x14ac:dyDescent="0.25">
      <c r="A31" s="120"/>
      <c r="B31" s="120" t="str">
        <f>IFERROR(CHOOSE(MATCH(#REF!, Val_ResponseCat, 0), "IdentifiedNeeds", "IdentifiedUsefulStrengths", "IdentifiedStrengthsToBuild"), "")</f>
        <v/>
      </c>
      <c r="C31" s="111"/>
      <c r="D31" s="111"/>
      <c r="E31" s="111"/>
      <c r="F31" s="111"/>
      <c r="G31" s="173" t="str">
        <f t="shared" ca="1" si="0"/>
        <v/>
      </c>
      <c r="H31" s="173" t="str">
        <f t="shared" ca="1" si="1"/>
        <v/>
      </c>
      <c r="I31" s="173" t="str">
        <f t="shared" ca="1" si="2"/>
        <v/>
      </c>
    </row>
    <row r="32" spans="1:9" ht="15" x14ac:dyDescent="0.25">
      <c r="A32" s="120"/>
      <c r="B32" s="120" t="str">
        <f>IFERROR(CHOOSE(MATCH(#REF!, Val_ResponseCat, 0), "IdentifiedNeeds", "IdentifiedUsefulStrengths", "IdentifiedStrengthsToBuild"), "")</f>
        <v/>
      </c>
      <c r="C32" s="111"/>
      <c r="D32" s="111"/>
      <c r="E32" s="111"/>
      <c r="F32" s="111"/>
      <c r="G32" s="173" t="str">
        <f t="shared" ca="1" si="0"/>
        <v/>
      </c>
      <c r="H32" s="173" t="str">
        <f t="shared" ca="1" si="1"/>
        <v/>
      </c>
      <c r="I32" s="173" t="str">
        <f t="shared" ca="1" si="2"/>
        <v/>
      </c>
    </row>
    <row r="33" spans="1:9" ht="15" x14ac:dyDescent="0.25">
      <c r="A33" s="120"/>
      <c r="B33" s="120" t="str">
        <f>IFERROR(CHOOSE(MATCH(#REF!, Val_ResponseCat, 0), "IdentifiedNeeds", "IdentifiedUsefulStrengths", "IdentifiedStrengthsToBuild"), "")</f>
        <v/>
      </c>
      <c r="C33" s="111"/>
      <c r="D33" s="111"/>
      <c r="E33" s="111"/>
      <c r="F33" s="111"/>
      <c r="G33" s="173" t="str">
        <f t="shared" ca="1" si="0"/>
        <v/>
      </c>
      <c r="H33" s="173" t="str">
        <f t="shared" ca="1" si="1"/>
        <v/>
      </c>
      <c r="I33" s="173" t="str">
        <f t="shared" ca="1" si="2"/>
        <v/>
      </c>
    </row>
    <row r="34" spans="1:9" ht="15" x14ac:dyDescent="0.25">
      <c r="A34" s="120"/>
      <c r="B34" s="120" t="str">
        <f>IFERROR(CHOOSE(MATCH(#REF!, Val_ResponseCat, 0), "IdentifiedNeeds", "IdentifiedUsefulStrengths", "IdentifiedStrengthsToBuild"), "")</f>
        <v/>
      </c>
      <c r="C34" s="111"/>
      <c r="D34" s="111"/>
      <c r="E34" s="111"/>
      <c r="F34" s="111"/>
      <c r="G34" s="173" t="str">
        <f t="shared" ca="1" si="0"/>
        <v/>
      </c>
      <c r="H34" s="173" t="str">
        <f t="shared" ca="1" si="1"/>
        <v/>
      </c>
      <c r="I34" s="173" t="str">
        <f t="shared" ca="1" si="2"/>
        <v/>
      </c>
    </row>
    <row r="35" spans="1:9" ht="15" x14ac:dyDescent="0.25">
      <c r="A35" s="120"/>
      <c r="B35" s="120" t="str">
        <f>IFERROR(CHOOSE(MATCH(#REF!, Val_ResponseCat, 0), "IdentifiedNeeds", "IdentifiedUsefulStrengths", "IdentifiedStrengthsToBuild"), "")</f>
        <v/>
      </c>
      <c r="C35" s="111"/>
      <c r="D35" s="111"/>
      <c r="E35" s="111"/>
      <c r="F35" s="111"/>
      <c r="G35" s="173" t="str">
        <f t="shared" ca="1" si="0"/>
        <v/>
      </c>
      <c r="H35" s="173" t="str">
        <f t="shared" ca="1" si="1"/>
        <v/>
      </c>
      <c r="I35" s="173" t="str">
        <f t="shared" ca="1" si="2"/>
        <v/>
      </c>
    </row>
    <row r="36" spans="1:9" ht="15" x14ac:dyDescent="0.25">
      <c r="A36" s="120"/>
      <c r="B36" s="120" t="str">
        <f>IFERROR(CHOOSE(MATCH(#REF!, Val_ResponseCat, 0), "IdentifiedNeeds", "IdentifiedUsefulStrengths", "IdentifiedStrengthsToBuild"), "")</f>
        <v/>
      </c>
      <c r="C36" s="111"/>
      <c r="D36" s="111"/>
      <c r="E36" s="111"/>
      <c r="F36" s="111"/>
      <c r="G36" s="173" t="str">
        <f t="shared" ca="1" si="0"/>
        <v/>
      </c>
      <c r="H36" s="173" t="str">
        <f t="shared" ref="H36:H53" ca="1" si="3">IFERROR(INDEX(US_Q, MATCH(ROW()-ROW(H$3), US_Q_Ix, 0)), "")</f>
        <v/>
      </c>
      <c r="I36" s="173"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73" t="str">
        <f t="shared" ca="1" si="0"/>
        <v/>
      </c>
      <c r="H37" s="173" t="str">
        <f t="shared" ca="1" si="3"/>
        <v/>
      </c>
      <c r="I37" s="173" t="str">
        <f t="shared" ca="1" si="4"/>
        <v/>
      </c>
    </row>
    <row r="38" spans="1:9" ht="15" x14ac:dyDescent="0.25">
      <c r="A38" s="120"/>
      <c r="B38" s="120" t="str">
        <f>IFERROR(CHOOSE(MATCH(#REF!, Val_ResponseCat, 0), "IdentifiedNeeds", "IdentifiedUsefulStrengths", "IdentifiedStrengthsToBuild"), "")</f>
        <v/>
      </c>
      <c r="C38" s="111"/>
      <c r="D38" s="111"/>
      <c r="E38" s="111"/>
      <c r="F38" s="111"/>
      <c r="G38" s="173" t="str">
        <f t="shared" ca="1" si="0"/>
        <v/>
      </c>
      <c r="H38" s="173" t="str">
        <f t="shared" ca="1" si="3"/>
        <v/>
      </c>
      <c r="I38" s="173" t="str">
        <f t="shared" ca="1" si="4"/>
        <v/>
      </c>
    </row>
    <row r="39" spans="1:9" ht="15" x14ac:dyDescent="0.25">
      <c r="A39" s="120"/>
      <c r="B39" s="120" t="str">
        <f>IFERROR(CHOOSE(MATCH(#REF!, Val_ResponseCat, 0), "IdentifiedNeeds", "IdentifiedUsefulStrengths", "IdentifiedStrengthsToBuild"), "")</f>
        <v/>
      </c>
      <c r="C39" s="111"/>
      <c r="D39" s="111"/>
      <c r="E39" s="111"/>
      <c r="F39" s="111"/>
      <c r="G39" s="173" t="str">
        <f t="shared" ca="1" si="0"/>
        <v/>
      </c>
      <c r="H39" s="173" t="str">
        <f t="shared" ca="1" si="3"/>
        <v/>
      </c>
      <c r="I39" s="173" t="str">
        <f t="shared" ca="1" si="4"/>
        <v/>
      </c>
    </row>
    <row r="40" spans="1:9" ht="15" x14ac:dyDescent="0.25">
      <c r="A40" s="120"/>
      <c r="B40" s="120" t="str">
        <f>IFERROR(CHOOSE(MATCH(#REF!, Val_ResponseCat, 0), "IdentifiedNeeds", "IdentifiedUsefulStrengths", "IdentifiedStrengthsToBuild"), "")</f>
        <v/>
      </c>
      <c r="C40" s="111"/>
      <c r="D40" s="111"/>
      <c r="E40" s="111"/>
      <c r="F40" s="111"/>
      <c r="G40" s="173" t="str">
        <f t="shared" ca="1" si="0"/>
        <v/>
      </c>
      <c r="H40" s="173" t="str">
        <f t="shared" ca="1" si="3"/>
        <v/>
      </c>
      <c r="I40" s="173" t="str">
        <f t="shared" ca="1" si="4"/>
        <v/>
      </c>
    </row>
    <row r="41" spans="1:9" ht="15" x14ac:dyDescent="0.25">
      <c r="A41" s="120"/>
      <c r="B41" s="120" t="str">
        <f>IFERROR(CHOOSE(MATCH(#REF!, Val_ResponseCat, 0), "IdentifiedNeeds", "IdentifiedUsefulStrengths", "IdentifiedStrengthsToBuild"), "")</f>
        <v/>
      </c>
      <c r="C41" s="111"/>
      <c r="D41" s="111"/>
      <c r="E41" s="111"/>
      <c r="F41" s="111"/>
      <c r="G41" s="173" t="str">
        <f t="shared" ca="1" si="0"/>
        <v/>
      </c>
      <c r="H41" s="173" t="str">
        <f t="shared" ca="1" si="3"/>
        <v/>
      </c>
      <c r="I41" s="173" t="str">
        <f t="shared" ca="1" si="4"/>
        <v/>
      </c>
    </row>
    <row r="42" spans="1:9" ht="15" x14ac:dyDescent="0.25">
      <c r="A42" s="120"/>
      <c r="B42" s="120" t="str">
        <f>IFERROR(CHOOSE(MATCH(#REF!, Val_ResponseCat, 0), "IdentifiedNeeds", "IdentifiedUsefulStrengths", "IdentifiedStrengthsToBuild"), "")</f>
        <v/>
      </c>
      <c r="C42" s="111"/>
      <c r="D42" s="111"/>
      <c r="E42" s="111"/>
      <c r="F42" s="111"/>
      <c r="G42" s="173" t="str">
        <f t="shared" ca="1" si="0"/>
        <v/>
      </c>
      <c r="H42" s="173" t="str">
        <f t="shared" ca="1" si="3"/>
        <v/>
      </c>
      <c r="I42" s="173" t="str">
        <f t="shared" ca="1" si="4"/>
        <v/>
      </c>
    </row>
    <row r="43" spans="1:9" ht="15" x14ac:dyDescent="0.25">
      <c r="A43" s="120"/>
      <c r="B43" s="120" t="str">
        <f>IFERROR(CHOOSE(MATCH(#REF!, Val_ResponseCat, 0), "IdentifiedNeeds", "IdentifiedUsefulStrengths", "IdentifiedStrengthsToBuild"), "")</f>
        <v/>
      </c>
      <c r="C43" s="111"/>
      <c r="D43" s="111"/>
      <c r="E43" s="111"/>
      <c r="F43" s="111"/>
      <c r="G43" s="173" t="str">
        <f t="shared" ca="1" si="0"/>
        <v/>
      </c>
      <c r="H43" s="173" t="str">
        <f t="shared" ca="1" si="3"/>
        <v/>
      </c>
      <c r="I43" s="173" t="str">
        <f t="shared" ca="1" si="4"/>
        <v/>
      </c>
    </row>
    <row r="44" spans="1:9" ht="15" x14ac:dyDescent="0.25">
      <c r="A44" s="120"/>
      <c r="B44" s="120" t="str">
        <f>IFERROR(CHOOSE(MATCH(#REF!, Val_ResponseCat, 0), "IdentifiedNeeds", "IdentifiedUsefulStrengths", "IdentifiedStrengthsToBuild"), "")</f>
        <v/>
      </c>
      <c r="C44" s="111"/>
      <c r="D44" s="111"/>
      <c r="E44" s="111"/>
      <c r="F44" s="111"/>
      <c r="G44" s="173" t="str">
        <f t="shared" ca="1" si="0"/>
        <v/>
      </c>
      <c r="H44" s="173" t="str">
        <f t="shared" ca="1" si="3"/>
        <v/>
      </c>
      <c r="I44" s="173" t="str">
        <f t="shared" ca="1" si="4"/>
        <v/>
      </c>
    </row>
    <row r="45" spans="1:9" ht="15" x14ac:dyDescent="0.25">
      <c r="A45" s="120"/>
      <c r="B45" s="120" t="str">
        <f>IFERROR(CHOOSE(MATCH(#REF!, Val_ResponseCat, 0), "IdentifiedNeeds", "IdentifiedUsefulStrengths", "IdentifiedStrengthsToBuild"), "")</f>
        <v/>
      </c>
      <c r="C45" s="111"/>
      <c r="D45" s="111"/>
      <c r="E45" s="111"/>
      <c r="F45" s="111"/>
      <c r="G45" s="173" t="str">
        <f t="shared" ca="1" si="0"/>
        <v/>
      </c>
      <c r="H45" s="173" t="str">
        <f t="shared" ca="1" si="3"/>
        <v/>
      </c>
      <c r="I45" s="173" t="str">
        <f t="shared" ca="1" si="4"/>
        <v/>
      </c>
    </row>
    <row r="46" spans="1:9" ht="15" x14ac:dyDescent="0.25">
      <c r="A46" s="120"/>
      <c r="B46" s="120" t="str">
        <f>IFERROR(CHOOSE(MATCH(#REF!, Val_ResponseCat, 0), "IdentifiedNeeds", "IdentifiedUsefulStrengths", "IdentifiedStrengthsToBuild"), "")</f>
        <v/>
      </c>
      <c r="C46" s="111"/>
      <c r="D46" s="111"/>
      <c r="E46" s="111"/>
      <c r="F46" s="111"/>
      <c r="G46" s="173" t="str">
        <f t="shared" ca="1" si="0"/>
        <v/>
      </c>
      <c r="H46" s="173" t="str">
        <f t="shared" ca="1" si="3"/>
        <v/>
      </c>
      <c r="I46" s="173" t="str">
        <f t="shared" ca="1" si="4"/>
        <v/>
      </c>
    </row>
    <row r="47" spans="1:9" ht="15" x14ac:dyDescent="0.25">
      <c r="A47" s="120"/>
      <c r="B47" s="120" t="str">
        <f>IFERROR(CHOOSE(MATCH(#REF!, Val_ResponseCat, 0), "IdentifiedNeeds", "IdentifiedUsefulStrengths", "IdentifiedStrengthsToBuild"), "")</f>
        <v/>
      </c>
      <c r="C47" s="111"/>
      <c r="D47" s="111"/>
      <c r="E47" s="111"/>
      <c r="F47" s="111"/>
      <c r="G47" s="173" t="str">
        <f t="shared" ca="1" si="0"/>
        <v/>
      </c>
      <c r="H47" s="173" t="str">
        <f t="shared" ca="1" si="3"/>
        <v/>
      </c>
      <c r="I47" s="173" t="str">
        <f t="shared" ca="1" si="4"/>
        <v/>
      </c>
    </row>
    <row r="48" spans="1:9" ht="15" x14ac:dyDescent="0.25">
      <c r="A48" s="120"/>
      <c r="B48" s="120" t="str">
        <f>IFERROR(CHOOSE(MATCH(#REF!, Val_ResponseCat, 0), "IdentifiedNeeds", "IdentifiedUsefulStrengths", "IdentifiedStrengthsToBuild"), "")</f>
        <v/>
      </c>
      <c r="C48" s="111"/>
      <c r="D48" s="111"/>
      <c r="E48" s="111"/>
      <c r="F48" s="111"/>
      <c r="G48" s="173" t="str">
        <f t="shared" ca="1" si="0"/>
        <v/>
      </c>
      <c r="H48" s="173" t="str">
        <f t="shared" ca="1" si="3"/>
        <v/>
      </c>
      <c r="I48" s="173" t="str">
        <f t="shared" ca="1" si="4"/>
        <v/>
      </c>
    </row>
    <row r="49" spans="1:9" ht="15" x14ac:dyDescent="0.25">
      <c r="A49" s="120"/>
      <c r="B49" s="120" t="str">
        <f>IFERROR(CHOOSE(MATCH(#REF!, Val_ResponseCat, 0), "IdentifiedNeeds", "IdentifiedUsefulStrengths", "IdentifiedStrengthsToBuild"), "")</f>
        <v/>
      </c>
      <c r="C49" s="111"/>
      <c r="D49" s="111"/>
      <c r="E49" s="111"/>
      <c r="F49" s="111"/>
      <c r="G49" s="173" t="str">
        <f t="shared" ca="1" si="0"/>
        <v/>
      </c>
      <c r="H49" s="173" t="str">
        <f t="shared" ca="1" si="3"/>
        <v/>
      </c>
      <c r="I49" s="173" t="str">
        <f t="shared" ca="1" si="4"/>
        <v/>
      </c>
    </row>
    <row r="50" spans="1:9" ht="15" x14ac:dyDescent="0.25">
      <c r="A50" s="120"/>
      <c r="B50" s="120" t="str">
        <f>IFERROR(CHOOSE(MATCH(#REF!, Val_ResponseCat, 0), "IdentifiedNeeds", "IdentifiedUsefulStrengths", "IdentifiedStrengthsToBuild"), "")</f>
        <v/>
      </c>
      <c r="C50" s="111"/>
      <c r="D50" s="111"/>
      <c r="E50" s="111"/>
      <c r="F50" s="111"/>
      <c r="G50" s="173" t="str">
        <f t="shared" ca="1" si="0"/>
        <v/>
      </c>
      <c r="H50" s="173" t="str">
        <f t="shared" ca="1" si="3"/>
        <v/>
      </c>
      <c r="I50" s="173" t="str">
        <f t="shared" ca="1" si="4"/>
        <v/>
      </c>
    </row>
    <row r="51" spans="1:9" ht="15" x14ac:dyDescent="0.25">
      <c r="A51" s="120"/>
      <c r="B51" s="120" t="str">
        <f>IFERROR(CHOOSE(MATCH(#REF!, Val_ResponseCat, 0), "IdentifiedNeeds", "IdentifiedUsefulStrengths", "IdentifiedStrengthsToBuild"), "")</f>
        <v/>
      </c>
      <c r="C51" s="111"/>
      <c r="D51" s="111"/>
      <c r="E51" s="111"/>
      <c r="F51" s="111"/>
      <c r="G51" s="173" t="str">
        <f t="shared" ca="1" si="0"/>
        <v/>
      </c>
      <c r="H51" s="173" t="str">
        <f t="shared" ca="1" si="3"/>
        <v/>
      </c>
      <c r="I51" s="173" t="str">
        <f t="shared" ca="1" si="4"/>
        <v/>
      </c>
    </row>
    <row r="52" spans="1:9" ht="15" x14ac:dyDescent="0.25">
      <c r="A52" s="120"/>
      <c r="B52" s="120" t="str">
        <f>IFERROR(CHOOSE(MATCH(#REF!, Val_ResponseCat, 0), "IdentifiedNeeds", "IdentifiedUsefulStrengths", "IdentifiedStrengthsToBuild"), "")</f>
        <v/>
      </c>
      <c r="C52" s="111"/>
      <c r="D52" s="111"/>
      <c r="E52" s="111"/>
      <c r="F52" s="111"/>
      <c r="G52" s="173" t="str">
        <f t="shared" ca="1" si="0"/>
        <v/>
      </c>
      <c r="H52" s="173" t="str">
        <f t="shared" ca="1" si="3"/>
        <v/>
      </c>
      <c r="I52" s="173" t="str">
        <f t="shared" ca="1" si="4"/>
        <v/>
      </c>
    </row>
    <row r="53" spans="1:9" ht="15" x14ac:dyDescent="0.25">
      <c r="A53" s="120"/>
      <c r="B53" s="120" t="str">
        <f>IFERROR(CHOOSE(MATCH(#REF!, Val_ResponseCat, 0), "IdentifiedNeeds", "IdentifiedUsefulStrengths", "IdentifiedStrengthsToBuild"), "")</f>
        <v/>
      </c>
      <c r="C53" s="111"/>
      <c r="D53" s="111"/>
      <c r="E53" s="111"/>
      <c r="F53" s="111"/>
      <c r="G53" s="173" t="str">
        <f t="shared" ca="1" si="0"/>
        <v/>
      </c>
      <c r="H53" s="173" t="str">
        <f t="shared" ca="1" si="3"/>
        <v/>
      </c>
      <c r="I53" s="173"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3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A2" sqref="A2"/>
    </sheetView>
  </sheetViews>
  <sheetFormatPr defaultRowHeight="15" x14ac:dyDescent="0.25"/>
  <cols>
    <col min="1" max="1" width="3" style="122" customWidth="1"/>
    <col min="2" max="2" width="138" style="205" hidden="1" customWidth="1"/>
    <col min="3" max="3" width="51.7109375" style="205" hidden="1" customWidth="1"/>
    <col min="4" max="4" width="50.7109375" style="195" customWidth="1"/>
    <col min="5" max="5" width="17.7109375" style="195" customWidth="1"/>
    <col min="6" max="6" width="17.85546875" style="195" customWidth="1"/>
    <col min="7" max="7" width="17.42578125" style="195" customWidth="1"/>
    <col min="8" max="8" width="29.85546875" style="195" customWidth="1"/>
    <col min="9" max="9" width="3.140625" style="122" customWidth="1"/>
    <col min="10" max="16384" width="9.140625" style="58"/>
  </cols>
  <sheetData>
    <row r="1" spans="1:9" ht="28.5" x14ac:dyDescent="0.25">
      <c r="A1" s="196" t="s">
        <v>935</v>
      </c>
      <c r="B1" s="196"/>
      <c r="C1" s="196"/>
      <c r="D1" s="197"/>
      <c r="E1" s="197"/>
      <c r="F1" s="197"/>
      <c r="G1" s="197"/>
      <c r="H1" s="197"/>
      <c r="I1" s="184"/>
    </row>
    <row r="2" spans="1:9" x14ac:dyDescent="0.25">
      <c r="A2" s="132"/>
      <c r="B2" s="201"/>
      <c r="C2" s="201"/>
      <c r="D2" s="198"/>
      <c r="E2" s="198"/>
      <c r="F2" s="198"/>
      <c r="G2" s="198"/>
      <c r="H2" s="198"/>
      <c r="I2" s="132"/>
    </row>
    <row r="3" spans="1:9" x14ac:dyDescent="0.25">
      <c r="A3" s="116"/>
      <c r="B3" s="202"/>
      <c r="C3" s="202"/>
      <c r="D3" s="288" t="s">
        <v>946</v>
      </c>
      <c r="E3" s="288"/>
      <c r="F3" s="288"/>
      <c r="G3" s="288"/>
      <c r="H3" s="288"/>
      <c r="I3" s="117"/>
    </row>
    <row r="4" spans="1:9" x14ac:dyDescent="0.25">
      <c r="A4" s="116"/>
      <c r="B4" s="203">
        <f>D4</f>
        <v>0</v>
      </c>
      <c r="C4" s="203"/>
      <c r="D4" s="285"/>
      <c r="E4" s="285"/>
      <c r="F4" s="285"/>
      <c r="G4" s="285"/>
      <c r="H4" s="285"/>
      <c r="I4" s="117"/>
    </row>
    <row r="5" spans="1:9" x14ac:dyDescent="0.25">
      <c r="A5" s="116"/>
      <c r="B5" s="203"/>
      <c r="C5" s="203"/>
      <c r="D5" s="198"/>
      <c r="E5" s="198"/>
      <c r="F5" s="198"/>
      <c r="G5" s="198"/>
      <c r="H5" s="198"/>
      <c r="I5" s="117"/>
    </row>
    <row r="6" spans="1:9" x14ac:dyDescent="0.25">
      <c r="A6" s="116"/>
      <c r="B6" s="203"/>
      <c r="C6" s="203"/>
      <c r="D6" s="288" t="s">
        <v>936</v>
      </c>
      <c r="E6" s="288"/>
      <c r="F6" s="288"/>
      <c r="G6" s="288"/>
      <c r="H6" s="288"/>
      <c r="I6" s="117"/>
    </row>
    <row r="7" spans="1:9" x14ac:dyDescent="0.25">
      <c r="A7" s="116"/>
      <c r="B7" s="203">
        <f>D7</f>
        <v>0</v>
      </c>
      <c r="C7" s="203"/>
      <c r="D7" s="285"/>
      <c r="E7" s="285"/>
      <c r="F7" s="285"/>
      <c r="G7" s="285"/>
      <c r="H7" s="285"/>
      <c r="I7" s="117"/>
    </row>
    <row r="8" spans="1:9" x14ac:dyDescent="0.25">
      <c r="A8" s="116"/>
      <c r="B8" s="203"/>
      <c r="C8" s="203"/>
      <c r="D8" s="198"/>
      <c r="E8" s="198"/>
      <c r="F8" s="207"/>
      <c r="G8" s="198"/>
      <c r="H8" s="198"/>
      <c r="I8" s="117"/>
    </row>
    <row r="9" spans="1:9" x14ac:dyDescent="0.25">
      <c r="A9" s="116"/>
      <c r="B9" s="203"/>
      <c r="C9" s="203"/>
      <c r="D9" s="288" t="s">
        <v>937</v>
      </c>
      <c r="E9" s="288"/>
      <c r="F9" s="288"/>
      <c r="G9" s="288"/>
      <c r="H9" s="288"/>
      <c r="I9" s="117"/>
    </row>
    <row r="10" spans="1:9" ht="45" x14ac:dyDescent="0.25">
      <c r="A10" s="116"/>
      <c r="B10" s="203" t="str">
        <f>D10</f>
        <v>1.
2.
3.</v>
      </c>
      <c r="C10" s="203"/>
      <c r="D10" s="285" t="s">
        <v>938</v>
      </c>
      <c r="E10" s="285"/>
      <c r="F10" s="285"/>
      <c r="G10" s="285"/>
      <c r="H10" s="285"/>
      <c r="I10" s="117"/>
    </row>
    <row r="11" spans="1:9" x14ac:dyDescent="0.25">
      <c r="A11" s="116"/>
      <c r="B11" s="203"/>
      <c r="C11" s="203"/>
      <c r="D11" s="198"/>
      <c r="E11" s="198"/>
      <c r="F11" s="198"/>
      <c r="G11" s="198"/>
      <c r="H11" s="198"/>
      <c r="I11" s="117"/>
    </row>
    <row r="12" spans="1:9" x14ac:dyDescent="0.25">
      <c r="A12" s="116"/>
      <c r="B12" s="203"/>
      <c r="C12" s="203"/>
      <c r="D12" s="288" t="s">
        <v>939</v>
      </c>
      <c r="E12" s="288"/>
      <c r="F12" s="288"/>
      <c r="G12" s="288"/>
      <c r="H12" s="288"/>
      <c r="I12" s="117"/>
    </row>
    <row r="13" spans="1:9" ht="45" x14ac:dyDescent="0.25">
      <c r="A13" s="116"/>
      <c r="B13" s="203" t="str">
        <f>D13</f>
        <v>1.
2.
3.</v>
      </c>
      <c r="C13" s="203"/>
      <c r="D13" s="285" t="s">
        <v>938</v>
      </c>
      <c r="E13" s="285"/>
      <c r="F13" s="285"/>
      <c r="G13" s="285"/>
      <c r="H13" s="285"/>
      <c r="I13" s="117"/>
    </row>
    <row r="14" spans="1:9" x14ac:dyDescent="0.25">
      <c r="A14" s="116"/>
      <c r="B14" s="203"/>
      <c r="C14" s="203"/>
      <c r="D14" s="198"/>
      <c r="E14" s="198"/>
      <c r="F14" s="198"/>
      <c r="G14" s="198"/>
      <c r="H14" s="198"/>
      <c r="I14" s="117"/>
    </row>
    <row r="15" spans="1:9" x14ac:dyDescent="0.25">
      <c r="A15" s="116"/>
      <c r="B15" s="203"/>
      <c r="C15" s="203"/>
      <c r="D15" s="288" t="s">
        <v>940</v>
      </c>
      <c r="E15" s="288"/>
      <c r="F15" s="288"/>
      <c r="G15" s="288"/>
      <c r="H15" s="288"/>
      <c r="I15" s="117"/>
    </row>
    <row r="16" spans="1:9" ht="45" x14ac:dyDescent="0.25">
      <c r="A16" s="116"/>
      <c r="B16" s="203" t="str">
        <f>D16</f>
        <v>1.
2.
3.</v>
      </c>
      <c r="C16" s="203"/>
      <c r="D16" s="285" t="s">
        <v>938</v>
      </c>
      <c r="E16" s="285"/>
      <c r="F16" s="285"/>
      <c r="G16" s="285"/>
      <c r="H16" s="285"/>
      <c r="I16" s="117"/>
    </row>
    <row r="17" spans="1:12" x14ac:dyDescent="0.25">
      <c r="A17" s="116"/>
      <c r="B17" s="203"/>
      <c r="C17" s="203"/>
      <c r="D17" s="198"/>
      <c r="E17" s="198"/>
      <c r="F17" s="198"/>
      <c r="G17" s="198"/>
      <c r="H17" s="198"/>
      <c r="I17" s="117"/>
    </row>
    <row r="18" spans="1:12" x14ac:dyDescent="0.25">
      <c r="A18" s="116"/>
      <c r="B18" s="203"/>
      <c r="C18" s="203"/>
      <c r="D18" s="288" t="s">
        <v>945</v>
      </c>
      <c r="E18" s="288"/>
      <c r="F18" s="288"/>
      <c r="G18" s="288"/>
      <c r="H18" s="288"/>
      <c r="I18" s="117"/>
    </row>
    <row r="19" spans="1:12" ht="45" x14ac:dyDescent="0.25">
      <c r="A19" s="116"/>
      <c r="B19" s="203" t="str">
        <f>D19</f>
        <v>1.
2.
3.</v>
      </c>
      <c r="C19" s="203"/>
      <c r="D19" s="285" t="s">
        <v>938</v>
      </c>
      <c r="E19" s="285"/>
      <c r="F19" s="285"/>
      <c r="G19" s="285"/>
      <c r="H19" s="285"/>
      <c r="I19" s="117"/>
    </row>
    <row r="20" spans="1:12" x14ac:dyDescent="0.25">
      <c r="A20" s="116"/>
      <c r="B20" s="203"/>
      <c r="C20" s="203"/>
      <c r="D20" s="198"/>
      <c r="E20" s="198"/>
      <c r="F20" s="198"/>
      <c r="G20" s="198"/>
      <c r="H20" s="198"/>
      <c r="I20" s="117"/>
    </row>
    <row r="21" spans="1:12" x14ac:dyDescent="0.25">
      <c r="A21" s="116"/>
      <c r="B21" s="203"/>
      <c r="C21" s="203"/>
      <c r="D21" s="288" t="s">
        <v>941</v>
      </c>
      <c r="E21" s="288"/>
      <c r="F21" s="288"/>
      <c r="G21" s="288"/>
      <c r="H21" s="288"/>
      <c r="I21" s="117"/>
    </row>
    <row r="22" spans="1:12" x14ac:dyDescent="0.25">
      <c r="A22" s="116"/>
      <c r="B22" s="203">
        <f>D22</f>
        <v>0</v>
      </c>
      <c r="C22" s="203"/>
      <c r="D22" s="285"/>
      <c r="E22" s="285"/>
      <c r="F22" s="285"/>
      <c r="G22" s="285"/>
      <c r="H22" s="285"/>
      <c r="I22" s="117"/>
    </row>
    <row r="23" spans="1:12" x14ac:dyDescent="0.25">
      <c r="A23" s="116"/>
      <c r="B23" s="203"/>
      <c r="C23" s="203"/>
      <c r="D23" s="198"/>
      <c r="E23" s="198"/>
      <c r="F23" s="198"/>
      <c r="G23" s="198"/>
      <c r="H23" s="198"/>
      <c r="I23" s="117"/>
    </row>
    <row r="24" spans="1:12" x14ac:dyDescent="0.25">
      <c r="A24" s="116"/>
      <c r="B24" s="203"/>
      <c r="C24" s="203"/>
      <c r="D24" s="288" t="s">
        <v>947</v>
      </c>
      <c r="E24" s="288"/>
      <c r="F24" s="288"/>
      <c r="G24" s="288"/>
      <c r="H24" s="288"/>
      <c r="I24" s="117"/>
    </row>
    <row r="25" spans="1:12" x14ac:dyDescent="0.25">
      <c r="A25" s="116"/>
      <c r="B25" s="203">
        <f>D25</f>
        <v>0</v>
      </c>
      <c r="C25" s="203"/>
      <c r="D25" s="285"/>
      <c r="E25" s="285"/>
      <c r="F25" s="285"/>
      <c r="G25" s="285"/>
      <c r="H25" s="285"/>
      <c r="I25" s="117"/>
      <c r="K25" s="200"/>
      <c r="L25" s="200"/>
    </row>
    <row r="26" spans="1:12" x14ac:dyDescent="0.25">
      <c r="A26" s="116"/>
      <c r="B26" s="203"/>
      <c r="C26" s="203"/>
      <c r="D26" s="198"/>
      <c r="E26" s="198"/>
      <c r="F26" s="198"/>
      <c r="G26" s="198"/>
      <c r="H26" s="198"/>
      <c r="I26" s="117"/>
    </row>
    <row r="27" spans="1:12" x14ac:dyDescent="0.25">
      <c r="A27" s="116"/>
      <c r="B27" s="203"/>
      <c r="C27" s="203"/>
      <c r="D27" s="288" t="s">
        <v>942</v>
      </c>
      <c r="E27" s="288"/>
      <c r="F27" s="288"/>
      <c r="G27" s="288"/>
      <c r="H27" s="288"/>
      <c r="I27" s="117"/>
    </row>
    <row r="28" spans="1:12" ht="45" x14ac:dyDescent="0.25">
      <c r="A28" s="116"/>
      <c r="B28" s="203" t="str">
        <f>D28</f>
        <v>1.
2.
3.</v>
      </c>
      <c r="C28" s="203"/>
      <c r="D28" s="285" t="s">
        <v>938</v>
      </c>
      <c r="E28" s="285"/>
      <c r="F28" s="285"/>
      <c r="G28" s="285"/>
      <c r="H28" s="285"/>
      <c r="I28" s="117"/>
    </row>
    <row r="29" spans="1:12" x14ac:dyDescent="0.25">
      <c r="A29" s="116"/>
      <c r="B29" s="203"/>
      <c r="C29" s="203"/>
      <c r="D29" s="198"/>
      <c r="E29" s="198"/>
      <c r="F29" s="198"/>
      <c r="G29" s="198"/>
      <c r="H29" s="198"/>
      <c r="I29" s="117"/>
    </row>
    <row r="30" spans="1:12" x14ac:dyDescent="0.25">
      <c r="A30" s="116"/>
      <c r="B30" s="203"/>
      <c r="C30" s="203"/>
      <c r="D30" s="288" t="s">
        <v>943</v>
      </c>
      <c r="E30" s="288"/>
      <c r="F30" s="288"/>
      <c r="G30" s="288"/>
      <c r="H30" s="288"/>
      <c r="I30" s="117"/>
    </row>
    <row r="31" spans="1:12" ht="45" x14ac:dyDescent="0.25">
      <c r="A31" s="116"/>
      <c r="B31" s="203" t="str">
        <f>D31</f>
        <v>1.
2.
3.</v>
      </c>
      <c r="C31" s="203"/>
      <c r="D31" s="285" t="s">
        <v>938</v>
      </c>
      <c r="E31" s="285"/>
      <c r="F31" s="285"/>
      <c r="G31" s="285"/>
      <c r="H31" s="285"/>
      <c r="I31" s="117"/>
    </row>
    <row r="32" spans="1:12" x14ac:dyDescent="0.25">
      <c r="A32" s="116"/>
      <c r="B32" s="202"/>
      <c r="C32" s="202"/>
      <c r="D32" s="117"/>
      <c r="E32" s="117"/>
      <c r="F32" s="117"/>
      <c r="G32" s="117"/>
      <c r="H32" s="117"/>
      <c r="I32" s="117"/>
    </row>
    <row r="33" spans="1:9" ht="30" x14ac:dyDescent="0.25">
      <c r="A33" s="116"/>
      <c r="B33" s="202"/>
      <c r="C33" s="202"/>
      <c r="D33" s="210" t="s">
        <v>954</v>
      </c>
      <c r="E33" s="210"/>
      <c r="F33" s="210" t="s">
        <v>955</v>
      </c>
      <c r="G33" s="286" t="s">
        <v>956</v>
      </c>
      <c r="H33" s="286"/>
      <c r="I33" s="117"/>
    </row>
    <row r="34" spans="1:9" x14ac:dyDescent="0.25">
      <c r="A34" s="116"/>
      <c r="B34" s="202"/>
      <c r="C34" s="202"/>
      <c r="D34" s="290" t="str">
        <f>IF(CGName1="", "", CGName1)</f>
        <v/>
      </c>
      <c r="E34" s="290"/>
      <c r="F34" s="211"/>
      <c r="G34" s="289" t="s">
        <v>958</v>
      </c>
      <c r="H34" s="289"/>
      <c r="I34" s="117"/>
    </row>
    <row r="35" spans="1:9" x14ac:dyDescent="0.25">
      <c r="A35" s="116"/>
      <c r="B35" s="202"/>
      <c r="C35" s="202"/>
      <c r="D35" s="290" t="str">
        <f>IF(CGName2="", "", CGName2)</f>
        <v/>
      </c>
      <c r="E35" s="290"/>
      <c r="F35" s="211"/>
      <c r="G35" s="289" t="s">
        <v>958</v>
      </c>
      <c r="H35" s="289"/>
      <c r="I35" s="117"/>
    </row>
    <row r="36" spans="1:9" x14ac:dyDescent="0.25">
      <c r="A36" s="116"/>
      <c r="B36" s="202"/>
      <c r="C36" s="202"/>
      <c r="D36" s="290" t="str">
        <f>IF(CGName3="", "", CGName3)</f>
        <v/>
      </c>
      <c r="E36" s="290"/>
      <c r="F36" s="211"/>
      <c r="G36" s="289" t="s">
        <v>958</v>
      </c>
      <c r="H36" s="289"/>
      <c r="I36" s="117"/>
    </row>
    <row r="37" spans="1:9" x14ac:dyDescent="0.25">
      <c r="A37" s="116"/>
      <c r="B37" s="202"/>
      <c r="C37" s="202"/>
      <c r="D37" s="290" t="str">
        <f>IF(CGName4="", "", CGName4)</f>
        <v/>
      </c>
      <c r="E37" s="290"/>
      <c r="F37" s="211"/>
      <c r="G37" s="289" t="s">
        <v>958</v>
      </c>
      <c r="H37" s="289"/>
      <c r="I37" s="117"/>
    </row>
    <row r="38" spans="1:9" x14ac:dyDescent="0.25">
      <c r="A38" s="116"/>
      <c r="B38" s="202"/>
      <c r="C38" s="202"/>
      <c r="D38" s="117"/>
      <c r="E38" s="117"/>
      <c r="F38" s="117"/>
      <c r="G38" s="117"/>
      <c r="H38" s="117"/>
      <c r="I38" s="117"/>
    </row>
    <row r="39" spans="1:9" x14ac:dyDescent="0.25">
      <c r="A39" s="116"/>
      <c r="B39" s="202"/>
      <c r="C39" s="202"/>
      <c r="D39" s="286" t="s">
        <v>1091</v>
      </c>
      <c r="E39" s="286"/>
      <c r="F39" s="286"/>
      <c r="G39" s="287" t="s">
        <v>958</v>
      </c>
      <c r="H39" s="287"/>
      <c r="I39" s="117"/>
    </row>
    <row r="40" spans="1:9" x14ac:dyDescent="0.25">
      <c r="A40" s="116"/>
      <c r="B40" s="204"/>
      <c r="C40" s="204"/>
      <c r="D40" s="209" t="s">
        <v>971</v>
      </c>
      <c r="E40" s="291" t="s">
        <v>63</v>
      </c>
      <c r="F40" s="291"/>
      <c r="G40" s="291"/>
      <c r="H40" s="209" t="s">
        <v>970</v>
      </c>
      <c r="I40" s="117"/>
    </row>
    <row r="41" spans="1:9" x14ac:dyDescent="0.25">
      <c r="A41" s="116"/>
      <c r="B41" s="204"/>
      <c r="C41" s="213" t="str">
        <f>catrange(ActionSteps1)</f>
        <v/>
      </c>
      <c r="D41" s="214" t="str">
        <f>IF(IntGoal1="", "", IntGoal1)</f>
        <v/>
      </c>
      <c r="E41" s="292" t="str">
        <f>catrange(ActionSteps1)</f>
        <v/>
      </c>
      <c r="F41" s="292"/>
      <c r="G41" s="292"/>
      <c r="H41" s="212" t="s">
        <v>965</v>
      </c>
      <c r="I41" s="117"/>
    </row>
    <row r="42" spans="1:9" x14ac:dyDescent="0.25">
      <c r="A42" s="116"/>
      <c r="B42" s="204"/>
      <c r="C42" s="213" t="e">
        <f>catrange(ActionSteps2)</f>
        <v>#VALUE!</v>
      </c>
      <c r="D42" s="214" t="str">
        <f>IF(IntGoal2="", "", IntGoal2)</f>
        <v/>
      </c>
      <c r="E42" s="292" t="str">
        <f>catrange(ActionSteps2)</f>
        <v/>
      </c>
      <c r="F42" s="292"/>
      <c r="G42" s="292"/>
      <c r="H42" s="212" t="s">
        <v>965</v>
      </c>
      <c r="I42" s="117"/>
    </row>
    <row r="43" spans="1:9" x14ac:dyDescent="0.25">
      <c r="A43" s="116"/>
      <c r="B43" s="204"/>
      <c r="C43" s="213" t="e">
        <f>catrange(ActionSteps3)</f>
        <v>#VALUE!</v>
      </c>
      <c r="D43" s="214" t="str">
        <f>IF(IntGoal3="", "", IntGoal3)</f>
        <v/>
      </c>
      <c r="E43" s="292" t="str">
        <f>catrange(ActionSteps3)</f>
        <v/>
      </c>
      <c r="F43" s="292"/>
      <c r="G43" s="292"/>
      <c r="H43" s="212" t="s">
        <v>965</v>
      </c>
      <c r="I43" s="117"/>
    </row>
    <row r="44" spans="1:9" x14ac:dyDescent="0.25">
      <c r="A44" s="116"/>
      <c r="B44" s="204"/>
      <c r="C44" s="213" t="e">
        <f>catrange(ActionSteps4)</f>
        <v>#VALUE!</v>
      </c>
      <c r="D44" s="214" t="str">
        <f>IF(IntGoal4="", "", IntGoal4)</f>
        <v/>
      </c>
      <c r="E44" s="292" t="str">
        <f>catrange(ActionSteps4)</f>
        <v/>
      </c>
      <c r="F44" s="292"/>
      <c r="G44" s="292"/>
      <c r="H44" s="212" t="s">
        <v>965</v>
      </c>
      <c r="I44" s="117"/>
    </row>
    <row r="45" spans="1:9" x14ac:dyDescent="0.25">
      <c r="A45" s="116"/>
      <c r="B45" s="204"/>
      <c r="C45" s="213" t="e">
        <f>catrange(ActionSteps5)</f>
        <v>#VALUE!</v>
      </c>
      <c r="D45" s="214" t="str">
        <f>IF(IntGoal5="", "", IntGoal5)</f>
        <v/>
      </c>
      <c r="E45" s="292" t="str">
        <f>catrange(ActionSteps5)</f>
        <v/>
      </c>
      <c r="F45" s="292"/>
      <c r="G45" s="292"/>
      <c r="H45" s="212" t="s">
        <v>965</v>
      </c>
      <c r="I45" s="117"/>
    </row>
    <row r="46" spans="1:9" x14ac:dyDescent="0.25">
      <c r="A46" s="116"/>
      <c r="B46" s="204"/>
      <c r="C46" s="213" t="e">
        <f>catrange(ActionSteps6)</f>
        <v>#VALUE!</v>
      </c>
      <c r="D46" s="214" t="str">
        <f>IF(IntGoal6="", "", IntGoal6)</f>
        <v/>
      </c>
      <c r="E46" s="292" t="str">
        <f>catrange(ActionSteps6)</f>
        <v/>
      </c>
      <c r="F46" s="292"/>
      <c r="G46" s="292"/>
      <c r="H46" s="212" t="s">
        <v>965</v>
      </c>
      <c r="I46" s="117"/>
    </row>
    <row r="47" spans="1:9" x14ac:dyDescent="0.25">
      <c r="A47" s="116"/>
      <c r="B47" s="204"/>
      <c r="C47" s="213" t="e">
        <f>catrange(ActionSteps7)</f>
        <v>#VALUE!</v>
      </c>
      <c r="D47" s="214" t="str">
        <f>IF(IntGoal7="", "", IntGoal7)</f>
        <v/>
      </c>
      <c r="E47" s="292" t="str">
        <f>catrange(ActionSteps7)</f>
        <v/>
      </c>
      <c r="F47" s="292"/>
      <c r="G47" s="292"/>
      <c r="H47" s="212" t="s">
        <v>965</v>
      </c>
      <c r="I47" s="117"/>
    </row>
    <row r="48" spans="1:9" x14ac:dyDescent="0.25">
      <c r="A48" s="116"/>
      <c r="B48" s="204"/>
      <c r="C48" s="213" t="e">
        <f>catrange(ActionSteps8)</f>
        <v>#VALUE!</v>
      </c>
      <c r="D48" s="214" t="str">
        <f>IF(IntGoal8="", "", IntGoal8)</f>
        <v/>
      </c>
      <c r="E48" s="292" t="str">
        <f>catrange(ActionSteps8)</f>
        <v/>
      </c>
      <c r="F48" s="292"/>
      <c r="G48" s="292"/>
      <c r="H48" s="212" t="s">
        <v>965</v>
      </c>
      <c r="I48" s="117"/>
    </row>
    <row r="49" spans="1:9" x14ac:dyDescent="0.25">
      <c r="A49" s="116"/>
      <c r="B49" s="204"/>
      <c r="C49" s="213" t="e">
        <f>catrange(ActionSteps9)</f>
        <v>#VALUE!</v>
      </c>
      <c r="D49" s="214" t="str">
        <f>IF(IntGoal9="", "", IntGoal9)</f>
        <v/>
      </c>
      <c r="E49" s="292" t="str">
        <f>catrange(ActionSteps9)</f>
        <v/>
      </c>
      <c r="F49" s="292"/>
      <c r="G49" s="292"/>
      <c r="H49" s="212" t="s">
        <v>965</v>
      </c>
      <c r="I49" s="117"/>
    </row>
    <row r="50" spans="1:9" x14ac:dyDescent="0.25">
      <c r="A50" s="116"/>
      <c r="B50" s="202"/>
      <c r="C50" s="202"/>
      <c r="D50" s="117"/>
      <c r="E50" s="117"/>
      <c r="F50" s="117"/>
      <c r="G50" s="117"/>
      <c r="H50" s="117"/>
      <c r="I50" s="117"/>
    </row>
    <row r="51" spans="1:9" x14ac:dyDescent="0.25">
      <c r="A51" s="111"/>
      <c r="B51" s="204"/>
      <c r="C51" s="204"/>
      <c r="D51" s="194"/>
      <c r="E51" s="194"/>
      <c r="F51" s="194"/>
      <c r="G51" s="194"/>
      <c r="H51" s="194"/>
      <c r="I51" s="111"/>
    </row>
    <row r="52" spans="1:9" x14ac:dyDescent="0.25">
      <c r="A52" s="111"/>
      <c r="B52" s="204"/>
      <c r="C52" s="204"/>
      <c r="D52" s="194"/>
      <c r="E52" s="194"/>
      <c r="F52" s="194"/>
      <c r="G52" s="194"/>
      <c r="H52" s="194"/>
      <c r="I52" s="111"/>
    </row>
    <row r="53" spans="1:9" x14ac:dyDescent="0.25">
      <c r="A53" s="111"/>
      <c r="B53" s="204"/>
      <c r="C53" s="204"/>
      <c r="D53" s="194"/>
      <c r="E53" s="194"/>
      <c r="F53" s="194"/>
      <c r="G53" s="194"/>
      <c r="H53" s="194"/>
      <c r="I53" s="111"/>
    </row>
    <row r="54" spans="1:9" x14ac:dyDescent="0.25">
      <c r="A54" s="111"/>
      <c r="B54" s="204"/>
      <c r="C54" s="204"/>
      <c r="D54" s="194"/>
      <c r="E54" s="194"/>
      <c r="F54" s="194"/>
      <c r="G54" s="194"/>
      <c r="H54" s="194"/>
      <c r="I54" s="111"/>
    </row>
    <row r="55" spans="1:9" x14ac:dyDescent="0.25">
      <c r="A55" s="111"/>
      <c r="B55" s="204"/>
      <c r="C55" s="204"/>
      <c r="D55" s="194"/>
      <c r="E55" s="194"/>
      <c r="F55" s="194"/>
      <c r="G55" s="194"/>
      <c r="H55" s="194"/>
      <c r="I55" s="111"/>
    </row>
    <row r="56" spans="1:9" x14ac:dyDescent="0.25">
      <c r="A56" s="111"/>
      <c r="B56" s="204"/>
      <c r="C56" s="204"/>
      <c r="D56" s="194"/>
      <c r="E56" s="194"/>
      <c r="F56" s="194"/>
      <c r="G56" s="194"/>
      <c r="H56" s="194"/>
      <c r="I56" s="111"/>
    </row>
    <row r="57" spans="1:9" x14ac:dyDescent="0.25">
      <c r="A57" s="111"/>
      <c r="B57" s="204"/>
      <c r="C57" s="204"/>
      <c r="D57" s="194"/>
      <c r="E57" s="194"/>
      <c r="F57" s="194"/>
      <c r="G57" s="194"/>
      <c r="H57" s="194"/>
      <c r="I57" s="111"/>
    </row>
    <row r="58" spans="1:9" x14ac:dyDescent="0.25">
      <c r="A58" s="111"/>
      <c r="B58" s="204"/>
      <c r="C58" s="204"/>
      <c r="D58" s="194"/>
      <c r="E58" s="194"/>
      <c r="F58" s="194"/>
      <c r="G58" s="194"/>
      <c r="H58" s="194"/>
      <c r="I58" s="111"/>
    </row>
    <row r="59" spans="1:9" x14ac:dyDescent="0.25">
      <c r="A59" s="111"/>
      <c r="B59" s="204"/>
      <c r="C59" s="204"/>
      <c r="D59" s="194"/>
      <c r="E59" s="194"/>
      <c r="F59" s="194"/>
      <c r="G59" s="194"/>
      <c r="H59" s="194"/>
      <c r="I59" s="111"/>
    </row>
    <row r="60" spans="1:9" x14ac:dyDescent="0.25">
      <c r="A60" s="111"/>
      <c r="B60" s="204"/>
      <c r="C60" s="204"/>
      <c r="D60" s="194"/>
      <c r="E60" s="194"/>
      <c r="F60" s="194"/>
      <c r="G60" s="194"/>
      <c r="H60" s="194"/>
      <c r="I60" s="111"/>
    </row>
    <row r="61" spans="1:9" x14ac:dyDescent="0.25">
      <c r="A61" s="111"/>
      <c r="B61" s="204"/>
      <c r="C61" s="204"/>
      <c r="D61" s="194"/>
      <c r="E61" s="194"/>
      <c r="F61" s="194"/>
      <c r="G61" s="194"/>
      <c r="H61" s="194"/>
      <c r="I61" s="111"/>
    </row>
    <row r="62" spans="1:9" x14ac:dyDescent="0.25">
      <c r="A62" s="111"/>
      <c r="B62" s="204"/>
      <c r="C62" s="204"/>
      <c r="D62" s="194"/>
      <c r="E62" s="194"/>
      <c r="F62" s="194"/>
      <c r="G62" s="194"/>
      <c r="H62" s="194"/>
      <c r="I62" s="111"/>
    </row>
    <row r="63" spans="1:9" x14ac:dyDescent="0.25">
      <c r="A63" s="111"/>
      <c r="B63" s="204"/>
      <c r="C63" s="204"/>
      <c r="D63" s="194"/>
      <c r="E63" s="194"/>
      <c r="F63" s="194"/>
      <c r="G63" s="194"/>
      <c r="H63" s="194"/>
      <c r="I63" s="111"/>
    </row>
    <row r="64" spans="1:9" x14ac:dyDescent="0.25">
      <c r="A64" s="111"/>
      <c r="B64" s="204"/>
      <c r="C64" s="204"/>
      <c r="D64" s="194"/>
      <c r="E64" s="194"/>
      <c r="F64" s="194"/>
      <c r="G64" s="194"/>
      <c r="H64" s="194"/>
      <c r="I64" s="111"/>
    </row>
    <row r="65" spans="1:9" x14ac:dyDescent="0.25">
      <c r="A65" s="111"/>
      <c r="B65" s="204"/>
      <c r="C65" s="204"/>
      <c r="D65" s="194"/>
      <c r="E65" s="194"/>
      <c r="F65" s="194"/>
      <c r="G65" s="194"/>
      <c r="H65" s="194"/>
      <c r="I65" s="111"/>
    </row>
    <row r="66" spans="1:9" x14ac:dyDescent="0.25">
      <c r="A66" s="111"/>
      <c r="B66" s="204"/>
      <c r="C66" s="204"/>
      <c r="D66" s="194"/>
      <c r="E66" s="194"/>
      <c r="F66" s="194"/>
      <c r="G66" s="194"/>
      <c r="H66" s="194"/>
      <c r="I66" s="111"/>
    </row>
    <row r="67" spans="1:9" x14ac:dyDescent="0.25">
      <c r="A67" s="111"/>
      <c r="B67" s="204"/>
      <c r="C67" s="204"/>
      <c r="D67" s="194"/>
      <c r="E67" s="194"/>
      <c r="F67" s="194"/>
      <c r="G67" s="194"/>
      <c r="H67" s="194"/>
      <c r="I67" s="111"/>
    </row>
    <row r="68" spans="1:9" x14ac:dyDescent="0.25">
      <c r="A68" s="111"/>
      <c r="B68" s="204"/>
      <c r="C68" s="204"/>
      <c r="D68" s="194"/>
      <c r="E68" s="194"/>
      <c r="F68" s="194"/>
      <c r="G68" s="194"/>
      <c r="H68" s="194"/>
      <c r="I68" s="111"/>
    </row>
    <row r="69" spans="1:9" x14ac:dyDescent="0.25">
      <c r="A69" s="111"/>
      <c r="B69" s="204"/>
      <c r="C69" s="204"/>
      <c r="D69" s="194"/>
      <c r="E69" s="194"/>
      <c r="F69" s="194"/>
      <c r="G69" s="194"/>
      <c r="H69" s="194"/>
      <c r="I69" s="111"/>
    </row>
    <row r="70" spans="1:9" x14ac:dyDescent="0.25">
      <c r="A70" s="111"/>
      <c r="B70" s="204"/>
      <c r="C70" s="204"/>
      <c r="D70" s="194"/>
      <c r="E70" s="194"/>
      <c r="F70" s="194"/>
      <c r="G70" s="194"/>
      <c r="H70" s="194"/>
      <c r="I70" s="111"/>
    </row>
    <row r="71" spans="1:9" x14ac:dyDescent="0.25">
      <c r="A71" s="111"/>
      <c r="B71" s="204"/>
      <c r="C71" s="204"/>
      <c r="D71" s="194"/>
      <c r="E71" s="194"/>
      <c r="F71" s="194"/>
      <c r="G71" s="194"/>
      <c r="H71" s="194"/>
      <c r="I71" s="111"/>
    </row>
    <row r="72" spans="1:9" x14ac:dyDescent="0.25">
      <c r="A72" s="111"/>
      <c r="B72" s="204"/>
      <c r="C72" s="204"/>
      <c r="D72" s="194"/>
      <c r="E72" s="194"/>
      <c r="F72" s="194"/>
      <c r="G72" s="194"/>
      <c r="H72" s="194"/>
      <c r="I72" s="111"/>
    </row>
    <row r="73" spans="1:9" x14ac:dyDescent="0.25">
      <c r="A73" s="111"/>
      <c r="B73" s="204"/>
      <c r="C73" s="204"/>
      <c r="D73" s="194"/>
      <c r="E73" s="194"/>
      <c r="F73" s="194"/>
      <c r="G73" s="194"/>
      <c r="H73" s="194"/>
      <c r="I73" s="111"/>
    </row>
    <row r="74" spans="1:9" x14ac:dyDescent="0.25">
      <c r="A74" s="111"/>
      <c r="B74" s="204"/>
      <c r="C74" s="204"/>
      <c r="D74" s="194"/>
      <c r="E74" s="194"/>
      <c r="F74" s="194"/>
      <c r="G74" s="194"/>
      <c r="H74" s="194"/>
      <c r="I74" s="111"/>
    </row>
    <row r="75" spans="1:9" x14ac:dyDescent="0.25">
      <c r="A75" s="111"/>
      <c r="B75" s="204"/>
      <c r="C75" s="204"/>
      <c r="D75" s="194"/>
      <c r="E75" s="194"/>
      <c r="F75" s="194"/>
      <c r="G75" s="194"/>
      <c r="H75" s="194"/>
      <c r="I75" s="111"/>
    </row>
    <row r="76" spans="1:9" x14ac:dyDescent="0.25">
      <c r="A76" s="111"/>
      <c r="B76" s="204"/>
      <c r="C76" s="204"/>
      <c r="D76" s="194"/>
      <c r="E76" s="194"/>
      <c r="F76" s="194"/>
      <c r="G76" s="194"/>
      <c r="H76" s="194"/>
      <c r="I76" s="111"/>
    </row>
    <row r="77" spans="1:9" x14ac:dyDescent="0.25">
      <c r="A77" s="111"/>
      <c r="B77" s="204"/>
      <c r="C77" s="204"/>
      <c r="D77" s="194"/>
      <c r="E77" s="194"/>
      <c r="F77" s="194"/>
      <c r="G77" s="194"/>
      <c r="H77" s="194"/>
      <c r="I77" s="111"/>
    </row>
    <row r="78" spans="1:9" x14ac:dyDescent="0.25">
      <c r="A78" s="111"/>
      <c r="B78" s="204"/>
      <c r="C78" s="204"/>
      <c r="D78" s="194"/>
      <c r="E78" s="194"/>
      <c r="F78" s="194"/>
      <c r="G78" s="194"/>
      <c r="H78" s="194"/>
      <c r="I78" s="111"/>
    </row>
    <row r="79" spans="1:9" x14ac:dyDescent="0.25">
      <c r="A79" s="111"/>
      <c r="B79" s="204"/>
      <c r="C79" s="204"/>
      <c r="D79" s="194"/>
      <c r="E79" s="194"/>
      <c r="F79" s="194"/>
      <c r="G79" s="194"/>
      <c r="H79" s="194"/>
      <c r="I79" s="111"/>
    </row>
    <row r="80" spans="1:9" x14ac:dyDescent="0.25">
      <c r="A80" s="111"/>
      <c r="B80" s="204"/>
      <c r="C80" s="204"/>
      <c r="D80" s="194"/>
      <c r="E80" s="194"/>
      <c r="F80" s="194"/>
      <c r="G80" s="194"/>
      <c r="H80" s="194"/>
      <c r="I80" s="111"/>
    </row>
    <row r="81" spans="1:9" x14ac:dyDescent="0.25">
      <c r="A81" s="111"/>
      <c r="B81" s="204"/>
      <c r="C81" s="204"/>
      <c r="D81" s="194"/>
      <c r="E81" s="194"/>
      <c r="F81" s="194"/>
      <c r="G81" s="194"/>
      <c r="H81" s="194"/>
      <c r="I81" s="111"/>
    </row>
    <row r="82" spans="1:9" x14ac:dyDescent="0.25">
      <c r="A82" s="111"/>
      <c r="B82" s="204"/>
      <c r="C82" s="204"/>
      <c r="D82" s="194"/>
      <c r="E82" s="194"/>
      <c r="F82" s="194"/>
      <c r="G82" s="194"/>
      <c r="H82" s="194"/>
      <c r="I82" s="111"/>
    </row>
    <row r="83" spans="1:9" x14ac:dyDescent="0.25">
      <c r="A83" s="111"/>
      <c r="B83" s="204"/>
      <c r="C83" s="204"/>
      <c r="D83" s="194"/>
      <c r="E83" s="194"/>
      <c r="F83" s="194"/>
      <c r="G83" s="194"/>
      <c r="H83" s="194"/>
      <c r="I83" s="111"/>
    </row>
    <row r="84" spans="1:9" x14ac:dyDescent="0.25">
      <c r="A84" s="111"/>
      <c r="B84" s="204"/>
      <c r="C84" s="204"/>
      <c r="D84" s="194"/>
      <c r="E84" s="194"/>
      <c r="F84" s="194"/>
      <c r="G84" s="194"/>
      <c r="H84" s="194"/>
      <c r="I84" s="111"/>
    </row>
    <row r="85" spans="1:9" x14ac:dyDescent="0.25">
      <c r="A85" s="111"/>
      <c r="B85" s="204"/>
      <c r="C85" s="204"/>
      <c r="D85" s="194"/>
      <c r="E85" s="194"/>
      <c r="F85" s="194"/>
      <c r="G85" s="194"/>
      <c r="H85" s="194"/>
      <c r="I85" s="111"/>
    </row>
    <row r="86" spans="1:9" x14ac:dyDescent="0.25">
      <c r="A86" s="111"/>
      <c r="B86" s="204"/>
      <c r="C86" s="204"/>
      <c r="D86" s="194"/>
      <c r="E86" s="194"/>
      <c r="F86" s="194"/>
      <c r="G86" s="194"/>
      <c r="H86" s="194"/>
      <c r="I86" s="111"/>
    </row>
    <row r="87" spans="1:9" x14ac:dyDescent="0.25">
      <c r="A87" s="111"/>
      <c r="B87" s="204"/>
      <c r="C87" s="204"/>
      <c r="D87" s="194"/>
      <c r="E87" s="194"/>
      <c r="F87" s="194"/>
      <c r="G87" s="194"/>
      <c r="H87" s="194"/>
      <c r="I87" s="111"/>
    </row>
    <row r="88" spans="1:9" x14ac:dyDescent="0.25">
      <c r="A88" s="111"/>
      <c r="B88" s="204"/>
      <c r="C88" s="204"/>
      <c r="D88" s="194"/>
      <c r="E88" s="194"/>
      <c r="F88" s="194"/>
      <c r="G88" s="194"/>
      <c r="H88" s="194"/>
      <c r="I88" s="111"/>
    </row>
    <row r="89" spans="1:9" x14ac:dyDescent="0.25">
      <c r="A89" s="111"/>
      <c r="B89" s="204"/>
      <c r="C89" s="204"/>
      <c r="D89" s="194"/>
      <c r="E89" s="194"/>
      <c r="F89" s="194"/>
      <c r="G89" s="194"/>
      <c r="H89" s="194"/>
      <c r="I89" s="111"/>
    </row>
    <row r="90" spans="1:9" x14ac:dyDescent="0.25">
      <c r="A90" s="111"/>
      <c r="B90" s="204"/>
      <c r="C90" s="204"/>
      <c r="D90" s="194"/>
      <c r="E90" s="194"/>
      <c r="F90" s="194"/>
      <c r="G90" s="194"/>
      <c r="H90" s="194"/>
      <c r="I90" s="111"/>
    </row>
    <row r="91" spans="1:9" x14ac:dyDescent="0.25">
      <c r="A91" s="111"/>
      <c r="B91" s="204"/>
      <c r="C91" s="204"/>
      <c r="D91" s="194"/>
      <c r="E91" s="194"/>
      <c r="F91" s="194"/>
      <c r="G91" s="194"/>
      <c r="H91" s="194"/>
      <c r="I91" s="111"/>
    </row>
    <row r="92" spans="1:9" x14ac:dyDescent="0.25">
      <c r="A92" s="111"/>
      <c r="B92" s="204"/>
      <c r="C92" s="204"/>
      <c r="D92" s="194"/>
      <c r="E92" s="194"/>
      <c r="F92" s="194"/>
      <c r="G92" s="194"/>
      <c r="H92" s="194"/>
      <c r="I92" s="111"/>
    </row>
    <row r="93" spans="1:9" x14ac:dyDescent="0.25">
      <c r="A93" s="111"/>
      <c r="B93" s="204"/>
      <c r="C93" s="204"/>
      <c r="D93" s="194"/>
      <c r="E93" s="194"/>
      <c r="F93" s="194"/>
      <c r="G93" s="194"/>
      <c r="H93" s="194"/>
      <c r="I93" s="111"/>
    </row>
    <row r="94" spans="1:9" x14ac:dyDescent="0.25">
      <c r="A94" s="111"/>
      <c r="B94" s="204"/>
      <c r="C94" s="204"/>
      <c r="D94" s="194"/>
      <c r="E94" s="194"/>
      <c r="F94" s="194"/>
      <c r="G94" s="194"/>
      <c r="H94" s="194"/>
      <c r="I94" s="111"/>
    </row>
    <row r="95" spans="1:9" x14ac:dyDescent="0.25">
      <c r="A95" s="111"/>
      <c r="B95" s="204"/>
      <c r="C95" s="204"/>
      <c r="D95" s="194"/>
      <c r="E95" s="194"/>
      <c r="F95" s="194"/>
      <c r="G95" s="194"/>
      <c r="H95" s="194"/>
      <c r="I95" s="111"/>
    </row>
    <row r="96" spans="1:9" x14ac:dyDescent="0.25">
      <c r="A96" s="111"/>
      <c r="B96" s="204"/>
      <c r="C96" s="204"/>
      <c r="D96" s="194"/>
      <c r="E96" s="194"/>
      <c r="F96" s="194"/>
      <c r="G96" s="194"/>
      <c r="H96" s="194"/>
      <c r="I96" s="111"/>
    </row>
    <row r="97" spans="1:9" x14ac:dyDescent="0.25">
      <c r="A97" s="111"/>
      <c r="B97" s="204"/>
      <c r="C97" s="204"/>
      <c r="D97" s="194"/>
      <c r="E97" s="194"/>
      <c r="F97" s="194"/>
      <c r="G97" s="194"/>
      <c r="H97" s="194"/>
      <c r="I97" s="111"/>
    </row>
    <row r="98" spans="1:9" x14ac:dyDescent="0.25">
      <c r="A98" s="111"/>
      <c r="B98" s="204"/>
      <c r="C98" s="204"/>
      <c r="D98" s="194"/>
      <c r="E98" s="194"/>
      <c r="F98" s="194"/>
      <c r="G98" s="194"/>
      <c r="H98" s="194"/>
      <c r="I98" s="111"/>
    </row>
    <row r="99" spans="1:9" x14ac:dyDescent="0.25">
      <c r="A99" s="111"/>
      <c r="B99" s="204"/>
      <c r="C99" s="204"/>
      <c r="D99" s="194"/>
      <c r="E99" s="194"/>
      <c r="F99" s="194"/>
      <c r="G99" s="194"/>
      <c r="H99" s="194"/>
      <c r="I99" s="111"/>
    </row>
    <row r="100" spans="1:9" x14ac:dyDescent="0.25">
      <c r="A100" s="111"/>
      <c r="B100" s="204"/>
      <c r="C100" s="204"/>
      <c r="D100" s="194"/>
      <c r="E100" s="194"/>
      <c r="F100" s="194"/>
      <c r="G100" s="194"/>
      <c r="H100" s="194"/>
      <c r="I100" s="111"/>
    </row>
    <row r="101" spans="1:9" x14ac:dyDescent="0.25">
      <c r="A101" s="111"/>
      <c r="B101" s="204"/>
      <c r="C101" s="204"/>
      <c r="D101" s="194"/>
      <c r="E101" s="194"/>
      <c r="F101" s="194"/>
      <c r="G101" s="194"/>
      <c r="H101" s="194"/>
      <c r="I101" s="111"/>
    </row>
    <row r="102" spans="1:9" x14ac:dyDescent="0.25">
      <c r="A102" s="111"/>
      <c r="B102" s="204"/>
      <c r="C102" s="204"/>
      <c r="D102" s="194"/>
      <c r="E102" s="194"/>
      <c r="F102" s="194"/>
      <c r="G102" s="194"/>
      <c r="H102" s="194"/>
      <c r="I102" s="111"/>
    </row>
    <row r="103" spans="1:9" x14ac:dyDescent="0.25">
      <c r="A103" s="111"/>
      <c r="B103" s="204"/>
      <c r="C103" s="204"/>
      <c r="D103" s="194"/>
      <c r="E103" s="194"/>
      <c r="F103" s="194"/>
      <c r="G103" s="194"/>
      <c r="H103" s="194"/>
      <c r="I103" s="111"/>
    </row>
    <row r="104" spans="1:9" x14ac:dyDescent="0.25">
      <c r="A104" s="111"/>
      <c r="B104" s="204"/>
      <c r="C104" s="204"/>
      <c r="D104" s="194"/>
      <c r="E104" s="194"/>
      <c r="F104" s="194"/>
      <c r="G104" s="194"/>
      <c r="H104" s="194"/>
      <c r="I104" s="111"/>
    </row>
    <row r="105" spans="1:9" x14ac:dyDescent="0.25">
      <c r="A105" s="111"/>
      <c r="B105" s="204"/>
      <c r="C105" s="204"/>
      <c r="D105" s="194"/>
      <c r="E105" s="194"/>
      <c r="F105" s="194"/>
      <c r="G105" s="194"/>
      <c r="H105" s="194"/>
      <c r="I105" s="111"/>
    </row>
    <row r="106" spans="1:9" x14ac:dyDescent="0.25">
      <c r="A106" s="111"/>
      <c r="B106" s="204"/>
      <c r="C106" s="204"/>
      <c r="D106" s="194"/>
      <c r="E106" s="194"/>
      <c r="F106" s="194"/>
      <c r="G106" s="194"/>
      <c r="H106" s="194"/>
      <c r="I106" s="111"/>
    </row>
    <row r="107" spans="1:9" x14ac:dyDescent="0.25">
      <c r="A107" s="111"/>
      <c r="B107" s="204"/>
      <c r="C107" s="204"/>
      <c r="D107" s="194"/>
      <c r="E107" s="194"/>
      <c r="F107" s="194"/>
      <c r="G107" s="194"/>
      <c r="H107" s="194"/>
      <c r="I107" s="111"/>
    </row>
    <row r="108" spans="1:9" x14ac:dyDescent="0.25">
      <c r="A108" s="111"/>
      <c r="B108" s="204"/>
      <c r="C108" s="204"/>
      <c r="D108" s="194"/>
      <c r="E108" s="194"/>
      <c r="F108" s="194"/>
      <c r="G108" s="194"/>
      <c r="H108" s="194"/>
      <c r="I108" s="111"/>
    </row>
    <row r="109" spans="1:9" x14ac:dyDescent="0.25">
      <c r="A109" s="111"/>
      <c r="B109" s="204"/>
      <c r="C109" s="204"/>
      <c r="D109" s="194"/>
      <c r="E109" s="194"/>
      <c r="F109" s="194"/>
      <c r="G109" s="194"/>
      <c r="H109" s="194"/>
      <c r="I109" s="111"/>
    </row>
    <row r="110" spans="1:9" x14ac:dyDescent="0.25">
      <c r="A110" s="111"/>
      <c r="B110" s="204"/>
      <c r="C110" s="204"/>
      <c r="D110" s="194"/>
      <c r="E110" s="194"/>
      <c r="F110" s="194"/>
      <c r="G110" s="194"/>
      <c r="H110" s="194"/>
      <c r="I110" s="111"/>
    </row>
    <row r="111" spans="1:9" x14ac:dyDescent="0.25">
      <c r="A111" s="111"/>
      <c r="B111" s="204"/>
      <c r="C111" s="204"/>
      <c r="D111" s="194"/>
      <c r="E111" s="194"/>
      <c r="F111" s="194"/>
      <c r="G111" s="194"/>
      <c r="H111" s="194"/>
      <c r="I111" s="111"/>
    </row>
    <row r="112" spans="1:9" x14ac:dyDescent="0.25">
      <c r="A112" s="111"/>
      <c r="B112" s="204"/>
      <c r="C112" s="204"/>
      <c r="D112" s="194"/>
      <c r="E112" s="194"/>
      <c r="F112" s="194"/>
      <c r="G112" s="194"/>
      <c r="H112" s="194"/>
      <c r="I112" s="111"/>
    </row>
    <row r="113" spans="1:9" x14ac:dyDescent="0.25">
      <c r="A113" s="111"/>
      <c r="B113" s="204"/>
      <c r="C113" s="204"/>
      <c r="D113" s="194"/>
      <c r="E113" s="194"/>
      <c r="F113" s="194"/>
      <c r="G113" s="194"/>
      <c r="H113" s="194"/>
      <c r="I113" s="111"/>
    </row>
    <row r="114" spans="1:9" x14ac:dyDescent="0.25">
      <c r="A114" s="111"/>
      <c r="B114" s="204"/>
      <c r="C114" s="204"/>
      <c r="D114" s="194"/>
      <c r="E114" s="194"/>
      <c r="F114" s="194"/>
      <c r="G114" s="194"/>
      <c r="H114" s="194"/>
      <c r="I114" s="111"/>
    </row>
    <row r="115" spans="1:9" x14ac:dyDescent="0.25">
      <c r="A115" s="111"/>
      <c r="B115" s="204"/>
      <c r="C115" s="204"/>
      <c r="D115" s="194"/>
      <c r="E115" s="194"/>
      <c r="F115" s="194"/>
      <c r="G115" s="194"/>
      <c r="H115" s="194"/>
      <c r="I115" s="111"/>
    </row>
    <row r="116" spans="1:9" x14ac:dyDescent="0.25">
      <c r="A116" s="111"/>
      <c r="B116" s="204"/>
      <c r="C116" s="204"/>
      <c r="D116" s="194"/>
      <c r="E116" s="194"/>
      <c r="F116" s="194"/>
      <c r="G116" s="194"/>
      <c r="H116" s="194"/>
      <c r="I116" s="111"/>
    </row>
    <row r="117" spans="1:9" x14ac:dyDescent="0.25">
      <c r="A117" s="111"/>
      <c r="B117" s="204"/>
      <c r="C117" s="204"/>
      <c r="D117" s="194"/>
      <c r="E117" s="194"/>
      <c r="F117" s="194"/>
      <c r="G117" s="194"/>
      <c r="H117" s="194"/>
      <c r="I117" s="111"/>
    </row>
    <row r="118" spans="1:9" x14ac:dyDescent="0.25">
      <c r="A118" s="111"/>
      <c r="B118" s="204"/>
      <c r="C118" s="204"/>
      <c r="D118" s="194"/>
      <c r="E118" s="194"/>
      <c r="F118" s="194"/>
      <c r="G118" s="194"/>
      <c r="H118" s="194"/>
      <c r="I118" s="111"/>
    </row>
    <row r="119" spans="1:9" x14ac:dyDescent="0.25">
      <c r="A119" s="111"/>
      <c r="B119" s="204"/>
      <c r="C119" s="204"/>
      <c r="D119" s="194"/>
      <c r="E119" s="194"/>
      <c r="F119" s="194"/>
      <c r="G119" s="194"/>
      <c r="H119" s="194"/>
      <c r="I119" s="111"/>
    </row>
    <row r="120" spans="1:9" x14ac:dyDescent="0.25">
      <c r="A120" s="111"/>
      <c r="B120" s="204"/>
      <c r="C120" s="204"/>
      <c r="D120" s="194"/>
      <c r="E120" s="194"/>
      <c r="F120" s="194"/>
      <c r="G120" s="194"/>
      <c r="H120" s="194"/>
      <c r="I120" s="111"/>
    </row>
    <row r="121" spans="1:9" x14ac:dyDescent="0.25">
      <c r="A121" s="111"/>
      <c r="B121" s="204"/>
      <c r="C121" s="204"/>
      <c r="D121" s="194"/>
      <c r="E121" s="194"/>
      <c r="F121" s="194"/>
      <c r="G121" s="194"/>
      <c r="H121" s="194"/>
      <c r="I121" s="111"/>
    </row>
    <row r="122" spans="1:9" x14ac:dyDescent="0.25">
      <c r="A122" s="111"/>
      <c r="B122" s="204"/>
      <c r="C122" s="204"/>
      <c r="D122" s="194"/>
      <c r="E122" s="194"/>
      <c r="F122" s="194"/>
      <c r="G122" s="194"/>
      <c r="H122" s="194"/>
      <c r="I122" s="111"/>
    </row>
    <row r="123" spans="1:9" x14ac:dyDescent="0.25">
      <c r="A123" s="111"/>
      <c r="B123" s="204"/>
      <c r="C123" s="204"/>
      <c r="D123" s="194"/>
      <c r="E123" s="194"/>
      <c r="F123" s="194"/>
      <c r="G123" s="194"/>
      <c r="H123" s="194"/>
      <c r="I123" s="111"/>
    </row>
    <row r="124" spans="1:9" x14ac:dyDescent="0.25">
      <c r="A124" s="111"/>
      <c r="B124" s="204"/>
      <c r="C124" s="204"/>
      <c r="D124" s="194"/>
      <c r="E124" s="194"/>
      <c r="F124" s="194"/>
      <c r="G124" s="194"/>
      <c r="H124" s="194"/>
      <c r="I124" s="111"/>
    </row>
    <row r="125" spans="1:9" x14ac:dyDescent="0.25">
      <c r="A125" s="111"/>
      <c r="B125" s="204"/>
      <c r="C125" s="204"/>
      <c r="D125" s="194"/>
      <c r="E125" s="194"/>
      <c r="F125" s="194"/>
      <c r="G125" s="194"/>
      <c r="H125" s="194"/>
      <c r="I125" s="111"/>
    </row>
    <row r="126" spans="1:9" x14ac:dyDescent="0.25">
      <c r="A126" s="111"/>
      <c r="B126" s="204"/>
      <c r="C126" s="204"/>
      <c r="D126" s="194"/>
      <c r="E126" s="194"/>
      <c r="F126" s="194"/>
      <c r="G126" s="194"/>
      <c r="H126" s="194"/>
      <c r="I126" s="111"/>
    </row>
    <row r="127" spans="1:9" x14ac:dyDescent="0.25">
      <c r="A127" s="111"/>
      <c r="B127" s="204"/>
      <c r="C127" s="204"/>
      <c r="D127" s="194"/>
      <c r="E127" s="194"/>
      <c r="F127" s="194"/>
      <c r="G127" s="194"/>
      <c r="H127" s="194"/>
      <c r="I127" s="111"/>
    </row>
    <row r="128" spans="1:9" x14ac:dyDescent="0.25">
      <c r="A128" s="111"/>
      <c r="B128" s="204"/>
      <c r="C128" s="204"/>
      <c r="D128" s="194"/>
      <c r="E128" s="194"/>
      <c r="F128" s="194"/>
      <c r="G128" s="194"/>
      <c r="H128" s="194"/>
      <c r="I128" s="111"/>
    </row>
    <row r="129" spans="1:9" x14ac:dyDescent="0.25">
      <c r="A129" s="111"/>
      <c r="B129" s="204"/>
      <c r="C129" s="204"/>
      <c r="D129" s="194"/>
      <c r="E129" s="194"/>
      <c r="F129" s="194"/>
      <c r="G129" s="194"/>
      <c r="H129" s="194"/>
      <c r="I129" s="111"/>
    </row>
    <row r="130" spans="1:9" x14ac:dyDescent="0.25">
      <c r="A130" s="111"/>
      <c r="B130" s="204"/>
      <c r="C130" s="204"/>
      <c r="D130" s="194"/>
      <c r="E130" s="194"/>
      <c r="F130" s="194"/>
      <c r="G130" s="194"/>
      <c r="H130" s="194"/>
      <c r="I130" s="111"/>
    </row>
    <row r="131" spans="1:9" x14ac:dyDescent="0.25">
      <c r="A131" s="111"/>
      <c r="B131" s="204"/>
      <c r="C131" s="204"/>
      <c r="D131" s="194"/>
      <c r="E131" s="194"/>
      <c r="F131" s="194"/>
      <c r="G131" s="194"/>
      <c r="H131" s="194"/>
      <c r="I131" s="111"/>
    </row>
  </sheetData>
  <sheetProtection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9"/>
  <sheetViews>
    <sheetView topLeftCell="D1" workbookViewId="0">
      <selection activeCell="J29" sqref="J29"/>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857</v>
      </c>
      <c r="B1" s="14" t="s">
        <v>867</v>
      </c>
      <c r="C1" s="14" t="s">
        <v>973</v>
      </c>
      <c r="D1" s="14" t="s">
        <v>94</v>
      </c>
      <c r="E1" s="14" t="s">
        <v>95</v>
      </c>
      <c r="F1" s="14" t="s">
        <v>96</v>
      </c>
      <c r="G1" s="14" t="s">
        <v>687</v>
      </c>
      <c r="H1" s="14" t="s">
        <v>932</v>
      </c>
      <c r="I1" s="14" t="s">
        <v>933</v>
      </c>
      <c r="J1" s="14" t="s">
        <v>957</v>
      </c>
      <c r="K1" s="14" t="s">
        <v>964</v>
      </c>
      <c r="M1" s="14" t="s">
        <v>162</v>
      </c>
      <c r="N1" s="14" t="s">
        <v>51</v>
      </c>
      <c r="O1" s="14" t="s">
        <v>56</v>
      </c>
      <c r="Q1" s="4" t="s">
        <v>55</v>
      </c>
      <c r="S1" t="s">
        <v>171</v>
      </c>
    </row>
    <row r="2" spans="1:21" x14ac:dyDescent="0.25">
      <c r="A2" t="s">
        <v>858</v>
      </c>
      <c r="B2" t="s">
        <v>868</v>
      </c>
      <c r="C2" t="s">
        <v>974</v>
      </c>
      <c r="D2">
        <v>0</v>
      </c>
      <c r="E2" t="s">
        <v>48</v>
      </c>
      <c r="F2" t="s">
        <v>97</v>
      </c>
      <c r="G2" t="s">
        <v>686</v>
      </c>
      <c r="H2" t="s">
        <v>686</v>
      </c>
      <c r="I2" t="s">
        <v>686</v>
      </c>
      <c r="J2" t="s">
        <v>958</v>
      </c>
      <c r="K2" t="s">
        <v>965</v>
      </c>
      <c r="M2" t="s">
        <v>167</v>
      </c>
      <c r="N2" t="s">
        <v>2</v>
      </c>
      <c r="O2">
        <f t="array" ref="O2">MAX(IF(ItemDom=M2, DomItemNum, 0))</f>
        <v>0</v>
      </c>
      <c r="Q2" s="1">
        <f>COUNTA(M:M)-1</f>
        <v>6</v>
      </c>
      <c r="S2" s="14" t="s">
        <v>172</v>
      </c>
      <c r="T2" s="14" t="s">
        <v>0</v>
      </c>
      <c r="U2" s="14" t="s">
        <v>173</v>
      </c>
    </row>
    <row r="3" spans="1:21" x14ac:dyDescent="0.25">
      <c r="A3" t="s">
        <v>859</v>
      </c>
      <c r="B3" t="s">
        <v>869</v>
      </c>
      <c r="C3" t="s">
        <v>975</v>
      </c>
      <c r="D3">
        <v>1</v>
      </c>
      <c r="E3" t="s">
        <v>49</v>
      </c>
      <c r="F3" t="s">
        <v>98</v>
      </c>
      <c r="G3" t="s">
        <v>307</v>
      </c>
      <c r="H3" t="s">
        <v>307</v>
      </c>
      <c r="I3" t="s">
        <v>308</v>
      </c>
      <c r="J3" t="s">
        <v>959</v>
      </c>
      <c r="K3" t="s">
        <v>966</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860</v>
      </c>
      <c r="B4" t="s">
        <v>870</v>
      </c>
      <c r="C4" t="s">
        <v>976</v>
      </c>
      <c r="D4">
        <v>2</v>
      </c>
      <c r="F4" t="s">
        <v>99</v>
      </c>
      <c r="G4" t="s">
        <v>308</v>
      </c>
      <c r="J4" t="s">
        <v>960</v>
      </c>
      <c r="K4" t="s">
        <v>967</v>
      </c>
      <c r="M4" t="s">
        <v>168</v>
      </c>
      <c r="N4" t="s">
        <v>37</v>
      </c>
      <c r="O4">
        <f t="array" ref="O4">MAX(IF(ItemDom=M4, DomItemNum, 0))</f>
        <v>0</v>
      </c>
      <c r="S4" t="s">
        <v>133</v>
      </c>
      <c r="T4" t="str">
        <f t="shared" si="0"/>
        <v/>
      </c>
      <c r="U4" t="str">
        <f t="shared" ref="U4:U15" si="1">IF(ISNUMBER(T4), TEXT(T4, "M/D/YYYY"), "")</f>
        <v/>
      </c>
    </row>
    <row r="5" spans="1:21" x14ac:dyDescent="0.25">
      <c r="A5" t="s">
        <v>861</v>
      </c>
      <c r="B5" t="s">
        <v>871</v>
      </c>
      <c r="C5" t="s">
        <v>977</v>
      </c>
      <c r="D5">
        <v>3</v>
      </c>
      <c r="F5" t="s">
        <v>100</v>
      </c>
      <c r="J5" t="s">
        <v>961</v>
      </c>
      <c r="K5" t="s">
        <v>968</v>
      </c>
      <c r="M5" t="s">
        <v>169</v>
      </c>
      <c r="N5" t="s">
        <v>25</v>
      </c>
      <c r="O5">
        <f t="array" ref="O5">MAX(IF(ItemDom=M5, DomItemNum, 0))</f>
        <v>0</v>
      </c>
      <c r="S5" t="s">
        <v>134</v>
      </c>
      <c r="T5" t="str">
        <f t="shared" si="0"/>
        <v/>
      </c>
      <c r="U5" t="str">
        <f t="shared" si="1"/>
        <v/>
      </c>
    </row>
    <row r="6" spans="1:21" x14ac:dyDescent="0.25">
      <c r="A6" t="s">
        <v>862</v>
      </c>
      <c r="B6" t="s">
        <v>872</v>
      </c>
      <c r="C6" t="s">
        <v>978</v>
      </c>
      <c r="F6" t="s">
        <v>101</v>
      </c>
      <c r="J6" t="s">
        <v>962</v>
      </c>
      <c r="K6" t="s">
        <v>969</v>
      </c>
      <c r="M6" t="s">
        <v>166</v>
      </c>
      <c r="N6" t="s">
        <v>32</v>
      </c>
      <c r="O6">
        <f t="array" ref="O6">MAX(IF(ItemDom=M6, DomItemNum, 0))</f>
        <v>0</v>
      </c>
      <c r="S6" t="s">
        <v>135</v>
      </c>
      <c r="T6" t="e">
        <f t="shared" si="0"/>
        <v>#N/A</v>
      </c>
      <c r="U6" t="str">
        <f t="shared" si="1"/>
        <v/>
      </c>
    </row>
    <row r="7" spans="1:21" x14ac:dyDescent="0.25">
      <c r="A7" t="s">
        <v>863</v>
      </c>
      <c r="B7" t="s">
        <v>873</v>
      </c>
      <c r="C7" t="s">
        <v>979</v>
      </c>
      <c r="J7" t="s">
        <v>963</v>
      </c>
      <c r="M7" t="s">
        <v>170</v>
      </c>
      <c r="N7" t="s">
        <v>149</v>
      </c>
      <c r="O7">
        <f t="array" ref="O7">MAX(IF(ItemDom=M7, DomItemNum, 0))</f>
        <v>0</v>
      </c>
      <c r="S7" t="s">
        <v>136</v>
      </c>
      <c r="T7" t="e">
        <f t="shared" si="0"/>
        <v>#N/A</v>
      </c>
      <c r="U7" t="str">
        <f t="shared" si="1"/>
        <v/>
      </c>
    </row>
    <row r="8" spans="1:21" x14ac:dyDescent="0.25">
      <c r="A8" t="s">
        <v>864</v>
      </c>
      <c r="B8" t="s">
        <v>874</v>
      </c>
      <c r="C8" t="s">
        <v>980</v>
      </c>
      <c r="J8" t="s">
        <v>1092</v>
      </c>
      <c r="S8" t="s">
        <v>137</v>
      </c>
      <c r="T8" t="e">
        <f t="shared" si="0"/>
        <v>#N/A</v>
      </c>
      <c r="U8" t="str">
        <f t="shared" si="1"/>
        <v/>
      </c>
    </row>
    <row r="9" spans="1:21" x14ac:dyDescent="0.25">
      <c r="A9" t="s">
        <v>865</v>
      </c>
      <c r="B9" t="s">
        <v>875</v>
      </c>
      <c r="C9" t="s">
        <v>981</v>
      </c>
      <c r="S9" t="s">
        <v>138</v>
      </c>
      <c r="T9" t="e">
        <f t="shared" si="0"/>
        <v>#N/A</v>
      </c>
      <c r="U9" t="str">
        <f t="shared" si="1"/>
        <v/>
      </c>
    </row>
    <row r="10" spans="1:21" x14ac:dyDescent="0.25">
      <c r="A10" t="s">
        <v>866</v>
      </c>
      <c r="B10" t="s">
        <v>876</v>
      </c>
      <c r="C10" t="s">
        <v>982</v>
      </c>
      <c r="F10" s="14">
        <f t="array" ref="F10">MAX(IF(ItemNum=MAX(ItemNum), ROW(ItemNum), 0))</f>
        <v>209</v>
      </c>
      <c r="G10" t="s">
        <v>262</v>
      </c>
      <c r="S10" t="s">
        <v>139</v>
      </c>
      <c r="T10" t="e">
        <f t="shared" si="0"/>
        <v>#N/A</v>
      </c>
      <c r="U10" t="str">
        <f t="shared" si="1"/>
        <v/>
      </c>
    </row>
    <row r="11" spans="1:21" x14ac:dyDescent="0.25">
      <c r="B11" t="s">
        <v>877</v>
      </c>
      <c r="C11" t="s">
        <v>983</v>
      </c>
      <c r="F11" s="17">
        <f>IF(dateAssess3&lt;&gt;"", dateAssess3, IF(dateAssess2&lt;&gt;"", dateAssess2, IF(dateAssess1&lt;&gt;"", dateAssess1, "")))</f>
        <v>43101</v>
      </c>
      <c r="G11" t="s">
        <v>678</v>
      </c>
      <c r="S11" t="s">
        <v>140</v>
      </c>
      <c r="T11" t="e">
        <f t="shared" si="0"/>
        <v>#N/A</v>
      </c>
      <c r="U11" t="str">
        <f t="shared" si="1"/>
        <v/>
      </c>
    </row>
    <row r="12" spans="1:21" x14ac:dyDescent="0.25">
      <c r="B12" t="s">
        <v>878</v>
      </c>
      <c r="C12" t="s">
        <v>984</v>
      </c>
      <c r="S12" t="s">
        <v>141</v>
      </c>
      <c r="T12" t="e">
        <f t="shared" si="0"/>
        <v>#N/A</v>
      </c>
      <c r="U12" t="str">
        <f t="shared" si="1"/>
        <v/>
      </c>
    </row>
    <row r="13" spans="1:21" x14ac:dyDescent="0.25">
      <c r="B13" t="s">
        <v>879</v>
      </c>
      <c r="C13" t="s">
        <v>985</v>
      </c>
      <c r="F13" s="260" t="b">
        <v>1</v>
      </c>
      <c r="G13" s="260" t="s">
        <v>1099</v>
      </c>
      <c r="S13" t="s">
        <v>142</v>
      </c>
      <c r="T13" t="e">
        <f t="shared" si="0"/>
        <v>#N/A</v>
      </c>
      <c r="U13" t="str">
        <f t="shared" si="1"/>
        <v/>
      </c>
    </row>
    <row r="14" spans="1:21" x14ac:dyDescent="0.25">
      <c r="B14" t="s">
        <v>880</v>
      </c>
      <c r="C14" t="s">
        <v>986</v>
      </c>
      <c r="S14" t="s">
        <v>143</v>
      </c>
      <c r="T14" t="e">
        <f t="shared" si="0"/>
        <v>#N/A</v>
      </c>
      <c r="U14" t="str">
        <f t="shared" si="1"/>
        <v/>
      </c>
    </row>
    <row r="15" spans="1:21" x14ac:dyDescent="0.25">
      <c r="B15" t="s">
        <v>881</v>
      </c>
      <c r="C15" t="s">
        <v>987</v>
      </c>
      <c r="S15" t="s">
        <v>144</v>
      </c>
      <c r="T15" t="e">
        <f t="shared" si="0"/>
        <v>#N/A</v>
      </c>
      <c r="U15" t="str">
        <f t="shared" si="1"/>
        <v/>
      </c>
    </row>
    <row r="16" spans="1:21" x14ac:dyDescent="0.25">
      <c r="B16" t="s">
        <v>882</v>
      </c>
      <c r="C16" t="s">
        <v>988</v>
      </c>
    </row>
    <row r="17" spans="2:3" x14ac:dyDescent="0.25">
      <c r="B17" t="s">
        <v>883</v>
      </c>
      <c r="C17" t="s">
        <v>989</v>
      </c>
    </row>
    <row r="18" spans="2:3" x14ac:dyDescent="0.25">
      <c r="B18" t="s">
        <v>884</v>
      </c>
      <c r="C18" t="s">
        <v>990</v>
      </c>
    </row>
    <row r="19" spans="2:3" x14ac:dyDescent="0.25">
      <c r="B19" t="s">
        <v>885</v>
      </c>
      <c r="C19" t="s">
        <v>991</v>
      </c>
    </row>
    <row r="20" spans="2:3" x14ac:dyDescent="0.25">
      <c r="B20" t="s">
        <v>886</v>
      </c>
      <c r="C20" t="s">
        <v>992</v>
      </c>
    </row>
    <row r="21" spans="2:3" x14ac:dyDescent="0.25">
      <c r="B21" t="s">
        <v>887</v>
      </c>
      <c r="C21" t="s">
        <v>993</v>
      </c>
    </row>
    <row r="22" spans="2:3" x14ac:dyDescent="0.25">
      <c r="B22" t="s">
        <v>888</v>
      </c>
      <c r="C22" t="s">
        <v>994</v>
      </c>
    </row>
    <row r="23" spans="2:3" x14ac:dyDescent="0.25">
      <c r="B23" t="s">
        <v>889</v>
      </c>
      <c r="C23" t="s">
        <v>995</v>
      </c>
    </row>
    <row r="24" spans="2:3" x14ac:dyDescent="0.25">
      <c r="B24" t="s">
        <v>890</v>
      </c>
      <c r="C24" t="s">
        <v>996</v>
      </c>
    </row>
    <row r="25" spans="2:3" x14ac:dyDescent="0.25">
      <c r="B25" t="s">
        <v>891</v>
      </c>
      <c r="C25" t="s">
        <v>997</v>
      </c>
    </row>
    <row r="26" spans="2:3" x14ac:dyDescent="0.25">
      <c r="B26" t="s">
        <v>892</v>
      </c>
      <c r="C26" t="s">
        <v>998</v>
      </c>
    </row>
    <row r="27" spans="2:3" x14ac:dyDescent="0.25">
      <c r="B27" t="s">
        <v>893</v>
      </c>
      <c r="C27" t="s">
        <v>999</v>
      </c>
    </row>
    <row r="28" spans="2:3" x14ac:dyDescent="0.25">
      <c r="B28" t="s">
        <v>894</v>
      </c>
      <c r="C28" t="s">
        <v>1000</v>
      </c>
    </row>
    <row r="29" spans="2:3" ht="15.75" customHeight="1" x14ac:dyDescent="0.25">
      <c r="B29" t="s">
        <v>895</v>
      </c>
      <c r="C29" t="s">
        <v>1001</v>
      </c>
    </row>
    <row r="30" spans="2:3" x14ac:dyDescent="0.25">
      <c r="B30" t="s">
        <v>896</v>
      </c>
      <c r="C30" t="s">
        <v>1002</v>
      </c>
    </row>
    <row r="31" spans="2:3" x14ac:dyDescent="0.25">
      <c r="B31" t="s">
        <v>897</v>
      </c>
      <c r="C31" t="s">
        <v>1003</v>
      </c>
    </row>
    <row r="32" spans="2:3" x14ac:dyDescent="0.25">
      <c r="B32" t="s">
        <v>898</v>
      </c>
      <c r="C32" t="s">
        <v>1004</v>
      </c>
    </row>
    <row r="33" spans="2:3" x14ac:dyDescent="0.25">
      <c r="B33" t="s">
        <v>899</v>
      </c>
      <c r="C33" t="s">
        <v>1005</v>
      </c>
    </row>
    <row r="34" spans="2:3" x14ac:dyDescent="0.25">
      <c r="B34" t="s">
        <v>900</v>
      </c>
      <c r="C34" t="s">
        <v>1089</v>
      </c>
    </row>
    <row r="35" spans="2:3" x14ac:dyDescent="0.25">
      <c r="B35" t="s">
        <v>901</v>
      </c>
      <c r="C35" t="s">
        <v>1006</v>
      </c>
    </row>
    <row r="36" spans="2:3" x14ac:dyDescent="0.25">
      <c r="B36" t="s">
        <v>902</v>
      </c>
      <c r="C36" t="s">
        <v>1007</v>
      </c>
    </row>
    <row r="37" spans="2:3" x14ac:dyDescent="0.25">
      <c r="B37" t="s">
        <v>903</v>
      </c>
      <c r="C37" t="s">
        <v>1008</v>
      </c>
    </row>
    <row r="38" spans="2:3" x14ac:dyDescent="0.25">
      <c r="B38" t="s">
        <v>904</v>
      </c>
      <c r="C38" t="s">
        <v>1009</v>
      </c>
    </row>
    <row r="39" spans="2:3" x14ac:dyDescent="0.25">
      <c r="B39" t="s">
        <v>905</v>
      </c>
      <c r="C39" t="s">
        <v>1010</v>
      </c>
    </row>
    <row r="40" spans="2:3" x14ac:dyDescent="0.25">
      <c r="B40" t="s">
        <v>906</v>
      </c>
      <c r="C40" t="s">
        <v>1011</v>
      </c>
    </row>
    <row r="41" spans="2:3" x14ac:dyDescent="0.25">
      <c r="B41" t="s">
        <v>907</v>
      </c>
      <c r="C41" t="s">
        <v>1012</v>
      </c>
    </row>
    <row r="42" spans="2:3" x14ac:dyDescent="0.25">
      <c r="B42" t="s">
        <v>908</v>
      </c>
      <c r="C42" t="s">
        <v>1013</v>
      </c>
    </row>
    <row r="43" spans="2:3" x14ac:dyDescent="0.25">
      <c r="B43" t="s">
        <v>909</v>
      </c>
      <c r="C43" t="s">
        <v>1014</v>
      </c>
    </row>
    <row r="44" spans="2:3" x14ac:dyDescent="0.25">
      <c r="B44" t="s">
        <v>910</v>
      </c>
      <c r="C44" t="s">
        <v>1015</v>
      </c>
    </row>
    <row r="45" spans="2:3" x14ac:dyDescent="0.25">
      <c r="B45" t="s">
        <v>911</v>
      </c>
      <c r="C45" t="s">
        <v>1016</v>
      </c>
    </row>
    <row r="46" spans="2:3" ht="15.75" customHeight="1" x14ac:dyDescent="0.25">
      <c r="B46" t="s">
        <v>912</v>
      </c>
      <c r="C46" t="s">
        <v>1017</v>
      </c>
    </row>
    <row r="47" spans="2:3" x14ac:dyDescent="0.25">
      <c r="B47" t="s">
        <v>913</v>
      </c>
      <c r="C47" t="s">
        <v>1018</v>
      </c>
    </row>
    <row r="48" spans="2:3" x14ac:dyDescent="0.25">
      <c r="B48" t="s">
        <v>914</v>
      </c>
      <c r="C48" t="s">
        <v>1019</v>
      </c>
    </row>
    <row r="49" spans="2:3" x14ac:dyDescent="0.25">
      <c r="B49" t="s">
        <v>915</v>
      </c>
      <c r="C49" t="s">
        <v>1087</v>
      </c>
    </row>
    <row r="50" spans="2:3" x14ac:dyDescent="0.25">
      <c r="B50" t="s">
        <v>916</v>
      </c>
      <c r="C50" t="s">
        <v>1020</v>
      </c>
    </row>
    <row r="51" spans="2:3" x14ac:dyDescent="0.25">
      <c r="C51" t="s">
        <v>1021</v>
      </c>
    </row>
    <row r="52" spans="2:3" x14ac:dyDescent="0.25">
      <c r="C52" t="s">
        <v>1022</v>
      </c>
    </row>
    <row r="53" spans="2:3" x14ac:dyDescent="0.25">
      <c r="C53" t="s">
        <v>1023</v>
      </c>
    </row>
    <row r="54" spans="2:3" x14ac:dyDescent="0.25">
      <c r="C54" t="s">
        <v>1024</v>
      </c>
    </row>
    <row r="55" spans="2:3" x14ac:dyDescent="0.25">
      <c r="C55" t="s">
        <v>1025</v>
      </c>
    </row>
    <row r="56" spans="2:3" x14ac:dyDescent="0.25">
      <c r="C56" t="s">
        <v>1026</v>
      </c>
    </row>
    <row r="57" spans="2:3" x14ac:dyDescent="0.25">
      <c r="C57" t="s">
        <v>1027</v>
      </c>
    </row>
    <row r="58" spans="2:3" x14ac:dyDescent="0.25">
      <c r="C58" t="s">
        <v>1028</v>
      </c>
    </row>
    <row r="59" spans="2:3" x14ac:dyDescent="0.25">
      <c r="C59" t="s">
        <v>1029</v>
      </c>
    </row>
    <row r="60" spans="2:3" x14ac:dyDescent="0.25">
      <c r="C60" t="s">
        <v>1030</v>
      </c>
    </row>
    <row r="61" spans="2:3" x14ac:dyDescent="0.25">
      <c r="C61" t="s">
        <v>1031</v>
      </c>
    </row>
    <row r="62" spans="2:3" x14ac:dyDescent="0.25">
      <c r="C62" t="s">
        <v>1032</v>
      </c>
    </row>
    <row r="63" spans="2:3" x14ac:dyDescent="0.25">
      <c r="C63" t="s">
        <v>1088</v>
      </c>
    </row>
    <row r="64" spans="2:3" x14ac:dyDescent="0.25">
      <c r="C64" t="s">
        <v>1033</v>
      </c>
    </row>
    <row r="65" spans="3:3" x14ac:dyDescent="0.25">
      <c r="C65" t="s">
        <v>1034</v>
      </c>
    </row>
    <row r="66" spans="3:3" x14ac:dyDescent="0.25">
      <c r="C66" t="s">
        <v>1035</v>
      </c>
    </row>
    <row r="67" spans="3:3" x14ac:dyDescent="0.25">
      <c r="C67" t="s">
        <v>1036</v>
      </c>
    </row>
    <row r="68" spans="3:3" x14ac:dyDescent="0.25">
      <c r="C68" t="s">
        <v>1037</v>
      </c>
    </row>
    <row r="69" spans="3:3" x14ac:dyDescent="0.25">
      <c r="C69" t="s">
        <v>1038</v>
      </c>
    </row>
    <row r="70" spans="3:3" x14ac:dyDescent="0.25">
      <c r="C70" t="s">
        <v>1039</v>
      </c>
    </row>
    <row r="71" spans="3:3" x14ac:dyDescent="0.25">
      <c r="C71" t="s">
        <v>1040</v>
      </c>
    </row>
    <row r="72" spans="3:3" x14ac:dyDescent="0.25">
      <c r="C72" t="s">
        <v>1085</v>
      </c>
    </row>
    <row r="73" spans="3:3" x14ac:dyDescent="0.25">
      <c r="C73" t="s">
        <v>972</v>
      </c>
    </row>
    <row r="74" spans="3:3" x14ac:dyDescent="0.25">
      <c r="C74" t="s">
        <v>1041</v>
      </c>
    </row>
    <row r="75" spans="3:3" x14ac:dyDescent="0.25">
      <c r="C75" t="s">
        <v>1042</v>
      </c>
    </row>
    <row r="76" spans="3:3" x14ac:dyDescent="0.25">
      <c r="C76" t="s">
        <v>1043</v>
      </c>
    </row>
    <row r="77" spans="3:3" x14ac:dyDescent="0.25">
      <c r="C77" t="s">
        <v>1044</v>
      </c>
    </row>
    <row r="78" spans="3:3" x14ac:dyDescent="0.25">
      <c r="C78" t="s">
        <v>1045</v>
      </c>
    </row>
    <row r="79" spans="3:3" x14ac:dyDescent="0.25">
      <c r="C79" t="s">
        <v>1046</v>
      </c>
    </row>
    <row r="80" spans="3:3" x14ac:dyDescent="0.25">
      <c r="C80" t="s">
        <v>1047</v>
      </c>
    </row>
    <row r="81" spans="3:3" x14ac:dyDescent="0.25">
      <c r="C81" t="s">
        <v>1048</v>
      </c>
    </row>
    <row r="82" spans="3:3" x14ac:dyDescent="0.25">
      <c r="C82" t="s">
        <v>1049</v>
      </c>
    </row>
    <row r="83" spans="3:3" x14ac:dyDescent="0.25">
      <c r="C83" t="s">
        <v>1050</v>
      </c>
    </row>
    <row r="84" spans="3:3" x14ac:dyDescent="0.25">
      <c r="C84" t="s">
        <v>1051</v>
      </c>
    </row>
    <row r="85" spans="3:3" x14ac:dyDescent="0.25">
      <c r="C85" t="s">
        <v>1052</v>
      </c>
    </row>
    <row r="86" spans="3:3" x14ac:dyDescent="0.25">
      <c r="C86" t="s">
        <v>1053</v>
      </c>
    </row>
    <row r="87" spans="3:3" x14ac:dyDescent="0.25">
      <c r="C87" t="s">
        <v>1054</v>
      </c>
    </row>
    <row r="88" spans="3:3" x14ac:dyDescent="0.25">
      <c r="C88" t="s">
        <v>1055</v>
      </c>
    </row>
    <row r="89" spans="3:3" x14ac:dyDescent="0.25">
      <c r="C89" t="s">
        <v>1056</v>
      </c>
    </row>
    <row r="90" spans="3:3" x14ac:dyDescent="0.25">
      <c r="C90" t="s">
        <v>1057</v>
      </c>
    </row>
    <row r="91" spans="3:3" x14ac:dyDescent="0.25">
      <c r="C91" t="s">
        <v>1058</v>
      </c>
    </row>
    <row r="92" spans="3:3" x14ac:dyDescent="0.25">
      <c r="C92" t="s">
        <v>1059</v>
      </c>
    </row>
    <row r="93" spans="3:3" x14ac:dyDescent="0.25">
      <c r="C93" t="s">
        <v>1060</v>
      </c>
    </row>
    <row r="94" spans="3:3" x14ac:dyDescent="0.25">
      <c r="C94" t="s">
        <v>1061</v>
      </c>
    </row>
    <row r="95" spans="3:3" x14ac:dyDescent="0.25">
      <c r="C95" t="s">
        <v>1062</v>
      </c>
    </row>
    <row r="96" spans="3:3" x14ac:dyDescent="0.25">
      <c r="C96" t="s">
        <v>1063</v>
      </c>
    </row>
    <row r="97" spans="3:3" x14ac:dyDescent="0.25">
      <c r="C97" t="s">
        <v>1064</v>
      </c>
    </row>
    <row r="98" spans="3:3" x14ac:dyDescent="0.25">
      <c r="C98" t="s">
        <v>1065</v>
      </c>
    </row>
    <row r="99" spans="3:3" x14ac:dyDescent="0.25">
      <c r="C99" t="s">
        <v>1066</v>
      </c>
    </row>
    <row r="100" spans="3:3" x14ac:dyDescent="0.25">
      <c r="C100" t="s">
        <v>1067</v>
      </c>
    </row>
    <row r="101" spans="3:3" x14ac:dyDescent="0.25">
      <c r="C101" t="s">
        <v>1068</v>
      </c>
    </row>
    <row r="102" spans="3:3" x14ac:dyDescent="0.25">
      <c r="C102" t="s">
        <v>1069</v>
      </c>
    </row>
    <row r="103" spans="3:3" x14ac:dyDescent="0.25">
      <c r="C103" t="s">
        <v>1070</v>
      </c>
    </row>
    <row r="104" spans="3:3" x14ac:dyDescent="0.25">
      <c r="C104" t="s">
        <v>1071</v>
      </c>
    </row>
    <row r="105" spans="3:3" x14ac:dyDescent="0.25">
      <c r="C105" t="s">
        <v>1072</v>
      </c>
    </row>
    <row r="106" spans="3:3" x14ac:dyDescent="0.25">
      <c r="C106" t="s">
        <v>1073</v>
      </c>
    </row>
    <row r="107" spans="3:3" x14ac:dyDescent="0.25">
      <c r="C107" t="s">
        <v>1074</v>
      </c>
    </row>
    <row r="108" spans="3:3" x14ac:dyDescent="0.25">
      <c r="C108" t="s">
        <v>1086</v>
      </c>
    </row>
    <row r="109" spans="3:3" x14ac:dyDescent="0.25">
      <c r="C109" t="s">
        <v>1075</v>
      </c>
    </row>
    <row r="110" spans="3:3" x14ac:dyDescent="0.25">
      <c r="C110" t="s">
        <v>1076</v>
      </c>
    </row>
    <row r="111" spans="3:3" x14ac:dyDescent="0.25">
      <c r="C111" t="s">
        <v>1077</v>
      </c>
    </row>
    <row r="112" spans="3:3" x14ac:dyDescent="0.25">
      <c r="C112" t="s">
        <v>1078</v>
      </c>
    </row>
    <row r="113" spans="3:3" x14ac:dyDescent="0.25">
      <c r="C113" t="s">
        <v>1079</v>
      </c>
    </row>
    <row r="114" spans="3:3" x14ac:dyDescent="0.25">
      <c r="C114" t="s">
        <v>1080</v>
      </c>
    </row>
    <row r="115" spans="3:3" x14ac:dyDescent="0.25">
      <c r="C115" t="s">
        <v>1081</v>
      </c>
    </row>
    <row r="116" spans="3:3" x14ac:dyDescent="0.25">
      <c r="C116" t="s">
        <v>1090</v>
      </c>
    </row>
    <row r="117" spans="3:3" x14ac:dyDescent="0.25">
      <c r="C117" t="s">
        <v>1082</v>
      </c>
    </row>
    <row r="118" spans="3:3" x14ac:dyDescent="0.25">
      <c r="C118" t="s">
        <v>1083</v>
      </c>
    </row>
    <row r="119" spans="3:3" x14ac:dyDescent="0.25">
      <c r="C119" t="s">
        <v>1084</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260E2A2-458A-4131-974D-90B8E3F0314B}">
  <ds:schemaRefs>
    <ds:schemaRef ds:uri="http://purl.org/dc/terms/"/>
    <ds:schemaRef ds:uri="http://purl.org/dc/elements/1.1/"/>
    <ds:schemaRef ds:uri="http://schemas.microsoft.com/office/2006/documentManagement/types"/>
    <ds:schemaRef ds:uri="68a064a4-a90a-4333-83be-93c6a56d91fc"/>
    <ds:schemaRef ds:uri="0744c089-3c8b-41d7-9a15-aa5041886147"/>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2018-11-07T20:42:51Z</cp:lastPrinted>
  <dcterms:created xsi:type="dcterms:W3CDTF">2017-09-29T17:34:34Z</dcterms:created>
  <dcterms:modified xsi:type="dcterms:W3CDTF">2018-11-07T20:45:18Z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