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5.xml" ContentType="application/vnd.openxmlformats-officedocument.drawing+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27.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28.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tabRatio="770" firstSheet="2" activeTab="2"/>
  </bookViews>
  <sheets>
    <sheet name="Chart1" sheetId="25" state="hidden" r:id="rId1"/>
    <sheet name="Chart2" sheetId="26" state="hidden" r:id="rId2"/>
    <sheet name="Face Sheet" sheetId="16" r:id="rId3"/>
    <sheet name="Assessments" sheetId="2" r:id="rId4"/>
    <sheet name="Export Long" sheetId="9" state="hidden" r:id="rId5"/>
    <sheet name="Export Data" sheetId="7" state="hidden" r:id="rId6"/>
    <sheet name="Data Tables" sheetId="5" state="hidden" r:id="rId7"/>
    <sheet name="Summary Sheet" sheetId="15" r:id="rId8"/>
    <sheet name="Report Data" sheetId="19" state="hidden" r:id="rId9"/>
    <sheet name="Family Reports" sheetId="20" r:id="rId10"/>
    <sheet name="Caregiver Reports" sheetId="21" r:id="rId11"/>
    <sheet name="Child Reports" sheetId="22" r:id="rId12"/>
    <sheet name="Plan for Change" sheetId="6" r:id="rId13"/>
    <sheet name="Additional Treatment Targets" sheetId="23" r:id="rId14"/>
    <sheet name="End of Intervention Report" sheetId="24" r:id="rId15"/>
    <sheet name="Meta" sheetId="3" state="hidden" r:id="rId16"/>
  </sheets>
  <functionGroups builtInGroupCount="18"/>
  <definedNames>
    <definedName name="_xlnm._FilterDatabase" localSheetId="15"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3">'Additional Treatment Targets'!$G$4:$G$5</definedName>
    <definedName name="IdentifiedNeeds">'Plan for Change'!$Q$4:$Q$5</definedName>
    <definedName name="IdentifiedStrengthsToBuild" localSheetId="13">'Additional Treatment Targets'!$I$4:$I$5</definedName>
    <definedName name="IdentifiedStrengthsToBuild">'Plan for Change'!$S$4:$S$5</definedName>
    <definedName name="IdentifiedUsefulStrengths" localSheetId="13">'Additional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3">'Additional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3">'Additional Treatment Targets'!$A$1:$F$10</definedName>
    <definedName name="_xlnm.Print_Area" localSheetId="3">Assessments!$A$1:$AR$210</definedName>
    <definedName name="_xlnm.Print_Area" localSheetId="14">'End of Intervention Report'!$A$1:$I$32</definedName>
    <definedName name="_xlnm.Print_Area" localSheetId="2">'Face Sheet'!$A$1:$F$30</definedName>
    <definedName name="_xlnm.Print_Area" localSheetId="12">'Plan for Change'!$C$1:$P$11</definedName>
    <definedName name="_xlnm.Print_Area" localSheetId="7">'Summary Sheet'!$A$1:$F$26</definedName>
    <definedName name="_xlnm.Print_Titles" localSheetId="3">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F718" i="5"/>
  <c r="K717" i="5"/>
  <c r="L717" i="5" s="1"/>
  <c r="K716" i="5"/>
  <c r="L716" i="5" s="1"/>
  <c r="K715" i="5"/>
  <c r="L715" i="5" s="1"/>
  <c r="K714" i="5"/>
  <c r="L714" i="5" s="1"/>
  <c r="F714" i="5"/>
  <c r="K713" i="5"/>
  <c r="L713" i="5" s="1"/>
  <c r="F713" i="5"/>
  <c r="K712" i="5"/>
  <c r="L712" i="5" s="1"/>
  <c r="K711" i="5"/>
  <c r="L711" i="5" s="1"/>
  <c r="K710" i="5"/>
  <c r="L710" i="5" s="1"/>
  <c r="K709" i="5"/>
  <c r="L709" i="5" s="1"/>
  <c r="F709" i="5"/>
  <c r="K708" i="5"/>
  <c r="L708" i="5" s="1"/>
  <c r="K707" i="5"/>
  <c r="L707" i="5" s="1"/>
  <c r="K706" i="5"/>
  <c r="L706" i="5" s="1"/>
  <c r="K705" i="5"/>
  <c r="L705" i="5" s="1"/>
  <c r="K704" i="5"/>
  <c r="L704" i="5" s="1"/>
  <c r="K703" i="5"/>
  <c r="L703" i="5" s="1"/>
  <c r="K702" i="5"/>
  <c r="L702" i="5" s="1"/>
  <c r="F702" i="5"/>
  <c r="K701" i="5"/>
  <c r="L701" i="5" s="1"/>
  <c r="K700" i="5"/>
  <c r="L700" i="5" s="1"/>
  <c r="K699" i="5"/>
  <c r="L699" i="5" s="1"/>
  <c r="K698" i="5"/>
  <c r="L698" i="5" s="1"/>
  <c r="F698" i="5"/>
  <c r="K697" i="5"/>
  <c r="L697" i="5" s="1"/>
  <c r="F697" i="5"/>
  <c r="K696" i="5"/>
  <c r="L696" i="5" s="1"/>
  <c r="K695" i="5"/>
  <c r="L695" i="5" s="1"/>
  <c r="K694" i="5"/>
  <c r="L694" i="5" s="1"/>
  <c r="K693" i="5"/>
  <c r="L693" i="5" s="1"/>
  <c r="F693" i="5"/>
  <c r="K692" i="5"/>
  <c r="L692" i="5" s="1"/>
  <c r="K691" i="5"/>
  <c r="L691" i="5" s="1"/>
  <c r="K690" i="5"/>
  <c r="L690" i="5" s="1"/>
  <c r="K689" i="5"/>
  <c r="L689" i="5" s="1"/>
  <c r="K688" i="5"/>
  <c r="L688" i="5" s="1"/>
  <c r="K687" i="5"/>
  <c r="L687" i="5" s="1"/>
  <c r="K686" i="5"/>
  <c r="L686" i="5" s="1"/>
  <c r="F686" i="5"/>
  <c r="K685" i="5"/>
  <c r="L685" i="5" s="1"/>
  <c r="K684" i="5"/>
  <c r="L684" i="5" s="1"/>
  <c r="K683" i="5"/>
  <c r="L683" i="5" s="1"/>
  <c r="K682" i="5"/>
  <c r="L682" i="5" s="1"/>
  <c r="F682" i="5"/>
  <c r="K681" i="5"/>
  <c r="L681" i="5" s="1"/>
  <c r="F681" i="5"/>
  <c r="K680" i="5"/>
  <c r="L680" i="5" s="1"/>
  <c r="K679" i="5"/>
  <c r="L679" i="5" s="1"/>
  <c r="K678" i="5"/>
  <c r="L678" i="5" s="1"/>
  <c r="K677" i="5"/>
  <c r="L677" i="5" s="1"/>
  <c r="F677" i="5"/>
  <c r="K676" i="5"/>
  <c r="L676" i="5" s="1"/>
  <c r="K675" i="5"/>
  <c r="L675" i="5" s="1"/>
  <c r="K674" i="5"/>
  <c r="L674" i="5" s="1"/>
  <c r="K673" i="5"/>
  <c r="L673" i="5" s="1"/>
  <c r="K672" i="5"/>
  <c r="L672" i="5" s="1"/>
  <c r="K671" i="5"/>
  <c r="L671" i="5" s="1"/>
  <c r="K670" i="5"/>
  <c r="L670" i="5" s="1"/>
  <c r="F670" i="5"/>
  <c r="K669" i="5"/>
  <c r="L669" i="5" s="1"/>
  <c r="K668" i="5"/>
  <c r="L668" i="5" s="1"/>
  <c r="K667" i="5"/>
  <c r="L667" i="5" s="1"/>
  <c r="K666" i="5"/>
  <c r="L666" i="5" s="1"/>
  <c r="F666" i="5"/>
  <c r="K665" i="5"/>
  <c r="L665" i="5" s="1"/>
  <c r="F665" i="5"/>
  <c r="K664" i="5"/>
  <c r="L664" i="5" s="1"/>
  <c r="K663" i="5"/>
  <c r="L663" i="5" s="1"/>
  <c r="K662" i="5"/>
  <c r="L662" i="5" s="1"/>
  <c r="K661" i="5"/>
  <c r="L661" i="5" s="1"/>
  <c r="F661" i="5"/>
  <c r="K660" i="5"/>
  <c r="L660" i="5" s="1"/>
  <c r="K659" i="5"/>
  <c r="L659" i="5" s="1"/>
  <c r="K658" i="5"/>
  <c r="L658" i="5" s="1"/>
  <c r="K657" i="5"/>
  <c r="L657" i="5" s="1"/>
  <c r="K656" i="5"/>
  <c r="L656" i="5" s="1"/>
  <c r="K655" i="5"/>
  <c r="L655" i="5" s="1"/>
  <c r="K654" i="5"/>
  <c r="L654" i="5" s="1"/>
  <c r="F654" i="5"/>
  <c r="K653" i="5"/>
  <c r="L653" i="5" s="1"/>
  <c r="K652" i="5"/>
  <c r="L652" i="5" s="1"/>
  <c r="K651" i="5"/>
  <c r="L651" i="5" s="1"/>
  <c r="K650" i="5"/>
  <c r="L650" i="5" s="1"/>
  <c r="F650" i="5"/>
  <c r="K649" i="5"/>
  <c r="L649" i="5" s="1"/>
  <c r="F649" i="5"/>
  <c r="K648" i="5"/>
  <c r="L648" i="5" s="1"/>
  <c r="K647" i="5"/>
  <c r="L647" i="5" s="1"/>
  <c r="K646" i="5"/>
  <c r="L646" i="5" s="1"/>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10" i="9"/>
  <c r="D10" i="9"/>
  <c r="K9" i="9"/>
  <c r="J9" i="9"/>
  <c r="I9" i="9"/>
  <c r="K8" i="9"/>
  <c r="J8" i="9"/>
  <c r="I8" i="9"/>
  <c r="K7" i="9"/>
  <c r="J7" i="9"/>
  <c r="I7" i="9"/>
  <c r="K6" i="9"/>
  <c r="J6" i="9"/>
  <c r="I6" i="9"/>
  <c r="K5" i="9"/>
  <c r="J5" i="9"/>
  <c r="I5" i="9"/>
  <c r="K4" i="9"/>
  <c r="J4" i="9"/>
  <c r="I4" i="9"/>
  <c r="K3" i="9"/>
  <c r="J3" i="9"/>
  <c r="I3" i="9"/>
  <c r="K2" i="9"/>
  <c r="J2" i="9"/>
  <c r="I2" i="9"/>
  <c r="K1" i="9"/>
  <c r="J1" i="9"/>
  <c r="J192" i="2"/>
  <c r="G192" i="2"/>
  <c r="G193" i="2" s="1"/>
  <c r="G195" i="2" s="1"/>
  <c r="G196" i="2" s="1"/>
  <c r="G197" i="2" s="1"/>
  <c r="G198" i="2" s="1"/>
  <c r="G199" i="2" s="1"/>
  <c r="G200" i="2" s="1"/>
  <c r="G201" i="2" s="1"/>
  <c r="G202" i="2" s="1"/>
  <c r="G203" i="2" s="1"/>
  <c r="G204" i="2" s="1"/>
  <c r="G205" i="2" s="1"/>
  <c r="G206" i="2" s="1"/>
  <c r="G207" i="2" s="1"/>
  <c r="G208" i="2" s="1"/>
  <c r="G209" i="2" s="1"/>
  <c r="J174" i="2"/>
  <c r="G174" i="2"/>
  <c r="G175" i="2" s="1"/>
  <c r="G177" i="2" s="1"/>
  <c r="G178" i="2" s="1"/>
  <c r="G179" i="2" s="1"/>
  <c r="G180" i="2" s="1"/>
  <c r="G181" i="2" s="1"/>
  <c r="G182" i="2" s="1"/>
  <c r="G183" i="2" s="1"/>
  <c r="G184" i="2" s="1"/>
  <c r="G185" i="2" s="1"/>
  <c r="G186" i="2" s="1"/>
  <c r="G187" i="2" s="1"/>
  <c r="G188" i="2" s="1"/>
  <c r="G189" i="2" s="1"/>
  <c r="G190" i="2" s="1"/>
  <c r="G191" i="2" s="1"/>
  <c r="J156" i="2"/>
  <c r="G156" i="2"/>
  <c r="G157" i="2" s="1"/>
  <c r="G159" i="2" s="1"/>
  <c r="G160" i="2" s="1"/>
  <c r="G161" i="2" s="1"/>
  <c r="G162" i="2" s="1"/>
  <c r="G163" i="2" s="1"/>
  <c r="G164" i="2" s="1"/>
  <c r="G165" i="2" s="1"/>
  <c r="G166" i="2" s="1"/>
  <c r="G167" i="2" s="1"/>
  <c r="G168" i="2" s="1"/>
  <c r="G169" i="2" s="1"/>
  <c r="G170" i="2" s="1"/>
  <c r="G171" i="2" s="1"/>
  <c r="G172" i="2" s="1"/>
  <c r="G173" i="2" s="1"/>
  <c r="J138" i="2"/>
  <c r="G138" i="2"/>
  <c r="G139" i="2" s="1"/>
  <c r="G141" i="2" s="1"/>
  <c r="G142" i="2" s="1"/>
  <c r="G143" i="2" s="1"/>
  <c r="G144" i="2" s="1"/>
  <c r="G145" i="2" s="1"/>
  <c r="G146" i="2" s="1"/>
  <c r="G147" i="2" s="1"/>
  <c r="G148" i="2" s="1"/>
  <c r="G149" i="2" s="1"/>
  <c r="G150" i="2" s="1"/>
  <c r="G151" i="2" s="1"/>
  <c r="G152" i="2" s="1"/>
  <c r="G153" i="2" s="1"/>
  <c r="G154" i="2" s="1"/>
  <c r="G155" i="2" s="1"/>
  <c r="J120" i="2"/>
  <c r="J121" i="2" s="1"/>
  <c r="G120" i="2"/>
  <c r="G121" i="2" s="1"/>
  <c r="G123" i="2" s="1"/>
  <c r="G124" i="2" s="1"/>
  <c r="G125" i="2" s="1"/>
  <c r="G126" i="2" s="1"/>
  <c r="G127" i="2" s="1"/>
  <c r="G128" i="2" s="1"/>
  <c r="G129" i="2" s="1"/>
  <c r="G130" i="2" s="1"/>
  <c r="G131" i="2" s="1"/>
  <c r="G132" i="2" s="1"/>
  <c r="G133" i="2" s="1"/>
  <c r="G134" i="2" s="1"/>
  <c r="G135" i="2" s="1"/>
  <c r="G136" i="2" s="1"/>
  <c r="G137" i="2" s="1"/>
  <c r="J102" i="2"/>
  <c r="J103" i="2" s="1"/>
  <c r="J104" i="2" s="1"/>
  <c r="G102" i="2"/>
  <c r="G103" i="2" s="1"/>
  <c r="G105" i="2" s="1"/>
  <c r="G106" i="2" s="1"/>
  <c r="G107" i="2" s="1"/>
  <c r="G108" i="2" s="1"/>
  <c r="G109" i="2" s="1"/>
  <c r="G110" i="2" s="1"/>
  <c r="G111" i="2" s="1"/>
  <c r="G112" i="2" s="1"/>
  <c r="G113" i="2" s="1"/>
  <c r="G114" i="2" s="1"/>
  <c r="G115" i="2" s="1"/>
  <c r="G116" i="2" s="1"/>
  <c r="G117" i="2" s="1"/>
  <c r="G118" i="2" s="1"/>
  <c r="G119" i="2" s="1"/>
  <c r="J86" i="2"/>
  <c r="J87" i="2" s="1"/>
  <c r="G86" i="2"/>
  <c r="J70" i="2"/>
  <c r="J71" i="2" s="1"/>
  <c r="I71" i="2" s="1"/>
  <c r="G70" i="2"/>
  <c r="J54" i="2"/>
  <c r="I54" i="2" s="1"/>
  <c r="H54" i="2" s="1"/>
  <c r="G54" i="2"/>
  <c r="AA39" i="2"/>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M11" i="2"/>
  <c r="S5" i="2"/>
  <c r="RL10" i="7" s="1"/>
  <c r="H17" i="16"/>
  <c r="H15" i="16"/>
  <c r="K17" i="2"/>
  <c r="E42" i="24"/>
  <c r="E44" i="24"/>
  <c r="E41" i="24"/>
  <c r="C47" i="24"/>
  <c r="E48" i="24"/>
  <c r="C43" i="24"/>
  <c r="C41" i="24"/>
  <c r="C42" i="24"/>
  <c r="E47" i="24"/>
  <c r="C45" i="24"/>
  <c r="C48" i="24"/>
  <c r="C46" i="24"/>
  <c r="E46" i="24"/>
  <c r="C44" i="24"/>
  <c r="E43" i="24"/>
  <c r="E45" i="24"/>
  <c r="E49" i="24"/>
  <c r="C49" i="24"/>
  <c r="F494" i="5" l="1"/>
  <c r="F646" i="5"/>
  <c r="F657" i="5"/>
  <c r="F662" i="5"/>
  <c r="F673" i="5"/>
  <c r="F678" i="5"/>
  <c r="F689" i="5"/>
  <c r="F694" i="5"/>
  <c r="F705" i="5"/>
  <c r="F710" i="5"/>
  <c r="F721" i="5"/>
  <c r="F530" i="5"/>
  <c r="F653" i="5"/>
  <c r="F658" i="5"/>
  <c r="F669" i="5"/>
  <c r="F674" i="5"/>
  <c r="F685" i="5"/>
  <c r="F690" i="5"/>
  <c r="F701" i="5"/>
  <c r="F706" i="5"/>
  <c r="F717" i="5"/>
  <c r="F722" i="5"/>
  <c r="F514" i="5"/>
  <c r="F506" i="5"/>
  <c r="F538" i="5"/>
  <c r="F522" i="5"/>
  <c r="F547" i="5"/>
  <c r="F486" i="5"/>
  <c r="F510" i="5"/>
  <c r="F526" i="5"/>
  <c r="F502" i="5"/>
  <c r="F518" i="5"/>
  <c r="F534" i="5"/>
  <c r="F555" i="5"/>
  <c r="F488" i="5"/>
  <c r="F504" i="5"/>
  <c r="F512" i="5"/>
  <c r="F520" i="5"/>
  <c r="F528" i="5"/>
  <c r="F536" i="5"/>
  <c r="F545" i="5"/>
  <c r="F561" i="5"/>
  <c r="F496" i="5"/>
  <c r="F508" i="5"/>
  <c r="F516" i="5"/>
  <c r="F524" i="5"/>
  <c r="F532" i="5"/>
  <c r="F540" i="5"/>
  <c r="F553" i="5"/>
  <c r="AA105" i="2"/>
  <c r="AA106" i="2" s="1"/>
  <c r="AA107" i="2" s="1"/>
  <c r="AA108" i="2" s="1"/>
  <c r="AA109" i="2" s="1"/>
  <c r="AA110" i="2" s="1"/>
  <c r="AA111" i="2" s="1"/>
  <c r="AA112" i="2" s="1"/>
  <c r="AA113" i="2" s="1"/>
  <c r="AA114" i="2" s="1"/>
  <c r="AA115" i="2" s="1"/>
  <c r="AA116" i="2" s="1"/>
  <c r="AA117" i="2" s="1"/>
  <c r="AA118" i="2" s="1"/>
  <c r="AA119" i="2" s="1"/>
  <c r="AA120" i="2" s="1"/>
  <c r="AA121" i="2" s="1"/>
  <c r="AA104" i="2"/>
  <c r="G4" i="7"/>
  <c r="F885" i="5"/>
  <c r="F887" i="5"/>
  <c r="F448" i="5"/>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J10" i="9"/>
  <c r="E3" i="7"/>
  <c r="AO5" i="7"/>
  <c r="DW5" i="7"/>
  <c r="HC5" i="7"/>
  <c r="KK5" i="7"/>
  <c r="NS5" i="7"/>
  <c r="RK5" i="7"/>
  <c r="CP6" i="7"/>
  <c r="GX6" i="7"/>
  <c r="LH6" i="7"/>
  <c r="O7" i="7"/>
  <c r="RC7" i="7"/>
  <c r="PV8" i="7"/>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D4" i="7"/>
  <c r="G3" i="7"/>
  <c r="C3"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F4" i="7"/>
  <c r="A4" i="7"/>
  <c r="D3"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E4" i="7"/>
  <c r="B3"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C4" i="7"/>
  <c r="A3"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B4"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F3" i="7"/>
  <c r="BK5" i="7"/>
  <c r="EQ5" i="7"/>
  <c r="HY5" i="7"/>
  <c r="LG5" i="7"/>
  <c r="OM5" i="7"/>
  <c r="H6" i="7"/>
  <c r="DP6" i="7"/>
  <c r="IB6" i="7"/>
  <c r="MP6" i="7"/>
  <c r="DZ7" i="7"/>
  <c r="CF8" i="7"/>
  <c r="CO9" i="7"/>
  <c r="LK11" i="7"/>
  <c r="T3" i="3"/>
  <c r="U3" i="3" s="1"/>
  <c r="I10" i="9"/>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K10" i="9"/>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E29" i="2"/>
  <c r="I30" i="2"/>
  <c r="J31" i="2"/>
  <c r="E30" i="2" s="1"/>
  <c r="J20" i="2"/>
  <c r="E19" i="2" s="1"/>
  <c r="G30" i="2"/>
  <c r="G31" i="2" s="1"/>
  <c r="G32" i="2" s="1"/>
  <c r="G33" i="2" s="1"/>
  <c r="G34" i="2" s="1"/>
  <c r="G35" i="2" s="1"/>
  <c r="G36" i="2" s="1"/>
  <c r="G37" i="2" s="1"/>
  <c r="B18" i="2"/>
  <c r="J72" i="2"/>
  <c r="E71" i="2" s="1"/>
  <c r="H71" i="2"/>
  <c r="B10" i="9"/>
  <c r="C10" i="9" s="1"/>
  <c r="H10" i="9" s="1"/>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H3" i="7" l="1"/>
  <c r="H2" i="7"/>
  <c r="H4" i="7"/>
  <c r="AA123" i="2"/>
  <c r="AA124" i="2" s="1"/>
  <c r="AA125" i="2" s="1"/>
  <c r="AA126" i="2" s="1"/>
  <c r="AA127" i="2" s="1"/>
  <c r="AA128" i="2" s="1"/>
  <c r="AA129" i="2" s="1"/>
  <c r="AA130" i="2" s="1"/>
  <c r="AA131" i="2" s="1"/>
  <c r="AA132" i="2" s="1"/>
  <c r="AA133" i="2" s="1"/>
  <c r="AA134" i="2" s="1"/>
  <c r="AA135" i="2" s="1"/>
  <c r="AA136" i="2" s="1"/>
  <c r="AA137" i="2" s="1"/>
  <c r="AA138" i="2" s="1"/>
  <c r="AA139" i="2" s="1"/>
  <c r="AA122" i="2"/>
  <c r="B87" i="2"/>
  <c r="B71" i="2"/>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I105" i="2"/>
  <c r="D103" i="2" s="1"/>
  <c r="B105" i="2"/>
  <c r="J106" i="2"/>
  <c r="H121" i="2"/>
  <c r="H174" i="2"/>
  <c r="J141" i="2"/>
  <c r="E139" i="2" s="1"/>
  <c r="J140" i="2"/>
  <c r="I139" i="2"/>
  <c r="D138" i="2" s="1"/>
  <c r="B139" i="2"/>
  <c r="C70" i="2"/>
  <c r="H102" i="2"/>
  <c r="D102" i="2"/>
  <c r="J89" i="2"/>
  <c r="B88" i="2"/>
  <c r="I88" i="2"/>
  <c r="J32" i="2"/>
  <c r="E31" i="2" s="1"/>
  <c r="B31" i="2"/>
  <c r="I31" i="2"/>
  <c r="D30" i="2" s="1"/>
  <c r="H87" i="2"/>
  <c r="J124" i="2"/>
  <c r="E122" i="2" s="1"/>
  <c r="I123" i="2"/>
  <c r="B123" i="2"/>
  <c r="J177" i="2"/>
  <c r="J176" i="2"/>
  <c r="I175" i="2"/>
  <c r="B175" i="2"/>
  <c r="E156" i="2"/>
  <c r="H138" i="2"/>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I20" i="2"/>
  <c r="J21" i="2"/>
  <c r="B20" i="2"/>
  <c r="H104" i="2"/>
  <c r="I122" i="2"/>
  <c r="B122" i="2"/>
  <c r="I17" i="2"/>
  <c r="B17" i="2"/>
  <c r="AA141" i="2" l="1"/>
  <c r="AA142" i="2" s="1"/>
  <c r="AA143" i="2" s="1"/>
  <c r="AA144" i="2" s="1"/>
  <c r="AA145" i="2" s="1"/>
  <c r="AA146" i="2" s="1"/>
  <c r="AA147" i="2" s="1"/>
  <c r="AA148" i="2" s="1"/>
  <c r="AA149" i="2" s="1"/>
  <c r="AA150" i="2" s="1"/>
  <c r="AA151" i="2" s="1"/>
  <c r="AA152" i="2" s="1"/>
  <c r="AA153" i="2" s="1"/>
  <c r="AA154" i="2" s="1"/>
  <c r="AA155" i="2" s="1"/>
  <c r="AA156" i="2" s="1"/>
  <c r="AA157" i="2" s="1"/>
  <c r="AA140" i="2"/>
  <c r="C120" i="2"/>
  <c r="B40" i="2"/>
  <c r="E39" i="2"/>
  <c r="I40" i="2"/>
  <c r="J41" i="2"/>
  <c r="H55" i="2"/>
  <c r="C54" i="2" s="1"/>
  <c r="D54" i="2"/>
  <c r="B56" i="2"/>
  <c r="I56" i="2"/>
  <c r="J57" i="2"/>
  <c r="E55" i="2"/>
  <c r="H39" i="2"/>
  <c r="C38" i="2" s="1"/>
  <c r="D38" i="2"/>
  <c r="B73" i="2"/>
  <c r="J74" i="2"/>
  <c r="E73" i="2" s="1"/>
  <c r="I73" i="2"/>
  <c r="D72" i="2" s="1"/>
  <c r="J178" i="2"/>
  <c r="E177" i="2" s="1"/>
  <c r="I177" i="2"/>
  <c r="D175" i="2" s="1"/>
  <c r="B177" i="2"/>
  <c r="I140" i="2"/>
  <c r="B140" i="2"/>
  <c r="I106" i="2"/>
  <c r="D105" i="2" s="1"/>
  <c r="B106" i="2"/>
  <c r="J107" i="2"/>
  <c r="E106" i="2" s="1"/>
  <c r="E104" i="2"/>
  <c r="H193" i="2"/>
  <c r="C192" i="2" s="1"/>
  <c r="E72" i="2"/>
  <c r="H175" i="2"/>
  <c r="C174" i="2" s="1"/>
  <c r="H123" i="2"/>
  <c r="H31" i="2"/>
  <c r="C30" i="2" s="1"/>
  <c r="J142" i="2"/>
  <c r="E141" i="2" s="1"/>
  <c r="I141" i="2"/>
  <c r="D139" i="2" s="1"/>
  <c r="B141" i="2"/>
  <c r="I158" i="2"/>
  <c r="B158" i="2"/>
  <c r="H17" i="2"/>
  <c r="J196" i="2"/>
  <c r="E195" i="2" s="1"/>
  <c r="I195" i="2"/>
  <c r="B195" i="2"/>
  <c r="C29" i="2"/>
  <c r="H88" i="2"/>
  <c r="H122" i="2"/>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I124" i="2"/>
  <c r="D123" i="2" s="1"/>
  <c r="J125" i="2"/>
  <c r="B124" i="2"/>
  <c r="C86" i="2"/>
  <c r="B89" i="2"/>
  <c r="J90" i="2"/>
  <c r="E89" i="2" s="1"/>
  <c r="I89" i="2"/>
  <c r="H139" i="2"/>
  <c r="D121" i="2"/>
  <c r="H105" i="2"/>
  <c r="J160" i="2"/>
  <c r="E158" i="2" s="1"/>
  <c r="I159" i="2"/>
  <c r="B159" i="2"/>
  <c r="E4" i="19"/>
  <c r="E3" i="19"/>
  <c r="G4" i="19"/>
  <c r="G3" i="19"/>
  <c r="F4" i="19"/>
  <c r="H3" i="19"/>
  <c r="F3" i="19"/>
  <c r="H4" i="19"/>
  <c r="H20" i="2"/>
  <c r="D19" i="2"/>
  <c r="I194" i="2"/>
  <c r="B194" i="2"/>
  <c r="I176" i="2"/>
  <c r="B176" i="2"/>
  <c r="E123" i="2"/>
  <c r="D87" i="2"/>
  <c r="B32" i="2"/>
  <c r="I32" i="2"/>
  <c r="J33" i="2"/>
  <c r="E32" i="2" s="1"/>
  <c r="E88" i="2"/>
  <c r="C102" i="2"/>
  <c r="D174" i="2"/>
  <c r="E105" i="2"/>
  <c r="H157" i="2"/>
  <c r="C156" i="2" s="1"/>
  <c r="AA159" i="2" l="1"/>
  <c r="AA160" i="2" s="1"/>
  <c r="AA161" i="2" s="1"/>
  <c r="AA162" i="2" s="1"/>
  <c r="AA163" i="2" s="1"/>
  <c r="AA164" i="2" s="1"/>
  <c r="AA165" i="2" s="1"/>
  <c r="AA166" i="2" s="1"/>
  <c r="AA167" i="2" s="1"/>
  <c r="AA168" i="2" s="1"/>
  <c r="AA169" i="2" s="1"/>
  <c r="AA170" i="2" s="1"/>
  <c r="AA171" i="2" s="1"/>
  <c r="AA172" i="2" s="1"/>
  <c r="AA173" i="2" s="1"/>
  <c r="AA174" i="2" s="1"/>
  <c r="AA175" i="2" s="1"/>
  <c r="AA158" i="2"/>
  <c r="E194" i="2"/>
  <c r="G5" i="19"/>
  <c r="D122" i="2"/>
  <c r="I41" i="2"/>
  <c r="H41" i="2" s="1"/>
  <c r="J42" i="2"/>
  <c r="B41" i="2"/>
  <c r="D39" i="2"/>
  <c r="H40" i="2"/>
  <c r="E176" i="2"/>
  <c r="E5" i="19"/>
  <c r="H56" i="2"/>
  <c r="H5" i="19"/>
  <c r="D55" i="2"/>
  <c r="E40" i="2"/>
  <c r="E159" i="2"/>
  <c r="B57" i="2"/>
  <c r="I57" i="2"/>
  <c r="D56" i="2" s="1"/>
  <c r="J58" i="2"/>
  <c r="E56" i="2"/>
  <c r="H194" i="2"/>
  <c r="H159" i="2"/>
  <c r="C157" i="2" s="1"/>
  <c r="D157" i="2"/>
  <c r="H89" i="2"/>
  <c r="D88"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J126" i="2"/>
  <c r="E125" i="2" s="1"/>
  <c r="I125" i="2"/>
  <c r="D124" i="2" s="1"/>
  <c r="B125" i="2"/>
  <c r="E124" i="2"/>
  <c r="B22" i="2"/>
  <c r="I22" i="2"/>
  <c r="D21" i="2" s="1"/>
  <c r="J23" i="2"/>
  <c r="E22" i="2" s="1"/>
  <c r="C87" i="2"/>
  <c r="H195" i="2"/>
  <c r="C193" i="2" s="1"/>
  <c r="D193" i="2"/>
  <c r="H141" i="2"/>
  <c r="C139" i="2" s="1"/>
  <c r="H158" i="2"/>
  <c r="H106" i="2"/>
  <c r="D104" i="2"/>
  <c r="I178" i="2"/>
  <c r="D176" i="2" s="1"/>
  <c r="J179" i="2"/>
  <c r="E178" i="2" s="1"/>
  <c r="B178" i="2"/>
  <c r="C121" i="2"/>
  <c r="I142" i="2"/>
  <c r="D140" i="2" s="1"/>
  <c r="J143" i="2"/>
  <c r="E142" i="2" s="1"/>
  <c r="B142" i="2"/>
  <c r="I107" i="2"/>
  <c r="D106" i="2" s="1"/>
  <c r="B107" i="2"/>
  <c r="J108" i="2"/>
  <c r="E107" i="2" s="1"/>
  <c r="E140" i="2"/>
  <c r="H73" i="2"/>
  <c r="C72" i="2" s="1"/>
  <c r="I160" i="2"/>
  <c r="D159" i="2" s="1"/>
  <c r="J161" i="2"/>
  <c r="E160" i="2" s="1"/>
  <c r="B160" i="2"/>
  <c r="J91" i="2"/>
  <c r="E90" i="2" s="1"/>
  <c r="B90" i="2"/>
  <c r="I90" i="2"/>
  <c r="D89" i="2" s="1"/>
  <c r="H124" i="2"/>
  <c r="C123" i="2" s="1"/>
  <c r="H21" i="2"/>
  <c r="C20" i="2" s="1"/>
  <c r="J34" i="2"/>
  <c r="B33" i="2"/>
  <c r="I33" i="2"/>
  <c r="D32" i="2" s="1"/>
  <c r="C19" i="2"/>
  <c r="C71" i="2"/>
  <c r="C138" i="2"/>
  <c r="I196" i="2"/>
  <c r="J197" i="2"/>
  <c r="E196" i="2" s="1"/>
  <c r="B196" i="2"/>
  <c r="C103" i="2"/>
  <c r="H140" i="2"/>
  <c r="H177" i="2"/>
  <c r="C175" i="2" s="1"/>
  <c r="J75" i="2"/>
  <c r="E74" i="2" s="1"/>
  <c r="B74" i="2"/>
  <c r="I74" i="2"/>
  <c r="D73" i="2" s="1"/>
  <c r="AA177" i="2" l="1"/>
  <c r="AA178" i="2" s="1"/>
  <c r="AA179" i="2" s="1"/>
  <c r="AA180" i="2" s="1"/>
  <c r="AA181" i="2" s="1"/>
  <c r="AA182" i="2" s="1"/>
  <c r="AA183" i="2" s="1"/>
  <c r="AA184" i="2" s="1"/>
  <c r="AA185" i="2" s="1"/>
  <c r="AA186" i="2" s="1"/>
  <c r="AA187" i="2" s="1"/>
  <c r="AA188" i="2" s="1"/>
  <c r="AA189" i="2" s="1"/>
  <c r="AA190" i="2" s="1"/>
  <c r="AA191" i="2" s="1"/>
  <c r="AA192" i="2" s="1"/>
  <c r="AA193" i="2" s="1"/>
  <c r="AA176" i="2"/>
  <c r="D177" i="2"/>
  <c r="D40" i="2"/>
  <c r="C122" i="2"/>
  <c r="C40" i="2"/>
  <c r="C39" i="2"/>
  <c r="I42" i="2"/>
  <c r="J43" i="2"/>
  <c r="B42" i="2"/>
  <c r="H57" i="2"/>
  <c r="C56" i="2" s="1"/>
  <c r="I58" i="2"/>
  <c r="H58" i="2" s="1"/>
  <c r="E57" i="2"/>
  <c r="J59" i="2"/>
  <c r="E58" i="2" s="1"/>
  <c r="B58" i="2"/>
  <c r="E41" i="2"/>
  <c r="C55" i="2"/>
  <c r="J162" i="2"/>
  <c r="I161" i="2"/>
  <c r="B161" i="2"/>
  <c r="H142" i="2"/>
  <c r="C141" i="2" s="1"/>
  <c r="D158" i="2"/>
  <c r="H22" i="2"/>
  <c r="C21" i="2" s="1"/>
  <c r="I126" i="2"/>
  <c r="D125" i="2" s="1"/>
  <c r="J127" i="2"/>
  <c r="B126" i="2"/>
  <c r="H74" i="2"/>
  <c r="C73" i="2" s="1"/>
  <c r="H196" i="2"/>
  <c r="C195" i="2" s="1"/>
  <c r="B34" i="2"/>
  <c r="I34" i="2"/>
  <c r="D33" i="2" s="1"/>
  <c r="J35" i="2"/>
  <c r="E34" i="2"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J144" i="2"/>
  <c r="E143" i="2" s="1"/>
  <c r="I143" i="2"/>
  <c r="B143" i="2"/>
  <c r="D141" i="2"/>
  <c r="D195" i="2"/>
  <c r="I23" i="2"/>
  <c r="J24" i="2"/>
  <c r="E23" i="2" s="1"/>
  <c r="B23" i="2"/>
  <c r="G7" i="19" s="1"/>
  <c r="H125" i="2"/>
  <c r="C124" i="2" s="1"/>
  <c r="B75" i="2"/>
  <c r="J76" i="2"/>
  <c r="E75" i="2" s="1"/>
  <c r="I75" i="2"/>
  <c r="D74" i="2" s="1"/>
  <c r="J198" i="2"/>
  <c r="I197" i="2"/>
  <c r="B197" i="2"/>
  <c r="H33" i="2"/>
  <c r="I108" i="2"/>
  <c r="B108" i="2"/>
  <c r="J109" i="2"/>
  <c r="J180" i="2"/>
  <c r="E179" i="2" s="1"/>
  <c r="I179" i="2"/>
  <c r="B179" i="2"/>
  <c r="C88" i="2"/>
  <c r="D194" i="2"/>
  <c r="A5" i="9" l="1"/>
  <c r="AA195" i="2"/>
  <c r="AA196" i="2" s="1"/>
  <c r="AA197" i="2" s="1"/>
  <c r="AA198" i="2" s="1"/>
  <c r="AA199" i="2" s="1"/>
  <c r="AA200" i="2" s="1"/>
  <c r="AA201" i="2" s="1"/>
  <c r="AA202" i="2" s="1"/>
  <c r="AA203" i="2" s="1"/>
  <c r="AA204" i="2" s="1"/>
  <c r="AA205" i="2" s="1"/>
  <c r="AA206" i="2" s="1"/>
  <c r="AA207" i="2" s="1"/>
  <c r="AA208" i="2" s="1"/>
  <c r="AA209" i="2" s="1"/>
  <c r="AA194" i="2"/>
  <c r="F10" i="3" s="1" a="1"/>
  <c r="F10" i="3" s="1"/>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C177" i="2"/>
  <c r="C194" i="2"/>
  <c r="F7" i="19"/>
  <c r="C57" i="2"/>
  <c r="J44" i="2"/>
  <c r="E43" i="2" s="1"/>
  <c r="B43" i="2"/>
  <c r="I43" i="2"/>
  <c r="D57" i="2"/>
  <c r="H42" i="2"/>
  <c r="C41" i="2" s="1"/>
  <c r="D41" i="2"/>
  <c r="E7" i="19"/>
  <c r="B59" i="2"/>
  <c r="I59" i="2"/>
  <c r="H59" i="2" s="1"/>
  <c r="C58" i="2" s="1"/>
  <c r="J60" i="2"/>
  <c r="E42" i="2"/>
  <c r="H179" i="2"/>
  <c r="C178" i="2" s="1"/>
  <c r="I198" i="2"/>
  <c r="D197" i="2" s="1"/>
  <c r="J199" i="2"/>
  <c r="E198" i="2" s="1"/>
  <c r="B198" i="2"/>
  <c r="E197" i="2"/>
  <c r="H23" i="2"/>
  <c r="D22" i="2"/>
  <c r="H143" i="2"/>
  <c r="C142" i="2" s="1"/>
  <c r="D142" i="2"/>
  <c r="D178" i="2"/>
  <c r="H108" i="2"/>
  <c r="C107" i="2" s="1"/>
  <c r="D107" i="2"/>
  <c r="I109" i="2"/>
  <c r="D108" i="2" s="1"/>
  <c r="B109" i="2"/>
  <c r="J110" i="2"/>
  <c r="E109" i="2" s="1"/>
  <c r="H75" i="2"/>
  <c r="C74" i="2" s="1"/>
  <c r="J93" i="2"/>
  <c r="E92" i="2" s="1"/>
  <c r="B92" i="2"/>
  <c r="I92" i="2"/>
  <c r="D91" i="2" s="1"/>
  <c r="H34" i="2"/>
  <c r="C33" i="2" s="1"/>
  <c r="I180" i="2"/>
  <c r="J181" i="2"/>
  <c r="E180" i="2" s="1"/>
  <c r="B180" i="2"/>
  <c r="H197" i="2"/>
  <c r="C196" i="2"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J128" i="2"/>
  <c r="E127" i="2" s="1"/>
  <c r="I127" i="2"/>
  <c r="D126" i="2" s="1"/>
  <c r="B127" i="2"/>
  <c r="H161" i="2"/>
  <c r="H91" i="2"/>
  <c r="H126" i="2"/>
  <c r="C125" i="2" s="1"/>
  <c r="I162" i="2"/>
  <c r="D161" i="2" s="1"/>
  <c r="J163" i="2"/>
  <c r="B162" i="2"/>
  <c r="D90" i="2"/>
  <c r="E108" i="2"/>
  <c r="J77" i="2"/>
  <c r="E76" i="2" s="1"/>
  <c r="B76" i="2"/>
  <c r="I76" i="2"/>
  <c r="B24" i="2"/>
  <c r="I24" i="2"/>
  <c r="J25" i="2"/>
  <c r="D160" i="2"/>
  <c r="E91" i="2"/>
  <c r="J36" i="2"/>
  <c r="E35" i="2" s="1"/>
  <c r="B35" i="2"/>
  <c r="I35" i="2"/>
  <c r="C140" i="2"/>
  <c r="C32" i="2"/>
  <c r="E126" i="2"/>
  <c r="E161" i="2"/>
  <c r="E11" i="9" l="1"/>
  <c r="D11" i="9" s="1"/>
  <c r="F11" i="9"/>
  <c r="D58" i="2"/>
  <c r="D42" i="2"/>
  <c r="H43" i="2"/>
  <c r="C42" i="2" s="1"/>
  <c r="C22" i="2"/>
  <c r="E59" i="2"/>
  <c r="I60" i="2"/>
  <c r="J61" i="2"/>
  <c r="B60" i="2"/>
  <c r="I44" i="2"/>
  <c r="J45" i="2"/>
  <c r="B44" i="2"/>
  <c r="H35" i="2"/>
  <c r="C34" i="2" s="1"/>
  <c r="E24" i="2"/>
  <c r="H76" i="2"/>
  <c r="C75" i="2" s="1"/>
  <c r="J164" i="2"/>
  <c r="E163" i="2" s="1"/>
  <c r="I163" i="2"/>
  <c r="D162" i="2" s="1"/>
  <c r="B163" i="2"/>
  <c r="I128" i="2"/>
  <c r="D127" i="2" s="1"/>
  <c r="J129" i="2"/>
  <c r="E128" i="2" s="1"/>
  <c r="B128" i="2"/>
  <c r="J146" i="2"/>
  <c r="E145" i="2" s="1"/>
  <c r="I145" i="2"/>
  <c r="D144" i="2" s="1"/>
  <c r="B145" i="2"/>
  <c r="H180" i="2"/>
  <c r="C179" i="2" s="1"/>
  <c r="D75" i="2"/>
  <c r="H24" i="2"/>
  <c r="E162" i="2"/>
  <c r="C90" i="2"/>
  <c r="E144" i="2"/>
  <c r="H92" i="2"/>
  <c r="H109" i="2"/>
  <c r="C108" i="2" s="1"/>
  <c r="B36" i="2"/>
  <c r="I36" i="2"/>
  <c r="D35" i="2" s="1"/>
  <c r="J37" i="2"/>
  <c r="G8" i="19"/>
  <c r="E8" i="19"/>
  <c r="H8" i="19"/>
  <c r="F8" i="19"/>
  <c r="B77" i="2"/>
  <c r="J78" i="2"/>
  <c r="E77" i="2" s="1"/>
  <c r="I77" i="2"/>
  <c r="D76" i="2" s="1"/>
  <c r="H162" i="2"/>
  <c r="C161" i="2" s="1"/>
  <c r="H127" i="2"/>
  <c r="C126" i="2" s="1"/>
  <c r="C160" i="2"/>
  <c r="H144" i="2"/>
  <c r="J182" i="2"/>
  <c r="E181" i="2" s="1"/>
  <c r="I181" i="2"/>
  <c r="B181" i="2"/>
  <c r="D34" i="2"/>
  <c r="D143" i="2"/>
  <c r="H198" i="2"/>
  <c r="J26" i="2"/>
  <c r="B25" i="2"/>
  <c r="I25" i="2"/>
  <c r="F195" i="2"/>
  <c r="F196" i="2" s="1"/>
  <c r="F197" i="2" s="1"/>
  <c r="F198" i="2" s="1"/>
  <c r="F199" i="2" s="1"/>
  <c r="F200" i="2" s="1"/>
  <c r="F201" i="2" s="1"/>
  <c r="F202" i="2" s="1"/>
  <c r="F203" i="2" s="1"/>
  <c r="F204" i="2" s="1"/>
  <c r="F205" i="2" s="1"/>
  <c r="F206" i="2" s="1"/>
  <c r="F207" i="2" s="1"/>
  <c r="F208" i="2" s="1"/>
  <c r="F209" i="2" s="1"/>
  <c r="F194" i="2"/>
  <c r="B93" i="2"/>
  <c r="J94" i="2"/>
  <c r="I93" i="2"/>
  <c r="I110" i="2"/>
  <c r="B110" i="2"/>
  <c r="J111" i="2"/>
  <c r="E110" i="2" s="1"/>
  <c r="D179" i="2"/>
  <c r="D23" i="2"/>
  <c r="J200" i="2"/>
  <c r="E199" i="2" s="1"/>
  <c r="I199" i="2"/>
  <c r="B199" i="2"/>
  <c r="E12" i="9" l="1"/>
  <c r="D12" i="9" s="1"/>
  <c r="F12" i="9"/>
  <c r="G11" i="9"/>
  <c r="K11" i="9"/>
  <c r="J11" i="9"/>
  <c r="I11" i="9"/>
  <c r="B11" i="9"/>
  <c r="C11" i="9" s="1"/>
  <c r="H11" i="9" s="1"/>
  <c r="C23" i="2"/>
  <c r="D43" i="2"/>
  <c r="H44" i="2"/>
  <c r="C43" i="2" s="1"/>
  <c r="J62" i="2"/>
  <c r="E60" i="2"/>
  <c r="B61" i="2"/>
  <c r="I61" i="2"/>
  <c r="H61" i="2" s="1"/>
  <c r="B45" i="2"/>
  <c r="I45" i="2"/>
  <c r="H45" i="2" s="1"/>
  <c r="E44" i="2"/>
  <c r="J46" i="2"/>
  <c r="H60" i="2"/>
  <c r="C59" i="2" s="1"/>
  <c r="D59" i="2"/>
  <c r="H199" i="2"/>
  <c r="C198" i="2" s="1"/>
  <c r="J95" i="2"/>
  <c r="E94" i="2" s="1"/>
  <c r="B94" i="2"/>
  <c r="I94" i="2"/>
  <c r="D93" i="2" s="1"/>
  <c r="H25" i="2"/>
  <c r="C24" i="2" s="1"/>
  <c r="I200" i="2"/>
  <c r="D199" i="2" s="1"/>
  <c r="J201" i="2"/>
  <c r="E200" i="2" s="1"/>
  <c r="B200" i="2"/>
  <c r="H110" i="2"/>
  <c r="C109" i="2" s="1"/>
  <c r="E93" i="2"/>
  <c r="B26" i="2"/>
  <c r="E10" i="19" s="1"/>
  <c r="I26" i="2"/>
  <c r="J27" i="2"/>
  <c r="E26" i="2" s="1"/>
  <c r="I111" i="2"/>
  <c r="D110" i="2" s="1"/>
  <c r="B111" i="2"/>
  <c r="J112" i="2"/>
  <c r="E111" i="2" s="1"/>
  <c r="H93" i="2"/>
  <c r="C92" i="2" s="1"/>
  <c r="E25" i="2"/>
  <c r="H36" i="2"/>
  <c r="C35" i="2" s="1"/>
  <c r="D92" i="2"/>
  <c r="H145" i="2"/>
  <c r="C144" i="2" s="1"/>
  <c r="H181" i="2"/>
  <c r="F9" i="19"/>
  <c r="H128" i="2"/>
  <c r="C91" i="2"/>
  <c r="I164" i="2"/>
  <c r="D163" i="2" s="1"/>
  <c r="J165" i="2"/>
  <c r="B164" i="2"/>
  <c r="C197" i="2"/>
  <c r="H9" i="19"/>
  <c r="G9" i="19"/>
  <c r="D198" i="2"/>
  <c r="H77" i="2"/>
  <c r="C76" i="2" s="1"/>
  <c r="B37" i="2"/>
  <c r="I37" i="2"/>
  <c r="E37" i="2"/>
  <c r="D109" i="2"/>
  <c r="D180" i="2"/>
  <c r="I146" i="2"/>
  <c r="J147" i="2"/>
  <c r="B146" i="2"/>
  <c r="I182" i="2"/>
  <c r="J183" i="2"/>
  <c r="E182" i="2" s="1"/>
  <c r="B182" i="2"/>
  <c r="J79" i="2"/>
  <c r="B78" i="2"/>
  <c r="I78" i="2"/>
  <c r="D77" i="2" s="1"/>
  <c r="E9" i="19"/>
  <c r="E36" i="2"/>
  <c r="C143" i="2"/>
  <c r="D24" i="2"/>
  <c r="J130" i="2"/>
  <c r="E129" i="2" s="1"/>
  <c r="I129" i="2"/>
  <c r="B129" i="2"/>
  <c r="H163" i="2"/>
  <c r="C162" i="2" s="1"/>
  <c r="I4" i="7" l="1"/>
  <c r="I2" i="7"/>
  <c r="I3" i="7"/>
  <c r="E13" i="9"/>
  <c r="D13" i="9" s="1"/>
  <c r="F13" i="9"/>
  <c r="G12" i="9"/>
  <c r="K12" i="9"/>
  <c r="I12" i="9"/>
  <c r="J12" i="9"/>
  <c r="B12" i="9"/>
  <c r="C12" i="9" s="1"/>
  <c r="H12" i="9" s="1"/>
  <c r="C60" i="2"/>
  <c r="D60" i="2"/>
  <c r="C44" i="2"/>
  <c r="H10" i="19"/>
  <c r="G10" i="19"/>
  <c r="E45" i="2"/>
  <c r="J47" i="2"/>
  <c r="B46" i="2"/>
  <c r="I46" i="2"/>
  <c r="F10" i="19"/>
  <c r="E61" i="2"/>
  <c r="J63" i="2"/>
  <c r="B62" i="2"/>
  <c r="I62" i="2"/>
  <c r="D44" i="2"/>
  <c r="H146" i="2"/>
  <c r="C145" i="2" s="1"/>
  <c r="H129" i="2"/>
  <c r="C128" i="2" s="1"/>
  <c r="B79" i="2"/>
  <c r="J80" i="2"/>
  <c r="E79" i="2" s="1"/>
  <c r="I79" i="2"/>
  <c r="D78" i="2" s="1"/>
  <c r="H182" i="2"/>
  <c r="C181" i="2" s="1"/>
  <c r="H37" i="2"/>
  <c r="C36" i="2" s="1"/>
  <c r="D37" i="2"/>
  <c r="D145" i="2"/>
  <c r="H78" i="2"/>
  <c r="C77" i="2" s="1"/>
  <c r="C127" i="2"/>
  <c r="I112" i="2"/>
  <c r="D111" i="2" s="1"/>
  <c r="B112" i="2"/>
  <c r="J113" i="2"/>
  <c r="E112" i="2" s="1"/>
  <c r="I27" i="2"/>
  <c r="D26" i="2" s="1"/>
  <c r="J28" i="2"/>
  <c r="E27" i="2" s="1"/>
  <c r="B27" i="2"/>
  <c r="J148" i="2"/>
  <c r="E147" i="2" s="1"/>
  <c r="I147" i="2"/>
  <c r="D146" i="2" s="1"/>
  <c r="B147" i="2"/>
  <c r="J166" i="2"/>
  <c r="E165" i="2" s="1"/>
  <c r="I165" i="2"/>
  <c r="D164" i="2" s="1"/>
  <c r="B165" i="2"/>
  <c r="D128" i="2"/>
  <c r="I130" i="2"/>
  <c r="D129" i="2" s="1"/>
  <c r="J131" i="2"/>
  <c r="E130" i="2" s="1"/>
  <c r="B130" i="2"/>
  <c r="E78" i="2"/>
  <c r="J184" i="2"/>
  <c r="E183" i="2" s="1"/>
  <c r="I183" i="2"/>
  <c r="D182" i="2" s="1"/>
  <c r="B183" i="2"/>
  <c r="E146" i="2"/>
  <c r="E164" i="2"/>
  <c r="C180" i="2"/>
  <c r="D181" i="2"/>
  <c r="D36" i="2"/>
  <c r="H200" i="2"/>
  <c r="C199" i="2" s="1"/>
  <c r="B95" i="2"/>
  <c r="J96" i="2"/>
  <c r="E95" i="2" s="1"/>
  <c r="I95" i="2"/>
  <c r="D94" i="2" s="1"/>
  <c r="H164" i="2"/>
  <c r="C163" i="2" s="1"/>
  <c r="H111" i="2"/>
  <c r="C110" i="2" s="1"/>
  <c r="H26" i="2"/>
  <c r="J202" i="2"/>
  <c r="E201" i="2" s="1"/>
  <c r="I201" i="2"/>
  <c r="D200" i="2" s="1"/>
  <c r="B201" i="2"/>
  <c r="D25" i="2"/>
  <c r="H94" i="2"/>
  <c r="C93" i="2" s="1"/>
  <c r="J3" i="7" l="1"/>
  <c r="J2" i="7"/>
  <c r="J4" i="7"/>
  <c r="E14" i="9"/>
  <c r="D14" i="9" s="1"/>
  <c r="F14" i="9"/>
  <c r="G13" i="9"/>
  <c r="J13" i="9"/>
  <c r="K13" i="9"/>
  <c r="I13" i="9"/>
  <c r="B13" i="9"/>
  <c r="C13" i="9" s="1"/>
  <c r="H13" i="9" s="1"/>
  <c r="H62" i="2"/>
  <c r="D61" i="2"/>
  <c r="J64" i="2"/>
  <c r="E62" i="2"/>
  <c r="B63" i="2"/>
  <c r="I63" i="2"/>
  <c r="H46" i="2"/>
  <c r="D45" i="2"/>
  <c r="C25" i="2"/>
  <c r="B47" i="2"/>
  <c r="I47" i="2"/>
  <c r="D46" i="2" s="1"/>
  <c r="J48" i="2"/>
  <c r="E47" i="2" s="1"/>
  <c r="E46" i="2"/>
  <c r="H201" i="2"/>
  <c r="C200" i="2" s="1"/>
  <c r="I202" i="2"/>
  <c r="D201" i="2" s="1"/>
  <c r="J203" i="2"/>
  <c r="E202" i="2" s="1"/>
  <c r="B202" i="2"/>
  <c r="H95" i="2"/>
  <c r="J97" i="2"/>
  <c r="E96" i="2" s="1"/>
  <c r="B96" i="2"/>
  <c r="I96" i="2"/>
  <c r="D95" i="2" s="1"/>
  <c r="H183" i="2"/>
  <c r="C182" i="2" s="1"/>
  <c r="I184" i="2"/>
  <c r="D183" i="2" s="1"/>
  <c r="J185" i="2"/>
  <c r="E184" i="2" s="1"/>
  <c r="B184" i="2"/>
  <c r="J132" i="2"/>
  <c r="E131" i="2" s="1"/>
  <c r="I131" i="2"/>
  <c r="D130" i="2" s="1"/>
  <c r="B131" i="2"/>
  <c r="H130" i="2"/>
  <c r="H165" i="2"/>
  <c r="I166" i="2"/>
  <c r="D165" i="2" s="1"/>
  <c r="J167" i="2"/>
  <c r="E166" i="2" s="1"/>
  <c r="B166" i="2"/>
  <c r="H147" i="2"/>
  <c r="C146" i="2" s="1"/>
  <c r="I148" i="2"/>
  <c r="D147" i="2" s="1"/>
  <c r="J149" i="2"/>
  <c r="E148" i="2" s="1"/>
  <c r="B148" i="2"/>
  <c r="H11" i="19"/>
  <c r="E11" i="19"/>
  <c r="G11" i="19"/>
  <c r="F11" i="19"/>
  <c r="B28" i="2"/>
  <c r="I28" i="2"/>
  <c r="D27" i="2" s="1"/>
  <c r="E28" i="2"/>
  <c r="H27" i="2"/>
  <c r="I113" i="2"/>
  <c r="D112" i="2" s="1"/>
  <c r="B113" i="2"/>
  <c r="J114" i="2"/>
  <c r="E113" i="2" s="1"/>
  <c r="H112" i="2"/>
  <c r="C37" i="2"/>
  <c r="H79" i="2"/>
  <c r="J81" i="2"/>
  <c r="E80" i="2" s="1"/>
  <c r="B80" i="2"/>
  <c r="I80" i="2"/>
  <c r="D79" i="2" s="1"/>
  <c r="K2" i="7" l="1"/>
  <c r="K4" i="7"/>
  <c r="K3" i="7"/>
  <c r="E15" i="9"/>
  <c r="D15" i="9" s="1"/>
  <c r="F15" i="9"/>
  <c r="B15" i="9" s="1"/>
  <c r="C15" i="9" s="1"/>
  <c r="G14" i="9"/>
  <c r="J14" i="9"/>
  <c r="I14" i="9"/>
  <c r="K14" i="9"/>
  <c r="B14" i="9"/>
  <c r="C14" i="9" s="1"/>
  <c r="H14" i="9" s="1"/>
  <c r="J65" i="2"/>
  <c r="E64" i="2" s="1"/>
  <c r="E63" i="2"/>
  <c r="I64" i="2"/>
  <c r="H64" i="2" s="1"/>
  <c r="B64" i="2"/>
  <c r="C45" i="2"/>
  <c r="B48" i="2"/>
  <c r="N11" i="19" s="1"/>
  <c r="J49" i="2"/>
  <c r="E48" i="2" s="1"/>
  <c r="I48" i="2"/>
  <c r="H48" i="2" s="1"/>
  <c r="H47" i="2"/>
  <c r="H63" i="2"/>
  <c r="C62" i="2" s="1"/>
  <c r="D62" i="2"/>
  <c r="C61" i="2"/>
  <c r="C111" i="2"/>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81" i="2"/>
  <c r="J82" i="2"/>
  <c r="E81" i="2" s="1"/>
  <c r="I81" i="2"/>
  <c r="D80" i="2" s="1"/>
  <c r="I114" i="2"/>
  <c r="D113" i="2" s="1"/>
  <c r="B114" i="2"/>
  <c r="J115" i="2"/>
  <c r="E114" i="2" s="1"/>
  <c r="H113" i="2"/>
  <c r="H28" i="2"/>
  <c r="D28" i="2"/>
  <c r="J150" i="2"/>
  <c r="E149" i="2" s="1"/>
  <c r="I149" i="2"/>
  <c r="D148" i="2" s="1"/>
  <c r="B149" i="2"/>
  <c r="H148" i="2"/>
  <c r="C147" i="2" s="1"/>
  <c r="J168" i="2"/>
  <c r="E167" i="2" s="1"/>
  <c r="I167" i="2"/>
  <c r="D166" i="2" s="1"/>
  <c r="B167" i="2"/>
  <c r="H166" i="2"/>
  <c r="C165" i="2" s="1"/>
  <c r="H131" i="2"/>
  <c r="C130" i="2" s="1"/>
  <c r="I132" i="2"/>
  <c r="D131" i="2" s="1"/>
  <c r="J133" i="2"/>
  <c r="E132" i="2" s="1"/>
  <c r="B132" i="2"/>
  <c r="J186" i="2"/>
  <c r="E185" i="2" s="1"/>
  <c r="I185" i="2"/>
  <c r="D184" i="2" s="1"/>
  <c r="B185" i="2"/>
  <c r="H184" i="2"/>
  <c r="C183" i="2" s="1"/>
  <c r="H96" i="2"/>
  <c r="C95" i="2" s="1"/>
  <c r="B97" i="2"/>
  <c r="J98" i="2"/>
  <c r="E97" i="2" s="1"/>
  <c r="I97" i="2"/>
  <c r="D96" i="2" s="1"/>
  <c r="J204" i="2"/>
  <c r="E203" i="2" s="1"/>
  <c r="I203" i="2"/>
  <c r="D202" i="2" s="1"/>
  <c r="B203" i="2"/>
  <c r="H202" i="2"/>
  <c r="L4" i="7" l="1"/>
  <c r="L2" i="7"/>
  <c r="L3" i="7"/>
  <c r="E16" i="9"/>
  <c r="D16" i="9" s="1"/>
  <c r="F16" i="9"/>
  <c r="B16" i="9" s="1"/>
  <c r="C16" i="9" s="1"/>
  <c r="G15" i="9"/>
  <c r="H15" i="9" s="1"/>
  <c r="K15" i="9"/>
  <c r="I15" i="9"/>
  <c r="J15" i="9"/>
  <c r="P11" i="19"/>
  <c r="D63" i="2"/>
  <c r="D47" i="2"/>
  <c r="C47" i="2"/>
  <c r="M11" i="19"/>
  <c r="C46" i="2"/>
  <c r="O11" i="19"/>
  <c r="J50" i="2"/>
  <c r="E49" i="2" s="1"/>
  <c r="B49" i="2"/>
  <c r="P12" i="19" s="1"/>
  <c r="I49" i="2"/>
  <c r="C63" i="2"/>
  <c r="B65" i="2"/>
  <c r="I65" i="2"/>
  <c r="J66" i="2"/>
  <c r="E65" i="2" s="1"/>
  <c r="C28" i="2"/>
  <c r="C27" i="2"/>
  <c r="C112" i="2"/>
  <c r="C201" i="2"/>
  <c r="H203" i="2"/>
  <c r="I204" i="2"/>
  <c r="D203" i="2" s="1"/>
  <c r="J205" i="2"/>
  <c r="E204" i="2" s="1"/>
  <c r="B204" i="2"/>
  <c r="H97" i="2"/>
  <c r="J99" i="2"/>
  <c r="E98" i="2" s="1"/>
  <c r="B98" i="2"/>
  <c r="I98" i="2"/>
  <c r="D97" i="2" s="1"/>
  <c r="H185" i="2"/>
  <c r="C184" i="2" s="1"/>
  <c r="I186" i="2"/>
  <c r="D185" i="2" s="1"/>
  <c r="J187" i="2"/>
  <c r="E186" i="2" s="1"/>
  <c r="B186" i="2"/>
  <c r="J134" i="2"/>
  <c r="E133" i="2" s="1"/>
  <c r="I133" i="2"/>
  <c r="D132" i="2" s="1"/>
  <c r="B133" i="2"/>
  <c r="H132" i="2"/>
  <c r="H167" i="2"/>
  <c r="I168" i="2"/>
  <c r="D167" i="2" s="1"/>
  <c r="J169" i="2"/>
  <c r="E168" i="2" s="1"/>
  <c r="B168" i="2"/>
  <c r="H149" i="2"/>
  <c r="I150" i="2"/>
  <c r="D149" i="2" s="1"/>
  <c r="J151" i="2"/>
  <c r="E150" i="2" s="1"/>
  <c r="B150" i="2"/>
  <c r="I115" i="2"/>
  <c r="D114" i="2" s="1"/>
  <c r="B115" i="2"/>
  <c r="J116" i="2"/>
  <c r="E115" i="2" s="1"/>
  <c r="H114" i="2"/>
  <c r="H81" i="2"/>
  <c r="C80" i="2" s="1"/>
  <c r="J83" i="2"/>
  <c r="E82" i="2" s="1"/>
  <c r="B82" i="2"/>
  <c r="I82" i="2"/>
  <c r="D81" i="2" s="1"/>
  <c r="Z85" i="2"/>
  <c r="X109" i="2"/>
  <c r="X75" i="2"/>
  <c r="Z46" i="2"/>
  <c r="X105" i="2"/>
  <c r="Y22" i="2"/>
  <c r="Y131" i="2"/>
  <c r="X72" i="2"/>
  <c r="Z123" i="2"/>
  <c r="Y156" i="2"/>
  <c r="Z119" i="2"/>
  <c r="X24" i="2"/>
  <c r="X144" i="2"/>
  <c r="Z83" i="2"/>
  <c r="Z149" i="2"/>
  <c r="X46" i="2"/>
  <c r="Y121" i="2"/>
  <c r="Y179" i="2"/>
  <c r="Z73" i="2"/>
  <c r="X114" i="2"/>
  <c r="Y56" i="2"/>
  <c r="Y120" i="2"/>
  <c r="Z23" i="2"/>
  <c r="Y165" i="2"/>
  <c r="X53" i="2"/>
  <c r="Y110" i="2"/>
  <c r="X27" i="2"/>
  <c r="X187" i="2"/>
  <c r="Y167" i="2"/>
  <c r="X148" i="2"/>
  <c r="Z62" i="2"/>
  <c r="Y26" i="2"/>
  <c r="X74" i="2"/>
  <c r="Y70" i="2"/>
  <c r="Z106" i="2"/>
  <c r="X59" i="2"/>
  <c r="Y87" i="2"/>
  <c r="Z59" i="2"/>
  <c r="X94" i="2"/>
  <c r="Z67" i="2"/>
  <c r="Z69" i="2"/>
  <c r="Y43" i="2"/>
  <c r="Z147" i="2"/>
  <c r="Y168" i="2"/>
  <c r="Z173" i="2"/>
  <c r="X161" i="2"/>
  <c r="X169" i="2"/>
  <c r="Z141" i="2"/>
  <c r="Z31" i="2"/>
  <c r="X76" i="2"/>
  <c r="X195" i="2"/>
  <c r="Y187" i="2"/>
  <c r="X146" i="2"/>
  <c r="X127" i="2"/>
  <c r="Z56" i="2"/>
  <c r="X170" i="2"/>
  <c r="Y183" i="2"/>
  <c r="Y109" i="2"/>
  <c r="Y208" i="2"/>
  <c r="Y161" i="2"/>
  <c r="X33" i="2"/>
  <c r="X196" i="2"/>
  <c r="Z66" i="2"/>
  <c r="X182" i="2"/>
  <c r="X80" i="2"/>
  <c r="Z156" i="2"/>
  <c r="Z55" i="2"/>
  <c r="Y95" i="2"/>
  <c r="Y198" i="2"/>
  <c r="Y152" i="2"/>
  <c r="Z137" i="2"/>
  <c r="X208" i="2"/>
  <c r="Y148" i="2"/>
  <c r="Z94" i="2"/>
  <c r="Y57" i="2"/>
  <c r="Z47" i="2"/>
  <c r="X119" i="2"/>
  <c r="Y79" i="2"/>
  <c r="Z184" i="2"/>
  <c r="X175" i="2"/>
  <c r="Y117" i="2"/>
  <c r="X184" i="2"/>
  <c r="X81" i="2"/>
  <c r="X40" i="2"/>
  <c r="Z39" i="2"/>
  <c r="Y27" i="2"/>
  <c r="X44" i="2"/>
  <c r="X104" i="2"/>
  <c r="Z88" i="2"/>
  <c r="Y136" i="2"/>
  <c r="Y145" i="2"/>
  <c r="Z192" i="2"/>
  <c r="X60" i="2"/>
  <c r="X93" i="2"/>
  <c r="X42" i="2"/>
  <c r="X18" i="2"/>
  <c r="Y173" i="2"/>
  <c r="Y50" i="2"/>
  <c r="X128" i="2"/>
  <c r="Y48" i="2"/>
  <c r="Z127" i="2"/>
  <c r="Y186" i="2"/>
  <c r="Z53" i="2"/>
  <c r="Y112" i="2"/>
  <c r="Z93" i="2"/>
  <c r="Y32" i="2"/>
  <c r="Y83" i="2"/>
  <c r="Y89" i="2"/>
  <c r="Z116" i="2"/>
  <c r="Z96" i="2"/>
  <c r="Z152" i="2"/>
  <c r="X201" i="2"/>
  <c r="Z41" i="2"/>
  <c r="Z143" i="2"/>
  <c r="X194" i="2"/>
  <c r="X85" i="2"/>
  <c r="Y63" i="2"/>
  <c r="Z120" i="2"/>
  <c r="Y190" i="2"/>
  <c r="X206" i="2"/>
  <c r="X126" i="2"/>
  <c r="Y93" i="2"/>
  <c r="Y205" i="2"/>
  <c r="Y23" i="2"/>
  <c r="Z35" i="2"/>
  <c r="Y46" i="2"/>
  <c r="Z95" i="2"/>
  <c r="X158" i="2"/>
  <c r="Z112" i="2"/>
  <c r="Y80" i="2"/>
  <c r="Z160" i="2"/>
  <c r="Y147" i="2"/>
  <c r="X64" i="2"/>
  <c r="Y74" i="2"/>
  <c r="Y18" i="2"/>
  <c r="Z82" i="2"/>
  <c r="Z142" i="2"/>
  <c r="Y73" i="2"/>
  <c r="Y102" i="2"/>
  <c r="X123" i="2"/>
  <c r="X205" i="2"/>
  <c r="X157" i="2"/>
  <c r="Z75" i="2"/>
  <c r="Z110" i="2"/>
  <c r="Y20" i="2"/>
  <c r="Y203" i="2"/>
  <c r="Y170" i="2"/>
  <c r="Z202" i="2"/>
  <c r="Y129" i="2"/>
  <c r="Y128" i="2"/>
  <c r="Z164" i="2"/>
  <c r="X107" i="2"/>
  <c r="Y49" i="2"/>
  <c r="Z21" i="2"/>
  <c r="Y154" i="2"/>
  <c r="Y194" i="2"/>
  <c r="Z158" i="2"/>
  <c r="Y133" i="2"/>
  <c r="Z27" i="2"/>
  <c r="Y106" i="2"/>
  <c r="Z92" i="2"/>
  <c r="Y113" i="2"/>
  <c r="Y114" i="2"/>
  <c r="Z200" i="2"/>
  <c r="X106" i="2"/>
  <c r="Y104" i="2"/>
  <c r="Z104" i="2"/>
  <c r="X30" i="2"/>
  <c r="Y58" i="2"/>
  <c r="Z174" i="2"/>
  <c r="Y29" i="2"/>
  <c r="X89" i="2"/>
  <c r="Z162" i="2"/>
  <c r="Y100" i="2"/>
  <c r="Z86" i="2"/>
  <c r="X166" i="2"/>
  <c r="Y135" i="2"/>
  <c r="Y54" i="2"/>
  <c r="Z77" i="2"/>
  <c r="X142" i="2"/>
  <c r="X34" i="2"/>
  <c r="Y188" i="2"/>
  <c r="X41" i="2"/>
  <c r="Z38" i="2"/>
  <c r="X100" i="2"/>
  <c r="Y61" i="2"/>
  <c r="X178" i="2"/>
  <c r="X131" i="2"/>
  <c r="Z32" i="2"/>
  <c r="Y66" i="2"/>
  <c r="X55" i="2"/>
  <c r="Y39" i="2"/>
  <c r="Z26" i="2"/>
  <c r="X137" i="2"/>
  <c r="X124" i="2"/>
  <c r="Z80" i="2"/>
  <c r="Y201" i="2"/>
  <c r="Y108" i="2"/>
  <c r="X176" i="2"/>
  <c r="Y76" i="2"/>
  <c r="Z107" i="2"/>
  <c r="Y42" i="2"/>
  <c r="X25" i="2"/>
  <c r="X43" i="2"/>
  <c r="Y71" i="2"/>
  <c r="Y185" i="2"/>
  <c r="Z33" i="2"/>
  <c r="Y91" i="2"/>
  <c r="Z74" i="2"/>
  <c r="Z42" i="2"/>
  <c r="Z111" i="2"/>
  <c r="Y149" i="2"/>
  <c r="X117" i="2"/>
  <c r="X197" i="2"/>
  <c r="X160" i="2"/>
  <c r="X103" i="2"/>
  <c r="X177" i="2"/>
  <c r="X88" i="2"/>
  <c r="Y176" i="2"/>
  <c r="Z89" i="2"/>
  <c r="X50" i="2"/>
  <c r="Y202" i="2"/>
  <c r="Z29" i="2"/>
  <c r="Y34" i="2"/>
  <c r="Y174" i="2"/>
  <c r="Y123" i="2"/>
  <c r="Z20" i="2"/>
  <c r="Y157" i="2"/>
  <c r="X86" i="2"/>
  <c r="Y184" i="2"/>
  <c r="X186" i="2"/>
  <c r="Y207" i="2"/>
  <c r="Y64" i="2"/>
  <c r="X77" i="2"/>
  <c r="Z165" i="2"/>
  <c r="X92" i="2"/>
  <c r="X138" i="2"/>
  <c r="Z159" i="2"/>
  <c r="Z187" i="2"/>
  <c r="Y35" i="2"/>
  <c r="X116" i="2"/>
  <c r="Z25" i="2"/>
  <c r="Y118" i="2"/>
  <c r="Y175" i="2"/>
  <c r="X125" i="2"/>
  <c r="X84" i="2"/>
  <c r="Y160" i="2"/>
  <c r="Y193" i="2"/>
  <c r="X168" i="2"/>
  <c r="X154" i="2"/>
  <c r="Y53" i="2"/>
  <c r="Y72" i="2"/>
  <c r="X19" i="2"/>
  <c r="X193" i="2"/>
  <c r="X51" i="2"/>
  <c r="Y85" i="2"/>
  <c r="X45" i="2"/>
  <c r="Z81" i="2"/>
  <c r="X135" i="2"/>
  <c r="X183" i="2"/>
  <c r="Z163" i="2"/>
  <c r="X180" i="2"/>
  <c r="X35" i="2"/>
  <c r="Z182" i="2"/>
  <c r="X63" i="2"/>
  <c r="Z87" i="2"/>
  <c r="X90" i="2"/>
  <c r="X38" i="2"/>
  <c r="Z113" i="2"/>
  <c r="Z194" i="2"/>
  <c r="Y164" i="2"/>
  <c r="Z49" i="2"/>
  <c r="X132" i="2"/>
  <c r="Y169" i="2"/>
  <c r="Y77" i="2"/>
  <c r="Y31" i="2"/>
  <c r="Z24" i="2"/>
  <c r="X87" i="2"/>
  <c r="Z177" i="2"/>
  <c r="X133" i="2"/>
  <c r="Y200" i="2"/>
  <c r="Y92" i="2"/>
  <c r="Z126" i="2"/>
  <c r="Y139" i="2"/>
  <c r="Y45" i="2"/>
  <c r="X136" i="2"/>
  <c r="X173" i="2"/>
  <c r="Z105" i="2"/>
  <c r="Z71" i="2"/>
  <c r="Y143" i="2"/>
  <c r="X61" i="2"/>
  <c r="X129" i="2"/>
  <c r="Y105" i="2"/>
  <c r="Y206" i="2"/>
  <c r="X188" i="2"/>
  <c r="Z19" i="2"/>
  <c r="Z131" i="2"/>
  <c r="Z101" i="2"/>
  <c r="X36" i="2"/>
  <c r="Z97" i="2"/>
  <c r="Y134" i="2"/>
  <c r="Z18" i="2"/>
  <c r="Y37" i="2"/>
  <c r="X139" i="2"/>
  <c r="Y196" i="2"/>
  <c r="Z72" i="2"/>
  <c r="Z175" i="2"/>
  <c r="Y101" i="2"/>
  <c r="X101" i="2"/>
  <c r="X172" i="2"/>
  <c r="X48" i="2"/>
  <c r="Y90" i="2"/>
  <c r="Y98" i="2"/>
  <c r="X143" i="2"/>
  <c r="Z118" i="2"/>
  <c r="X167" i="2"/>
  <c r="Z61" i="2"/>
  <c r="Y126" i="2"/>
  <c r="Y127" i="2"/>
  <c r="Y151" i="2"/>
  <c r="Z43" i="2"/>
  <c r="X111" i="2"/>
  <c r="X73" i="2"/>
  <c r="Y36" i="2"/>
  <c r="X120" i="2"/>
  <c r="Y21" i="2"/>
  <c r="Y96" i="2"/>
  <c r="Z128" i="2"/>
  <c r="Z208" i="2"/>
  <c r="X159" i="2"/>
  <c r="X108" i="2"/>
  <c r="X96" i="2"/>
  <c r="Z176" i="2"/>
  <c r="Y153" i="2"/>
  <c r="Z114" i="2"/>
  <c r="X151" i="2"/>
  <c r="X22" i="2"/>
  <c r="X58" i="2"/>
  <c r="Z168" i="2"/>
  <c r="Z172" i="2"/>
  <c r="X56" i="2"/>
  <c r="Z155" i="2"/>
  <c r="X141" i="2"/>
  <c r="Z170" i="2"/>
  <c r="Y177" i="2"/>
  <c r="Z103" i="2"/>
  <c r="Y111" i="2"/>
  <c r="X21" i="2"/>
  <c r="Z153" i="2"/>
  <c r="X39" i="2"/>
  <c r="Z166" i="2"/>
  <c r="Z78" i="2"/>
  <c r="Z58" i="2"/>
  <c r="Z144" i="2"/>
  <c r="Y24" i="2"/>
  <c r="Z204" i="2"/>
  <c r="Z63" i="2"/>
  <c r="Y191" i="2"/>
  <c r="Y25" i="2"/>
  <c r="X198" i="2"/>
  <c r="Z70" i="2"/>
  <c r="Y47" i="2"/>
  <c r="Z54" i="2"/>
  <c r="Z167" i="2"/>
  <c r="Y204" i="2"/>
  <c r="Y41" i="2"/>
  <c r="X57" i="2"/>
  <c r="Z188" i="2"/>
  <c r="Z199" i="2"/>
  <c r="Y86" i="2"/>
  <c r="Z151" i="2"/>
  <c r="X145" i="2"/>
  <c r="Z133" i="2"/>
  <c r="Z115" i="2"/>
  <c r="Z146" i="2"/>
  <c r="X26" i="2"/>
  <c r="Z36" i="2"/>
  <c r="Z122" i="2"/>
  <c r="X37" i="2"/>
  <c r="Y178" i="2"/>
  <c r="Y182" i="2"/>
  <c r="X209" i="2"/>
  <c r="X155" i="2"/>
  <c r="Y75" i="2"/>
  <c r="Z145" i="2"/>
  <c r="X162" i="2"/>
  <c r="Y180" i="2"/>
  <c r="Z205" i="2"/>
  <c r="X29" i="2"/>
  <c r="Z161" i="2"/>
  <c r="Y67" i="2"/>
  <c r="Z30" i="2"/>
  <c r="X62" i="2"/>
  <c r="Z76" i="2"/>
  <c r="Y166" i="2"/>
  <c r="X179" i="2"/>
  <c r="Y30" i="2"/>
  <c r="Z65" i="2"/>
  <c r="X153" i="2"/>
  <c r="X52" i="2"/>
  <c r="Y130" i="2"/>
  <c r="X171" i="2"/>
  <c r="Y140" i="2"/>
  <c r="Z179" i="2"/>
  <c r="Y82" i="2"/>
  <c r="X68" i="2"/>
  <c r="Z109" i="2"/>
  <c r="Z140" i="2"/>
  <c r="X112" i="2"/>
  <c r="Z98" i="2"/>
  <c r="Z37" i="2"/>
  <c r="Z203" i="2"/>
  <c r="Z191" i="2"/>
  <c r="X190" i="2"/>
  <c r="Y40" i="2"/>
  <c r="Z28" i="2"/>
  <c r="X110" i="2"/>
  <c r="Z90" i="2"/>
  <c r="Z48" i="2"/>
  <c r="Z100" i="2"/>
  <c r="X31" i="2"/>
  <c r="Y38" i="2"/>
  <c r="Z139" i="2"/>
  <c r="Z195" i="2"/>
  <c r="X70" i="2"/>
  <c r="Y124" i="2"/>
  <c r="Y33" i="2"/>
  <c r="X32" i="2"/>
  <c r="Y181" i="2"/>
  <c r="Z186" i="2"/>
  <c r="Z91" i="2"/>
  <c r="Z40" i="2"/>
  <c r="Y144" i="2"/>
  <c r="Z34" i="2"/>
  <c r="X147" i="2"/>
  <c r="X191" i="2"/>
  <c r="X207" i="2"/>
  <c r="X91" i="2"/>
  <c r="Z124" i="2"/>
  <c r="X152" i="2"/>
  <c r="Y132" i="2"/>
  <c r="Z181" i="2"/>
  <c r="X113" i="2"/>
  <c r="Y81" i="2"/>
  <c r="Y119" i="2"/>
  <c r="Y28" i="2"/>
  <c r="Z150" i="2"/>
  <c r="Y195" i="2"/>
  <c r="Y97" i="2"/>
  <c r="Y103" i="2"/>
  <c r="Z193" i="2"/>
  <c r="Y115" i="2"/>
  <c r="Y99" i="2"/>
  <c r="Z44" i="2"/>
  <c r="X23" i="2"/>
  <c r="Y189" i="2"/>
  <c r="X118" i="2"/>
  <c r="Z121" i="2"/>
  <c r="Z51" i="2"/>
  <c r="Y55" i="2"/>
  <c r="X83" i="2"/>
  <c r="Z52" i="2"/>
  <c r="Z22" i="2"/>
  <c r="Z135" i="2"/>
  <c r="X78" i="2"/>
  <c r="Z196" i="2"/>
  <c r="Y138" i="2"/>
  <c r="Z197" i="2"/>
  <c r="X181" i="2"/>
  <c r="X49" i="2"/>
  <c r="X165" i="2"/>
  <c r="X174" i="2"/>
  <c r="X69" i="2"/>
  <c r="X164" i="2"/>
  <c r="Z108" i="2"/>
  <c r="X54" i="2"/>
  <c r="Y116" i="2"/>
  <c r="Y142" i="2"/>
  <c r="Y141" i="2"/>
  <c r="Y84" i="2"/>
  <c r="Y78" i="2"/>
  <c r="X150" i="2"/>
  <c r="Y171" i="2"/>
  <c r="X67" i="2"/>
  <c r="Y52" i="2"/>
  <c r="Y69" i="2"/>
  <c r="Z57" i="2"/>
  <c r="Z45" i="2"/>
  <c r="Y125" i="2"/>
  <c r="X149" i="2"/>
  <c r="X98" i="2"/>
  <c r="X79" i="2"/>
  <c r="X156" i="2"/>
  <c r="X134" i="2"/>
  <c r="X65" i="2"/>
  <c r="Z68" i="2"/>
  <c r="Z206" i="2"/>
  <c r="Z207" i="2"/>
  <c r="X121" i="2"/>
  <c r="X99" i="2"/>
  <c r="Y146" i="2"/>
  <c r="Z189" i="2"/>
  <c r="X204" i="2"/>
  <c r="Y137" i="2"/>
  <c r="X47" i="2"/>
  <c r="Z64" i="2"/>
  <c r="X185" i="2"/>
  <c r="Z138" i="2"/>
  <c r="Z129" i="2"/>
  <c r="Z130" i="2"/>
  <c r="Z148" i="2"/>
  <c r="Y159" i="2"/>
  <c r="X115" i="2"/>
  <c r="Z50" i="2"/>
  <c r="X189" i="2"/>
  <c r="Z99" i="2"/>
  <c r="Z102" i="2"/>
  <c r="Y59" i="2"/>
  <c r="Z180" i="2"/>
  <c r="Y94" i="2"/>
  <c r="X192" i="2"/>
  <c r="Y88" i="2"/>
  <c r="Y209" i="2"/>
  <c r="X122" i="2"/>
  <c r="Y107" i="2"/>
  <c r="X28" i="2"/>
  <c r="Z183" i="2"/>
  <c r="Z154" i="2"/>
  <c r="Y44" i="2"/>
  <c r="Y162" i="2"/>
  <c r="Y163" i="2"/>
  <c r="Z132" i="2"/>
  <c r="X203" i="2"/>
  <c r="Y155" i="2"/>
  <c r="X202" i="2"/>
  <c r="X82" i="2"/>
  <c r="X199" i="2"/>
  <c r="Y158" i="2"/>
  <c r="Y192" i="2"/>
  <c r="Z169" i="2"/>
  <c r="X130" i="2"/>
  <c r="Y65" i="2"/>
  <c r="Z60" i="2"/>
  <c r="X95" i="2"/>
  <c r="Z171" i="2"/>
  <c r="Z136" i="2"/>
  <c r="Z79" i="2"/>
  <c r="Z178" i="2"/>
  <c r="X71" i="2"/>
  <c r="Y68" i="2"/>
  <c r="Z84" i="2"/>
  <c r="Z185" i="2"/>
  <c r="X163" i="2"/>
  <c r="Y51" i="2"/>
  <c r="Y172" i="2"/>
  <c r="Y62" i="2"/>
  <c r="Y197" i="2"/>
  <c r="X200" i="2"/>
  <c r="Z117" i="2"/>
  <c r="Z209" i="2"/>
  <c r="Z190" i="2"/>
  <c r="Y150" i="2"/>
  <c r="Y199" i="2"/>
  <c r="Z201" i="2"/>
  <c r="Z134" i="2"/>
  <c r="Y60" i="2"/>
  <c r="X140" i="2"/>
  <c r="Y122" i="2"/>
  <c r="X66" i="2"/>
  <c r="Z125" i="2"/>
  <c r="Z198" i="2"/>
  <c r="X97" i="2"/>
  <c r="Y19" i="2"/>
  <c r="Z157" i="2"/>
  <c r="X102" i="2"/>
  <c r="M3" i="7" l="1"/>
  <c r="M4" i="7"/>
  <c r="M2" i="7"/>
  <c r="E17" i="9"/>
  <c r="D17" i="9" s="1"/>
  <c r="F17" i="9"/>
  <c r="B17" i="9" s="1"/>
  <c r="C17" i="9" s="1"/>
  <c r="G16" i="9"/>
  <c r="H16" i="9" s="1"/>
  <c r="K16" i="9"/>
  <c r="I16" i="9"/>
  <c r="J16" i="9"/>
  <c r="U128" i="2"/>
  <c r="W82" i="2"/>
  <c r="P102" i="2"/>
  <c r="S102" i="2"/>
  <c r="Q102" i="2"/>
  <c r="S84" i="2"/>
  <c r="P84" i="2"/>
  <c r="Q84" i="2"/>
  <c r="W153" i="2"/>
  <c r="U198" i="2"/>
  <c r="W44" i="2"/>
  <c r="S204" i="2"/>
  <c r="P204" i="2"/>
  <c r="Q204" i="2"/>
  <c r="P42" i="2"/>
  <c r="Q42" i="2"/>
  <c r="S42" i="2"/>
  <c r="U117" i="2"/>
  <c r="U92" i="2"/>
  <c r="U44" i="2"/>
  <c r="U101" i="2"/>
  <c r="W118" i="2"/>
  <c r="S100" i="2"/>
  <c r="Q100" i="2"/>
  <c r="P100" i="2"/>
  <c r="U67" i="2"/>
  <c r="W23" i="2"/>
  <c r="W123" i="2"/>
  <c r="P66" i="2"/>
  <c r="Q66" i="2"/>
  <c r="S66" i="2"/>
  <c r="U100" i="2"/>
  <c r="Q90" i="2"/>
  <c r="P90" i="2"/>
  <c r="S90" i="2"/>
  <c r="W199" i="2"/>
  <c r="U39" i="2"/>
  <c r="W196" i="2"/>
  <c r="W155" i="2"/>
  <c r="W114" i="2"/>
  <c r="S145" i="2"/>
  <c r="P145" i="2"/>
  <c r="Q145" i="2"/>
  <c r="P111" i="2"/>
  <c r="S111" i="2"/>
  <c r="Q111" i="2"/>
  <c r="P202" i="2"/>
  <c r="S202" i="2"/>
  <c r="Q202" i="2"/>
  <c r="U94" i="2"/>
  <c r="P126" i="2"/>
  <c r="S126" i="2"/>
  <c r="Q126" i="2"/>
  <c r="U123" i="2"/>
  <c r="U134" i="2"/>
  <c r="U206" i="2"/>
  <c r="S41" i="2"/>
  <c r="P41" i="2"/>
  <c r="Q41" i="2"/>
  <c r="U190" i="2"/>
  <c r="W165" i="2"/>
  <c r="W128" i="2"/>
  <c r="W191" i="2"/>
  <c r="S70" i="2"/>
  <c r="P70" i="2"/>
  <c r="Q70" i="2"/>
  <c r="Q183" i="2"/>
  <c r="P183" i="2"/>
  <c r="S183" i="2"/>
  <c r="S19" i="2"/>
  <c r="P19" i="2"/>
  <c r="Q19" i="2"/>
  <c r="U69" i="2"/>
  <c r="Q199" i="2"/>
  <c r="P199" i="2"/>
  <c r="S199" i="2"/>
  <c r="U114" i="2"/>
  <c r="U47" i="2"/>
  <c r="U151" i="2"/>
  <c r="W21" i="2"/>
  <c r="P71" i="2"/>
  <c r="Q71" i="2"/>
  <c r="S71" i="2"/>
  <c r="U107" i="2"/>
  <c r="W45" i="2"/>
  <c r="P169" i="2"/>
  <c r="Q169" i="2"/>
  <c r="S169" i="2"/>
  <c r="U89" i="2"/>
  <c r="S173" i="2"/>
  <c r="P173" i="2"/>
  <c r="Q173" i="2"/>
  <c r="S80" i="2"/>
  <c r="Q80" i="2"/>
  <c r="P80" i="2"/>
  <c r="U75" i="2"/>
  <c r="Q50" i="2"/>
  <c r="S50" i="2"/>
  <c r="P50" i="2"/>
  <c r="W33" i="2"/>
  <c r="U51" i="2"/>
  <c r="W207" i="2"/>
  <c r="P59" i="2"/>
  <c r="S59" i="2"/>
  <c r="Q59" i="2"/>
  <c r="U169" i="2"/>
  <c r="W31" i="2"/>
  <c r="S128" i="2"/>
  <c r="P128" i="2"/>
  <c r="Q128" i="2"/>
  <c r="U129" i="2"/>
  <c r="U18" i="2"/>
  <c r="N18" i="2" s="1"/>
  <c r="Q170" i="2"/>
  <c r="S170" i="2"/>
  <c r="P170" i="2"/>
  <c r="W144" i="2"/>
  <c r="W129" i="2"/>
  <c r="U192" i="2"/>
  <c r="U41" i="2"/>
  <c r="U149" i="2"/>
  <c r="Q93" i="2"/>
  <c r="S93" i="2"/>
  <c r="P93" i="2"/>
  <c r="Q175" i="2"/>
  <c r="P175" i="2"/>
  <c r="S175" i="2"/>
  <c r="S208" i="2"/>
  <c r="P208" i="2"/>
  <c r="Q208" i="2"/>
  <c r="U200" i="2"/>
  <c r="U116" i="2"/>
  <c r="S47" i="2"/>
  <c r="Q47" i="2"/>
  <c r="P47" i="2"/>
  <c r="U109" i="2"/>
  <c r="P27" i="2"/>
  <c r="S27" i="2"/>
  <c r="Q27" i="2"/>
  <c r="U120" i="2"/>
  <c r="S72" i="2"/>
  <c r="Q72" i="2"/>
  <c r="P72" i="2"/>
  <c r="W150" i="2"/>
  <c r="U98" i="2"/>
  <c r="Q191" i="2"/>
  <c r="P191" i="2"/>
  <c r="S191" i="2"/>
  <c r="W50" i="2"/>
  <c r="S120" i="2"/>
  <c r="P120" i="2"/>
  <c r="Q120" i="2"/>
  <c r="P123" i="2"/>
  <c r="S123" i="2"/>
  <c r="Q123" i="2"/>
  <c r="Q192" i="2"/>
  <c r="P192" i="2"/>
  <c r="S192" i="2"/>
  <c r="U146" i="2"/>
  <c r="U119" i="2"/>
  <c r="W148" i="2"/>
  <c r="U166" i="2"/>
  <c r="W43" i="2"/>
  <c r="U24" i="2"/>
  <c r="W170" i="2"/>
  <c r="S49" i="2"/>
  <c r="Q49" i="2"/>
  <c r="P49" i="2"/>
  <c r="W22" i="2"/>
  <c r="P68" i="2"/>
  <c r="S68" i="2"/>
  <c r="Q68" i="2"/>
  <c r="W49" i="2"/>
  <c r="P77" i="2"/>
  <c r="Q77" i="2"/>
  <c r="S77" i="2"/>
  <c r="P124" i="2"/>
  <c r="S124" i="2"/>
  <c r="Q124" i="2"/>
  <c r="U139" i="2"/>
  <c r="W39" i="2"/>
  <c r="U181" i="2"/>
  <c r="U38" i="2"/>
  <c r="N38" i="2" s="1"/>
  <c r="W125" i="2"/>
  <c r="W121" i="2"/>
  <c r="U113" i="2"/>
  <c r="U162" i="2"/>
  <c r="W177" i="2"/>
  <c r="Q144" i="2"/>
  <c r="P144" i="2"/>
  <c r="S144" i="2"/>
  <c r="W205" i="2"/>
  <c r="U182" i="2"/>
  <c r="U25" i="2"/>
  <c r="W136" i="2"/>
  <c r="U83" i="2"/>
  <c r="W206" i="2"/>
  <c r="S122" i="2"/>
  <c r="Q122" i="2"/>
  <c r="P122" i="2"/>
  <c r="U37" i="2"/>
  <c r="W89" i="2"/>
  <c r="U185" i="2"/>
  <c r="W51" i="2"/>
  <c r="W190" i="2"/>
  <c r="W106" i="2"/>
  <c r="S118" i="2"/>
  <c r="Q118" i="2"/>
  <c r="P118" i="2"/>
  <c r="Q143" i="2"/>
  <c r="P143" i="2"/>
  <c r="S143" i="2"/>
  <c r="P22" i="2"/>
  <c r="Q22" i="2"/>
  <c r="S22" i="2"/>
  <c r="W202" i="2"/>
  <c r="U74" i="2"/>
  <c r="U126" i="2"/>
  <c r="P125" i="2"/>
  <c r="S125" i="2"/>
  <c r="Q125" i="2"/>
  <c r="P21" i="2"/>
  <c r="Q21" i="2"/>
  <c r="S21" i="2"/>
  <c r="U95" i="2"/>
  <c r="W60" i="2"/>
  <c r="S180" i="2"/>
  <c r="P180" i="2"/>
  <c r="Q180" i="2"/>
  <c r="P60" i="2"/>
  <c r="S60" i="2"/>
  <c r="Q60" i="2"/>
  <c r="W184" i="2"/>
  <c r="W179" i="2"/>
  <c r="U78" i="2"/>
  <c r="W175" i="2"/>
  <c r="P110" i="2"/>
  <c r="Q110" i="2"/>
  <c r="S110" i="2"/>
  <c r="Q133" i="2"/>
  <c r="P133" i="2"/>
  <c r="S133" i="2"/>
  <c r="W19" i="2"/>
  <c r="U56" i="2"/>
  <c r="U131" i="2"/>
  <c r="U158" i="2"/>
  <c r="Q152" i="2"/>
  <c r="P152" i="2"/>
  <c r="S152" i="2"/>
  <c r="W87" i="2"/>
  <c r="W24" i="2"/>
  <c r="W162" i="2"/>
  <c r="U19" i="2"/>
  <c r="N19" i="2" s="1"/>
  <c r="S56" i="2"/>
  <c r="P56" i="2"/>
  <c r="Q56" i="2"/>
  <c r="U153" i="2"/>
  <c r="U189" i="2"/>
  <c r="P153" i="2"/>
  <c r="S153" i="2"/>
  <c r="Q153" i="2"/>
  <c r="W157" i="2"/>
  <c r="P55" i="2"/>
  <c r="Q55" i="2"/>
  <c r="S55" i="2"/>
  <c r="W90" i="2"/>
  <c r="S51" i="2"/>
  <c r="P51" i="2"/>
  <c r="Q51" i="2"/>
  <c r="W97" i="2"/>
  <c r="U105" i="2"/>
  <c r="U52" i="2"/>
  <c r="W25" i="2"/>
  <c r="U64" i="2"/>
  <c r="U135" i="2"/>
  <c r="Q132" i="2"/>
  <c r="S132" i="2"/>
  <c r="P132" i="2"/>
  <c r="U174" i="2"/>
  <c r="S135" i="2"/>
  <c r="Q135" i="2"/>
  <c r="P135" i="2"/>
  <c r="U72" i="2"/>
  <c r="U188" i="2"/>
  <c r="W174" i="2"/>
  <c r="W92" i="2"/>
  <c r="W120" i="2"/>
  <c r="U40" i="2"/>
  <c r="W201" i="2"/>
  <c r="W169" i="2"/>
  <c r="Q95" i="2"/>
  <c r="P95" i="2"/>
  <c r="S95" i="2"/>
  <c r="P134" i="2"/>
  <c r="S134" i="2"/>
  <c r="Q134" i="2"/>
  <c r="P194" i="2"/>
  <c r="Q194" i="2"/>
  <c r="S194" i="2"/>
  <c r="U32" i="2"/>
  <c r="S79" i="2"/>
  <c r="P79" i="2"/>
  <c r="Q79" i="2"/>
  <c r="W154" i="2"/>
  <c r="U49" i="2"/>
  <c r="U176" i="2"/>
  <c r="U71" i="2"/>
  <c r="W80" i="2"/>
  <c r="W147" i="2"/>
  <c r="U70" i="2"/>
  <c r="U159" i="2"/>
  <c r="W95" i="2"/>
  <c r="W111" i="2"/>
  <c r="U170" i="2"/>
  <c r="Q64" i="2"/>
  <c r="S64" i="2"/>
  <c r="P64" i="2"/>
  <c r="Q161" i="2"/>
  <c r="P161" i="2"/>
  <c r="S161" i="2"/>
  <c r="W78" i="2"/>
  <c r="U60" i="2"/>
  <c r="W188" i="2"/>
  <c r="S182" i="2"/>
  <c r="Q182" i="2"/>
  <c r="P182" i="2"/>
  <c r="U50" i="2"/>
  <c r="W192" i="2"/>
  <c r="U79" i="2"/>
  <c r="W151" i="2"/>
  <c r="S48" i="2"/>
  <c r="Q48" i="2"/>
  <c r="P48" i="2"/>
  <c r="Q54" i="2"/>
  <c r="S54" i="2"/>
  <c r="P54" i="2"/>
  <c r="U86" i="2"/>
  <c r="U61" i="2"/>
  <c r="U102" i="2"/>
  <c r="Q114" i="2"/>
  <c r="P114" i="2"/>
  <c r="S114" i="2"/>
  <c r="U22" i="2"/>
  <c r="W117" i="2"/>
  <c r="W194" i="2"/>
  <c r="Q147" i="2"/>
  <c r="S147" i="2"/>
  <c r="P147" i="2"/>
  <c r="W56" i="2"/>
  <c r="U59" i="2"/>
  <c r="U110" i="2"/>
  <c r="Q26" i="2"/>
  <c r="S26" i="2"/>
  <c r="P26" i="2"/>
  <c r="W133" i="2"/>
  <c r="U96" i="2"/>
  <c r="P163" i="2"/>
  <c r="Q163" i="2"/>
  <c r="S163" i="2"/>
  <c r="W76" i="2"/>
  <c r="U99" i="2"/>
  <c r="W63" i="2"/>
  <c r="S40" i="2"/>
  <c r="Q40" i="2"/>
  <c r="P40" i="2"/>
  <c r="S181" i="2"/>
  <c r="Q181" i="2"/>
  <c r="P181" i="2"/>
  <c r="W52" i="2"/>
  <c r="U81" i="2"/>
  <c r="Q116" i="2"/>
  <c r="S116" i="2"/>
  <c r="P116" i="2"/>
  <c r="U207" i="2"/>
  <c r="U93" i="2"/>
  <c r="U125" i="2"/>
  <c r="W134" i="2"/>
  <c r="S32" i="2"/>
  <c r="P32" i="2"/>
  <c r="Q32" i="2"/>
  <c r="P31" i="2"/>
  <c r="S31" i="2"/>
  <c r="Q31" i="2"/>
  <c r="W209" i="2"/>
  <c r="U58" i="2"/>
  <c r="U106" i="2"/>
  <c r="P150" i="2"/>
  <c r="S150" i="2"/>
  <c r="Q150" i="2"/>
  <c r="Q136" i="2"/>
  <c r="S136" i="2"/>
  <c r="P136" i="2"/>
  <c r="P24" i="2"/>
  <c r="S24" i="2"/>
  <c r="Q24" i="2"/>
  <c r="U180" i="2"/>
  <c r="U178" i="2"/>
  <c r="W203" i="2"/>
  <c r="W143" i="2"/>
  <c r="W93" i="2"/>
  <c r="W193" i="2"/>
  <c r="P178" i="2"/>
  <c r="Q178" i="2"/>
  <c r="S178" i="2"/>
  <c r="P174" i="2"/>
  <c r="S174" i="2"/>
  <c r="Q174" i="2"/>
  <c r="P88" i="2"/>
  <c r="S88" i="2"/>
  <c r="Q88" i="2"/>
  <c r="P43" i="2"/>
  <c r="Q43" i="2"/>
  <c r="S43" i="2"/>
  <c r="W28" i="2"/>
  <c r="U43" i="2"/>
  <c r="S74" i="2"/>
  <c r="P74" i="2"/>
  <c r="Q74" i="2"/>
  <c r="U160" i="2"/>
  <c r="W84" i="2"/>
  <c r="W115" i="2"/>
  <c r="U203" i="2"/>
  <c r="U147" i="2"/>
  <c r="U132" i="2"/>
  <c r="S140" i="2"/>
  <c r="P140" i="2"/>
  <c r="Q140" i="2"/>
  <c r="U111" i="2"/>
  <c r="Q137" i="2"/>
  <c r="S137" i="2"/>
  <c r="P137" i="2"/>
  <c r="U204" i="2"/>
  <c r="W91" i="2"/>
  <c r="U145" i="2"/>
  <c r="S119" i="2"/>
  <c r="P119" i="2"/>
  <c r="Q119" i="2"/>
  <c r="P159" i="2"/>
  <c r="Q159" i="2"/>
  <c r="S159" i="2"/>
  <c r="U84" i="2"/>
  <c r="W72" i="2"/>
  <c r="U201" i="2"/>
  <c r="W79" i="2"/>
  <c r="Q78" i="2"/>
  <c r="S78" i="2"/>
  <c r="P78" i="2"/>
  <c r="W73" i="2"/>
  <c r="Q105" i="2"/>
  <c r="S105" i="2"/>
  <c r="P105" i="2"/>
  <c r="U195" i="2"/>
  <c r="W124" i="2"/>
  <c r="Q63" i="2"/>
  <c r="S63" i="2"/>
  <c r="P63" i="2"/>
  <c r="W57" i="2"/>
  <c r="Q52" i="2"/>
  <c r="S52" i="2"/>
  <c r="P52" i="2"/>
  <c r="W195" i="2"/>
  <c r="W172" i="2"/>
  <c r="W176" i="2"/>
  <c r="U163" i="2"/>
  <c r="W65" i="2"/>
  <c r="U197" i="2"/>
  <c r="U36" i="2"/>
  <c r="Q167" i="2"/>
  <c r="S167" i="2"/>
  <c r="P167" i="2"/>
  <c r="W161" i="2"/>
  <c r="Q36" i="2"/>
  <c r="S36" i="2"/>
  <c r="P36" i="2"/>
  <c r="P129" i="2"/>
  <c r="Q129" i="2"/>
  <c r="S129" i="2"/>
  <c r="U54" i="2"/>
  <c r="U35" i="2"/>
  <c r="P186" i="2"/>
  <c r="S186" i="2"/>
  <c r="Q186" i="2"/>
  <c r="Q76" i="2"/>
  <c r="P76" i="2"/>
  <c r="S76" i="2"/>
  <c r="W86" i="2"/>
  <c r="Q155" i="2"/>
  <c r="S155" i="2"/>
  <c r="P155" i="2"/>
  <c r="W81" i="2"/>
  <c r="U53" i="2"/>
  <c r="U28" i="2"/>
  <c r="S30" i="2"/>
  <c r="P30" i="2"/>
  <c r="Q30" i="2"/>
  <c r="W27" i="2"/>
  <c r="U175" i="2"/>
  <c r="W55" i="2"/>
  <c r="U34" i="2"/>
  <c r="P203" i="2"/>
  <c r="S203" i="2"/>
  <c r="Q203" i="2"/>
  <c r="W99" i="2"/>
  <c r="W126" i="2"/>
  <c r="W41" i="2"/>
  <c r="U112" i="2"/>
  <c r="Q131" i="2"/>
  <c r="P131" i="2"/>
  <c r="S131" i="2"/>
  <c r="S98" i="2"/>
  <c r="Q98" i="2"/>
  <c r="P98" i="2"/>
  <c r="W42" i="2"/>
  <c r="P177" i="2"/>
  <c r="S177" i="2"/>
  <c r="Q177" i="2"/>
  <c r="Q25" i="2"/>
  <c r="S25" i="2"/>
  <c r="P25" i="2"/>
  <c r="U208" i="2"/>
  <c r="W69" i="2"/>
  <c r="U26" i="2"/>
  <c r="W38" i="2"/>
  <c r="O38" i="2" s="1"/>
  <c r="U82" i="2"/>
  <c r="S107" i="2"/>
  <c r="P107" i="2"/>
  <c r="Q107" i="2"/>
  <c r="U20" i="2"/>
  <c r="W160" i="2"/>
  <c r="Q89" i="2"/>
  <c r="P89" i="2"/>
  <c r="S89" i="2"/>
  <c r="W166" i="2"/>
  <c r="P28" i="2"/>
  <c r="S28" i="2"/>
  <c r="Q28" i="2"/>
  <c r="W198" i="2"/>
  <c r="U66" i="2"/>
  <c r="U73" i="2"/>
  <c r="U136" i="2"/>
  <c r="W47" i="2"/>
  <c r="W71" i="2"/>
  <c r="P172" i="2"/>
  <c r="S172" i="2"/>
  <c r="Q172" i="2"/>
  <c r="W108" i="2"/>
  <c r="W208" i="2"/>
  <c r="U122" i="2"/>
  <c r="U173" i="2"/>
  <c r="U179" i="2"/>
  <c r="W46" i="2"/>
  <c r="S206" i="2"/>
  <c r="P206" i="2"/>
  <c r="Q206" i="2"/>
  <c r="W113" i="2"/>
  <c r="W34" i="2"/>
  <c r="Q34" i="2"/>
  <c r="S34" i="2"/>
  <c r="P34" i="2"/>
  <c r="U63" i="2"/>
  <c r="P81" i="2"/>
  <c r="S81" i="2"/>
  <c r="Q81" i="2"/>
  <c r="U137" i="2"/>
  <c r="Q99" i="2"/>
  <c r="P99" i="2"/>
  <c r="S99" i="2"/>
  <c r="W68" i="2"/>
  <c r="S200" i="2"/>
  <c r="Q200" i="2"/>
  <c r="P200" i="2"/>
  <c r="S62" i="2"/>
  <c r="P62" i="2"/>
  <c r="Q62" i="2"/>
  <c r="P189" i="2"/>
  <c r="Q189" i="2"/>
  <c r="S189" i="2"/>
  <c r="W77" i="2"/>
  <c r="S53" i="2"/>
  <c r="Q53" i="2"/>
  <c r="P53" i="2"/>
  <c r="W197" i="2"/>
  <c r="P83" i="2"/>
  <c r="Q83" i="2"/>
  <c r="S83" i="2"/>
  <c r="U205" i="2"/>
  <c r="W187" i="2"/>
  <c r="U184" i="2"/>
  <c r="W180" i="2"/>
  <c r="W109" i="2"/>
  <c r="W119" i="2"/>
  <c r="U33" i="2"/>
  <c r="W100" i="2"/>
  <c r="U46" i="2"/>
  <c r="W104" i="2"/>
  <c r="U133" i="2"/>
  <c r="W173" i="2"/>
  <c r="Q23" i="2"/>
  <c r="S23" i="2"/>
  <c r="P23" i="2"/>
  <c r="P141" i="2"/>
  <c r="S141" i="2"/>
  <c r="Q141" i="2"/>
  <c r="S162" i="2"/>
  <c r="P162" i="2"/>
  <c r="Q162" i="2"/>
  <c r="S37" i="2"/>
  <c r="Q37" i="2"/>
  <c r="P37" i="2"/>
  <c r="W66" i="2"/>
  <c r="Q201" i="2"/>
  <c r="S201" i="2"/>
  <c r="P201" i="2"/>
  <c r="W53" i="2"/>
  <c r="W98" i="2"/>
  <c r="U161" i="2"/>
  <c r="P151" i="2"/>
  <c r="Q151" i="2"/>
  <c r="S151" i="2"/>
  <c r="S103" i="2"/>
  <c r="Q103" i="2"/>
  <c r="P103" i="2"/>
  <c r="U42" i="2"/>
  <c r="Q67" i="2"/>
  <c r="P67" i="2"/>
  <c r="S67" i="2"/>
  <c r="W67" i="2"/>
  <c r="W62" i="2"/>
  <c r="W141" i="2"/>
  <c r="P127" i="2"/>
  <c r="Q127" i="2"/>
  <c r="S127" i="2"/>
  <c r="W18" i="2"/>
  <c r="O18" i="2" s="1"/>
  <c r="W110" i="2"/>
  <c r="U80" i="2"/>
  <c r="W58" i="2"/>
  <c r="U68" i="2"/>
  <c r="W103" i="2"/>
  <c r="S190" i="2"/>
  <c r="P190" i="2"/>
  <c r="Q190" i="2"/>
  <c r="S115" i="2"/>
  <c r="Q115" i="2"/>
  <c r="P115" i="2"/>
  <c r="S188" i="2"/>
  <c r="P188" i="2"/>
  <c r="Q188" i="2"/>
  <c r="W88" i="2"/>
  <c r="U57" i="2"/>
  <c r="U108" i="2"/>
  <c r="U141" i="2"/>
  <c r="U196" i="2"/>
  <c r="S195" i="2"/>
  <c r="P195" i="2"/>
  <c r="Q195" i="2"/>
  <c r="S149" i="2"/>
  <c r="P149" i="2"/>
  <c r="Q149" i="2"/>
  <c r="W163" i="2"/>
  <c r="U121" i="2"/>
  <c r="S75" i="2"/>
  <c r="Q75" i="2"/>
  <c r="P75" i="2"/>
  <c r="W183" i="2"/>
  <c r="P91" i="2"/>
  <c r="S91" i="2"/>
  <c r="Q91" i="2"/>
  <c r="W182" i="2"/>
  <c r="U191" i="2"/>
  <c r="U90" i="2"/>
  <c r="S193" i="2"/>
  <c r="Q193" i="2"/>
  <c r="P193" i="2"/>
  <c r="W168" i="2"/>
  <c r="Q96" i="2"/>
  <c r="S96" i="2"/>
  <c r="P96" i="2"/>
  <c r="S57" i="2"/>
  <c r="P57" i="2"/>
  <c r="Q57" i="2"/>
  <c r="U30" i="2"/>
  <c r="W171" i="2"/>
  <c r="P156" i="2"/>
  <c r="Q156" i="2"/>
  <c r="S156" i="2"/>
  <c r="U23" i="2"/>
  <c r="U62" i="2"/>
  <c r="W101" i="2"/>
  <c r="P61" i="2"/>
  <c r="S61" i="2"/>
  <c r="Q61" i="2"/>
  <c r="U152" i="2"/>
  <c r="W159" i="2"/>
  <c r="Q86" i="2"/>
  <c r="P86" i="2"/>
  <c r="S86" i="2"/>
  <c r="Q113" i="2"/>
  <c r="S113" i="2"/>
  <c r="P113" i="2"/>
  <c r="U183" i="2"/>
  <c r="U172" i="2"/>
  <c r="S45" i="2"/>
  <c r="P45" i="2"/>
  <c r="Q45" i="2"/>
  <c r="Q154" i="2"/>
  <c r="S154" i="2"/>
  <c r="P154" i="2"/>
  <c r="W61" i="2"/>
  <c r="U104" i="2"/>
  <c r="W158" i="2"/>
  <c r="U164" i="2"/>
  <c r="W26" i="2"/>
  <c r="W29" i="2"/>
  <c r="Q185" i="2"/>
  <c r="S185" i="2"/>
  <c r="P185" i="2"/>
  <c r="W132" i="2"/>
  <c r="U115" i="2"/>
  <c r="W152" i="2"/>
  <c r="U186" i="2"/>
  <c r="Q33" i="2"/>
  <c r="S33" i="2"/>
  <c r="P33" i="2"/>
  <c r="U140" i="2"/>
  <c r="W74" i="2"/>
  <c r="S160" i="2"/>
  <c r="P160" i="2"/>
  <c r="Q160" i="2"/>
  <c r="W107" i="2"/>
  <c r="U97" i="2"/>
  <c r="P94" i="2"/>
  <c r="S94" i="2"/>
  <c r="Q94" i="2"/>
  <c r="P148" i="2"/>
  <c r="Q148" i="2"/>
  <c r="S148" i="2"/>
  <c r="U171" i="2"/>
  <c r="U31" i="2"/>
  <c r="W164" i="2"/>
  <c r="W75" i="2"/>
  <c r="W112" i="2"/>
  <c r="Q82" i="2"/>
  <c r="S82" i="2"/>
  <c r="P82" i="2"/>
  <c r="S39" i="2"/>
  <c r="P39" i="2"/>
  <c r="Q39" i="2"/>
  <c r="W102" i="2"/>
  <c r="U21" i="2"/>
  <c r="W37" i="2"/>
  <c r="W142" i="2"/>
  <c r="Q104" i="2"/>
  <c r="S104" i="2"/>
  <c r="P104" i="2"/>
  <c r="W94" i="2"/>
  <c r="U199" i="2"/>
  <c r="P101" i="2"/>
  <c r="Q101" i="2"/>
  <c r="S101" i="2"/>
  <c r="P164" i="2"/>
  <c r="S164" i="2"/>
  <c r="Q164" i="2"/>
  <c r="U103" i="2"/>
  <c r="Q171" i="2"/>
  <c r="P171" i="2"/>
  <c r="S171" i="2"/>
  <c r="P18" i="2"/>
  <c r="L18" i="2" s="1"/>
  <c r="Q18" i="2"/>
  <c r="M18" i="2" s="1"/>
  <c r="S18" i="2"/>
  <c r="R18" i="2" s="1"/>
  <c r="Q46" i="2"/>
  <c r="S46" i="2"/>
  <c r="P46" i="2"/>
  <c r="Q109" i="2"/>
  <c r="S109" i="2"/>
  <c r="P109" i="2"/>
  <c r="Q198" i="2"/>
  <c r="P198" i="2"/>
  <c r="S198" i="2"/>
  <c r="P38" i="2"/>
  <c r="L38" i="2" s="1"/>
  <c r="Q38" i="2"/>
  <c r="M38" i="2" s="1"/>
  <c r="S38" i="2"/>
  <c r="U144" i="2"/>
  <c r="U209" i="2"/>
  <c r="U118" i="2"/>
  <c r="S184" i="2"/>
  <c r="Q184" i="2"/>
  <c r="P184" i="2"/>
  <c r="W146" i="2"/>
  <c r="Q121" i="2"/>
  <c r="S121" i="2"/>
  <c r="P121" i="2"/>
  <c r="W156" i="2"/>
  <c r="U88" i="2"/>
  <c r="W30" i="2"/>
  <c r="W167" i="2"/>
  <c r="U187" i="2"/>
  <c r="U165" i="2"/>
  <c r="U138" i="2"/>
  <c r="U55" i="2"/>
  <c r="W105" i="2"/>
  <c r="Q138" i="2"/>
  <c r="P138" i="2"/>
  <c r="S138" i="2"/>
  <c r="U157" i="2"/>
  <c r="W140" i="2"/>
  <c r="W181" i="2"/>
  <c r="U156" i="2"/>
  <c r="U124" i="2"/>
  <c r="W48" i="2"/>
  <c r="U65" i="2"/>
  <c r="Q106" i="2"/>
  <c r="S106" i="2"/>
  <c r="P106" i="2"/>
  <c r="U194" i="2"/>
  <c r="U29" i="2"/>
  <c r="U45" i="2"/>
  <c r="W36" i="2"/>
  <c r="W145" i="2"/>
  <c r="W122" i="2"/>
  <c r="W32" i="2"/>
  <c r="W96" i="2"/>
  <c r="W127" i="2"/>
  <c r="W137" i="2"/>
  <c r="W204" i="2"/>
  <c r="W189" i="2"/>
  <c r="P197" i="2"/>
  <c r="S197" i="2"/>
  <c r="Q197" i="2"/>
  <c r="U76" i="2"/>
  <c r="U193" i="2"/>
  <c r="W59" i="2"/>
  <c r="U167" i="2"/>
  <c r="U127" i="2"/>
  <c r="S142" i="2"/>
  <c r="Q142" i="2"/>
  <c r="P142" i="2"/>
  <c r="W135" i="2"/>
  <c r="P157" i="2"/>
  <c r="Q157" i="2"/>
  <c r="S157" i="2"/>
  <c r="S158" i="2"/>
  <c r="P158" i="2"/>
  <c r="Q158" i="2"/>
  <c r="Q85" i="2"/>
  <c r="S85" i="2"/>
  <c r="P85" i="2"/>
  <c r="P130" i="2"/>
  <c r="Q130" i="2"/>
  <c r="S130" i="2"/>
  <c r="U177" i="2"/>
  <c r="U150" i="2"/>
  <c r="Q73" i="2"/>
  <c r="S73" i="2"/>
  <c r="P73" i="2"/>
  <c r="P165" i="2"/>
  <c r="Q165" i="2"/>
  <c r="S165" i="2"/>
  <c r="Q44" i="2"/>
  <c r="P44" i="2"/>
  <c r="S44" i="2"/>
  <c r="U148" i="2"/>
  <c r="W54" i="2"/>
  <c r="U142" i="2"/>
  <c r="P139" i="2"/>
  <c r="Q139" i="2"/>
  <c r="S139" i="2"/>
  <c r="Q112" i="2"/>
  <c r="S112" i="2"/>
  <c r="P112" i="2"/>
  <c r="W70" i="2"/>
  <c r="W139" i="2"/>
  <c r="W149" i="2"/>
  <c r="W85" i="2"/>
  <c r="U130" i="2"/>
  <c r="P207" i="2"/>
  <c r="Q207" i="2"/>
  <c r="S207" i="2"/>
  <c r="Q35" i="2"/>
  <c r="S35" i="2"/>
  <c r="P35" i="2"/>
  <c r="W35" i="2"/>
  <c r="S205" i="2"/>
  <c r="P205" i="2"/>
  <c r="Q205" i="2"/>
  <c r="W186" i="2"/>
  <c r="Q58" i="2"/>
  <c r="S58" i="2"/>
  <c r="P58" i="2"/>
  <c r="Q108" i="2"/>
  <c r="S108" i="2"/>
  <c r="P108" i="2"/>
  <c r="U168" i="2"/>
  <c r="P179" i="2"/>
  <c r="Q179" i="2"/>
  <c r="S179" i="2"/>
  <c r="U155" i="2"/>
  <c r="W185" i="2"/>
  <c r="W138" i="2"/>
  <c r="P209" i="2"/>
  <c r="Q209" i="2"/>
  <c r="S209" i="2"/>
  <c r="W131" i="2"/>
  <c r="U143" i="2"/>
  <c r="Q196" i="2"/>
  <c r="P196" i="2"/>
  <c r="S196" i="2"/>
  <c r="Q92" i="2"/>
  <c r="P92" i="2"/>
  <c r="S92" i="2"/>
  <c r="W20" i="2"/>
  <c r="U77" i="2"/>
  <c r="U27" i="2"/>
  <c r="S29" i="2"/>
  <c r="Q29" i="2"/>
  <c r="M29" i="2" s="1"/>
  <c r="P29" i="2"/>
  <c r="L29" i="2" s="1"/>
  <c r="U85" i="2"/>
  <c r="S168" i="2"/>
  <c r="Q168" i="2"/>
  <c r="P168" i="2"/>
  <c r="W178" i="2"/>
  <c r="W200" i="2"/>
  <c r="U154" i="2"/>
  <c r="P166" i="2"/>
  <c r="Q166" i="2"/>
  <c r="S166" i="2"/>
  <c r="P69" i="2"/>
  <c r="Q69" i="2"/>
  <c r="S69" i="2"/>
  <c r="U91" i="2"/>
  <c r="S97" i="2"/>
  <c r="Q97" i="2"/>
  <c r="P97" i="2"/>
  <c r="W64" i="2"/>
  <c r="S87" i="2"/>
  <c r="Q87" i="2"/>
  <c r="P87" i="2"/>
  <c r="W116" i="2"/>
  <c r="U48" i="2"/>
  <c r="Q146" i="2"/>
  <c r="P146" i="2"/>
  <c r="S146" i="2"/>
  <c r="W83" i="2"/>
  <c r="U202" i="2"/>
  <c r="S117" i="2"/>
  <c r="Q117" i="2"/>
  <c r="P117" i="2"/>
  <c r="S176" i="2"/>
  <c r="Q176" i="2"/>
  <c r="P176" i="2"/>
  <c r="W130" i="2"/>
  <c r="U87" i="2"/>
  <c r="S187" i="2"/>
  <c r="P187" i="2"/>
  <c r="Q187" i="2"/>
  <c r="P65" i="2"/>
  <c r="S65" i="2"/>
  <c r="Q65" i="2"/>
  <c r="W40" i="2"/>
  <c r="D64" i="2"/>
  <c r="H65" i="2"/>
  <c r="C64" i="2" s="1"/>
  <c r="I50" i="2"/>
  <c r="J51" i="2"/>
  <c r="B50" i="2"/>
  <c r="N13" i="19" s="1"/>
  <c r="O12" i="19"/>
  <c r="M12" i="19"/>
  <c r="J67" i="2"/>
  <c r="B66" i="2"/>
  <c r="I66" i="2"/>
  <c r="D48" i="2"/>
  <c r="H49" i="2"/>
  <c r="C113" i="2"/>
  <c r="C96" i="2"/>
  <c r="C166" i="2"/>
  <c r="C148" i="2"/>
  <c r="C202" i="2"/>
  <c r="C131" i="2"/>
  <c r="H82" i="2"/>
  <c r="C81" i="2" s="1"/>
  <c r="B83" i="2"/>
  <c r="J84" i="2"/>
  <c r="E83" i="2" s="1"/>
  <c r="I83" i="2"/>
  <c r="D82" i="2" s="1"/>
  <c r="I116" i="2"/>
  <c r="D115" i="2" s="1"/>
  <c r="B116" i="2"/>
  <c r="J117" i="2"/>
  <c r="E116" i="2" s="1"/>
  <c r="H115" i="2"/>
  <c r="J152" i="2"/>
  <c r="E151" i="2" s="1"/>
  <c r="I151" i="2"/>
  <c r="D150" i="2" s="1"/>
  <c r="B151" i="2"/>
  <c r="H150" i="2"/>
  <c r="C149" i="2" s="1"/>
  <c r="J170" i="2"/>
  <c r="E169" i="2" s="1"/>
  <c r="I169" i="2"/>
  <c r="D168" i="2" s="1"/>
  <c r="B169" i="2"/>
  <c r="H168" i="2"/>
  <c r="H133" i="2"/>
  <c r="C132" i="2" s="1"/>
  <c r="I134" i="2"/>
  <c r="D133" i="2" s="1"/>
  <c r="J135" i="2"/>
  <c r="E134" i="2" s="1"/>
  <c r="B134" i="2"/>
  <c r="J188" i="2"/>
  <c r="E187" i="2" s="1"/>
  <c r="I187" i="2"/>
  <c r="D186" i="2" s="1"/>
  <c r="B187" i="2"/>
  <c r="H186" i="2"/>
  <c r="H98" i="2"/>
  <c r="B99" i="2"/>
  <c r="J100" i="2"/>
  <c r="E99" i="2" s="1"/>
  <c r="I99" i="2"/>
  <c r="D98" i="2" s="1"/>
  <c r="J206" i="2"/>
  <c r="E205" i="2" s="1"/>
  <c r="I205" i="2"/>
  <c r="D204" i="2" s="1"/>
  <c r="B205" i="2"/>
  <c r="H204" i="2"/>
  <c r="C203" i="2" s="1"/>
  <c r="N39" i="2" l="1"/>
  <c r="N40" i="2" s="1"/>
  <c r="N41" i="2" s="1"/>
  <c r="N42" i="2" s="1"/>
  <c r="N43" i="2" s="1"/>
  <c r="N44" i="2" s="1"/>
  <c r="N45" i="2" s="1"/>
  <c r="N46" i="2" s="1"/>
  <c r="N47" i="2" s="1"/>
  <c r="N48" i="2" s="1"/>
  <c r="N49" i="2" s="1"/>
  <c r="N3" i="7"/>
  <c r="N2" i="7"/>
  <c r="N4" i="7"/>
  <c r="E18" i="9"/>
  <c r="D18" i="9" s="1"/>
  <c r="F18" i="9"/>
  <c r="B18" i="9" s="1"/>
  <c r="C18" i="9" s="1"/>
  <c r="G17" i="9"/>
  <c r="H17" i="9" s="1"/>
  <c r="I17" i="9"/>
  <c r="J17" i="9"/>
  <c r="K17" i="9"/>
  <c r="O39" i="2"/>
  <c r="O40" i="2" s="1"/>
  <c r="O41" i="2" s="1"/>
  <c r="O42" i="2" s="1"/>
  <c r="O43" i="2" s="1"/>
  <c r="O44" i="2" s="1"/>
  <c r="O45" i="2" s="1"/>
  <c r="O46" i="2" s="1"/>
  <c r="O47" i="2" s="1"/>
  <c r="O48" i="2" s="1"/>
  <c r="O49"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O19" i="2"/>
  <c r="O20" i="2" s="1"/>
  <c r="O21" i="2" s="1"/>
  <c r="O22" i="2" s="1"/>
  <c r="O23" i="2" s="1"/>
  <c r="O24" i="2" s="1"/>
  <c r="O25" i="2" s="1"/>
  <c r="O26" i="2" s="1"/>
  <c r="O27" i="2" s="1"/>
  <c r="O28" i="2" s="1"/>
  <c r="O29" i="2" s="1"/>
  <c r="O30" i="2" s="1"/>
  <c r="O31" i="2" s="1"/>
  <c r="O32" i="2" s="1"/>
  <c r="O33" i="2" s="1"/>
  <c r="O34" i="2" s="1"/>
  <c r="O35" i="2" s="1"/>
  <c r="O36" i="2" s="1"/>
  <c r="O37" i="2" s="1"/>
  <c r="E19" i="15" s="1"/>
  <c r="M30" i="2"/>
  <c r="M31" i="2" s="1"/>
  <c r="M32" i="2" s="1"/>
  <c r="M33" i="2" s="1"/>
  <c r="M34" i="2" s="1"/>
  <c r="M35" i="2" s="1"/>
  <c r="M36" i="2" s="1"/>
  <c r="M37" i="2" s="1"/>
  <c r="D7" i="15" s="1"/>
  <c r="T18" i="2"/>
  <c r="T19" i="2" s="1"/>
  <c r="T20" i="2" s="1"/>
  <c r="T21"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L30" i="2"/>
  <c r="L31" i="2" s="1"/>
  <c r="L32" i="2" s="1"/>
  <c r="L33" i="2" s="1"/>
  <c r="L34" i="2" s="1"/>
  <c r="L35" i="2" s="1"/>
  <c r="L36" i="2" s="1"/>
  <c r="L37" i="2" s="1"/>
  <c r="E7" i="15" s="1"/>
  <c r="N20" i="2"/>
  <c r="N21" i="2" s="1"/>
  <c r="N22" i="2" s="1"/>
  <c r="N23" i="2" s="1"/>
  <c r="N24" i="2" s="1"/>
  <c r="N25" i="2" s="1"/>
  <c r="N26" i="2" s="1"/>
  <c r="N27" i="2" s="1"/>
  <c r="N28" i="2" s="1"/>
  <c r="N29" i="2" s="1"/>
  <c r="N30" i="2" s="1"/>
  <c r="N31" i="2" s="1"/>
  <c r="N32" i="2" s="1"/>
  <c r="N33" i="2" s="1"/>
  <c r="N34" i="2" s="1"/>
  <c r="N35" i="2" s="1"/>
  <c r="N36" i="2" s="1"/>
  <c r="N37" i="2" s="1"/>
  <c r="D19" i="15" s="1"/>
  <c r="L39" i="2"/>
  <c r="L40" i="2" s="1"/>
  <c r="L41" i="2" s="1"/>
  <c r="L42" i="2" s="1"/>
  <c r="L43" i="2" s="1"/>
  <c r="L44" i="2" s="1"/>
  <c r="L45" i="2" s="1"/>
  <c r="L46" i="2" s="1"/>
  <c r="L47" i="2" s="1"/>
  <c r="L48" i="2" s="1"/>
  <c r="L49" i="2" s="1"/>
  <c r="L50" i="2" s="1"/>
  <c r="L51" i="2" s="1"/>
  <c r="M39" i="2"/>
  <c r="M40" i="2" s="1"/>
  <c r="M41" i="2" s="1"/>
  <c r="M42" i="2" s="1"/>
  <c r="M43" i="2" s="1"/>
  <c r="M44" i="2" s="1"/>
  <c r="M45" i="2" s="1"/>
  <c r="M46" i="2" s="1"/>
  <c r="M47" i="2" s="1"/>
  <c r="M48" i="2" s="1"/>
  <c r="M49" i="2" s="1"/>
  <c r="M50" i="2" s="1"/>
  <c r="M51" i="2" s="1"/>
  <c r="M19" i="2"/>
  <c r="M20" i="2" s="1"/>
  <c r="M21" i="2" s="1"/>
  <c r="M22" i="2" s="1"/>
  <c r="M23" i="2" s="1"/>
  <c r="M24" i="2" s="1"/>
  <c r="M25" i="2" s="1"/>
  <c r="M26" i="2" s="1"/>
  <c r="M27" i="2" s="1"/>
  <c r="M28" i="2" s="1"/>
  <c r="D6" i="15" s="1"/>
  <c r="L19" i="2"/>
  <c r="L20" i="2" s="1"/>
  <c r="L21" i="2" s="1"/>
  <c r="L22" i="2" s="1"/>
  <c r="L23" i="2" s="1"/>
  <c r="L24" i="2" s="1"/>
  <c r="L25" i="2" s="1"/>
  <c r="L26" i="2" s="1"/>
  <c r="L27" i="2" s="1"/>
  <c r="L28" i="2" s="1"/>
  <c r="E6" i="15" s="1"/>
  <c r="O13" i="19"/>
  <c r="C48" i="2"/>
  <c r="B51" i="2"/>
  <c r="I51" i="2"/>
  <c r="H51" i="2" s="1"/>
  <c r="E50" i="2"/>
  <c r="J52" i="2"/>
  <c r="P13" i="19"/>
  <c r="H50" i="2"/>
  <c r="D49" i="2"/>
  <c r="H66" i="2"/>
  <c r="C65" i="2" s="1"/>
  <c r="E66" i="2"/>
  <c r="J68" i="2"/>
  <c r="B67" i="2"/>
  <c r="I67" i="2"/>
  <c r="D66" i="2" s="1"/>
  <c r="D65" i="2"/>
  <c r="C167" i="2"/>
  <c r="C97" i="2"/>
  <c r="C185" i="2"/>
  <c r="C114" i="2"/>
  <c r="H205" i="2"/>
  <c r="I206" i="2"/>
  <c r="D205" i="2" s="1"/>
  <c r="J207" i="2"/>
  <c r="E206" i="2" s="1"/>
  <c r="B206" i="2"/>
  <c r="H99" i="2"/>
  <c r="C98" i="2" s="1"/>
  <c r="B100" i="2"/>
  <c r="I100" i="2"/>
  <c r="D99" i="2" s="1"/>
  <c r="J101" i="2"/>
  <c r="E100" i="2" s="1"/>
  <c r="H187" i="2"/>
  <c r="C186" i="2" s="1"/>
  <c r="I188" i="2"/>
  <c r="D187" i="2" s="1"/>
  <c r="J189" i="2"/>
  <c r="E188" i="2" s="1"/>
  <c r="B188" i="2"/>
  <c r="J136" i="2"/>
  <c r="E135" i="2" s="1"/>
  <c r="I135" i="2"/>
  <c r="D134" i="2" s="1"/>
  <c r="B135" i="2"/>
  <c r="H134" i="2"/>
  <c r="H169" i="2"/>
  <c r="I170" i="2"/>
  <c r="D169" i="2" s="1"/>
  <c r="J171" i="2"/>
  <c r="E170" i="2" s="1"/>
  <c r="B170" i="2"/>
  <c r="H151" i="2"/>
  <c r="I152" i="2"/>
  <c r="D151" i="2" s="1"/>
  <c r="J153" i="2"/>
  <c r="E152" i="2" s="1"/>
  <c r="B152" i="2"/>
  <c r="I117" i="2"/>
  <c r="D116" i="2" s="1"/>
  <c r="B117" i="2"/>
  <c r="J118" i="2"/>
  <c r="E117" i="2" s="1"/>
  <c r="H116" i="2"/>
  <c r="H83" i="2"/>
  <c r="J85" i="2"/>
  <c r="E84" i="2" s="1"/>
  <c r="B84" i="2"/>
  <c r="I84" i="2"/>
  <c r="D83" i="2" s="1"/>
  <c r="O4" i="7" l="1"/>
  <c r="O2" i="7"/>
  <c r="E19" i="9"/>
  <c r="D19" i="9" s="1"/>
  <c r="F19" i="9"/>
  <c r="B19" i="9" s="1"/>
  <c r="C19" i="9" s="1"/>
  <c r="G18" i="9"/>
  <c r="H18" i="9" s="1"/>
  <c r="I18" i="9"/>
  <c r="J18" i="9"/>
  <c r="K18" i="9"/>
  <c r="T41" i="5"/>
  <c r="T17" i="5"/>
  <c r="T9" i="5"/>
  <c r="T36" i="5"/>
  <c r="T16" i="5"/>
  <c r="T26" i="5"/>
  <c r="T28" i="5"/>
  <c r="T44" i="5"/>
  <c r="T45" i="5"/>
  <c r="T12" i="5"/>
  <c r="T29" i="5"/>
  <c r="T49" i="5"/>
  <c r="T23" i="5"/>
  <c r="T18" i="5"/>
  <c r="T50" i="5"/>
  <c r="T24" i="5"/>
  <c r="T14" i="5"/>
  <c r="T38" i="5"/>
  <c r="T8" i="5"/>
  <c r="T30" i="5"/>
  <c r="T39" i="5"/>
  <c r="T32" i="5"/>
  <c r="R23" i="5"/>
  <c r="T53" i="5"/>
  <c r="T25" i="5"/>
  <c r="T42" i="5"/>
  <c r="T51" i="5"/>
  <c r="T31" i="5"/>
  <c r="T6" i="5"/>
  <c r="T37" i="5"/>
  <c r="T34" i="5"/>
  <c r="T48" i="5"/>
  <c r="R6" i="5"/>
  <c r="R34" i="5"/>
  <c r="R5" i="5"/>
  <c r="R24" i="5"/>
  <c r="R32" i="5"/>
  <c r="R16" i="5"/>
  <c r="R12" i="5"/>
  <c r="T19" i="5"/>
  <c r="T46" i="5"/>
  <c r="T7" i="5"/>
  <c r="T40" i="5"/>
  <c r="T47" i="5"/>
  <c r="T5" i="5"/>
  <c r="T10" i="5"/>
  <c r="T21" i="5"/>
  <c r="T11" i="5"/>
  <c r="R26" i="5"/>
  <c r="R41" i="5"/>
  <c r="R51" i="5"/>
  <c r="R36" i="5"/>
  <c r="R19" i="5"/>
  <c r="R28" i="5"/>
  <c r="R29" i="5"/>
  <c r="R4" i="5"/>
  <c r="R42" i="5"/>
  <c r="R27" i="5"/>
  <c r="R38" i="5"/>
  <c r="T4" i="5"/>
  <c r="I4" i="23" s="1"/>
  <c r="T20" i="5"/>
  <c r="R48" i="5"/>
  <c r="T52" i="5"/>
  <c r="T22" i="5"/>
  <c r="T27" i="5"/>
  <c r="T15" i="5"/>
  <c r="T13" i="5"/>
  <c r="T33" i="5"/>
  <c r="T35" i="5"/>
  <c r="R14" i="5"/>
  <c r="R40" i="5"/>
  <c r="R49" i="5"/>
  <c r="R33" i="5"/>
  <c r="R15" i="5"/>
  <c r="R52" i="5"/>
  <c r="R50" i="5"/>
  <c r="R39" i="5"/>
  <c r="R21" i="5"/>
  <c r="T22" i="2"/>
  <c r="R31" i="5"/>
  <c r="R44" i="5"/>
  <c r="R22" i="5"/>
  <c r="R45" i="5"/>
  <c r="R11" i="5"/>
  <c r="R13" i="5"/>
  <c r="R25" i="5"/>
  <c r="R17" i="5"/>
  <c r="R20" i="5"/>
  <c r="R9" i="5"/>
  <c r="R47" i="5"/>
  <c r="R18" i="5"/>
  <c r="R53" i="5"/>
  <c r="R30" i="5"/>
  <c r="R43" i="5"/>
  <c r="R8" i="5"/>
  <c r="R46" i="5"/>
  <c r="R7" i="5"/>
  <c r="R10" i="5"/>
  <c r="R35" i="5"/>
  <c r="R37" i="5"/>
  <c r="D50" i="2"/>
  <c r="N50" i="2"/>
  <c r="N51" i="2" s="1"/>
  <c r="O50" i="2"/>
  <c r="O51" i="2" s="1"/>
  <c r="E67" i="2"/>
  <c r="I68" i="2"/>
  <c r="H68" i="2" s="1"/>
  <c r="B68" i="2"/>
  <c r="J69" i="2"/>
  <c r="H67" i="2"/>
  <c r="C49" i="2"/>
  <c r="C50" i="2"/>
  <c r="L52" i="2"/>
  <c r="B52" i="2"/>
  <c r="I52" i="2"/>
  <c r="J53" i="2"/>
  <c r="E51" i="2"/>
  <c r="M52" i="2"/>
  <c r="N14" i="19"/>
  <c r="P14" i="19"/>
  <c r="O14" i="19"/>
  <c r="M14" i="19"/>
  <c r="C115" i="2"/>
  <c r="C133" i="2"/>
  <c r="C204" i="2"/>
  <c r="C82" i="2"/>
  <c r="C168" i="2"/>
  <c r="C150" i="2"/>
  <c r="H84" i="2"/>
  <c r="C83" i="2"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I118" i="2"/>
  <c r="D117" i="2" s="1"/>
  <c r="B118" i="2"/>
  <c r="J119" i="2"/>
  <c r="E118" i="2" s="1"/>
  <c r="H117" i="2"/>
  <c r="C116" i="2" s="1"/>
  <c r="J154" i="2"/>
  <c r="E153" i="2" s="1"/>
  <c r="I153" i="2"/>
  <c r="D152" i="2" s="1"/>
  <c r="B153" i="2"/>
  <c r="H152" i="2"/>
  <c r="J172" i="2"/>
  <c r="E171" i="2" s="1"/>
  <c r="I171" i="2"/>
  <c r="D170" i="2" s="1"/>
  <c r="B171" i="2"/>
  <c r="H170" i="2"/>
  <c r="C169" i="2" s="1"/>
  <c r="H135" i="2"/>
  <c r="C134" i="2" s="1"/>
  <c r="I136" i="2"/>
  <c r="D135" i="2" s="1"/>
  <c r="J137" i="2"/>
  <c r="E136" i="2" s="1"/>
  <c r="B136" i="2"/>
  <c r="J190" i="2"/>
  <c r="E189" i="2" s="1"/>
  <c r="I189" i="2"/>
  <c r="D188" i="2" s="1"/>
  <c r="B189" i="2"/>
  <c r="H188" i="2"/>
  <c r="C187" i="2"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J208" i="2"/>
  <c r="E207" i="2" s="1"/>
  <c r="I207" i="2"/>
  <c r="D206" i="2" s="1"/>
  <c r="B207" i="2"/>
  <c r="H206" i="2"/>
  <c r="P3" i="7" l="1"/>
  <c r="P2" i="7"/>
  <c r="P4" i="7"/>
  <c r="E20" i="9"/>
  <c r="D20" i="9" s="1"/>
  <c r="F20" i="9"/>
  <c r="G19" i="9"/>
  <c r="H19" i="9" s="1"/>
  <c r="K19" i="9"/>
  <c r="J19" i="9"/>
  <c r="I19" i="9"/>
  <c r="S4" i="6"/>
  <c r="Q5" i="5"/>
  <c r="Q6" i="5" s="1"/>
  <c r="Q7" i="5" s="1"/>
  <c r="Q8" i="5" s="1"/>
  <c r="Q9" i="5" s="1"/>
  <c r="Q10" i="5" s="1"/>
  <c r="Q11" i="5" s="1"/>
  <c r="Q12" i="5" s="1"/>
  <c r="Q13" i="5" s="1"/>
  <c r="Q14" i="5" s="1"/>
  <c r="Q15" i="5" s="1"/>
  <c r="Q16" i="5" s="1"/>
  <c r="Q17" i="5" s="1"/>
  <c r="Q18" i="5" s="1"/>
  <c r="Q19" i="5" s="1"/>
  <c r="Q4" i="6"/>
  <c r="G4" i="23"/>
  <c r="O5" i="5"/>
  <c r="O6" i="5" s="1"/>
  <c r="O7" i="5" s="1"/>
  <c r="O8" i="5" s="1"/>
  <c r="O9" i="5" s="1"/>
  <c r="O10" i="5" s="1"/>
  <c r="T23" i="2"/>
  <c r="L119" i="2"/>
  <c r="C67" i="2"/>
  <c r="C66" i="2"/>
  <c r="D51" i="2"/>
  <c r="H52" i="2"/>
  <c r="N15" i="19"/>
  <c r="M15" i="19"/>
  <c r="O15" i="19"/>
  <c r="P15" i="19"/>
  <c r="E68" i="2"/>
  <c r="I69" i="2"/>
  <c r="E69" i="2"/>
  <c r="B69" i="2"/>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M119" i="2"/>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E53" i="2"/>
  <c r="D67" i="2"/>
  <c r="C99" i="2"/>
  <c r="C151" i="2"/>
  <c r="C205" i="2"/>
  <c r="H207" i="2"/>
  <c r="C206" i="2" s="1"/>
  <c r="I208" i="2"/>
  <c r="D207" i="2" s="1"/>
  <c r="J209" i="2"/>
  <c r="E208" i="2" s="1"/>
  <c r="B208" i="2"/>
  <c r="D101" i="2"/>
  <c r="H101" i="2"/>
  <c r="C100" i="2" s="1"/>
  <c r="H189" i="2"/>
  <c r="C188" i="2" s="1"/>
  <c r="I190" i="2"/>
  <c r="D189" i="2" s="1"/>
  <c r="J191" i="2"/>
  <c r="E190" i="2" s="1"/>
  <c r="B190" i="2"/>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I172" i="2"/>
  <c r="D171" i="2" s="1"/>
  <c r="J173" i="2"/>
  <c r="E172" i="2" s="1"/>
  <c r="B172" i="2"/>
  <c r="H153" i="2"/>
  <c r="C152" i="2" s="1"/>
  <c r="I154" i="2"/>
  <c r="D153" i="2" s="1"/>
  <c r="J155" i="2"/>
  <c r="E154" i="2" s="1"/>
  <c r="B154" i="2"/>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Q4" i="7" l="1"/>
  <c r="Q2" i="7"/>
  <c r="Q3" i="7"/>
  <c r="E21" i="9"/>
  <c r="D21" i="9" s="1"/>
  <c r="F21" i="9"/>
  <c r="G20" i="9"/>
  <c r="J20" i="9"/>
  <c r="K20" i="9"/>
  <c r="I20" i="9"/>
  <c r="B20" i="9"/>
  <c r="C20" i="9" s="1"/>
  <c r="H20" i="9" s="1"/>
  <c r="O11" i="5"/>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T24" i="2"/>
  <c r="O60" i="19"/>
  <c r="M55" i="19"/>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N52" i="2"/>
  <c r="W52" i="19"/>
  <c r="U52" i="19"/>
  <c r="X52" i="19"/>
  <c r="D118" i="2"/>
  <c r="C170" i="2"/>
  <c r="E13" i="15"/>
  <c r="U45" i="19"/>
  <c r="U34" i="19"/>
  <c r="U28" i="19"/>
  <c r="W47" i="19"/>
  <c r="V32" i="19"/>
  <c r="W23" i="19"/>
  <c r="V52" i="19"/>
  <c r="X46" i="19"/>
  <c r="X31" i="19"/>
  <c r="U22" i="19"/>
  <c r="V33" i="19"/>
  <c r="X22" i="19"/>
  <c r="D119" i="2"/>
  <c r="H119" i="2"/>
  <c r="C119" i="2"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E209" i="2"/>
  <c r="I209" i="2"/>
  <c r="D208" i="2" s="1"/>
  <c r="B209" i="2"/>
  <c r="H208"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R4" i="7"/>
  <c r="R2" i="7"/>
  <c r="R3" i="7"/>
  <c r="E22" i="9"/>
  <c r="D22" i="9" s="1"/>
  <c r="F22" i="9"/>
  <c r="G21" i="9"/>
  <c r="K21" i="9"/>
  <c r="I21" i="9"/>
  <c r="J21" i="9"/>
  <c r="B21" i="9"/>
  <c r="C21" i="9" s="1"/>
  <c r="H21" i="9" s="1"/>
  <c r="G7" i="23"/>
  <c r="G51" i="23"/>
  <c r="G52" i="23"/>
  <c r="Q24" i="6"/>
  <c r="Q12" i="6"/>
  <c r="Q46" i="6"/>
  <c r="G34" i="23"/>
  <c r="Q22" i="6"/>
  <c r="Q16" i="6"/>
  <c r="G24" i="23"/>
  <c r="Q40" i="6"/>
  <c r="Q32" i="6"/>
  <c r="G11" i="23"/>
  <c r="Q51" i="6"/>
  <c r="Q9" i="6"/>
  <c r="G8" i="23"/>
  <c r="G36" i="23"/>
  <c r="Q15" i="6"/>
  <c r="G31" i="23"/>
  <c r="G26" i="23"/>
  <c r="G32" i="23"/>
  <c r="Q29" i="6"/>
  <c r="G9" i="23"/>
  <c r="Q14" i="6"/>
  <c r="Q6" i="6"/>
  <c r="Q49" i="6"/>
  <c r="G23" i="23"/>
  <c r="Q33" i="6"/>
  <c r="G50" i="23"/>
  <c r="G42" i="23"/>
  <c r="Q23" i="6"/>
  <c r="Q28" i="6"/>
  <c r="Q53" i="6"/>
  <c r="G5" i="23"/>
  <c r="G29" i="23"/>
  <c r="Q42" i="6"/>
  <c r="Q17" i="6"/>
  <c r="Q5" i="6"/>
  <c r="G49" i="23"/>
  <c r="G41" i="23"/>
  <c r="Q31" i="6"/>
  <c r="Q37" i="6"/>
  <c r="Q20" i="6"/>
  <c r="G19" i="23"/>
  <c r="G38" i="23"/>
  <c r="G37" i="23"/>
  <c r="Q34" i="6"/>
  <c r="Q38" i="6"/>
  <c r="G46" i="23"/>
  <c r="Q39" i="6"/>
  <c r="Q30" i="6"/>
  <c r="G33" i="23"/>
  <c r="G28" i="23"/>
  <c r="G20" i="23"/>
  <c r="Q45" i="6"/>
  <c r="Q21" i="6"/>
  <c r="Q52" i="6"/>
  <c r="Q44" i="6"/>
  <c r="G45" i="23"/>
  <c r="Q41" i="6"/>
  <c r="Q19" i="6"/>
  <c r="G44" i="23"/>
  <c r="Q10" i="6"/>
  <c r="G18" i="23"/>
  <c r="G16" i="23"/>
  <c r="Q47" i="6"/>
  <c r="G22" i="23"/>
  <c r="G53" i="23"/>
  <c r="G47" i="23"/>
  <c r="G27" i="23"/>
  <c r="Q25" i="6"/>
  <c r="Q11" i="6"/>
  <c r="Q13" i="6"/>
  <c r="Q8" i="6"/>
  <c r="G25" i="23"/>
  <c r="G21" i="23"/>
  <c r="G40" i="23"/>
  <c r="Q26" i="6"/>
  <c r="Q27" i="6"/>
  <c r="Q36" i="6"/>
  <c r="Q50" i="6"/>
  <c r="G43" i="23"/>
  <c r="Q18" i="6"/>
  <c r="Q7" i="6"/>
  <c r="G13" i="23"/>
  <c r="G17" i="23"/>
  <c r="G35" i="23"/>
  <c r="G39" i="23"/>
  <c r="G12" i="23"/>
  <c r="G6" i="23"/>
  <c r="G14" i="23"/>
  <c r="Q35" i="6"/>
  <c r="G48" i="23"/>
  <c r="G10" i="23"/>
  <c r="Q43" i="6"/>
  <c r="G30" i="23"/>
  <c r="G15" i="23"/>
  <c r="T25" i="2"/>
  <c r="Q21" i="5"/>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S4" i="7" l="1"/>
  <c r="S2" i="7"/>
  <c r="S3" i="7"/>
  <c r="E23" i="9"/>
  <c r="D23" i="9" s="1"/>
  <c r="F23" i="9"/>
  <c r="G22" i="9"/>
  <c r="J22" i="9"/>
  <c r="I22" i="9"/>
  <c r="K22" i="9"/>
  <c r="B22" i="9"/>
  <c r="C22" i="9" s="1"/>
  <c r="T26" i="2"/>
  <c r="Q22" i="5"/>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208" i="2"/>
  <c r="H22" i="9" l="1"/>
  <c r="T3" i="7" s="1"/>
  <c r="E24" i="9"/>
  <c r="D24" i="9" s="1"/>
  <c r="F24" i="9"/>
  <c r="G23" i="9"/>
  <c r="J23" i="9"/>
  <c r="I23" i="9"/>
  <c r="K23" i="9"/>
  <c r="B23" i="9"/>
  <c r="C23" i="9" s="1"/>
  <c r="H23" i="9" s="1"/>
  <c r="T27" i="2"/>
  <c r="D21" i="15"/>
  <c r="S10" i="6"/>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U4" i="7" l="1"/>
  <c r="U2" i="7"/>
  <c r="T2" i="7"/>
  <c r="U3" i="7"/>
  <c r="E25" i="9"/>
  <c r="D25" i="9" s="1"/>
  <c r="F25" i="9"/>
  <c r="B25" i="9" s="1"/>
  <c r="C25" i="9" s="1"/>
  <c r="G24" i="9"/>
  <c r="J24" i="9"/>
  <c r="I24" i="9"/>
  <c r="K24" i="9"/>
  <c r="B24" i="9"/>
  <c r="C24" i="9" s="1"/>
  <c r="H24" i="9" s="1"/>
  <c r="T28" i="2"/>
  <c r="H5" i="5"/>
  <c r="J5" i="5" s="1"/>
  <c r="K5" i="5" s="1"/>
  <c r="L5" i="5" s="1"/>
  <c r="C5" i="5"/>
  <c r="E5" i="5" s="1"/>
  <c r="V4" i="7" l="1"/>
  <c r="V2" i="7"/>
  <c r="V3" i="7"/>
  <c r="E26" i="9"/>
  <c r="D26" i="9" s="1"/>
  <c r="F26" i="9"/>
  <c r="B26" i="9" s="1"/>
  <c r="C26" i="9" s="1"/>
  <c r="G25" i="9"/>
  <c r="H25" i="9" s="1"/>
  <c r="I25" i="9"/>
  <c r="K25" i="9"/>
  <c r="J25" i="9"/>
  <c r="W3" i="7" s="1"/>
  <c r="T29" i="2"/>
  <c r="W2" i="7" l="1"/>
  <c r="W4" i="7"/>
  <c r="E27" i="9"/>
  <c r="D27" i="9" s="1"/>
  <c r="F27" i="9"/>
  <c r="B27" i="9" s="1"/>
  <c r="C27" i="9" s="1"/>
  <c r="G26" i="9"/>
  <c r="H26" i="9" s="1"/>
  <c r="J26" i="9"/>
  <c r="I26" i="9"/>
  <c r="K26" i="9"/>
  <c r="T30" i="2"/>
  <c r="X2" i="7" l="1"/>
  <c r="X3" i="7"/>
  <c r="X4" i="7"/>
  <c r="E28" i="9"/>
  <c r="D28" i="9" s="1"/>
  <c r="F28" i="9"/>
  <c r="G27" i="9"/>
  <c r="H27" i="9" s="1"/>
  <c r="K27" i="9"/>
  <c r="I27" i="9"/>
  <c r="J27" i="9"/>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38" i="5" s="1"/>
  <c r="Y4" i="7" l="1"/>
  <c r="Y3" i="7"/>
  <c r="Y2" i="7"/>
  <c r="E29" i="9"/>
  <c r="D29" i="9" s="1"/>
  <c r="F29" i="9"/>
  <c r="G28" i="9"/>
  <c r="K28" i="9"/>
  <c r="I28" i="9"/>
  <c r="J28" i="9"/>
  <c r="B28" i="9"/>
  <c r="C28" i="9" s="1"/>
  <c r="H28" i="9" s="1"/>
  <c r="S7" i="5"/>
  <c r="S25" i="5"/>
  <c r="S53" i="5"/>
  <c r="S48" i="5"/>
  <c r="S31" i="5"/>
  <c r="S27" i="5"/>
  <c r="S42" i="5"/>
  <c r="S11" i="5"/>
  <c r="S8" i="5"/>
  <c r="S43" i="5"/>
  <c r="S32" i="5"/>
  <c r="S28" i="5"/>
  <c r="S24" i="5"/>
  <c r="S41" i="5"/>
  <c r="S51" i="5"/>
  <c r="S10" i="5"/>
  <c r="S14" i="5"/>
  <c r="S13" i="5"/>
  <c r="S26" i="5"/>
  <c r="S15" i="5"/>
  <c r="S52" i="5"/>
  <c r="S46" i="5"/>
  <c r="S23" i="5"/>
  <c r="S17" i="5"/>
  <c r="S37" i="5"/>
  <c r="S22" i="5"/>
  <c r="S40" i="5"/>
  <c r="S9" i="5"/>
  <c r="S20" i="5"/>
  <c r="S18" i="5"/>
  <c r="S4" i="5"/>
  <c r="S45" i="5"/>
  <c r="S39" i="5"/>
  <c r="S5" i="5"/>
  <c r="S47" i="5"/>
  <c r="S34" i="5"/>
  <c r="S49" i="5"/>
  <c r="S50" i="5"/>
  <c r="S21" i="5"/>
  <c r="S35" i="5"/>
  <c r="S19" i="5"/>
  <c r="S44" i="5"/>
  <c r="S12" i="5"/>
  <c r="S6" i="5"/>
  <c r="S16" i="5"/>
  <c r="S30" i="5"/>
  <c r="S36" i="5"/>
  <c r="S33" i="5"/>
  <c r="S29" i="5"/>
  <c r="Z3" i="7" l="1"/>
  <c r="Z2" i="7"/>
  <c r="Z4" i="7"/>
  <c r="E30" i="9"/>
  <c r="D30" i="9" s="1"/>
  <c r="F30" i="9"/>
  <c r="G29" i="9"/>
  <c r="K29" i="9"/>
  <c r="J29" i="9"/>
  <c r="I29" i="9"/>
  <c r="B29" i="9"/>
  <c r="C29" i="9" s="1"/>
  <c r="H29" i="9" s="1"/>
  <c r="H4" i="23"/>
  <c r="R4" i="6"/>
  <c r="P5" i="5"/>
  <c r="P6" i="5" s="1"/>
  <c r="P7" i="5" s="1"/>
  <c r="P8" i="5" s="1"/>
  <c r="P9" i="5" s="1"/>
  <c r="P10" i="5" s="1"/>
  <c r="P11" i="5" s="1"/>
  <c r="P12" i="5" s="1"/>
  <c r="P13" i="5" s="1"/>
  <c r="P14" i="5" s="1"/>
  <c r="P15" i="5" s="1"/>
  <c r="P16" i="5" s="1"/>
  <c r="P17" i="5" s="1"/>
  <c r="P18" i="5" s="1"/>
  <c r="P19" i="5" s="1"/>
  <c r="P20" i="5" s="1"/>
  <c r="P21" i="5" s="1"/>
  <c r="P22" i="5" s="1"/>
  <c r="P23" i="5" s="1"/>
  <c r="P24" i="5" s="1"/>
  <c r="P25" i="5" s="1"/>
  <c r="P26" i="5" s="1"/>
  <c r="P27" i="5" s="1"/>
  <c r="AA2" i="7" l="1"/>
  <c r="AA4" i="7"/>
  <c r="E31" i="9"/>
  <c r="D31" i="9" s="1"/>
  <c r="F31" i="9"/>
  <c r="B31" i="9" s="1"/>
  <c r="C31" i="9" s="1"/>
  <c r="G30" i="9"/>
  <c r="I30" i="9"/>
  <c r="K30" i="9"/>
  <c r="J30" i="9"/>
  <c r="B30" i="9"/>
  <c r="C30" i="9" s="1"/>
  <c r="H30" i="9" s="1"/>
  <c r="P28" i="5"/>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AB3" i="7" l="1"/>
  <c r="AB4" i="7"/>
  <c r="AB2" i="7"/>
  <c r="E32" i="9"/>
  <c r="D32" i="9" s="1"/>
  <c r="F32" i="9"/>
  <c r="B32" i="9" s="1"/>
  <c r="C32" i="9" s="1"/>
  <c r="G31" i="9"/>
  <c r="H31" i="9" s="1"/>
  <c r="I31" i="9"/>
  <c r="K31" i="9"/>
  <c r="J31" i="9"/>
  <c r="H50" i="23"/>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 r="AC4" i="7" l="1"/>
  <c r="AC2" i="7"/>
  <c r="AC3" i="7"/>
  <c r="E33" i="9"/>
  <c r="D33" i="9" s="1"/>
  <c r="F33" i="9"/>
  <c r="B33" i="9" s="1"/>
  <c r="C33" i="9" s="1"/>
  <c r="G32" i="9"/>
  <c r="H32" i="9" s="1"/>
  <c r="K32" i="9"/>
  <c r="I32" i="9"/>
  <c r="J32" i="9"/>
  <c r="AD4" i="7" l="1"/>
  <c r="AD3" i="7"/>
  <c r="AD2" i="7"/>
  <c r="E34" i="9"/>
  <c r="D34" i="9" s="1"/>
  <c r="F34" i="9"/>
  <c r="B34" i="9" s="1"/>
  <c r="C34" i="9" s="1"/>
  <c r="G33" i="9"/>
  <c r="H33" i="9" s="1"/>
  <c r="K33" i="9"/>
  <c r="I33" i="9"/>
  <c r="J33" i="9"/>
  <c r="AE4" i="7" l="1"/>
  <c r="AE3" i="7"/>
  <c r="AE2" i="7"/>
  <c r="E35" i="9"/>
  <c r="D35" i="9" s="1"/>
  <c r="F35" i="9"/>
  <c r="B35" i="9" s="1"/>
  <c r="C35" i="9" s="1"/>
  <c r="G34" i="9"/>
  <c r="H34" i="9" s="1"/>
  <c r="I34" i="9"/>
  <c r="K34" i="9"/>
  <c r="J34" i="9"/>
  <c r="AF2" i="7" l="1"/>
  <c r="AF3" i="7"/>
  <c r="E36" i="9"/>
  <c r="D36" i="9" s="1"/>
  <c r="F36" i="9"/>
  <c r="B36" i="9" s="1"/>
  <c r="C36" i="9" s="1"/>
  <c r="G35" i="9"/>
  <c r="H35" i="9" s="1"/>
  <c r="K35" i="9"/>
  <c r="J35" i="9"/>
  <c r="I35" i="9"/>
  <c r="AG3" i="7" l="1"/>
  <c r="AG4" i="7"/>
  <c r="AG2" i="7"/>
  <c r="E37" i="9"/>
  <c r="D37" i="9" s="1"/>
  <c r="F37" i="9"/>
  <c r="B37" i="9" s="1"/>
  <c r="C37" i="9" s="1"/>
  <c r="G36" i="9"/>
  <c r="H36" i="9" s="1"/>
  <c r="J36" i="9"/>
  <c r="K36" i="9"/>
  <c r="I36" i="9"/>
  <c r="AH4" i="7" l="1"/>
  <c r="AH2" i="7"/>
  <c r="E38" i="9"/>
  <c r="D38" i="9" s="1"/>
  <c r="F38" i="9"/>
  <c r="B38" i="9" s="1"/>
  <c r="C38" i="9" s="1"/>
  <c r="G37" i="9"/>
  <c r="H37" i="9" s="1"/>
  <c r="I37" i="9"/>
  <c r="J37" i="9"/>
  <c r="K37" i="9"/>
  <c r="AI2" i="7" l="1"/>
  <c r="AI3" i="7"/>
  <c r="AI4" i="7"/>
  <c r="E39" i="9"/>
  <c r="D39" i="9" s="1"/>
  <c r="F39" i="9"/>
  <c r="B39" i="9" s="1"/>
  <c r="C39" i="9" s="1"/>
  <c r="G38" i="9"/>
  <c r="H38" i="9" s="1"/>
  <c r="K38" i="9"/>
  <c r="J38" i="9"/>
  <c r="I38" i="9"/>
  <c r="AJ2" i="7" l="1"/>
  <c r="AJ3" i="7"/>
  <c r="E40" i="9"/>
  <c r="D40" i="9" s="1"/>
  <c r="F40" i="9"/>
  <c r="B40" i="9" s="1"/>
  <c r="C40" i="9" s="1"/>
  <c r="G39" i="9"/>
  <c r="H39" i="9" s="1"/>
  <c r="J39" i="9"/>
  <c r="I39" i="9"/>
  <c r="K39" i="9"/>
  <c r="AK2" i="7" l="1"/>
  <c r="AK3" i="7"/>
  <c r="AK4" i="7"/>
  <c r="E41" i="9"/>
  <c r="D41" i="9" s="1"/>
  <c r="F41" i="9"/>
  <c r="B41" i="9" s="1"/>
  <c r="C41" i="9" s="1"/>
  <c r="G40" i="9"/>
  <c r="H40" i="9" s="1"/>
  <c r="K40" i="9"/>
  <c r="AL4" i="7" s="1"/>
  <c r="I40" i="9"/>
  <c r="J40" i="9"/>
  <c r="AL3" i="7" s="1"/>
  <c r="AL2" i="7" l="1"/>
  <c r="E42" i="9"/>
  <c r="D42" i="9" s="1"/>
  <c r="F42" i="9"/>
  <c r="G41" i="9"/>
  <c r="H41" i="9" s="1"/>
  <c r="I41" i="9"/>
  <c r="K41" i="9"/>
  <c r="J41" i="9"/>
  <c r="AM3" i="7" l="1"/>
  <c r="AM4" i="7"/>
  <c r="AM2" i="7"/>
  <c r="E43" i="9"/>
  <c r="D43" i="9" s="1"/>
  <c r="F43" i="9"/>
  <c r="G42" i="9"/>
  <c r="J42" i="9"/>
  <c r="I42" i="9"/>
  <c r="K42" i="9"/>
  <c r="B42" i="9"/>
  <c r="C42" i="9" s="1"/>
  <c r="H42" i="9" s="1"/>
  <c r="AN3" i="7" l="1"/>
  <c r="AN4" i="7"/>
  <c r="AN2" i="7"/>
  <c r="E44" i="9"/>
  <c r="D44" i="9" s="1"/>
  <c r="F44" i="9"/>
  <c r="G43" i="9"/>
  <c r="K43" i="9"/>
  <c r="I43" i="9"/>
  <c r="J43" i="9"/>
  <c r="B43" i="9"/>
  <c r="C43" i="9" s="1"/>
  <c r="H43" i="9" s="1"/>
  <c r="AO3" i="7" l="1"/>
  <c r="AO2" i="7"/>
  <c r="E45" i="9"/>
  <c r="D45" i="9" s="1"/>
  <c r="F45" i="9"/>
  <c r="B45" i="9" s="1"/>
  <c r="C45" i="9" s="1"/>
  <c r="G44" i="9"/>
  <c r="K44" i="9"/>
  <c r="I44" i="9"/>
  <c r="J44" i="9"/>
  <c r="AP3" i="7" s="1"/>
  <c r="B44" i="9"/>
  <c r="C44" i="9" s="1"/>
  <c r="H44" i="9" s="1"/>
  <c r="AP4" i="7" l="1"/>
  <c r="AP2" i="7"/>
  <c r="E46" i="9"/>
  <c r="D46" i="9" s="1"/>
  <c r="F46" i="9"/>
  <c r="B46" i="9" s="1"/>
  <c r="C46" i="9" s="1"/>
  <c r="G45" i="9"/>
  <c r="H45" i="9" s="1"/>
  <c r="J45" i="9"/>
  <c r="I45" i="9"/>
  <c r="K45" i="9"/>
  <c r="AQ4" i="7" l="1"/>
  <c r="AQ2" i="7"/>
  <c r="AQ3" i="7"/>
  <c r="E47" i="9"/>
  <c r="D47" i="9" s="1"/>
  <c r="F47" i="9"/>
  <c r="B47" i="9" s="1"/>
  <c r="C47" i="9" s="1"/>
  <c r="G46" i="9"/>
  <c r="H46" i="9" s="1"/>
  <c r="J46" i="9"/>
  <c r="I46" i="9"/>
  <c r="K46" i="9"/>
  <c r="AR3" i="7" l="1"/>
  <c r="AR4" i="7"/>
  <c r="AR2" i="7"/>
  <c r="E48" i="9"/>
  <c r="D48" i="9" s="1"/>
  <c r="F48" i="9"/>
  <c r="B48" i="9" s="1"/>
  <c r="C48" i="9" s="1"/>
  <c r="G47" i="9"/>
  <c r="H47" i="9" s="1"/>
  <c r="J47" i="9"/>
  <c r="AS3" i="7" s="1"/>
  <c r="K47" i="9"/>
  <c r="I47" i="9"/>
  <c r="AS2" i="7" s="1"/>
  <c r="AS4" i="7" l="1"/>
  <c r="E49" i="9"/>
  <c r="D49" i="9" s="1"/>
  <c r="F49" i="9"/>
  <c r="B49" i="9" s="1"/>
  <c r="C49" i="9" s="1"/>
  <c r="G48" i="9"/>
  <c r="H48" i="9" s="1"/>
  <c r="I48" i="9"/>
  <c r="K48" i="9"/>
  <c r="J48" i="9"/>
  <c r="AT4" i="7" l="1"/>
  <c r="AT3" i="7"/>
  <c r="AT2" i="7"/>
  <c r="E50" i="9"/>
  <c r="D50" i="9" s="1"/>
  <c r="F50" i="9"/>
  <c r="B50" i="9" s="1"/>
  <c r="C50" i="9" s="1"/>
  <c r="G49" i="9"/>
  <c r="H49" i="9" s="1"/>
  <c r="J49" i="9"/>
  <c r="I49" i="9"/>
  <c r="AU2" i="7" s="1"/>
  <c r="K49" i="9"/>
  <c r="AU4" i="7" s="1"/>
  <c r="E51" i="9" l="1"/>
  <c r="D51" i="9" s="1"/>
  <c r="F51" i="9"/>
  <c r="B51" i="9" s="1"/>
  <c r="C51" i="9" s="1"/>
  <c r="G50" i="9"/>
  <c r="H50" i="9" s="1"/>
  <c r="I50" i="9"/>
  <c r="AV2" i="7" s="1"/>
  <c r="K50" i="9"/>
  <c r="AV4" i="7" s="1"/>
  <c r="J50" i="9"/>
  <c r="AV3" i="7" l="1"/>
  <c r="E52" i="9"/>
  <c r="D52" i="9" s="1"/>
  <c r="F52" i="9"/>
  <c r="B52" i="9" s="1"/>
  <c r="C52" i="9" s="1"/>
  <c r="G51" i="9"/>
  <c r="H51" i="9" s="1"/>
  <c r="J51" i="9"/>
  <c r="AW3" i="7" s="1"/>
  <c r="I51" i="9"/>
  <c r="AW2" i="7" s="1"/>
  <c r="K51" i="9"/>
  <c r="AW4" i="7" s="1"/>
  <c r="E53" i="9" l="1"/>
  <c r="D53" i="9" s="1"/>
  <c r="F53" i="9"/>
  <c r="B53" i="9" s="1"/>
  <c r="C53" i="9" s="1"/>
  <c r="G52" i="9"/>
  <c r="H52" i="9" s="1"/>
  <c r="J52" i="9"/>
  <c r="K52" i="9"/>
  <c r="I52" i="9"/>
  <c r="AX2" i="7" l="1"/>
  <c r="AX4" i="7"/>
  <c r="AX3" i="7"/>
  <c r="E54" i="9"/>
  <c r="D54" i="9" s="1"/>
  <c r="F54" i="9"/>
  <c r="B54" i="9" s="1"/>
  <c r="C54" i="9" s="1"/>
  <c r="G53" i="9"/>
  <c r="H53" i="9" s="1"/>
  <c r="J53" i="9"/>
  <c r="K53" i="9"/>
  <c r="I53" i="9"/>
  <c r="AY2" i="7" s="1"/>
  <c r="AY3" i="7" l="1"/>
  <c r="AY4" i="7"/>
  <c r="E55" i="9"/>
  <c r="D55" i="9" s="1"/>
  <c r="F55" i="9"/>
  <c r="B55" i="9" s="1"/>
  <c r="C55" i="9" s="1"/>
  <c r="G54" i="9"/>
  <c r="H54" i="9" s="1"/>
  <c r="J54" i="9"/>
  <c r="K54" i="9"/>
  <c r="I54" i="9"/>
  <c r="AZ2" i="7" l="1"/>
  <c r="AZ4" i="7"/>
  <c r="AZ3" i="7"/>
  <c r="E56" i="9"/>
  <c r="D56" i="9" s="1"/>
  <c r="F56" i="9"/>
  <c r="G55" i="9"/>
  <c r="H55" i="9" s="1"/>
  <c r="J55" i="9"/>
  <c r="I55" i="9"/>
  <c r="K55" i="9"/>
  <c r="BA4" i="7" l="1"/>
  <c r="BA3" i="7"/>
  <c r="BA2" i="7"/>
  <c r="E57" i="9"/>
  <c r="D57" i="9" s="1"/>
  <c r="F57" i="9"/>
  <c r="G56" i="9"/>
  <c r="I56" i="9"/>
  <c r="J56" i="9"/>
  <c r="K56" i="9"/>
  <c r="B56" i="9"/>
  <c r="C56" i="9" s="1"/>
  <c r="H56" i="9" s="1"/>
  <c r="BB2" i="7" l="1"/>
  <c r="BB3" i="7"/>
  <c r="BB4" i="7"/>
  <c r="E58" i="9"/>
  <c r="D58" i="9" s="1"/>
  <c r="F58" i="9"/>
  <c r="G57" i="9"/>
  <c r="I57" i="9"/>
  <c r="K57" i="9"/>
  <c r="J57" i="9"/>
  <c r="B57" i="9"/>
  <c r="C57" i="9" s="1"/>
  <c r="H57" i="9" s="1"/>
  <c r="BC2" i="7" l="1"/>
  <c r="BC3" i="7"/>
  <c r="E59" i="9"/>
  <c r="D59" i="9" s="1"/>
  <c r="F59" i="9"/>
  <c r="G58" i="9"/>
  <c r="J58" i="9"/>
  <c r="I58" i="9"/>
  <c r="K58" i="9"/>
  <c r="B58" i="9"/>
  <c r="C58" i="9" s="1"/>
  <c r="H58" i="9" s="1"/>
  <c r="BD3" i="7" l="1"/>
  <c r="BD2" i="7"/>
  <c r="BD4" i="7"/>
  <c r="E60" i="9"/>
  <c r="D60" i="9" s="1"/>
  <c r="F60" i="9"/>
  <c r="B60" i="9" s="1"/>
  <c r="C60" i="9" s="1"/>
  <c r="G59" i="9"/>
  <c r="K59" i="9"/>
  <c r="J59" i="9"/>
  <c r="I59" i="9"/>
  <c r="B59" i="9"/>
  <c r="C59" i="9" s="1"/>
  <c r="H59" i="9" s="1"/>
  <c r="BE2" i="7" l="1"/>
  <c r="BE3" i="7"/>
  <c r="BE4" i="7"/>
  <c r="E61" i="9"/>
  <c r="D61" i="9" s="1"/>
  <c r="F61" i="9"/>
  <c r="B61" i="9" s="1"/>
  <c r="C61" i="9" s="1"/>
  <c r="G60" i="9"/>
  <c r="H60" i="9" s="1"/>
  <c r="J60" i="9"/>
  <c r="K60" i="9"/>
  <c r="I60" i="9"/>
  <c r="BF2" i="7" l="1"/>
  <c r="BF4" i="7"/>
  <c r="E62" i="9"/>
  <c r="D62" i="9" s="1"/>
  <c r="F62" i="9"/>
  <c r="B62" i="9" s="1"/>
  <c r="C62" i="9" s="1"/>
  <c r="G61" i="9"/>
  <c r="H61" i="9" s="1"/>
  <c r="J61" i="9"/>
  <c r="I61" i="9"/>
  <c r="K61" i="9"/>
  <c r="BG4" i="7" l="1"/>
  <c r="BG2" i="7"/>
  <c r="BG3" i="7"/>
  <c r="E63" i="9"/>
  <c r="D63" i="9" s="1"/>
  <c r="F63" i="9"/>
  <c r="B63" i="9" s="1"/>
  <c r="C63" i="9" s="1"/>
  <c r="G62" i="9"/>
  <c r="H62" i="9" s="1"/>
  <c r="I62" i="9"/>
  <c r="J62" i="9"/>
  <c r="BH3" i="7" s="1"/>
  <c r="K62" i="9"/>
  <c r="BH4" i="7" s="1"/>
  <c r="BH2" i="7" l="1"/>
  <c r="E64" i="9"/>
  <c r="D64" i="9" s="1"/>
  <c r="F64" i="9"/>
  <c r="B64" i="9" s="1"/>
  <c r="C64" i="9" s="1"/>
  <c r="G63" i="9"/>
  <c r="H63" i="9" s="1"/>
  <c r="K63" i="9"/>
  <c r="I63" i="9"/>
  <c r="J63" i="9"/>
  <c r="BI2" i="7" l="1"/>
  <c r="BI3" i="7"/>
  <c r="BI4" i="7"/>
  <c r="E65" i="9"/>
  <c r="D65" i="9" s="1"/>
  <c r="F65" i="9"/>
  <c r="B65" i="9" s="1"/>
  <c r="C65" i="9" s="1"/>
  <c r="G64" i="9"/>
  <c r="H64" i="9" s="1"/>
  <c r="I64" i="9"/>
  <c r="J64" i="9"/>
  <c r="K64" i="9"/>
  <c r="BJ4" i="7" s="1"/>
  <c r="BJ3" i="7" l="1"/>
  <c r="BJ2" i="7"/>
  <c r="E66" i="9"/>
  <c r="D66" i="9" s="1"/>
  <c r="F66" i="9"/>
  <c r="B66" i="9" s="1"/>
  <c r="C66" i="9" s="1"/>
  <c r="G65" i="9"/>
  <c r="H65" i="9" s="1"/>
  <c r="J65" i="9"/>
  <c r="I65" i="9"/>
  <c r="K65" i="9"/>
  <c r="BK4" i="7" l="1"/>
  <c r="BK2" i="7"/>
  <c r="E67" i="9"/>
  <c r="D67" i="9" s="1"/>
  <c r="F67" i="9"/>
  <c r="B67" i="9" s="1"/>
  <c r="C67" i="9" s="1"/>
  <c r="G66" i="9"/>
  <c r="H66" i="9" s="1"/>
  <c r="I66" i="9"/>
  <c r="K66" i="9"/>
  <c r="J66" i="9"/>
  <c r="BL3" i="7" l="1"/>
  <c r="BL4" i="7"/>
  <c r="BL2" i="7"/>
  <c r="E68" i="9"/>
  <c r="D68" i="9" s="1"/>
  <c r="F68" i="9"/>
  <c r="B68" i="9" s="1"/>
  <c r="C68" i="9" s="1"/>
  <c r="G67" i="9"/>
  <c r="H67" i="9" s="1"/>
  <c r="K67" i="9"/>
  <c r="J67" i="9"/>
  <c r="I67" i="9"/>
  <c r="BM2" i="7" l="1"/>
  <c r="BM3" i="7"/>
  <c r="BM4" i="7"/>
  <c r="E69" i="9"/>
  <c r="D69" i="9" s="1"/>
  <c r="F69" i="9"/>
  <c r="B69" i="9" s="1"/>
  <c r="C69" i="9" s="1"/>
  <c r="G68" i="9"/>
  <c r="H68" i="9" s="1"/>
  <c r="J68" i="9"/>
  <c r="K68" i="9"/>
  <c r="I68" i="9"/>
  <c r="BN2" i="7" l="1"/>
  <c r="BN4" i="7"/>
  <c r="BN3" i="7"/>
  <c r="E70" i="9"/>
  <c r="D70" i="9" s="1"/>
  <c r="F70" i="9"/>
  <c r="G69" i="9"/>
  <c r="H69" i="9" s="1"/>
  <c r="J69" i="9"/>
  <c r="I69" i="9"/>
  <c r="K69" i="9"/>
  <c r="BO4" i="7" l="1"/>
  <c r="BO3" i="7"/>
  <c r="BO2" i="7"/>
  <c r="E71" i="9"/>
  <c r="D71" i="9" s="1"/>
  <c r="F71" i="9"/>
  <c r="G70" i="9"/>
  <c r="K70" i="9"/>
  <c r="J70" i="9"/>
  <c r="I70" i="9"/>
  <c r="B70" i="9"/>
  <c r="C70" i="9" s="1"/>
  <c r="H70" i="9" s="1"/>
  <c r="BP3" i="7" l="1"/>
  <c r="BP2" i="7"/>
  <c r="BP4" i="7"/>
  <c r="E72" i="9"/>
  <c r="D72" i="9" s="1"/>
  <c r="F72" i="9"/>
  <c r="G71" i="9"/>
  <c r="J71" i="9"/>
  <c r="I71" i="9"/>
  <c r="K71" i="9"/>
  <c r="B71" i="9"/>
  <c r="C71" i="9" s="1"/>
  <c r="H71" i="9" s="1"/>
  <c r="BQ2" i="7" l="1"/>
  <c r="BQ4" i="7"/>
  <c r="BQ3" i="7"/>
  <c r="F73" i="9"/>
  <c r="G72" i="9"/>
  <c r="E73" i="9"/>
  <c r="D73" i="9" s="1"/>
  <c r="I72" i="9"/>
  <c r="J72" i="9"/>
  <c r="K72" i="9"/>
  <c r="B72" i="9"/>
  <c r="C72" i="9" s="1"/>
  <c r="H72" i="9" s="1"/>
  <c r="BR4" i="7" l="1"/>
  <c r="BR3" i="7"/>
  <c r="BR2" i="7"/>
  <c r="F74" i="9"/>
  <c r="B74" i="9" s="1"/>
  <c r="C74" i="9" s="1"/>
  <c r="G73" i="9"/>
  <c r="E74" i="9"/>
  <c r="D74" i="9" s="1"/>
  <c r="I73" i="9"/>
  <c r="J73" i="9"/>
  <c r="K73" i="9"/>
  <c r="B73" i="9"/>
  <c r="C73" i="9" s="1"/>
  <c r="H73" i="9" s="1"/>
  <c r="BS3" i="7" l="1"/>
  <c r="BS4" i="7"/>
  <c r="BS2" i="7"/>
  <c r="E75" i="9"/>
  <c r="D75" i="9" s="1"/>
  <c r="F75" i="9"/>
  <c r="B75" i="9" s="1"/>
  <c r="C75" i="9" s="1"/>
  <c r="G74" i="9"/>
  <c r="H74" i="9" s="1"/>
  <c r="K74" i="9"/>
  <c r="J74" i="9"/>
  <c r="BT3" i="7" s="1"/>
  <c r="I74" i="9"/>
  <c r="BT2" i="7" s="1"/>
  <c r="BT4" i="7" l="1"/>
  <c r="E76" i="9"/>
  <c r="D76" i="9" s="1"/>
  <c r="F76" i="9"/>
  <c r="B76" i="9" s="1"/>
  <c r="C76" i="9" s="1"/>
  <c r="G75" i="9"/>
  <c r="H75" i="9" s="1"/>
  <c r="J75" i="9"/>
  <c r="I75" i="9"/>
  <c r="K75" i="9"/>
  <c r="BU4" i="7" l="1"/>
  <c r="BU2" i="7"/>
  <c r="BU3" i="7"/>
  <c r="F77" i="9"/>
  <c r="B77" i="9" s="1"/>
  <c r="C77" i="9" s="1"/>
  <c r="G76" i="9"/>
  <c r="H76" i="9" s="1"/>
  <c r="E77" i="9"/>
  <c r="D77" i="9" s="1"/>
  <c r="J76" i="9"/>
  <c r="K76" i="9"/>
  <c r="I76" i="9"/>
  <c r="BV4" i="7" l="1"/>
  <c r="BV3" i="7"/>
  <c r="BV2" i="7"/>
  <c r="F78" i="9"/>
  <c r="B78" i="9" s="1"/>
  <c r="C78" i="9" s="1"/>
  <c r="G77" i="9"/>
  <c r="H77" i="9" s="1"/>
  <c r="E78" i="9"/>
  <c r="D78" i="9" s="1"/>
  <c r="K77" i="9"/>
  <c r="J77" i="9"/>
  <c r="I77" i="9"/>
  <c r="BW2" i="7" l="1"/>
  <c r="BW3" i="7"/>
  <c r="E79" i="9"/>
  <c r="D79" i="9" s="1"/>
  <c r="F79" i="9"/>
  <c r="B79" i="9" s="1"/>
  <c r="C79" i="9" s="1"/>
  <c r="G78" i="9"/>
  <c r="H78" i="9" s="1"/>
  <c r="K78" i="9"/>
  <c r="J78" i="9"/>
  <c r="BX3" i="7" s="1"/>
  <c r="I78" i="9"/>
  <c r="BX2" i="7" s="1"/>
  <c r="BX4" i="7" l="1"/>
  <c r="E80" i="9"/>
  <c r="D80" i="9" s="1"/>
  <c r="G79" i="9"/>
  <c r="H79" i="9" s="1"/>
  <c r="F80" i="9"/>
  <c r="B80" i="9" s="1"/>
  <c r="C80" i="9" s="1"/>
  <c r="J79" i="9"/>
  <c r="I79" i="9"/>
  <c r="K79" i="9"/>
  <c r="BY4" i="7" l="1"/>
  <c r="BY2" i="7"/>
  <c r="BY3" i="7"/>
  <c r="F81" i="9"/>
  <c r="B81" i="9" s="1"/>
  <c r="C81" i="9" s="1"/>
  <c r="G80" i="9"/>
  <c r="H80" i="9" s="1"/>
  <c r="E81" i="9"/>
  <c r="D81" i="9" s="1"/>
  <c r="K80" i="9"/>
  <c r="J80" i="9"/>
  <c r="I80" i="9"/>
  <c r="BZ2" i="7" l="1"/>
  <c r="BZ3" i="7"/>
  <c r="BZ4" i="7"/>
  <c r="F82" i="9"/>
  <c r="B82" i="9" s="1"/>
  <c r="C82" i="9" s="1"/>
  <c r="G81" i="9"/>
  <c r="H81" i="9" s="1"/>
  <c r="E82" i="9"/>
  <c r="D82" i="9" s="1"/>
  <c r="I81" i="9"/>
  <c r="J81" i="9"/>
  <c r="K81" i="9"/>
  <c r="CA2" i="7" l="1"/>
  <c r="CA4" i="7"/>
  <c r="CA3" i="7"/>
  <c r="E83" i="9"/>
  <c r="D83" i="9" s="1"/>
  <c r="F83" i="9"/>
  <c r="B83" i="9" s="1"/>
  <c r="C83" i="9" s="1"/>
  <c r="G82" i="9"/>
  <c r="H82" i="9" s="1"/>
  <c r="K82" i="9"/>
  <c r="J82" i="9"/>
  <c r="CB3" i="7" s="1"/>
  <c r="I82" i="9"/>
  <c r="CB2" i="7" s="1"/>
  <c r="CB4" i="7" l="1"/>
  <c r="E84" i="9"/>
  <c r="D84" i="9" s="1"/>
  <c r="F84" i="9"/>
  <c r="G83" i="9"/>
  <c r="H83" i="9" s="1"/>
  <c r="J83" i="9"/>
  <c r="K83" i="9"/>
  <c r="I83" i="9"/>
  <c r="CC2" i="7" l="1"/>
  <c r="CC4" i="7"/>
  <c r="CC3" i="7"/>
  <c r="F85" i="9"/>
  <c r="G84" i="9"/>
  <c r="E85" i="9"/>
  <c r="D85" i="9" s="1"/>
  <c r="J84" i="9"/>
  <c r="I84" i="9"/>
  <c r="K84" i="9"/>
  <c r="B84" i="9"/>
  <c r="C84" i="9" s="1"/>
  <c r="H84" i="9" s="1"/>
  <c r="CD2" i="7" l="1"/>
  <c r="CD3" i="7"/>
  <c r="CD4" i="7"/>
  <c r="F86" i="9"/>
  <c r="G85" i="9"/>
  <c r="E86" i="9"/>
  <c r="D86" i="9" s="1"/>
  <c r="K85" i="9"/>
  <c r="I85" i="9"/>
  <c r="J85" i="9"/>
  <c r="B85" i="9"/>
  <c r="C85" i="9" s="1"/>
  <c r="H85" i="9" l="1"/>
  <c r="CE2" i="7"/>
  <c r="CE4" i="7"/>
  <c r="CE3" i="7"/>
  <c r="E87" i="9"/>
  <c r="D87" i="9" s="1"/>
  <c r="F87" i="9"/>
  <c r="G86" i="9"/>
  <c r="K86" i="9"/>
  <c r="I86" i="9"/>
  <c r="J86" i="9"/>
  <c r="B86" i="9"/>
  <c r="C86" i="9" s="1"/>
  <c r="H86" i="9" s="1"/>
  <c r="CF2" i="7" l="1"/>
  <c r="CF4" i="7"/>
  <c r="CF3" i="7"/>
  <c r="E88" i="9"/>
  <c r="D88" i="9" s="1"/>
  <c r="F88" i="9"/>
  <c r="B88" i="9" s="1"/>
  <c r="C88" i="9" s="1"/>
  <c r="G87" i="9"/>
  <c r="I87" i="9"/>
  <c r="J87" i="9"/>
  <c r="K87" i="9"/>
  <c r="B87" i="9"/>
  <c r="C87" i="9" s="1"/>
  <c r="H87" i="9" s="1"/>
  <c r="CG3" i="7" l="1"/>
  <c r="CG2" i="7"/>
  <c r="CG4" i="7"/>
  <c r="F89" i="9"/>
  <c r="B89" i="9" s="1"/>
  <c r="C89" i="9" s="1"/>
  <c r="G88" i="9"/>
  <c r="H88" i="9" s="1"/>
  <c r="E89" i="9"/>
  <c r="D89" i="9" s="1"/>
  <c r="I88" i="9"/>
  <c r="J88" i="9"/>
  <c r="K88" i="9"/>
  <c r="CH3" i="7" l="1"/>
  <c r="CH4" i="7"/>
  <c r="F90" i="9"/>
  <c r="B90" i="9" s="1"/>
  <c r="C90" i="9" s="1"/>
  <c r="G89" i="9"/>
  <c r="H89" i="9" s="1"/>
  <c r="E90" i="9"/>
  <c r="D90" i="9" s="1"/>
  <c r="K89" i="9"/>
  <c r="I89" i="9"/>
  <c r="J89" i="9"/>
  <c r="CI2" i="7" l="1"/>
  <c r="CI4" i="7"/>
  <c r="CI3" i="7"/>
  <c r="E91" i="9"/>
  <c r="D91" i="9" s="1"/>
  <c r="F91" i="9"/>
  <c r="B91" i="9" s="1"/>
  <c r="C91" i="9" s="1"/>
  <c r="G90" i="9"/>
  <c r="H90" i="9" s="1"/>
  <c r="K90" i="9"/>
  <c r="J90" i="9"/>
  <c r="CJ3" i="7" s="1"/>
  <c r="I90" i="9"/>
  <c r="CJ2" i="7" s="1"/>
  <c r="CJ4" i="7" l="1"/>
  <c r="E92" i="9"/>
  <c r="D92" i="9" s="1"/>
  <c r="F92" i="9"/>
  <c r="B92" i="9" s="1"/>
  <c r="C92" i="9" s="1"/>
  <c r="G91" i="9"/>
  <c r="H91" i="9" s="1"/>
  <c r="J91" i="9"/>
  <c r="I91" i="9"/>
  <c r="K91" i="9"/>
  <c r="CK4" i="7" l="1"/>
  <c r="CK3" i="7"/>
  <c r="CK2" i="7"/>
  <c r="F93" i="9"/>
  <c r="B93" i="9" s="1"/>
  <c r="C93" i="9" s="1"/>
  <c r="G92" i="9"/>
  <c r="H92" i="9" s="1"/>
  <c r="E93" i="9"/>
  <c r="D93" i="9" s="1"/>
  <c r="I92" i="9"/>
  <c r="J92" i="9"/>
  <c r="K92" i="9"/>
  <c r="CL3" i="7" l="1"/>
  <c r="CL2" i="7"/>
  <c r="CL4" i="7"/>
  <c r="F94" i="9"/>
  <c r="B94" i="9" s="1"/>
  <c r="C94" i="9" s="1"/>
  <c r="G93" i="9"/>
  <c r="H93" i="9" s="1"/>
  <c r="E94" i="9"/>
  <c r="D94" i="9" s="1"/>
  <c r="I93" i="9"/>
  <c r="J93" i="9"/>
  <c r="K93" i="9"/>
  <c r="CM4" i="7" l="1"/>
  <c r="CM3" i="7"/>
  <c r="E95" i="9"/>
  <c r="D95" i="9" s="1"/>
  <c r="F95" i="9"/>
  <c r="B95" i="9" s="1"/>
  <c r="C95" i="9" s="1"/>
  <c r="G94" i="9"/>
  <c r="H94" i="9" s="1"/>
  <c r="K94" i="9"/>
  <c r="J94" i="9"/>
  <c r="I94" i="9"/>
  <c r="CN3" i="7" l="1"/>
  <c r="CN4" i="7"/>
  <c r="CN2" i="7"/>
  <c r="E96" i="9"/>
  <c r="D96" i="9" s="1"/>
  <c r="G95" i="9"/>
  <c r="H95" i="9" s="1"/>
  <c r="F96" i="9"/>
  <c r="B96" i="9" s="1"/>
  <c r="C96" i="9" s="1"/>
  <c r="J95" i="9"/>
  <c r="I95" i="9"/>
  <c r="K95" i="9"/>
  <c r="CO3" i="7" l="1"/>
  <c r="CO4" i="7"/>
  <c r="CO2" i="7"/>
  <c r="F97" i="9"/>
  <c r="B97" i="9" s="1"/>
  <c r="C97" i="9" s="1"/>
  <c r="G96" i="9"/>
  <c r="H96" i="9" s="1"/>
  <c r="E97" i="9"/>
  <c r="D97" i="9" s="1"/>
  <c r="J96" i="9"/>
  <c r="I96" i="9"/>
  <c r="K96" i="9"/>
  <c r="CP3" i="7" l="1"/>
  <c r="CP4" i="7"/>
  <c r="CP2" i="7"/>
  <c r="F98" i="9"/>
  <c r="B98" i="9" s="1"/>
  <c r="C98" i="9" s="1"/>
  <c r="G97" i="9"/>
  <c r="H97" i="9" s="1"/>
  <c r="E98" i="9"/>
  <c r="D98" i="9" s="1"/>
  <c r="I97" i="9"/>
  <c r="J97" i="9"/>
  <c r="K97" i="9"/>
  <c r="CQ2" i="7" l="1"/>
  <c r="CQ4" i="7"/>
  <c r="CQ3" i="7"/>
  <c r="E99" i="9"/>
  <c r="D99" i="9" s="1"/>
  <c r="F99" i="9"/>
  <c r="G98" i="9"/>
  <c r="H98" i="9" s="1"/>
  <c r="J98" i="9"/>
  <c r="K98" i="9"/>
  <c r="I98" i="9"/>
  <c r="CR2" i="7" l="1"/>
  <c r="CR3" i="7"/>
  <c r="CR4" i="7"/>
  <c r="E100" i="9"/>
  <c r="D100" i="9" s="1"/>
  <c r="F100" i="9"/>
  <c r="G99" i="9"/>
  <c r="J99" i="9"/>
  <c r="K99" i="9"/>
  <c r="I99" i="9"/>
  <c r="B99" i="9"/>
  <c r="C99" i="9" s="1"/>
  <c r="H99" i="9" s="1"/>
  <c r="CS4" i="7" l="1"/>
  <c r="CS3" i="7"/>
  <c r="CS2" i="7"/>
  <c r="F101" i="9"/>
  <c r="G100" i="9"/>
  <c r="E101" i="9"/>
  <c r="D101" i="9" s="1"/>
  <c r="I100" i="9"/>
  <c r="J100" i="9"/>
  <c r="K100" i="9"/>
  <c r="CT4" i="7" s="1"/>
  <c r="B100" i="9"/>
  <c r="C100" i="9" s="1"/>
  <c r="H100" i="9" s="1"/>
  <c r="CT3" i="7" l="1"/>
  <c r="CT2" i="7"/>
  <c r="F102" i="9"/>
  <c r="G101" i="9"/>
  <c r="E102" i="9"/>
  <c r="D102" i="9" s="1"/>
  <c r="I101" i="9"/>
  <c r="K101" i="9"/>
  <c r="J101" i="9"/>
  <c r="B101" i="9"/>
  <c r="C101" i="9" s="1"/>
  <c r="H101" i="9" l="1"/>
  <c r="CU3" i="7"/>
  <c r="CU4" i="7"/>
  <c r="CU2" i="7"/>
  <c r="E103" i="9"/>
  <c r="D103" i="9" s="1"/>
  <c r="F103" i="9"/>
  <c r="B103" i="9" s="1"/>
  <c r="C103" i="9" s="1"/>
  <c r="G102" i="9"/>
  <c r="K102" i="9"/>
  <c r="I102" i="9"/>
  <c r="J102" i="9"/>
  <c r="B102" i="9"/>
  <c r="C102" i="9" s="1"/>
  <c r="H102" i="9" s="1"/>
  <c r="CV2" i="7" l="1"/>
  <c r="CV4" i="7"/>
  <c r="CV3" i="7"/>
  <c r="E104" i="9"/>
  <c r="D104" i="9" s="1"/>
  <c r="F104" i="9"/>
  <c r="B104" i="9" s="1"/>
  <c r="C104" i="9" s="1"/>
  <c r="G103" i="9"/>
  <c r="H103" i="9" s="1"/>
  <c r="J103" i="9"/>
  <c r="CW3" i="7" s="1"/>
  <c r="I103" i="9"/>
  <c r="CW2" i="7" s="1"/>
  <c r="K103" i="9"/>
  <c r="CW4" i="7" s="1"/>
  <c r="F105" i="9" l="1"/>
  <c r="B105" i="9" s="1"/>
  <c r="C105" i="9" s="1"/>
  <c r="G104" i="9"/>
  <c r="H104" i="9" s="1"/>
  <c r="E105" i="9"/>
  <c r="D105" i="9" s="1"/>
  <c r="J104" i="9"/>
  <c r="I104" i="9"/>
  <c r="K104" i="9"/>
  <c r="CX4" i="7" l="1"/>
  <c r="CX2" i="7"/>
  <c r="CX3" i="7"/>
  <c r="F106" i="9"/>
  <c r="B106" i="9" s="1"/>
  <c r="C106" i="9" s="1"/>
  <c r="G105" i="9"/>
  <c r="H105" i="9" s="1"/>
  <c r="E106" i="9"/>
  <c r="D106" i="9" s="1"/>
  <c r="I105" i="9"/>
  <c r="J105" i="9"/>
  <c r="K105" i="9"/>
  <c r="CY2" i="7" l="1"/>
  <c r="CY4" i="7"/>
  <c r="CY3" i="7"/>
  <c r="E107" i="9"/>
  <c r="D107" i="9" s="1"/>
  <c r="F107" i="9"/>
  <c r="B107" i="9" s="1"/>
  <c r="C107" i="9" s="1"/>
  <c r="G106" i="9"/>
  <c r="H106" i="9" s="1"/>
  <c r="K106" i="9"/>
  <c r="J106" i="9"/>
  <c r="I106" i="9"/>
  <c r="CZ4" i="7" l="1"/>
  <c r="CZ2" i="7"/>
  <c r="CZ3" i="7"/>
  <c r="E108" i="9"/>
  <c r="D108" i="9" s="1"/>
  <c r="F108" i="9"/>
  <c r="B108" i="9" s="1"/>
  <c r="C108" i="9" s="1"/>
  <c r="G107" i="9"/>
  <c r="H107" i="9" s="1"/>
  <c r="J107" i="9"/>
  <c r="K107" i="9"/>
  <c r="I107" i="9"/>
  <c r="DA3" i="7" l="1"/>
  <c r="DA2" i="7"/>
  <c r="DA4" i="7"/>
  <c r="F109" i="9"/>
  <c r="B109" i="9" s="1"/>
  <c r="C109" i="9" s="1"/>
  <c r="G108" i="9"/>
  <c r="H108" i="9" s="1"/>
  <c r="E109" i="9"/>
  <c r="D109" i="9" s="1"/>
  <c r="I108" i="9"/>
  <c r="K108" i="9"/>
  <c r="J108" i="9"/>
  <c r="DB4" i="7" l="1"/>
  <c r="DB3" i="7"/>
  <c r="DB2" i="7"/>
  <c r="F110" i="9"/>
  <c r="B110" i="9" s="1"/>
  <c r="C110" i="9" s="1"/>
  <c r="G109" i="9"/>
  <c r="H109" i="9" s="1"/>
  <c r="E110" i="9"/>
  <c r="D110" i="9" s="1"/>
  <c r="I109" i="9"/>
  <c r="J109" i="9"/>
  <c r="K109" i="9"/>
  <c r="DC2" i="7" l="1"/>
  <c r="DC3" i="7"/>
  <c r="E111" i="9"/>
  <c r="D111" i="9" s="1"/>
  <c r="F111" i="9"/>
  <c r="B111" i="9" s="1"/>
  <c r="C111" i="9" s="1"/>
  <c r="G110" i="9"/>
  <c r="H110" i="9" s="1"/>
  <c r="K110" i="9"/>
  <c r="J110" i="9"/>
  <c r="I110" i="9"/>
  <c r="DD3" i="7" l="1"/>
  <c r="DD2" i="7"/>
  <c r="DD4" i="7"/>
  <c r="E112" i="9"/>
  <c r="D112" i="9" s="1"/>
  <c r="G111" i="9"/>
  <c r="H111" i="9" s="1"/>
  <c r="F112" i="9"/>
  <c r="B112" i="9" s="1"/>
  <c r="C112" i="9" s="1"/>
  <c r="J111" i="9"/>
  <c r="DE3" i="7" s="1"/>
  <c r="I111" i="9"/>
  <c r="DE2" i="7" s="1"/>
  <c r="K111" i="9"/>
  <c r="DE4" i="7" s="1"/>
  <c r="F113" i="9" l="1"/>
  <c r="B113" i="9" s="1"/>
  <c r="C113" i="9" s="1"/>
  <c r="G112" i="9"/>
  <c r="H112" i="9" s="1"/>
  <c r="E113" i="9"/>
  <c r="D113" i="9" s="1"/>
  <c r="J112" i="9"/>
  <c r="K112" i="9"/>
  <c r="I112" i="9"/>
  <c r="DF4" i="7" l="1"/>
  <c r="DF2" i="7"/>
  <c r="DF3" i="7"/>
  <c r="F114" i="9"/>
  <c r="G113" i="9"/>
  <c r="H113" i="9" s="1"/>
  <c r="E114" i="9"/>
  <c r="D114" i="9" s="1"/>
  <c r="J113" i="9"/>
  <c r="I113" i="9"/>
  <c r="K113" i="9"/>
  <c r="DG3" i="7" l="1"/>
  <c r="DG4" i="7"/>
  <c r="DG2" i="7"/>
  <c r="E115" i="9"/>
  <c r="D115" i="9" s="1"/>
  <c r="F115" i="9"/>
  <c r="G114" i="9"/>
  <c r="K114" i="9"/>
  <c r="J114" i="9"/>
  <c r="I114" i="9"/>
  <c r="B114" i="9"/>
  <c r="C114" i="9" s="1"/>
  <c r="H114" i="9" s="1"/>
  <c r="DH3" i="7" l="1"/>
  <c r="DH4" i="7"/>
  <c r="DH2" i="7"/>
  <c r="E116" i="9"/>
  <c r="D116" i="9" s="1"/>
  <c r="F116" i="9"/>
  <c r="G115" i="9"/>
  <c r="J115" i="9"/>
  <c r="DI3" i="7" s="1"/>
  <c r="I115" i="9"/>
  <c r="K115" i="9"/>
  <c r="DI4" i="7" s="1"/>
  <c r="B115" i="9"/>
  <c r="C115" i="9" s="1"/>
  <c r="H115" i="9" s="1"/>
  <c r="DI2" i="7" l="1"/>
  <c r="F117" i="9"/>
  <c r="B117" i="9" s="1"/>
  <c r="C117" i="9" s="1"/>
  <c r="G116" i="9"/>
  <c r="E117" i="9"/>
  <c r="D117" i="9" s="1"/>
  <c r="I116" i="9"/>
  <c r="J116" i="9"/>
  <c r="K116" i="9"/>
  <c r="B116" i="9"/>
  <c r="C116" i="9" s="1"/>
  <c r="H116" i="9" l="1"/>
  <c r="DJ2" i="7" s="1"/>
  <c r="DJ3" i="7"/>
  <c r="F118" i="9"/>
  <c r="B118" i="9" s="1"/>
  <c r="C118" i="9" s="1"/>
  <c r="G117" i="9"/>
  <c r="H117" i="9" s="1"/>
  <c r="E118" i="9"/>
  <c r="D118" i="9" s="1"/>
  <c r="K117" i="9"/>
  <c r="I117" i="9"/>
  <c r="J117" i="9"/>
  <c r="DK3" i="7" s="1"/>
  <c r="DK2" i="7" l="1"/>
  <c r="DJ4" i="7"/>
  <c r="DK4" i="7"/>
  <c r="F119" i="9"/>
  <c r="B119" i="9" s="1"/>
  <c r="C119" i="9" s="1"/>
  <c r="E119" i="9"/>
  <c r="D119" i="9" s="1"/>
  <c r="G118" i="9"/>
  <c r="H118" i="9" s="1"/>
  <c r="K118" i="9"/>
  <c r="I118" i="9"/>
  <c r="J118" i="9"/>
  <c r="DL3" i="7" l="1"/>
  <c r="DL2" i="7"/>
  <c r="E120" i="9"/>
  <c r="D120" i="9" s="1"/>
  <c r="F120" i="9"/>
  <c r="B120" i="9" s="1"/>
  <c r="C120" i="9" s="1"/>
  <c r="G119" i="9"/>
  <c r="H119" i="9" s="1"/>
  <c r="J119" i="9"/>
  <c r="K119" i="9"/>
  <c r="I119" i="9"/>
  <c r="DM4" i="7" l="1"/>
  <c r="DM3" i="7"/>
  <c r="DM2" i="7"/>
  <c r="F121" i="9"/>
  <c r="B121" i="9" s="1"/>
  <c r="C121" i="9" s="1"/>
  <c r="G120" i="9"/>
  <c r="H120" i="9" s="1"/>
  <c r="E121" i="9"/>
  <c r="D121" i="9" s="1"/>
  <c r="J120" i="9"/>
  <c r="I120" i="9"/>
  <c r="K120" i="9"/>
  <c r="DN4" i="7" l="1"/>
  <c r="DN3" i="7"/>
  <c r="DN2" i="7"/>
  <c r="E122" i="9"/>
  <c r="D122" i="9" s="1"/>
  <c r="F122" i="9"/>
  <c r="B122" i="9" s="1"/>
  <c r="C122" i="9" s="1"/>
  <c r="G121" i="9"/>
  <c r="H121" i="9" s="1"/>
  <c r="I121" i="9"/>
  <c r="DO2" i="7" s="1"/>
  <c r="J121" i="9"/>
  <c r="K121" i="9"/>
  <c r="DO4" i="7" l="1"/>
  <c r="DO3" i="7"/>
  <c r="F123" i="9"/>
  <c r="B123" i="9" s="1"/>
  <c r="C123" i="9" s="1"/>
  <c r="G122" i="9"/>
  <c r="H122" i="9" s="1"/>
  <c r="E123" i="9"/>
  <c r="D123" i="9" s="1"/>
  <c r="K122" i="9"/>
  <c r="J122" i="9"/>
  <c r="I122" i="9"/>
  <c r="DP2" i="7" l="1"/>
  <c r="DP3" i="7"/>
  <c r="DP4" i="7"/>
  <c r="E124" i="9"/>
  <c r="D124" i="9" s="1"/>
  <c r="G123" i="9"/>
  <c r="H123" i="9" s="1"/>
  <c r="F124" i="9"/>
  <c r="B124" i="9" s="1"/>
  <c r="C124" i="9" s="1"/>
  <c r="J123" i="9"/>
  <c r="K123" i="9"/>
  <c r="I123" i="9"/>
  <c r="DQ3" i="7" l="1"/>
  <c r="DQ2" i="7"/>
  <c r="DQ4" i="7"/>
  <c r="F125" i="9"/>
  <c r="B125" i="9" s="1"/>
  <c r="C125" i="9" s="1"/>
  <c r="G124" i="9"/>
  <c r="H124" i="9" s="1"/>
  <c r="E125" i="9"/>
  <c r="D125" i="9" s="1"/>
  <c r="I124" i="9"/>
  <c r="J124" i="9"/>
  <c r="K124" i="9"/>
  <c r="DR2" i="7" l="1"/>
  <c r="DR4" i="7"/>
  <c r="DR3" i="7"/>
  <c r="E126" i="9"/>
  <c r="D126" i="9" s="1"/>
  <c r="G125" i="9"/>
  <c r="H125" i="9" s="1"/>
  <c r="F126" i="9"/>
  <c r="B126" i="9" s="1"/>
  <c r="C126" i="9" s="1"/>
  <c r="I125" i="9"/>
  <c r="J125" i="9"/>
  <c r="K125" i="9"/>
  <c r="DS2" i="7" l="1"/>
  <c r="DS3" i="7"/>
  <c r="F127" i="9"/>
  <c r="B127" i="9" s="1"/>
  <c r="C127" i="9" s="1"/>
  <c r="G126" i="9"/>
  <c r="H126" i="9" s="1"/>
  <c r="E127" i="9"/>
  <c r="D127" i="9" s="1"/>
  <c r="K126" i="9"/>
  <c r="J126" i="9"/>
  <c r="DT3" i="7" s="1"/>
  <c r="I126" i="9"/>
  <c r="DT2" i="7" s="1"/>
  <c r="E128" i="9" l="1"/>
  <c r="D128" i="9" s="1"/>
  <c r="F128" i="9"/>
  <c r="B128" i="9" s="1"/>
  <c r="C128" i="9" s="1"/>
  <c r="G127" i="9"/>
  <c r="H127" i="9" s="1"/>
  <c r="J127" i="9"/>
  <c r="I127" i="9"/>
  <c r="K127" i="9"/>
  <c r="DU4" i="7" l="1"/>
  <c r="DU2" i="7"/>
  <c r="DU3" i="7"/>
  <c r="F129" i="9"/>
  <c r="G128" i="9"/>
  <c r="H128" i="9" s="1"/>
  <c r="E129" i="9"/>
  <c r="D129" i="9" s="1"/>
  <c r="J128" i="9"/>
  <c r="K128" i="9"/>
  <c r="I128" i="9"/>
  <c r="DV2" i="7" l="1"/>
  <c r="DV3" i="7"/>
  <c r="DV4" i="7"/>
  <c r="E130" i="9"/>
  <c r="D130" i="9" s="1"/>
  <c r="F130" i="9"/>
  <c r="G129" i="9"/>
  <c r="K129" i="9"/>
  <c r="I129" i="9"/>
  <c r="J129" i="9"/>
  <c r="B129" i="9"/>
  <c r="C129" i="9" s="1"/>
  <c r="H129" i="9" s="1"/>
  <c r="DW3" i="7" l="1"/>
  <c r="DW4" i="7"/>
  <c r="DW2" i="7"/>
  <c r="F131" i="9"/>
  <c r="G130" i="9"/>
  <c r="E131" i="9"/>
  <c r="D131" i="9" s="1"/>
  <c r="J130" i="9"/>
  <c r="K130" i="9"/>
  <c r="I130" i="9"/>
  <c r="B130" i="9"/>
  <c r="C130" i="9" s="1"/>
  <c r="H130" i="9" s="1"/>
  <c r="DX4" i="7" l="1"/>
  <c r="DX3" i="7"/>
  <c r="DX2" i="7"/>
  <c r="E132" i="9"/>
  <c r="D132" i="9" s="1"/>
  <c r="G131" i="9"/>
  <c r="F132" i="9"/>
  <c r="B132" i="9" s="1"/>
  <c r="C132" i="9" s="1"/>
  <c r="J131" i="9"/>
  <c r="K131" i="9"/>
  <c r="I131" i="9"/>
  <c r="B131" i="9"/>
  <c r="C131" i="9" s="1"/>
  <c r="H131" i="9" s="1"/>
  <c r="DY4" i="7" l="1"/>
  <c r="DY3" i="7"/>
  <c r="DY2" i="7"/>
  <c r="F133" i="9"/>
  <c r="B133" i="9" s="1"/>
  <c r="C133" i="9" s="1"/>
  <c r="G132" i="9"/>
  <c r="H132" i="9" s="1"/>
  <c r="E133" i="9"/>
  <c r="D133" i="9" s="1"/>
  <c r="I132" i="9"/>
  <c r="K132" i="9"/>
  <c r="J132" i="9"/>
  <c r="DZ4" i="7" l="1"/>
  <c r="DZ3" i="7"/>
  <c r="DZ2" i="7"/>
  <c r="F134" i="9"/>
  <c r="B134" i="9" s="1"/>
  <c r="C134" i="9" s="1"/>
  <c r="E134" i="9"/>
  <c r="D134" i="9" s="1"/>
  <c r="G133" i="9"/>
  <c r="H133" i="9" s="1"/>
  <c r="I133" i="9"/>
  <c r="EA2" i="7" s="1"/>
  <c r="K133" i="9"/>
  <c r="EA4" i="7" s="1"/>
  <c r="J133" i="9"/>
  <c r="EA3" i="7" s="1"/>
  <c r="E135" i="9" l="1"/>
  <c r="D135" i="9" s="1"/>
  <c r="F135" i="9"/>
  <c r="B135" i="9" s="1"/>
  <c r="C135" i="9" s="1"/>
  <c r="G134" i="9"/>
  <c r="H134" i="9" s="1"/>
  <c r="K134" i="9"/>
  <c r="I134" i="9"/>
  <c r="J134" i="9"/>
  <c r="EB2" i="7" l="1"/>
  <c r="EB3" i="7"/>
  <c r="E136" i="9"/>
  <c r="D136" i="9" s="1"/>
  <c r="F136" i="9"/>
  <c r="B136" i="9" s="1"/>
  <c r="C136" i="9" s="1"/>
  <c r="G135" i="9"/>
  <c r="H135" i="9" s="1"/>
  <c r="J135" i="9"/>
  <c r="K135" i="9"/>
  <c r="I135" i="9"/>
  <c r="EC4" i="7" l="1"/>
  <c r="EC3" i="7"/>
  <c r="EC2" i="7"/>
  <c r="F137" i="9"/>
  <c r="B137" i="9" s="1"/>
  <c r="C137" i="9" s="1"/>
  <c r="G136" i="9"/>
  <c r="H136" i="9" s="1"/>
  <c r="E137" i="9"/>
  <c r="D137" i="9" s="1"/>
  <c r="K136" i="9"/>
  <c r="J136" i="9"/>
  <c r="I136" i="9"/>
  <c r="ED4" i="7" l="1"/>
  <c r="ED2" i="7"/>
  <c r="ED3" i="7"/>
  <c r="F138" i="9"/>
  <c r="B138" i="9" s="1"/>
  <c r="C138" i="9" s="1"/>
  <c r="G137" i="9"/>
  <c r="H137" i="9" s="1"/>
  <c r="E138" i="9"/>
  <c r="D138" i="9" s="1"/>
  <c r="K137" i="9"/>
  <c r="I137" i="9"/>
  <c r="J137" i="9"/>
  <c r="EE4" i="7" l="1"/>
  <c r="EE3" i="7"/>
  <c r="EE2" i="7"/>
  <c r="E139" i="9"/>
  <c r="D139" i="9" s="1"/>
  <c r="F139" i="9"/>
  <c r="B139" i="9" s="1"/>
  <c r="C139" i="9" s="1"/>
  <c r="G138" i="9"/>
  <c r="H138" i="9" s="1"/>
  <c r="K138" i="9"/>
  <c r="J138" i="9"/>
  <c r="I138" i="9"/>
  <c r="EF4" i="7" l="1"/>
  <c r="EF2" i="7"/>
  <c r="EF3" i="7"/>
  <c r="E140" i="9"/>
  <c r="D140" i="9" s="1"/>
  <c r="G139" i="9"/>
  <c r="H139" i="9" s="1"/>
  <c r="F140" i="9"/>
  <c r="B140" i="9" s="1"/>
  <c r="C140" i="9" s="1"/>
  <c r="J139" i="9"/>
  <c r="I139" i="9"/>
  <c r="K139" i="9"/>
  <c r="EG3" i="7" l="1"/>
  <c r="EG4" i="7"/>
  <c r="EG2" i="7"/>
  <c r="F141" i="9"/>
  <c r="B141" i="9" s="1"/>
  <c r="C141" i="9" s="1"/>
  <c r="G140" i="9"/>
  <c r="H140" i="9" s="1"/>
  <c r="E141" i="9"/>
  <c r="D141" i="9" s="1"/>
  <c r="I140" i="9"/>
  <c r="J140" i="9"/>
  <c r="K140" i="9"/>
  <c r="EH3" i="7" l="1"/>
  <c r="EH2" i="7"/>
  <c r="EH4" i="7"/>
  <c r="F142" i="9"/>
  <c r="B142" i="9" s="1"/>
  <c r="C142" i="9" s="1"/>
  <c r="G141" i="9"/>
  <c r="H141" i="9" s="1"/>
  <c r="E142" i="9"/>
  <c r="D142" i="9" s="1"/>
  <c r="I141" i="9"/>
  <c r="K141" i="9"/>
  <c r="J141" i="9"/>
  <c r="EI2" i="7" l="1"/>
  <c r="EI4" i="7"/>
  <c r="EI3" i="7"/>
  <c r="E143" i="9"/>
  <c r="D143" i="9" s="1"/>
  <c r="F143" i="9"/>
  <c r="B143" i="9" s="1"/>
  <c r="C143" i="9" s="1"/>
  <c r="G142" i="9"/>
  <c r="H142" i="9" s="1"/>
  <c r="K142" i="9"/>
  <c r="J142" i="9"/>
  <c r="I142" i="9"/>
  <c r="EJ4" i="7" l="1"/>
  <c r="EJ2" i="7"/>
  <c r="EJ3" i="7"/>
  <c r="E144" i="9"/>
  <c r="D144" i="9" s="1"/>
  <c r="G143" i="9"/>
  <c r="H143" i="9" s="1"/>
  <c r="F144" i="9"/>
  <c r="J143" i="9"/>
  <c r="K143" i="9"/>
  <c r="I143" i="9"/>
  <c r="EK3" i="7" l="1"/>
  <c r="EK2" i="7"/>
  <c r="EK4" i="7"/>
  <c r="F145" i="9"/>
  <c r="G144" i="9"/>
  <c r="E145" i="9"/>
  <c r="D145" i="9" s="1"/>
  <c r="J144" i="9"/>
  <c r="EL3" i="7" s="1"/>
  <c r="I144" i="9"/>
  <c r="K144" i="9"/>
  <c r="B144" i="9"/>
  <c r="C144" i="9" s="1"/>
  <c r="H144" i="9" s="1"/>
  <c r="EL4" i="7" l="1"/>
  <c r="EL2" i="7"/>
  <c r="F146" i="9"/>
  <c r="G145" i="9"/>
  <c r="E146" i="9"/>
  <c r="D146" i="9" s="1"/>
  <c r="K145" i="9"/>
  <c r="J145" i="9"/>
  <c r="I145" i="9"/>
  <c r="B145" i="9"/>
  <c r="C145" i="9" s="1"/>
  <c r="H145" i="9" l="1"/>
  <c r="EM2" i="7"/>
  <c r="EM3" i="7"/>
  <c r="E147" i="9"/>
  <c r="D147" i="9" s="1"/>
  <c r="F147" i="9"/>
  <c r="B147" i="9" s="1"/>
  <c r="C147" i="9" s="1"/>
  <c r="G146" i="9"/>
  <c r="K146" i="9"/>
  <c r="J146" i="9"/>
  <c r="I146" i="9"/>
  <c r="EN2" i="7" s="1"/>
  <c r="B146" i="9"/>
  <c r="C146" i="9" s="1"/>
  <c r="H146" i="9" s="1"/>
  <c r="EN3" i="7" l="1"/>
  <c r="E148" i="9"/>
  <c r="D148" i="9" s="1"/>
  <c r="F148" i="9"/>
  <c r="B148" i="9" s="1"/>
  <c r="C148" i="9" s="1"/>
  <c r="G147" i="9"/>
  <c r="H147" i="9" s="1"/>
  <c r="J147" i="9"/>
  <c r="K147" i="9"/>
  <c r="I147" i="9"/>
  <c r="EO2" i="7" l="1"/>
  <c r="EO4" i="7"/>
  <c r="EO3" i="7"/>
  <c r="F149" i="9"/>
  <c r="B149" i="9" s="1"/>
  <c r="C149" i="9" s="1"/>
  <c r="G148" i="9"/>
  <c r="H148" i="9" s="1"/>
  <c r="E149" i="9"/>
  <c r="D149" i="9" s="1"/>
  <c r="I148" i="9"/>
  <c r="K148" i="9"/>
  <c r="J148" i="9"/>
  <c r="EP2" i="7" l="1"/>
  <c r="EP3" i="7"/>
  <c r="EP4" i="7"/>
  <c r="F150" i="9"/>
  <c r="B150" i="9" s="1"/>
  <c r="C150" i="9" s="1"/>
  <c r="G149" i="9"/>
  <c r="H149" i="9" s="1"/>
  <c r="E150" i="9"/>
  <c r="D150" i="9" s="1"/>
  <c r="K149" i="9"/>
  <c r="I149" i="9"/>
  <c r="J149" i="9"/>
  <c r="EQ4" i="7" l="1"/>
  <c r="EQ3" i="7"/>
  <c r="EQ2" i="7"/>
  <c r="E151" i="9"/>
  <c r="D151" i="9" s="1"/>
  <c r="F151" i="9"/>
  <c r="B151" i="9" s="1"/>
  <c r="C151" i="9" s="1"/>
  <c r="G150" i="9"/>
  <c r="H150" i="9" s="1"/>
  <c r="K150" i="9"/>
  <c r="ER4" i="7" s="1"/>
  <c r="I150" i="9"/>
  <c r="J150" i="9"/>
  <c r="ER3" i="7" l="1"/>
  <c r="ER2" i="7"/>
  <c r="E152" i="9"/>
  <c r="D152" i="9" s="1"/>
  <c r="F152" i="9"/>
  <c r="B152" i="9" s="1"/>
  <c r="C152" i="9" s="1"/>
  <c r="G151" i="9"/>
  <c r="H151" i="9" s="1"/>
  <c r="J151" i="9"/>
  <c r="I151" i="9"/>
  <c r="K151" i="9"/>
  <c r="ES4" i="7" l="1"/>
  <c r="ES2" i="7"/>
  <c r="ES3" i="7"/>
  <c r="F153" i="9"/>
  <c r="B153" i="9" s="1"/>
  <c r="C153" i="9" s="1"/>
  <c r="G152" i="9"/>
  <c r="H152" i="9" s="1"/>
  <c r="E153" i="9"/>
  <c r="D153" i="9" s="1"/>
  <c r="J152" i="9"/>
  <c r="I152" i="9"/>
  <c r="K152" i="9"/>
  <c r="ET3" i="7" l="1"/>
  <c r="ET2" i="7"/>
  <c r="ET4" i="7"/>
  <c r="F154" i="9"/>
  <c r="B154" i="9" s="1"/>
  <c r="C154" i="9" s="1"/>
  <c r="G153" i="9"/>
  <c r="H153" i="9" s="1"/>
  <c r="E154" i="9"/>
  <c r="D154" i="9" s="1"/>
  <c r="K153" i="9"/>
  <c r="I153" i="9"/>
  <c r="J153" i="9"/>
  <c r="EU2" i="7" l="1"/>
  <c r="EU3" i="7"/>
  <c r="E155" i="9"/>
  <c r="D155" i="9" s="1"/>
  <c r="F155" i="9"/>
  <c r="B155" i="9" s="1"/>
  <c r="C155" i="9" s="1"/>
  <c r="G154" i="9"/>
  <c r="H154" i="9" s="1"/>
  <c r="K154" i="9"/>
  <c r="J154" i="9"/>
  <c r="I154" i="9"/>
  <c r="EV3" i="7" l="1"/>
  <c r="EV2" i="7"/>
  <c r="E156" i="9"/>
  <c r="D156" i="9" s="1"/>
  <c r="G155" i="9"/>
  <c r="H155" i="9" s="1"/>
  <c r="F156" i="9"/>
  <c r="B156" i="9" s="1"/>
  <c r="C156" i="9" s="1"/>
  <c r="I155" i="9"/>
  <c r="J155" i="9"/>
  <c r="K155" i="9"/>
  <c r="EW3" i="7" l="1"/>
  <c r="EW2" i="7"/>
  <c r="EW4" i="7"/>
  <c r="F157" i="9"/>
  <c r="B157" i="9" s="1"/>
  <c r="C157" i="9" s="1"/>
  <c r="G156" i="9"/>
  <c r="H156" i="9" s="1"/>
  <c r="E157" i="9"/>
  <c r="D157" i="9" s="1"/>
  <c r="I156" i="9"/>
  <c r="J156" i="9"/>
  <c r="K156" i="9"/>
  <c r="EX2" i="7" l="1"/>
  <c r="EX4" i="7"/>
  <c r="EX3" i="7"/>
  <c r="F158" i="9"/>
  <c r="B158" i="9" s="1"/>
  <c r="C158" i="9" s="1"/>
  <c r="G157" i="9"/>
  <c r="H157" i="9" s="1"/>
  <c r="E158" i="9"/>
  <c r="D158" i="9" s="1"/>
  <c r="K157" i="9"/>
  <c r="I157" i="9"/>
  <c r="J157" i="9"/>
  <c r="EY3" i="7" l="1"/>
  <c r="EY4" i="7"/>
  <c r="EY2" i="7"/>
  <c r="E159" i="9"/>
  <c r="D159" i="9" s="1"/>
  <c r="F159" i="9"/>
  <c r="G158" i="9"/>
  <c r="H158" i="9" s="1"/>
  <c r="K158" i="9"/>
  <c r="J158" i="9"/>
  <c r="I158" i="9"/>
  <c r="EZ2" i="7" l="1"/>
  <c r="EZ4" i="7"/>
  <c r="EZ3" i="7"/>
  <c r="E160" i="9"/>
  <c r="D160" i="9" s="1"/>
  <c r="G159" i="9"/>
  <c r="F160" i="9"/>
  <c r="J159" i="9"/>
  <c r="I159" i="9"/>
  <c r="K159" i="9"/>
  <c r="B159" i="9"/>
  <c r="C159" i="9" s="1"/>
  <c r="H159" i="9" s="1"/>
  <c r="FA2" i="7" l="1"/>
  <c r="FA3" i="7"/>
  <c r="FA4" i="7"/>
  <c r="F161" i="9"/>
  <c r="G160" i="9"/>
  <c r="E161" i="9"/>
  <c r="D161" i="9" s="1"/>
  <c r="K160" i="9"/>
  <c r="J160" i="9"/>
  <c r="I160" i="9"/>
  <c r="B160" i="9"/>
  <c r="C160" i="9" s="1"/>
  <c r="H160" i="9" s="1"/>
  <c r="FB3" i="7" l="1"/>
  <c r="FB4" i="7"/>
  <c r="F162" i="9"/>
  <c r="B162" i="9" s="1"/>
  <c r="C162" i="9" s="1"/>
  <c r="G161" i="9"/>
  <c r="E162" i="9"/>
  <c r="D162" i="9" s="1"/>
  <c r="K161" i="9"/>
  <c r="FC4" i="7" s="1"/>
  <c r="I161" i="9"/>
  <c r="FC2" i="7" s="1"/>
  <c r="J161" i="9"/>
  <c r="B161" i="9"/>
  <c r="C161" i="9" s="1"/>
  <c r="H161" i="9" l="1"/>
  <c r="FC3" i="7"/>
  <c r="E163" i="9"/>
  <c r="D163" i="9" s="1"/>
  <c r="F163" i="9"/>
  <c r="B163" i="9" s="1"/>
  <c r="C163" i="9" s="1"/>
  <c r="G162" i="9"/>
  <c r="H162" i="9" s="1"/>
  <c r="K162" i="9"/>
  <c r="J162" i="9"/>
  <c r="I162" i="9"/>
  <c r="FD2" i="7" l="1"/>
  <c r="FD3" i="7"/>
  <c r="FD4" i="7"/>
  <c r="E164" i="9"/>
  <c r="D164" i="9" s="1"/>
  <c r="F164" i="9"/>
  <c r="B164" i="9" s="1"/>
  <c r="C164" i="9" s="1"/>
  <c r="G163" i="9"/>
  <c r="H163" i="9" s="1"/>
  <c r="J163" i="9"/>
  <c r="I163" i="9"/>
  <c r="K163" i="9"/>
  <c r="FE4" i="7" l="1"/>
  <c r="FE3" i="7"/>
  <c r="FE2" i="7"/>
  <c r="F165" i="9"/>
  <c r="B165" i="9" s="1"/>
  <c r="C165" i="9" s="1"/>
  <c r="G164" i="9"/>
  <c r="H164" i="9" s="1"/>
  <c r="E165" i="9"/>
  <c r="D165" i="9" s="1"/>
  <c r="I164" i="9"/>
  <c r="J164" i="9"/>
  <c r="K164" i="9"/>
  <c r="FF3" i="7" l="1"/>
  <c r="FF2" i="7"/>
  <c r="FF4" i="7"/>
  <c r="F166" i="9"/>
  <c r="B166" i="9" s="1"/>
  <c r="C166" i="9" s="1"/>
  <c r="G165" i="9"/>
  <c r="H165" i="9" s="1"/>
  <c r="E166" i="9"/>
  <c r="D166" i="9" s="1"/>
  <c r="I165" i="9"/>
  <c r="K165" i="9"/>
  <c r="J165" i="9"/>
  <c r="FG4" i="7" l="1"/>
  <c r="FG3" i="7"/>
  <c r="E167" i="9"/>
  <c r="D167" i="9" s="1"/>
  <c r="F167" i="9"/>
  <c r="B167" i="9" s="1"/>
  <c r="C167" i="9" s="1"/>
  <c r="G166" i="9"/>
  <c r="H166" i="9" s="1"/>
  <c r="K166" i="9"/>
  <c r="I166" i="9"/>
  <c r="J166" i="9"/>
  <c r="FH3" i="7" l="1"/>
  <c r="FH4" i="7"/>
  <c r="FH2" i="7"/>
  <c r="E168" i="9"/>
  <c r="D168" i="9" s="1"/>
  <c r="F168" i="9"/>
  <c r="B168" i="9" s="1"/>
  <c r="C168" i="9" s="1"/>
  <c r="G167" i="9"/>
  <c r="H167" i="9" s="1"/>
  <c r="J167" i="9"/>
  <c r="FI3" i="7" s="1"/>
  <c r="K167" i="9"/>
  <c r="FI4" i="7" s="1"/>
  <c r="I167" i="9"/>
  <c r="FI2" i="7" s="1"/>
  <c r="F169" i="9" l="1"/>
  <c r="B169" i="9" s="1"/>
  <c r="C169" i="9" s="1"/>
  <c r="G168" i="9"/>
  <c r="H168" i="9" s="1"/>
  <c r="E169" i="9"/>
  <c r="D169" i="9" s="1"/>
  <c r="J168" i="9"/>
  <c r="I168" i="9"/>
  <c r="K168" i="9"/>
  <c r="FJ4" i="7" l="1"/>
  <c r="FJ2" i="7"/>
  <c r="FJ3" i="7"/>
  <c r="F170" i="9"/>
  <c r="B170" i="9" s="1"/>
  <c r="C170" i="9" s="1"/>
  <c r="G169" i="9"/>
  <c r="H169" i="9" s="1"/>
  <c r="E170" i="9"/>
  <c r="D170" i="9" s="1"/>
  <c r="I169" i="9"/>
  <c r="K169" i="9"/>
  <c r="J169" i="9"/>
  <c r="FK2" i="7" l="1"/>
  <c r="FK3" i="7"/>
  <c r="E171" i="9"/>
  <c r="D171" i="9" s="1"/>
  <c r="F171" i="9"/>
  <c r="B171" i="9" s="1"/>
  <c r="C171" i="9" s="1"/>
  <c r="G170" i="9"/>
  <c r="H170" i="9" s="1"/>
  <c r="K170" i="9"/>
  <c r="J170" i="9"/>
  <c r="I170" i="9"/>
  <c r="FL3" i="7" l="1"/>
  <c r="FL2" i="7"/>
  <c r="E172" i="9"/>
  <c r="D172" i="9" s="1"/>
  <c r="G171" i="9"/>
  <c r="H171" i="9" s="1"/>
  <c r="F172" i="9"/>
  <c r="B172" i="9" s="1"/>
  <c r="C172" i="9" s="1"/>
  <c r="J171" i="9"/>
  <c r="I171" i="9"/>
  <c r="K171" i="9"/>
  <c r="FM2" i="7" l="1"/>
  <c r="FM3" i="7"/>
  <c r="FM4" i="7"/>
  <c r="F173" i="9"/>
  <c r="B173" i="9" s="1"/>
  <c r="C173" i="9" s="1"/>
  <c r="G172" i="9"/>
  <c r="H172" i="9" s="1"/>
  <c r="E173" i="9"/>
  <c r="D173" i="9" s="1"/>
  <c r="I172" i="9"/>
  <c r="J172" i="9"/>
  <c r="K172" i="9"/>
  <c r="FN3" i="7" l="1"/>
  <c r="FN4" i="7"/>
  <c r="FN2" i="7"/>
  <c r="F174" i="9"/>
  <c r="G173" i="9"/>
  <c r="H173" i="9" s="1"/>
  <c r="E174" i="9"/>
  <c r="D174" i="9" s="1"/>
  <c r="K173" i="9"/>
  <c r="I173" i="9"/>
  <c r="J173" i="9"/>
  <c r="FO4" i="7" l="1"/>
  <c r="FO3" i="7"/>
  <c r="FO2" i="7"/>
  <c r="E175" i="9"/>
  <c r="D175" i="9" s="1"/>
  <c r="F175" i="9"/>
  <c r="G174" i="9"/>
  <c r="K174" i="9"/>
  <c r="B174" i="9"/>
  <c r="C174" i="9" s="1"/>
  <c r="H174" i="9" s="1"/>
  <c r="J174" i="9"/>
  <c r="I174" i="9"/>
  <c r="FP4" i="7" l="1"/>
  <c r="FP2" i="7"/>
  <c r="FP3" i="7"/>
  <c r="E176" i="9"/>
  <c r="D176" i="9" s="1"/>
  <c r="F176" i="9"/>
  <c r="G175" i="9"/>
  <c r="J175" i="9"/>
  <c r="I175" i="9"/>
  <c r="K175" i="9"/>
  <c r="B175" i="9"/>
  <c r="C175" i="9" s="1"/>
  <c r="H175" i="9" s="1"/>
  <c r="FQ2" i="7" l="1"/>
  <c r="FQ3" i="7"/>
  <c r="FQ4" i="7"/>
  <c r="E177" i="9"/>
  <c r="D177" i="9" s="1"/>
  <c r="F177" i="9"/>
  <c r="G176" i="9"/>
  <c r="I176" i="9"/>
  <c r="K176" i="9"/>
  <c r="J176" i="9"/>
  <c r="B176" i="9"/>
  <c r="C176" i="9" s="1"/>
  <c r="H176" i="9" s="1"/>
  <c r="FR4" i="7" l="1"/>
  <c r="FR2" i="7"/>
  <c r="E178" i="9"/>
  <c r="D178" i="9" s="1"/>
  <c r="F178" i="9"/>
  <c r="G177" i="9"/>
  <c r="I177" i="9"/>
  <c r="FS2" i="7" s="1"/>
  <c r="K177" i="9"/>
  <c r="J177" i="9"/>
  <c r="B177" i="9"/>
  <c r="C177" i="9" s="1"/>
  <c r="H177" i="9" s="1"/>
  <c r="FS3" i="7" l="1"/>
  <c r="E179" i="9"/>
  <c r="D179" i="9" s="1"/>
  <c r="F179" i="9"/>
  <c r="B179" i="9" s="1"/>
  <c r="C179" i="9" s="1"/>
  <c r="G178" i="9"/>
  <c r="J178" i="9"/>
  <c r="FT3" i="7" s="1"/>
  <c r="K178" i="9"/>
  <c r="I178" i="9"/>
  <c r="B178" i="9"/>
  <c r="C178" i="9" s="1"/>
  <c r="H178" i="9" s="1"/>
  <c r="FT2" i="7" l="1"/>
  <c r="FT4" i="7"/>
  <c r="E180" i="9"/>
  <c r="D180" i="9" s="1"/>
  <c r="F180" i="9"/>
  <c r="B180" i="9" s="1"/>
  <c r="C180" i="9" s="1"/>
  <c r="G179" i="9"/>
  <c r="H179" i="9" s="1"/>
  <c r="J179" i="9"/>
  <c r="I179" i="9"/>
  <c r="K179" i="9"/>
  <c r="FU2" i="7" l="1"/>
  <c r="FU3" i="7"/>
  <c r="FU4" i="7"/>
  <c r="E181" i="9"/>
  <c r="D181" i="9" s="1"/>
  <c r="F181" i="9"/>
  <c r="B181" i="9" s="1"/>
  <c r="C181" i="9" s="1"/>
  <c r="G180" i="9"/>
  <c r="H180" i="9" s="1"/>
  <c r="I180" i="9"/>
  <c r="K180" i="9"/>
  <c r="J180" i="9"/>
  <c r="FV4" i="7" l="1"/>
  <c r="FV3" i="7"/>
  <c r="E182" i="9"/>
  <c r="D182" i="9" s="1"/>
  <c r="F182" i="9"/>
  <c r="B182" i="9" s="1"/>
  <c r="C182" i="9" s="1"/>
  <c r="G181" i="9"/>
  <c r="H181" i="9" s="1"/>
  <c r="K181" i="9"/>
  <c r="J181" i="9"/>
  <c r="I181" i="9"/>
  <c r="FW3" i="7" l="1"/>
  <c r="FW2" i="7"/>
  <c r="FW4" i="7"/>
  <c r="E183" i="9"/>
  <c r="D183" i="9" s="1"/>
  <c r="F183" i="9"/>
  <c r="B183" i="9" s="1"/>
  <c r="C183" i="9" s="1"/>
  <c r="G182" i="9"/>
  <c r="H182" i="9" s="1"/>
  <c r="J182" i="9"/>
  <c r="I182" i="9"/>
  <c r="K182" i="9"/>
  <c r="FX3" i="7" l="1"/>
  <c r="FX4" i="7"/>
  <c r="FX2" i="7"/>
  <c r="E184" i="9"/>
  <c r="D184" i="9" s="1"/>
  <c r="F184" i="9"/>
  <c r="G183" i="9"/>
  <c r="H183" i="9" s="1"/>
  <c r="K183" i="9"/>
  <c r="J183" i="9"/>
  <c r="I183" i="9"/>
  <c r="FY2" i="7" l="1"/>
  <c r="FY3" i="7"/>
  <c r="E185" i="9"/>
  <c r="D185" i="9" s="1"/>
  <c r="F185" i="9"/>
  <c r="G184" i="9"/>
  <c r="I184" i="9"/>
  <c r="K184" i="9"/>
  <c r="J184" i="9"/>
  <c r="B184" i="9"/>
  <c r="C184" i="9" s="1"/>
  <c r="H184" i="9" s="1"/>
  <c r="FZ2" i="7" l="1"/>
  <c r="FZ3" i="7"/>
  <c r="FZ4" i="7"/>
  <c r="E186" i="9"/>
  <c r="D186" i="9" s="1"/>
  <c r="F186" i="9"/>
  <c r="G185" i="9"/>
  <c r="J185" i="9"/>
  <c r="GA3" i="7" s="1"/>
  <c r="K185" i="9"/>
  <c r="I185" i="9"/>
  <c r="B185" i="9"/>
  <c r="C185" i="9" s="1"/>
  <c r="H185" i="9" s="1"/>
  <c r="GA4" i="7" l="1"/>
  <c r="E187" i="9"/>
  <c r="D187" i="9" s="1"/>
  <c r="F187" i="9"/>
  <c r="G186" i="9"/>
  <c r="I186" i="9"/>
  <c r="K186" i="9"/>
  <c r="J186" i="9"/>
  <c r="B186" i="9"/>
  <c r="C186" i="9" s="1"/>
  <c r="H186" i="9" s="1"/>
  <c r="GB4" i="7" l="1"/>
  <c r="GB2" i="7"/>
  <c r="GB3" i="7"/>
  <c r="E188" i="9"/>
  <c r="D188" i="9" s="1"/>
  <c r="F188" i="9"/>
  <c r="G187" i="9"/>
  <c r="I187" i="9"/>
  <c r="GC2" i="7" s="1"/>
  <c r="J187" i="9"/>
  <c r="K187" i="9"/>
  <c r="B187" i="9"/>
  <c r="C187" i="9" s="1"/>
  <c r="H187" i="9" s="1"/>
  <c r="GC4" i="7" l="1"/>
  <c r="GC3" i="7"/>
  <c r="E189" i="9"/>
  <c r="D189" i="9" s="1"/>
  <c r="F189" i="9"/>
  <c r="B189" i="9" s="1"/>
  <c r="C189" i="9" s="1"/>
  <c r="G188" i="9"/>
  <c r="J188" i="9"/>
  <c r="K188" i="9"/>
  <c r="I188" i="9"/>
  <c r="B188" i="9"/>
  <c r="C188" i="9" s="1"/>
  <c r="H188" i="9" l="1"/>
  <c r="GD3" i="7" s="1"/>
  <c r="E190" i="9"/>
  <c r="D190" i="9" s="1"/>
  <c r="F190" i="9"/>
  <c r="B190" i="9" s="1"/>
  <c r="C190" i="9" s="1"/>
  <c r="G189" i="9"/>
  <c r="H189" i="9" s="1"/>
  <c r="I189" i="9"/>
  <c r="K189" i="9"/>
  <c r="J189" i="9"/>
  <c r="GE3" i="7" l="1"/>
  <c r="GE4" i="7"/>
  <c r="GD2" i="7"/>
  <c r="GE2" i="7"/>
  <c r="GD4" i="7"/>
  <c r="E191" i="9"/>
  <c r="D191" i="9" s="1"/>
  <c r="F191" i="9"/>
  <c r="B191" i="9" s="1"/>
  <c r="C191" i="9" s="1"/>
  <c r="G190" i="9"/>
  <c r="H190" i="9" s="1"/>
  <c r="J190" i="9"/>
  <c r="K190" i="9"/>
  <c r="I190" i="9"/>
  <c r="GF2" i="7" l="1"/>
  <c r="GF3" i="7"/>
  <c r="E192" i="9"/>
  <c r="D192" i="9" s="1"/>
  <c r="F192" i="9"/>
  <c r="G191" i="9"/>
  <c r="H191" i="9" s="1"/>
  <c r="J191" i="9"/>
  <c r="I191" i="9"/>
  <c r="K191" i="9"/>
  <c r="GG2" i="7" l="1"/>
  <c r="GG4" i="7"/>
  <c r="GG3" i="7"/>
  <c r="E193" i="9"/>
  <c r="D193" i="9" s="1"/>
  <c r="F193" i="9"/>
  <c r="G192" i="9"/>
  <c r="I192" i="9"/>
  <c r="J192" i="9"/>
  <c r="K192" i="9"/>
  <c r="B192" i="9"/>
  <c r="C192" i="9" s="1"/>
  <c r="H192" i="9" s="1"/>
  <c r="GH2" i="7" l="1"/>
  <c r="GH4" i="7"/>
  <c r="E194" i="9"/>
  <c r="D194" i="9" s="1"/>
  <c r="F194" i="9"/>
  <c r="G193" i="9"/>
  <c r="I193" i="9"/>
  <c r="GI2" i="7" s="1"/>
  <c r="J193" i="9"/>
  <c r="K193" i="9"/>
  <c r="B193" i="9"/>
  <c r="C193" i="9" s="1"/>
  <c r="H193" i="9" s="1"/>
  <c r="GI4" i="7" l="1"/>
  <c r="GI3" i="7"/>
  <c r="E195" i="9"/>
  <c r="D195" i="9" s="1"/>
  <c r="F195" i="9"/>
  <c r="B195" i="9" s="1"/>
  <c r="C195" i="9" s="1"/>
  <c r="G194" i="9"/>
  <c r="J194" i="9"/>
  <c r="I194" i="9"/>
  <c r="K194" i="9"/>
  <c r="B194" i="9"/>
  <c r="C194" i="9" s="1"/>
  <c r="H194" i="9" s="1"/>
  <c r="GJ4" i="7" l="1"/>
  <c r="GJ2" i="7"/>
  <c r="GJ3" i="7"/>
  <c r="E196" i="9"/>
  <c r="D196" i="9" s="1"/>
  <c r="F196" i="9"/>
  <c r="B196" i="9" s="1"/>
  <c r="C196" i="9" s="1"/>
  <c r="G195" i="9"/>
  <c r="H195" i="9" s="1"/>
  <c r="K195" i="9"/>
  <c r="J195" i="9"/>
  <c r="GK3" i="7" s="1"/>
  <c r="I195" i="9"/>
  <c r="GK2" i="7" s="1"/>
  <c r="E197" i="9" l="1"/>
  <c r="D197" i="9" s="1"/>
  <c r="F197" i="9"/>
  <c r="B197" i="9" s="1"/>
  <c r="C197" i="9" s="1"/>
  <c r="G196" i="9"/>
  <c r="H196" i="9" s="1"/>
  <c r="J196" i="9"/>
  <c r="K196" i="9"/>
  <c r="I196" i="9"/>
  <c r="GL4" i="7" l="1"/>
  <c r="GL2" i="7"/>
  <c r="GL3" i="7"/>
  <c r="E198" i="9"/>
  <c r="D198" i="9" s="1"/>
  <c r="F198" i="9"/>
  <c r="B198" i="9" s="1"/>
  <c r="C198" i="9" s="1"/>
  <c r="G197" i="9"/>
  <c r="H197" i="9" s="1"/>
  <c r="J197" i="9"/>
  <c r="I197" i="9"/>
  <c r="K197" i="9"/>
  <c r="GM2" i="7" l="1"/>
  <c r="GM3" i="7"/>
  <c r="E199" i="9"/>
  <c r="D199" i="9" s="1"/>
  <c r="F199" i="9"/>
  <c r="B199" i="9" s="1"/>
  <c r="C199" i="9" s="1"/>
  <c r="G198" i="9"/>
  <c r="H198" i="9" s="1"/>
  <c r="J198" i="9"/>
  <c r="I198" i="9"/>
  <c r="K198" i="9"/>
  <c r="GN2" i="7" l="1"/>
  <c r="GN4" i="7"/>
  <c r="GN3" i="7"/>
  <c r="E200" i="9"/>
  <c r="D200" i="9" s="1"/>
  <c r="F200" i="9"/>
  <c r="B200" i="9" s="1"/>
  <c r="C200" i="9" s="1"/>
  <c r="G199" i="9"/>
  <c r="H199" i="9" s="1"/>
  <c r="K199" i="9"/>
  <c r="J199" i="9"/>
  <c r="I199" i="9"/>
  <c r="GO2" i="7" l="1"/>
  <c r="GO3" i="7"/>
  <c r="E201" i="9"/>
  <c r="D201" i="9" s="1"/>
  <c r="F201" i="9"/>
  <c r="B201" i="9" s="1"/>
  <c r="C201" i="9" s="1"/>
  <c r="G200" i="9"/>
  <c r="H200" i="9" s="1"/>
  <c r="I200" i="9"/>
  <c r="K200" i="9"/>
  <c r="J200" i="9"/>
  <c r="GP3" i="7" l="1"/>
  <c r="GP4" i="7"/>
  <c r="GP2" i="7"/>
  <c r="E202" i="9"/>
  <c r="D202" i="9" s="1"/>
  <c r="F202" i="9"/>
  <c r="B202" i="9" s="1"/>
  <c r="C202" i="9" s="1"/>
  <c r="G201" i="9"/>
  <c r="H201" i="9" s="1"/>
  <c r="J201" i="9"/>
  <c r="GQ3" i="7" s="1"/>
  <c r="K201" i="9"/>
  <c r="I201" i="9"/>
  <c r="GQ2" i="7" s="1"/>
  <c r="E203" i="9" l="1"/>
  <c r="D203" i="9" s="1"/>
  <c r="F203" i="9"/>
  <c r="B203" i="9" s="1"/>
  <c r="C203" i="9" s="1"/>
  <c r="G202" i="9"/>
  <c r="H202" i="9" s="1"/>
  <c r="I202" i="9"/>
  <c r="K202" i="9"/>
  <c r="J202" i="9"/>
  <c r="GR4" i="7" l="1"/>
  <c r="GR3" i="7"/>
  <c r="GR2" i="7"/>
  <c r="E204" i="9"/>
  <c r="D204" i="9" s="1"/>
  <c r="F204" i="9"/>
  <c r="B204" i="9" s="1"/>
  <c r="C204" i="9" s="1"/>
  <c r="G203" i="9"/>
  <c r="H203" i="9" s="1"/>
  <c r="K203" i="9"/>
  <c r="I203" i="9"/>
  <c r="J203" i="9"/>
  <c r="GS2" i="7" l="1"/>
  <c r="GS4" i="7"/>
  <c r="GS3" i="7"/>
  <c r="E205" i="9"/>
  <c r="D205" i="9" s="1"/>
  <c r="F205" i="9"/>
  <c r="B205" i="9" s="1"/>
  <c r="C205" i="9" s="1"/>
  <c r="G204" i="9"/>
  <c r="H204" i="9" s="1"/>
  <c r="K204" i="9"/>
  <c r="I204" i="9"/>
  <c r="J204" i="9"/>
  <c r="GT4" i="7" l="1"/>
  <c r="GT2" i="7"/>
  <c r="E206" i="9"/>
  <c r="D206" i="9" s="1"/>
  <c r="F206" i="9"/>
  <c r="G205" i="9"/>
  <c r="H205" i="9" s="1"/>
  <c r="J205" i="9"/>
  <c r="I205" i="9"/>
  <c r="K205" i="9"/>
  <c r="GU2" i="7" l="1"/>
  <c r="GU3" i="7"/>
  <c r="GU4" i="7"/>
  <c r="E207" i="9"/>
  <c r="D207" i="9" s="1"/>
  <c r="F207" i="9"/>
  <c r="G206" i="9"/>
  <c r="J206" i="9"/>
  <c r="GV3" i="7" s="1"/>
  <c r="K206" i="9"/>
  <c r="I206" i="9"/>
  <c r="B206" i="9"/>
  <c r="C206" i="9" s="1"/>
  <c r="H206" i="9" s="1"/>
  <c r="GV2" i="7" l="1"/>
  <c r="E208" i="9"/>
  <c r="D208" i="9" s="1"/>
  <c r="F208" i="9"/>
  <c r="G207" i="9"/>
  <c r="J207" i="9"/>
  <c r="GW3" i="7" s="1"/>
  <c r="I207" i="9"/>
  <c r="GW2" i="7" s="1"/>
  <c r="K207" i="9"/>
  <c r="GW4" i="7" s="1"/>
  <c r="B207" i="9"/>
  <c r="C207" i="9" s="1"/>
  <c r="H207" i="9" s="1"/>
  <c r="E209" i="9" l="1"/>
  <c r="D209" i="9" s="1"/>
  <c r="F209" i="9"/>
  <c r="B209" i="9" s="1"/>
  <c r="C209" i="9" s="1"/>
  <c r="G208" i="9"/>
  <c r="J208" i="9"/>
  <c r="K208" i="9"/>
  <c r="I208" i="9"/>
  <c r="B208" i="9"/>
  <c r="C208" i="9" s="1"/>
  <c r="H208" i="9" s="1"/>
  <c r="GX3" i="7" l="1"/>
  <c r="GX2" i="7"/>
  <c r="GX4" i="7"/>
  <c r="E210" i="9"/>
  <c r="D210" i="9" s="1"/>
  <c r="F210" i="9"/>
  <c r="B210" i="9" s="1"/>
  <c r="C210" i="9" s="1"/>
  <c r="G209" i="9"/>
  <c r="H209" i="9" s="1"/>
  <c r="I209" i="9"/>
  <c r="K209" i="9"/>
  <c r="J209" i="9"/>
  <c r="GY3" i="7" l="1"/>
  <c r="GY2" i="7"/>
  <c r="E211" i="9"/>
  <c r="D211" i="9" s="1"/>
  <c r="F211" i="9"/>
  <c r="B211" i="9" s="1"/>
  <c r="C211" i="9" s="1"/>
  <c r="G210" i="9"/>
  <c r="H210" i="9" s="1"/>
  <c r="K210" i="9"/>
  <c r="J210" i="9"/>
  <c r="I210" i="9"/>
  <c r="GZ2" i="7" l="1"/>
  <c r="GZ3" i="7"/>
  <c r="GZ4" i="7"/>
  <c r="E212" i="9"/>
  <c r="D212" i="9" s="1"/>
  <c r="F212" i="9"/>
  <c r="B212" i="9" s="1"/>
  <c r="C212" i="9" s="1"/>
  <c r="G211" i="9"/>
  <c r="H211" i="9" s="1"/>
  <c r="K211" i="9"/>
  <c r="I211" i="9"/>
  <c r="J211" i="9"/>
  <c r="HA2" i="7" l="1"/>
  <c r="HA4" i="7"/>
  <c r="HA3" i="7"/>
  <c r="E213" i="9"/>
  <c r="D213" i="9" s="1"/>
  <c r="F213" i="9"/>
  <c r="B213" i="9" s="1"/>
  <c r="C213" i="9" s="1"/>
  <c r="G212" i="9"/>
  <c r="H212" i="9" s="1"/>
  <c r="K212" i="9"/>
  <c r="J212" i="9"/>
  <c r="I212" i="9"/>
  <c r="HB4" i="7" l="1"/>
  <c r="HB2" i="7"/>
  <c r="HB3" i="7"/>
  <c r="E214" i="9"/>
  <c r="D214" i="9" s="1"/>
  <c r="F214" i="9"/>
  <c r="B214" i="9" s="1"/>
  <c r="C214" i="9" s="1"/>
  <c r="G213" i="9"/>
  <c r="H213" i="9" s="1"/>
  <c r="K213" i="9"/>
  <c r="J213" i="9"/>
  <c r="I213" i="9"/>
  <c r="HC3" i="7" l="1"/>
  <c r="HC2" i="7"/>
  <c r="E215" i="9"/>
  <c r="D215" i="9" s="1"/>
  <c r="F215" i="9"/>
  <c r="B215" i="9" s="1"/>
  <c r="C215" i="9" s="1"/>
  <c r="G214" i="9"/>
  <c r="H214" i="9" s="1"/>
  <c r="I214" i="9"/>
  <c r="J214" i="9"/>
  <c r="K214" i="9"/>
  <c r="HD3" i="7" l="1"/>
  <c r="HD2" i="7"/>
  <c r="HD4" i="7"/>
  <c r="E216" i="9"/>
  <c r="D216" i="9" s="1"/>
  <c r="F216" i="9"/>
  <c r="B216" i="9" s="1"/>
  <c r="C216" i="9" s="1"/>
  <c r="G215" i="9"/>
  <c r="H215" i="9" s="1"/>
  <c r="K215" i="9"/>
  <c r="I215" i="9"/>
  <c r="J215" i="9"/>
  <c r="HE3" i="7" l="1"/>
  <c r="HE2" i="7"/>
  <c r="E217" i="9"/>
  <c r="D217" i="9" s="1"/>
  <c r="F217" i="9"/>
  <c r="B217" i="9" s="1"/>
  <c r="C217" i="9" s="1"/>
  <c r="G216" i="9"/>
  <c r="H216" i="9" s="1"/>
  <c r="I216" i="9"/>
  <c r="K216" i="9"/>
  <c r="J216" i="9"/>
  <c r="HF2" i="7" l="1"/>
  <c r="HF4" i="7"/>
  <c r="HF3" i="7"/>
  <c r="E218" i="9"/>
  <c r="D218" i="9" s="1"/>
  <c r="F218" i="9"/>
  <c r="B218" i="9" s="1"/>
  <c r="C218" i="9" s="1"/>
  <c r="G217" i="9"/>
  <c r="H217" i="9" s="1"/>
  <c r="K217" i="9"/>
  <c r="HG4" i="7" s="1"/>
  <c r="J217" i="9"/>
  <c r="HG3" i="7" s="1"/>
  <c r="I217" i="9"/>
  <c r="HG2" i="7" s="1"/>
  <c r="E219" i="9" l="1"/>
  <c r="D219" i="9" s="1"/>
  <c r="F219" i="9"/>
  <c r="B219" i="9" s="1"/>
  <c r="C219" i="9" s="1"/>
  <c r="G218" i="9"/>
  <c r="H218" i="9" s="1"/>
  <c r="K218" i="9"/>
  <c r="I218" i="9"/>
  <c r="J218" i="9"/>
  <c r="HH3" i="7" l="1"/>
  <c r="HH2" i="7"/>
  <c r="E220" i="9"/>
  <c r="D220" i="9" s="1"/>
  <c r="F220" i="9"/>
  <c r="G219" i="9"/>
  <c r="H219" i="9" s="1"/>
  <c r="K219" i="9"/>
  <c r="J219" i="9"/>
  <c r="I219" i="9"/>
  <c r="HI3" i="7" l="1"/>
  <c r="HI2" i="7"/>
  <c r="HI4" i="7"/>
  <c r="E221" i="9"/>
  <c r="D221" i="9" s="1"/>
  <c r="F221" i="9"/>
  <c r="G220" i="9"/>
  <c r="J220" i="9"/>
  <c r="HJ3" i="7" s="1"/>
  <c r="K220" i="9"/>
  <c r="I220" i="9"/>
  <c r="B220" i="9"/>
  <c r="C220" i="9" s="1"/>
  <c r="H220" i="9" s="1"/>
  <c r="HJ2" i="7" l="1"/>
  <c r="HJ4" i="7"/>
  <c r="E222" i="9"/>
  <c r="D222" i="9" s="1"/>
  <c r="F222" i="9"/>
  <c r="G221" i="9"/>
  <c r="I221" i="9"/>
  <c r="HK2" i="7" s="1"/>
  <c r="K221" i="9"/>
  <c r="J221" i="9"/>
  <c r="B221" i="9"/>
  <c r="C221" i="9" s="1"/>
  <c r="H221" i="9" s="1"/>
  <c r="HK3" i="7" l="1"/>
  <c r="HK4" i="7"/>
  <c r="E223" i="9"/>
  <c r="D223" i="9" s="1"/>
  <c r="F223" i="9"/>
  <c r="G222" i="9"/>
  <c r="K222" i="9"/>
  <c r="I222" i="9"/>
  <c r="J222" i="9"/>
  <c r="B222" i="9"/>
  <c r="C222" i="9" s="1"/>
  <c r="H222" i="9" s="1"/>
  <c r="HL3" i="7" l="1"/>
  <c r="HL2" i="7"/>
  <c r="E224" i="9"/>
  <c r="D224" i="9" s="1"/>
  <c r="F224" i="9"/>
  <c r="B224" i="9" s="1"/>
  <c r="C224" i="9" s="1"/>
  <c r="G223" i="9"/>
  <c r="J223" i="9"/>
  <c r="HM3" i="7" s="1"/>
  <c r="I223" i="9"/>
  <c r="K223" i="9"/>
  <c r="HM4" i="7" s="1"/>
  <c r="B223" i="9"/>
  <c r="C223" i="9" s="1"/>
  <c r="H223" i="9" s="1"/>
  <c r="HM2" i="7" l="1"/>
  <c r="E225" i="9"/>
  <c r="D225" i="9" s="1"/>
  <c r="F225" i="9"/>
  <c r="B225" i="9" s="1"/>
  <c r="C225" i="9" s="1"/>
  <c r="G224" i="9"/>
  <c r="H224" i="9" s="1"/>
  <c r="I224" i="9"/>
  <c r="J224" i="9"/>
  <c r="K224" i="9"/>
  <c r="HN3" i="7" l="1"/>
  <c r="HN2" i="7"/>
  <c r="HN4" i="7"/>
  <c r="E226" i="9"/>
  <c r="D226" i="9" s="1"/>
  <c r="G225" i="9"/>
  <c r="H225" i="9" s="1"/>
  <c r="F226" i="9"/>
  <c r="B226" i="9" s="1"/>
  <c r="C226" i="9" s="1"/>
  <c r="I225" i="9"/>
  <c r="HO2" i="7" s="1"/>
  <c r="K225" i="9"/>
  <c r="HO4" i="7" s="1"/>
  <c r="J225" i="9"/>
  <c r="HO3" i="7" s="1"/>
  <c r="E227" i="9" l="1"/>
  <c r="D227" i="9" s="1"/>
  <c r="G226" i="9"/>
  <c r="H226" i="9" s="1"/>
  <c r="F227" i="9"/>
  <c r="B227" i="9" s="1"/>
  <c r="C227" i="9" s="1"/>
  <c r="K226" i="9"/>
  <c r="I226" i="9"/>
  <c r="J226" i="9"/>
  <c r="HP2" i="7" l="1"/>
  <c r="HP4" i="7"/>
  <c r="E228" i="9"/>
  <c r="D228" i="9" s="1"/>
  <c r="G227" i="9"/>
  <c r="H227" i="9" s="1"/>
  <c r="F228" i="9"/>
  <c r="B228" i="9" s="1"/>
  <c r="C228" i="9" s="1"/>
  <c r="K227" i="9"/>
  <c r="J227" i="9"/>
  <c r="I227" i="9"/>
  <c r="HQ4" i="7" l="1"/>
  <c r="HQ3" i="7"/>
  <c r="HQ2" i="7"/>
  <c r="E229" i="9"/>
  <c r="D229" i="9" s="1"/>
  <c r="G228" i="9"/>
  <c r="H228" i="9" s="1"/>
  <c r="F229" i="9"/>
  <c r="B229" i="9" s="1"/>
  <c r="C229" i="9" s="1"/>
  <c r="K228" i="9"/>
  <c r="I228" i="9"/>
  <c r="J228" i="9"/>
  <c r="HR4" i="7" l="1"/>
  <c r="HR3" i="7"/>
  <c r="HR2" i="7"/>
  <c r="E230" i="9"/>
  <c r="D230" i="9" s="1"/>
  <c r="G229" i="9"/>
  <c r="H229" i="9" s="1"/>
  <c r="F230" i="9"/>
  <c r="B230" i="9" s="1"/>
  <c r="C230" i="9" s="1"/>
  <c r="K229" i="9"/>
  <c r="J229" i="9"/>
  <c r="I229" i="9"/>
  <c r="HS2" i="7" l="1"/>
  <c r="HS3" i="7"/>
  <c r="E231" i="9"/>
  <c r="D231" i="9" s="1"/>
  <c r="G230" i="9"/>
  <c r="H230" i="9" s="1"/>
  <c r="F231" i="9"/>
  <c r="B231" i="9" s="1"/>
  <c r="C231" i="9" s="1"/>
  <c r="J230" i="9"/>
  <c r="I230" i="9"/>
  <c r="K230" i="9"/>
  <c r="HT2" i="7" l="1"/>
  <c r="HT3" i="7"/>
  <c r="HT4" i="7"/>
  <c r="E232" i="9"/>
  <c r="D232" i="9" s="1"/>
  <c r="G231" i="9"/>
  <c r="H231" i="9" s="1"/>
  <c r="F232" i="9"/>
  <c r="B232" i="9" s="1"/>
  <c r="C232" i="9" s="1"/>
  <c r="K231" i="9"/>
  <c r="HU4" i="7" s="1"/>
  <c r="I231" i="9"/>
  <c r="HU2" i="7" s="1"/>
  <c r="J231" i="9"/>
  <c r="HU3" i="7" s="1"/>
  <c r="E233" i="9" l="1"/>
  <c r="D233" i="9" s="1"/>
  <c r="G232" i="9"/>
  <c r="H232" i="9" s="1"/>
  <c r="F233" i="9"/>
  <c r="B233" i="9" s="1"/>
  <c r="C233" i="9" s="1"/>
  <c r="I232" i="9"/>
  <c r="HV2" i="7" s="1"/>
  <c r="J232" i="9"/>
  <c r="HV3" i="7" s="1"/>
  <c r="K232" i="9"/>
  <c r="HV4" i="7" s="1"/>
  <c r="E234" i="9" l="1"/>
  <c r="D234" i="9" s="1"/>
  <c r="G233" i="9"/>
  <c r="H233" i="9" s="1"/>
  <c r="F234" i="9"/>
  <c r="I233" i="9"/>
  <c r="K233" i="9"/>
  <c r="J233" i="9"/>
  <c r="HW4" i="7" l="1"/>
  <c r="E235" i="9"/>
  <c r="D235" i="9" s="1"/>
  <c r="G234" i="9"/>
  <c r="F235" i="9"/>
  <c r="I234" i="9"/>
  <c r="HX2" i="7" s="1"/>
  <c r="K234" i="9"/>
  <c r="HX4" i="7" s="1"/>
  <c r="J234" i="9"/>
  <c r="HX3" i="7" s="1"/>
  <c r="B234" i="9"/>
  <c r="C234" i="9" s="1"/>
  <c r="H234" i="9" s="1"/>
  <c r="E236" i="9" l="1"/>
  <c r="D236" i="9" s="1"/>
  <c r="G235" i="9"/>
  <c r="F236" i="9"/>
  <c r="I235" i="9"/>
  <c r="J235" i="9"/>
  <c r="K235" i="9"/>
  <c r="B235" i="9"/>
  <c r="C235" i="9" s="1"/>
  <c r="H235" i="9" l="1"/>
  <c r="HY2" i="7" s="1"/>
  <c r="E237" i="9"/>
  <c r="D237" i="9" s="1"/>
  <c r="G236" i="9"/>
  <c r="F237" i="9"/>
  <c r="K236" i="9"/>
  <c r="I236" i="9"/>
  <c r="J236" i="9"/>
  <c r="B236" i="9"/>
  <c r="C236" i="9" s="1"/>
  <c r="HY3" i="7" l="1"/>
  <c r="HY4" i="7"/>
  <c r="H236" i="9"/>
  <c r="HZ2" i="7" s="1"/>
  <c r="E238" i="9"/>
  <c r="D238" i="9" s="1"/>
  <c r="G237" i="9"/>
  <c r="F238" i="9"/>
  <c r="B238" i="9" s="1"/>
  <c r="C238" i="9" s="1"/>
  <c r="I237" i="9"/>
  <c r="J237" i="9"/>
  <c r="K237" i="9"/>
  <c r="B237" i="9"/>
  <c r="C237" i="9" s="1"/>
  <c r="HZ4" i="7" l="1"/>
  <c r="HZ3" i="7"/>
  <c r="IA2" i="7"/>
  <c r="H237" i="9"/>
  <c r="IA4" i="7" s="1"/>
  <c r="IA3" i="7"/>
  <c r="E239" i="9"/>
  <c r="D239" i="9" s="1"/>
  <c r="G238" i="9"/>
  <c r="H238" i="9" s="1"/>
  <c r="F239" i="9"/>
  <c r="B239" i="9" s="1"/>
  <c r="C239" i="9" s="1"/>
  <c r="K238" i="9"/>
  <c r="J238" i="9"/>
  <c r="I238" i="9"/>
  <c r="IB3" i="7" l="1"/>
  <c r="IB2" i="7"/>
  <c r="IB4" i="7"/>
  <c r="E240" i="9"/>
  <c r="D240" i="9" s="1"/>
  <c r="G239" i="9"/>
  <c r="H239" i="9" s="1"/>
  <c r="F240" i="9"/>
  <c r="B240" i="9" s="1"/>
  <c r="C240" i="9" s="1"/>
  <c r="I239" i="9"/>
  <c r="J239" i="9"/>
  <c r="K239" i="9"/>
  <c r="IC2" i="7" l="1"/>
  <c r="IC4" i="7"/>
  <c r="IC3" i="7"/>
  <c r="E241" i="9"/>
  <c r="D241" i="9" s="1"/>
  <c r="G240" i="9"/>
  <c r="H240" i="9" s="1"/>
  <c r="F241" i="9"/>
  <c r="B241" i="9" s="1"/>
  <c r="C241" i="9" s="1"/>
  <c r="K240" i="9"/>
  <c r="I240" i="9"/>
  <c r="J240" i="9"/>
  <c r="ID4" i="7" l="1"/>
  <c r="E242" i="9"/>
  <c r="D242" i="9" s="1"/>
  <c r="G241" i="9"/>
  <c r="H241" i="9" s="1"/>
  <c r="F242" i="9"/>
  <c r="B242" i="9" s="1"/>
  <c r="C242" i="9" s="1"/>
  <c r="I241" i="9"/>
  <c r="IE2" i="7" s="1"/>
  <c r="K241" i="9"/>
  <c r="IE4" i="7" s="1"/>
  <c r="J241" i="9"/>
  <c r="IE3" i="7" l="1"/>
  <c r="E243" i="9"/>
  <c r="D243" i="9" s="1"/>
  <c r="G242" i="9"/>
  <c r="H242" i="9" s="1"/>
  <c r="F243" i="9"/>
  <c r="B243" i="9" s="1"/>
  <c r="C243" i="9" s="1"/>
  <c r="J242" i="9"/>
  <c r="IF3" i="7" s="1"/>
  <c r="K242" i="9"/>
  <c r="IF4" i="7" s="1"/>
  <c r="I242" i="9"/>
  <c r="IF2" i="7" l="1"/>
  <c r="E244" i="9"/>
  <c r="D244" i="9" s="1"/>
  <c r="G243" i="9"/>
  <c r="H243" i="9" s="1"/>
  <c r="F244" i="9"/>
  <c r="B244" i="9" s="1"/>
  <c r="C244" i="9" s="1"/>
  <c r="K243" i="9"/>
  <c r="J243" i="9"/>
  <c r="I243" i="9"/>
  <c r="IG2" i="7" l="1"/>
  <c r="IG3" i="7"/>
  <c r="IG4" i="7"/>
  <c r="E245" i="9"/>
  <c r="D245" i="9" s="1"/>
  <c r="G244" i="9"/>
  <c r="H244" i="9" s="1"/>
  <c r="F245" i="9"/>
  <c r="B245" i="9" s="1"/>
  <c r="C245" i="9" s="1"/>
  <c r="I244" i="9"/>
  <c r="IH2" i="7" s="1"/>
  <c r="K244" i="9"/>
  <c r="IH4" i="7" s="1"/>
  <c r="J244" i="9"/>
  <c r="IH3" i="7" s="1"/>
  <c r="E246" i="9" l="1"/>
  <c r="D246" i="9" s="1"/>
  <c r="G245" i="9"/>
  <c r="H245" i="9" s="1"/>
  <c r="F246" i="9"/>
  <c r="B246" i="9" s="1"/>
  <c r="C246" i="9" s="1"/>
  <c r="K245" i="9"/>
  <c r="J245" i="9"/>
  <c r="I245" i="9"/>
  <c r="II2" i="7" l="1"/>
  <c r="II4" i="7"/>
  <c r="E247" i="9"/>
  <c r="D247" i="9" s="1"/>
  <c r="G246" i="9"/>
  <c r="H246" i="9" s="1"/>
  <c r="F247" i="9"/>
  <c r="B247" i="9" s="1"/>
  <c r="C247" i="9" s="1"/>
  <c r="J246" i="9"/>
  <c r="I246" i="9"/>
  <c r="K246" i="9"/>
  <c r="IJ2" i="7" l="1"/>
  <c r="IJ3" i="7"/>
  <c r="IJ4" i="7"/>
  <c r="E248" i="9"/>
  <c r="D248" i="9" s="1"/>
  <c r="G247" i="9"/>
  <c r="H247" i="9" s="1"/>
  <c r="F248" i="9"/>
  <c r="I247" i="9"/>
  <c r="J247" i="9"/>
  <c r="K247" i="9"/>
  <c r="IK2" i="7" l="1"/>
  <c r="IK3" i="7"/>
  <c r="E249" i="9"/>
  <c r="D249" i="9" s="1"/>
  <c r="G248" i="9"/>
  <c r="F249" i="9"/>
  <c r="I248" i="9"/>
  <c r="IL2" i="7" s="1"/>
  <c r="J248" i="9"/>
  <c r="K248" i="9"/>
  <c r="B248" i="9"/>
  <c r="C248" i="9" s="1"/>
  <c r="H248" i="9" s="1"/>
  <c r="IL4" i="7" l="1"/>
  <c r="IL3" i="7"/>
  <c r="E250" i="9"/>
  <c r="D250" i="9" s="1"/>
  <c r="G249" i="9"/>
  <c r="F250" i="9"/>
  <c r="I249" i="9"/>
  <c r="IM2" i="7" s="1"/>
  <c r="J249" i="9"/>
  <c r="K249" i="9"/>
  <c r="B249" i="9"/>
  <c r="C249" i="9" s="1"/>
  <c r="H249" i="9" s="1"/>
  <c r="IM4" i="7" l="1"/>
  <c r="IM3" i="7"/>
  <c r="E251" i="9"/>
  <c r="D251" i="9" s="1"/>
  <c r="G250" i="9"/>
  <c r="F251" i="9"/>
  <c r="I250" i="9"/>
  <c r="IN2" i="7" s="1"/>
  <c r="J250" i="9"/>
  <c r="K250" i="9"/>
  <c r="B250" i="9"/>
  <c r="C250" i="9" s="1"/>
  <c r="H250" i="9" s="1"/>
  <c r="IN4" i="7" l="1"/>
  <c r="IN3" i="7"/>
  <c r="E252" i="9"/>
  <c r="D252" i="9" s="1"/>
  <c r="G251" i="9"/>
  <c r="F252" i="9"/>
  <c r="B252" i="9" s="1"/>
  <c r="C252" i="9" s="1"/>
  <c r="I251" i="9"/>
  <c r="IO2" i="7" s="1"/>
  <c r="K251" i="9"/>
  <c r="J251" i="9"/>
  <c r="B251" i="9"/>
  <c r="C251" i="9" s="1"/>
  <c r="H251" i="9" s="1"/>
  <c r="IO3" i="7" l="1"/>
  <c r="IO4" i="7"/>
  <c r="E253" i="9"/>
  <c r="D253" i="9" s="1"/>
  <c r="G252" i="9"/>
  <c r="H252" i="9" s="1"/>
  <c r="F253" i="9"/>
  <c r="B253" i="9" s="1"/>
  <c r="C253" i="9" s="1"/>
  <c r="J252" i="9"/>
  <c r="K252" i="9"/>
  <c r="I252" i="9"/>
  <c r="IP4" i="7" l="1"/>
  <c r="IP2" i="7"/>
  <c r="IP3" i="7"/>
  <c r="E254" i="9"/>
  <c r="D254" i="9" s="1"/>
  <c r="G253" i="9"/>
  <c r="H253" i="9" s="1"/>
  <c r="F254" i="9"/>
  <c r="B254" i="9" s="1"/>
  <c r="C254" i="9" s="1"/>
  <c r="J253" i="9"/>
  <c r="I253" i="9"/>
  <c r="K253" i="9"/>
  <c r="IQ3" i="7" l="1"/>
  <c r="IQ4" i="7"/>
  <c r="IQ2" i="7"/>
  <c r="F255" i="9"/>
  <c r="B255" i="9" s="1"/>
  <c r="C255" i="9" s="1"/>
  <c r="E255" i="9"/>
  <c r="D255" i="9" s="1"/>
  <c r="G254" i="9"/>
  <c r="H254" i="9" s="1"/>
  <c r="J254" i="9"/>
  <c r="I254" i="9"/>
  <c r="K254" i="9"/>
  <c r="IR3" i="7" l="1"/>
  <c r="IR2" i="7"/>
  <c r="F256" i="9"/>
  <c r="B256" i="9" s="1"/>
  <c r="C256" i="9" s="1"/>
  <c r="E256" i="9"/>
  <c r="D256" i="9" s="1"/>
  <c r="G255" i="9"/>
  <c r="H255" i="9" s="1"/>
  <c r="J255" i="9"/>
  <c r="I255" i="9"/>
  <c r="K255" i="9"/>
  <c r="IS2" i="7" l="1"/>
  <c r="IS3" i="7"/>
  <c r="IS4" i="7"/>
  <c r="F257" i="9"/>
  <c r="B257" i="9" s="1"/>
  <c r="C257" i="9" s="1"/>
  <c r="E257" i="9"/>
  <c r="D257" i="9" s="1"/>
  <c r="G256" i="9"/>
  <c r="H256" i="9" s="1"/>
  <c r="J256" i="9"/>
  <c r="K256" i="9"/>
  <c r="I256" i="9"/>
  <c r="IT2" i="7" l="1"/>
  <c r="IT3" i="7"/>
  <c r="F258" i="9"/>
  <c r="B258" i="9" s="1"/>
  <c r="C258" i="9" s="1"/>
  <c r="E258" i="9"/>
  <c r="D258" i="9" s="1"/>
  <c r="G257" i="9"/>
  <c r="H257" i="9" s="1"/>
  <c r="K257" i="9"/>
  <c r="I257" i="9"/>
  <c r="J257" i="9"/>
  <c r="IU2" i="7" l="1"/>
  <c r="IU4" i="7"/>
  <c r="IU3" i="7"/>
  <c r="F259" i="9"/>
  <c r="B259" i="9" s="1"/>
  <c r="C259" i="9" s="1"/>
  <c r="E259" i="9"/>
  <c r="D259" i="9" s="1"/>
  <c r="G258" i="9"/>
  <c r="H258" i="9" s="1"/>
  <c r="J258" i="9"/>
  <c r="IV3" i="7" s="1"/>
  <c r="K258" i="9"/>
  <c r="IV4" i="7" s="1"/>
  <c r="I258" i="9"/>
  <c r="IV2" i="7" s="1"/>
  <c r="F260" i="9" l="1"/>
  <c r="B260" i="9" s="1"/>
  <c r="C260" i="9" s="1"/>
  <c r="E260" i="9"/>
  <c r="D260" i="9" s="1"/>
  <c r="G259" i="9"/>
  <c r="H259" i="9" s="1"/>
  <c r="J259" i="9"/>
  <c r="K259" i="9"/>
  <c r="I259" i="9"/>
  <c r="IW2" i="7" l="1"/>
  <c r="IW3" i="7"/>
  <c r="F261" i="9"/>
  <c r="B261" i="9" s="1"/>
  <c r="C261" i="9" s="1"/>
  <c r="E261" i="9"/>
  <c r="D261" i="9" s="1"/>
  <c r="G260" i="9"/>
  <c r="H260" i="9" s="1"/>
  <c r="J260" i="9"/>
  <c r="K260" i="9"/>
  <c r="I260" i="9"/>
  <c r="IX4" i="7" l="1"/>
  <c r="IX3" i="7"/>
  <c r="IX2" i="7"/>
  <c r="F262" i="9"/>
  <c r="B262" i="9" s="1"/>
  <c r="C262" i="9" s="1"/>
  <c r="E262" i="9"/>
  <c r="D262" i="9" s="1"/>
  <c r="G261" i="9"/>
  <c r="H261" i="9" s="1"/>
  <c r="J261" i="9"/>
  <c r="IY3" i="7" s="1"/>
  <c r="K261" i="9"/>
  <c r="I261" i="9"/>
  <c r="IY2" i="7" s="1"/>
  <c r="F263" i="9" l="1"/>
  <c r="E263" i="9"/>
  <c r="D263" i="9" s="1"/>
  <c r="G262" i="9"/>
  <c r="H262" i="9" s="1"/>
  <c r="J262" i="9"/>
  <c r="I262" i="9"/>
  <c r="K262" i="9"/>
  <c r="IZ2" i="7" l="1"/>
  <c r="IZ4" i="7"/>
  <c r="IZ3" i="7"/>
  <c r="F264" i="9"/>
  <c r="E264" i="9"/>
  <c r="D264" i="9" s="1"/>
  <c r="G263" i="9"/>
  <c r="I263" i="9"/>
  <c r="K263" i="9"/>
  <c r="J263" i="9"/>
  <c r="B263" i="9"/>
  <c r="C263" i="9" s="1"/>
  <c r="H263" i="9" s="1"/>
  <c r="JA4" i="7" l="1"/>
  <c r="JA2" i="7"/>
  <c r="JA3" i="7"/>
  <c r="F265" i="9"/>
  <c r="E265" i="9"/>
  <c r="D265" i="9" s="1"/>
  <c r="G264" i="9"/>
  <c r="K264" i="9"/>
  <c r="I264" i="9"/>
  <c r="J264" i="9"/>
  <c r="B264" i="9"/>
  <c r="C264" i="9" s="1"/>
  <c r="H264" i="9" s="1"/>
  <c r="JB2" i="7" l="1"/>
  <c r="JB4" i="7"/>
  <c r="JB3" i="7"/>
  <c r="F266" i="9"/>
  <c r="E266" i="9"/>
  <c r="D266" i="9" s="1"/>
  <c r="G265" i="9"/>
  <c r="J265" i="9"/>
  <c r="JC3" i="7" s="1"/>
  <c r="K265" i="9"/>
  <c r="I265" i="9"/>
  <c r="B265" i="9"/>
  <c r="C265" i="9" s="1"/>
  <c r="H265" i="9" s="1"/>
  <c r="JC2" i="7" l="1"/>
  <c r="JC4" i="7"/>
  <c r="F267" i="9"/>
  <c r="B267" i="9" s="1"/>
  <c r="C267" i="9" s="1"/>
  <c r="E267" i="9"/>
  <c r="D267" i="9" s="1"/>
  <c r="G266" i="9"/>
  <c r="I266" i="9"/>
  <c r="JD2" i="7" s="1"/>
  <c r="K266" i="9"/>
  <c r="J266" i="9"/>
  <c r="JD3" i="7" s="1"/>
  <c r="B266" i="9"/>
  <c r="C266" i="9" s="1"/>
  <c r="H266" i="9" s="1"/>
  <c r="F268" i="9" l="1"/>
  <c r="B268" i="9" s="1"/>
  <c r="C268" i="9" s="1"/>
  <c r="E268" i="9"/>
  <c r="D268" i="9" s="1"/>
  <c r="G267" i="9"/>
  <c r="H267" i="9" s="1"/>
  <c r="K267" i="9"/>
  <c r="I267" i="9"/>
  <c r="J267" i="9"/>
  <c r="JE2" i="7" l="1"/>
  <c r="JE3" i="7"/>
  <c r="JE4" i="7"/>
  <c r="F269" i="9"/>
  <c r="B269" i="9" s="1"/>
  <c r="C269" i="9" s="1"/>
  <c r="E269" i="9"/>
  <c r="D269" i="9" s="1"/>
  <c r="G268" i="9"/>
  <c r="H268" i="9" s="1"/>
  <c r="I268" i="9"/>
  <c r="J268" i="9"/>
  <c r="K268" i="9"/>
  <c r="JF3" i="7" l="1"/>
  <c r="JF2" i="7"/>
  <c r="JF4" i="7"/>
  <c r="F270" i="9"/>
  <c r="B270" i="9" s="1"/>
  <c r="C270" i="9" s="1"/>
  <c r="E270" i="9"/>
  <c r="D270" i="9" s="1"/>
  <c r="G269" i="9"/>
  <c r="H269" i="9" s="1"/>
  <c r="J269" i="9"/>
  <c r="I269" i="9"/>
  <c r="K269" i="9"/>
  <c r="JG3" i="7" l="1"/>
  <c r="JG4" i="7"/>
  <c r="JG2" i="7"/>
  <c r="F271" i="9"/>
  <c r="B271" i="9" s="1"/>
  <c r="C271" i="9" s="1"/>
  <c r="E271" i="9"/>
  <c r="D271" i="9" s="1"/>
  <c r="G270" i="9"/>
  <c r="H270" i="9" s="1"/>
  <c r="I270" i="9"/>
  <c r="JH2" i="7" s="1"/>
  <c r="K270" i="9"/>
  <c r="JH4" i="7" s="1"/>
  <c r="J270" i="9"/>
  <c r="JH3" i="7" s="1"/>
  <c r="F272" i="9" l="1"/>
  <c r="B272" i="9" s="1"/>
  <c r="C272" i="9" s="1"/>
  <c r="E272" i="9"/>
  <c r="D272" i="9" s="1"/>
  <c r="G271" i="9"/>
  <c r="H271" i="9" s="1"/>
  <c r="J271" i="9"/>
  <c r="I271" i="9"/>
  <c r="K271" i="9"/>
  <c r="JI2" i="7" l="1"/>
  <c r="JI4" i="7"/>
  <c r="JI3" i="7"/>
  <c r="F273" i="9"/>
  <c r="B273" i="9" s="1"/>
  <c r="C273" i="9" s="1"/>
  <c r="E273" i="9"/>
  <c r="D273" i="9" s="1"/>
  <c r="G272" i="9"/>
  <c r="H272" i="9" s="1"/>
  <c r="J272" i="9"/>
  <c r="JJ3" i="7" s="1"/>
  <c r="I272" i="9"/>
  <c r="JJ2" i="7" s="1"/>
  <c r="K272" i="9"/>
  <c r="JJ4" i="7" s="1"/>
  <c r="F274" i="9" l="1"/>
  <c r="B274" i="9" s="1"/>
  <c r="C274" i="9" s="1"/>
  <c r="E274" i="9"/>
  <c r="D274" i="9" s="1"/>
  <c r="G273" i="9"/>
  <c r="H273" i="9" s="1"/>
  <c r="K273" i="9"/>
  <c r="I273" i="9"/>
  <c r="J273" i="9"/>
  <c r="JK2" i="7" l="1"/>
  <c r="JK3" i="7"/>
  <c r="F275" i="9"/>
  <c r="B275" i="9" s="1"/>
  <c r="C275" i="9" s="1"/>
  <c r="E275" i="9"/>
  <c r="D275" i="9" s="1"/>
  <c r="G274" i="9"/>
  <c r="H274" i="9" s="1"/>
  <c r="K274" i="9"/>
  <c r="J274" i="9"/>
  <c r="I274" i="9"/>
  <c r="JL3" i="7" l="1"/>
  <c r="JL4" i="7"/>
  <c r="JL2" i="7"/>
  <c r="F276" i="9"/>
  <c r="B276" i="9" s="1"/>
  <c r="C276" i="9" s="1"/>
  <c r="E276" i="9"/>
  <c r="D276" i="9" s="1"/>
  <c r="G275" i="9"/>
  <c r="H275" i="9" s="1"/>
  <c r="J275" i="9"/>
  <c r="JM3" i="7" s="1"/>
  <c r="K275" i="9"/>
  <c r="JM4" i="7" s="1"/>
  <c r="I275" i="9"/>
  <c r="JM2" i="7" s="1"/>
  <c r="F277" i="9" l="1"/>
  <c r="B277" i="9" s="1"/>
  <c r="C277" i="9" s="1"/>
  <c r="E277" i="9"/>
  <c r="D277" i="9" s="1"/>
  <c r="G276" i="9"/>
  <c r="H276" i="9" s="1"/>
  <c r="K276" i="9"/>
  <c r="J276" i="9"/>
  <c r="I276" i="9"/>
  <c r="JN3" i="7" l="1"/>
  <c r="JN2" i="7"/>
  <c r="JN4" i="7"/>
  <c r="F278" i="9"/>
  <c r="E278" i="9"/>
  <c r="D278" i="9" s="1"/>
  <c r="G277" i="9"/>
  <c r="H277" i="9" s="1"/>
  <c r="J277" i="9"/>
  <c r="K277" i="9"/>
  <c r="I277" i="9"/>
  <c r="JO3" i="7" l="1"/>
  <c r="JO2" i="7"/>
  <c r="F279" i="9"/>
  <c r="E279" i="9"/>
  <c r="D279" i="9" s="1"/>
  <c r="G278" i="9"/>
  <c r="I278" i="9"/>
  <c r="JP2" i="7" s="1"/>
  <c r="K278" i="9"/>
  <c r="J278" i="9"/>
  <c r="B278" i="9"/>
  <c r="C278" i="9" s="1"/>
  <c r="H278" i="9" s="1"/>
  <c r="JP3" i="7" l="1"/>
  <c r="JP4" i="7"/>
  <c r="F280" i="9"/>
  <c r="E280" i="9"/>
  <c r="D280" i="9" s="1"/>
  <c r="G279" i="9"/>
  <c r="K279" i="9"/>
  <c r="I279" i="9"/>
  <c r="JQ2" i="7" s="1"/>
  <c r="J279" i="9"/>
  <c r="B279" i="9"/>
  <c r="C279" i="9" s="1"/>
  <c r="H279" i="9" s="1"/>
  <c r="JQ3" i="7" l="1"/>
  <c r="F281" i="9"/>
  <c r="B281" i="9" s="1"/>
  <c r="C281" i="9" s="1"/>
  <c r="E281" i="9"/>
  <c r="D281" i="9" s="1"/>
  <c r="G280" i="9"/>
  <c r="K280" i="9"/>
  <c r="I280" i="9"/>
  <c r="J280" i="9"/>
  <c r="B280" i="9"/>
  <c r="C280" i="9" s="1"/>
  <c r="H280" i="9" s="1"/>
  <c r="JR3" i="7" l="1"/>
  <c r="JR2" i="7"/>
  <c r="JR4" i="7"/>
  <c r="F282" i="9"/>
  <c r="B282" i="9" s="1"/>
  <c r="C282" i="9" s="1"/>
  <c r="E282" i="9"/>
  <c r="D282" i="9" s="1"/>
  <c r="G281" i="9"/>
  <c r="H281" i="9" s="1"/>
  <c r="I281" i="9"/>
  <c r="K281" i="9"/>
  <c r="J281" i="9"/>
  <c r="JS4" i="7" l="1"/>
  <c r="JS3" i="7"/>
  <c r="JS2" i="7"/>
  <c r="F283" i="9"/>
  <c r="B283" i="9" s="1"/>
  <c r="C283" i="9" s="1"/>
  <c r="E283" i="9"/>
  <c r="D283" i="9" s="1"/>
  <c r="G282" i="9"/>
  <c r="H282" i="9" s="1"/>
  <c r="I282" i="9"/>
  <c r="JT2" i="7" s="1"/>
  <c r="J282" i="9"/>
  <c r="JT3" i="7" s="1"/>
  <c r="K282" i="9"/>
  <c r="JT4" i="7" s="1"/>
  <c r="F284" i="9" l="1"/>
  <c r="B284" i="9" s="1"/>
  <c r="C284" i="9" s="1"/>
  <c r="E284" i="9"/>
  <c r="D284" i="9" s="1"/>
  <c r="G283" i="9"/>
  <c r="H283" i="9" s="1"/>
  <c r="K283" i="9"/>
  <c r="J283" i="9"/>
  <c r="I283" i="9"/>
  <c r="JU3" i="7" l="1"/>
  <c r="JU2" i="7"/>
  <c r="JU4" i="7"/>
  <c r="F285" i="9"/>
  <c r="B285" i="9" s="1"/>
  <c r="C285" i="9" s="1"/>
  <c r="E285" i="9"/>
  <c r="D285" i="9" s="1"/>
  <c r="G284" i="9"/>
  <c r="H284" i="9" s="1"/>
  <c r="K284" i="9"/>
  <c r="J284" i="9"/>
  <c r="I284" i="9"/>
  <c r="JV2" i="7" l="1"/>
  <c r="JV4" i="7"/>
  <c r="JV3" i="7"/>
  <c r="F286" i="9"/>
  <c r="B286" i="9" s="1"/>
  <c r="C286" i="9" s="1"/>
  <c r="E286" i="9"/>
  <c r="D286" i="9" s="1"/>
  <c r="G285" i="9"/>
  <c r="H285" i="9" s="1"/>
  <c r="I285" i="9"/>
  <c r="J285" i="9"/>
  <c r="K285" i="9"/>
  <c r="JW3" i="7" l="1"/>
  <c r="JW2" i="7"/>
  <c r="JW4" i="7"/>
  <c r="F287" i="9"/>
  <c r="B287" i="9" s="1"/>
  <c r="C287" i="9" s="1"/>
  <c r="E287" i="9"/>
  <c r="D287" i="9" s="1"/>
  <c r="G286" i="9"/>
  <c r="H286" i="9" s="1"/>
  <c r="K286" i="9"/>
  <c r="I286" i="9"/>
  <c r="JX2" i="7" s="1"/>
  <c r="J286" i="9"/>
  <c r="F288" i="9" l="1"/>
  <c r="B288" i="9" s="1"/>
  <c r="C288" i="9" s="1"/>
  <c r="E288" i="9"/>
  <c r="D288" i="9" s="1"/>
  <c r="G287" i="9"/>
  <c r="H287" i="9" s="1"/>
  <c r="J287" i="9"/>
  <c r="I287" i="9"/>
  <c r="K287" i="9"/>
  <c r="JY4" i="7" l="1"/>
  <c r="JY2" i="7"/>
  <c r="JY3" i="7"/>
  <c r="F289" i="9"/>
  <c r="B289" i="9" s="1"/>
  <c r="C289" i="9" s="1"/>
  <c r="E289" i="9"/>
  <c r="D289" i="9" s="1"/>
  <c r="G288" i="9"/>
  <c r="H288" i="9" s="1"/>
  <c r="J288" i="9"/>
  <c r="I288" i="9"/>
  <c r="K288" i="9"/>
  <c r="JZ2" i="7" l="1"/>
  <c r="JZ3" i="7"/>
  <c r="JZ4" i="7"/>
  <c r="F290" i="9"/>
  <c r="B290" i="9" s="1"/>
  <c r="C290" i="9" s="1"/>
  <c r="E290" i="9"/>
  <c r="D290" i="9" s="1"/>
  <c r="G289" i="9"/>
  <c r="H289" i="9" s="1"/>
  <c r="I289" i="9"/>
  <c r="K289" i="9"/>
  <c r="J289" i="9"/>
  <c r="KA2" i="7" l="1"/>
  <c r="KA3" i="7"/>
  <c r="KA4" i="7"/>
  <c r="F291" i="9"/>
  <c r="B291" i="9" s="1"/>
  <c r="C291" i="9" s="1"/>
  <c r="E291" i="9"/>
  <c r="D291" i="9" s="1"/>
  <c r="G290" i="9"/>
  <c r="H290" i="9" s="1"/>
  <c r="K290" i="9"/>
  <c r="KB4" i="7" s="1"/>
  <c r="J290" i="9"/>
  <c r="I290" i="9"/>
  <c r="KB2" i="7" s="1"/>
  <c r="F292" i="9" l="1"/>
  <c r="B292" i="9" s="1"/>
  <c r="C292" i="9" s="1"/>
  <c r="E292" i="9"/>
  <c r="D292" i="9" s="1"/>
  <c r="G291" i="9"/>
  <c r="H291" i="9" s="1"/>
  <c r="K291" i="9"/>
  <c r="J291" i="9"/>
  <c r="I291" i="9"/>
  <c r="KC3" i="7" l="1"/>
  <c r="KC2" i="7"/>
  <c r="KC4" i="7"/>
  <c r="F293" i="9"/>
  <c r="E293" i="9"/>
  <c r="D293" i="9" s="1"/>
  <c r="G292" i="9"/>
  <c r="H292" i="9" s="1"/>
  <c r="K292" i="9"/>
  <c r="I292" i="9"/>
  <c r="J292" i="9"/>
  <c r="KD2" i="7" l="1"/>
  <c r="KD4" i="7"/>
  <c r="KD3" i="7"/>
  <c r="F294" i="9"/>
  <c r="E294" i="9"/>
  <c r="D294" i="9" s="1"/>
  <c r="G293" i="9"/>
  <c r="I293" i="9"/>
  <c r="K293" i="9"/>
  <c r="J293" i="9"/>
  <c r="B293" i="9"/>
  <c r="C293" i="9" s="1"/>
  <c r="H293" i="9" s="1"/>
  <c r="KE3" i="7" l="1"/>
  <c r="KE2" i="7"/>
  <c r="F295" i="9"/>
  <c r="E295" i="9"/>
  <c r="D295" i="9" s="1"/>
  <c r="G294" i="9"/>
  <c r="K294" i="9"/>
  <c r="I294" i="9"/>
  <c r="J294" i="9"/>
  <c r="B294" i="9"/>
  <c r="C294" i="9" s="1"/>
  <c r="H294" i="9" s="1"/>
  <c r="KF3" i="7" l="1"/>
  <c r="KF2" i="7"/>
  <c r="F296" i="9"/>
  <c r="B296" i="9" s="1"/>
  <c r="C296" i="9" s="1"/>
  <c r="E296" i="9"/>
  <c r="D296" i="9" s="1"/>
  <c r="G295" i="9"/>
  <c r="K295" i="9"/>
  <c r="KG4" i="7" s="1"/>
  <c r="I295" i="9"/>
  <c r="KG2" i="7" s="1"/>
  <c r="J295" i="9"/>
  <c r="B295" i="9"/>
  <c r="C295" i="9" s="1"/>
  <c r="H295" i="9" s="1"/>
  <c r="KG3" i="7" l="1"/>
  <c r="F297" i="9"/>
  <c r="B297" i="9" s="1"/>
  <c r="C297" i="9" s="1"/>
  <c r="E297" i="9"/>
  <c r="D297" i="9" s="1"/>
  <c r="G296" i="9"/>
  <c r="H296" i="9" s="1"/>
  <c r="K296" i="9"/>
  <c r="J296" i="9"/>
  <c r="I296" i="9"/>
  <c r="KH2" i="7" l="1"/>
  <c r="KH4" i="7"/>
  <c r="F298" i="9"/>
  <c r="B298" i="9" s="1"/>
  <c r="C298" i="9" s="1"/>
  <c r="E298" i="9"/>
  <c r="D298" i="9" s="1"/>
  <c r="G297" i="9"/>
  <c r="H297" i="9" s="1"/>
  <c r="K297" i="9"/>
  <c r="I297" i="9"/>
  <c r="J297" i="9"/>
  <c r="KI4" i="7" l="1"/>
  <c r="KI2" i="7"/>
  <c r="KI3" i="7"/>
  <c r="F299" i="9"/>
  <c r="B299" i="9" s="1"/>
  <c r="C299" i="9" s="1"/>
  <c r="E299" i="9"/>
  <c r="D299" i="9" s="1"/>
  <c r="G298" i="9"/>
  <c r="H298" i="9" s="1"/>
  <c r="I298" i="9"/>
  <c r="J298" i="9"/>
  <c r="K298" i="9"/>
  <c r="KJ2" i="7" l="1"/>
  <c r="KJ4" i="7"/>
  <c r="KJ3" i="7"/>
  <c r="F300" i="9"/>
  <c r="B300" i="9" s="1"/>
  <c r="C300" i="9" s="1"/>
  <c r="E300" i="9"/>
  <c r="D300" i="9" s="1"/>
  <c r="G299" i="9"/>
  <c r="H299" i="9" s="1"/>
  <c r="J299" i="9"/>
  <c r="KK3" i="7" s="1"/>
  <c r="K299" i="9"/>
  <c r="KK4" i="7" s="1"/>
  <c r="I299" i="9"/>
  <c r="KK2" i="7" s="1"/>
  <c r="F301" i="9" l="1"/>
  <c r="B301" i="9" s="1"/>
  <c r="C301" i="9" s="1"/>
  <c r="E301" i="9"/>
  <c r="D301" i="9" s="1"/>
  <c r="G300" i="9"/>
  <c r="H300" i="9" s="1"/>
  <c r="J300" i="9"/>
  <c r="I300" i="9"/>
  <c r="K300" i="9"/>
  <c r="KL4" i="7" l="1"/>
  <c r="KL3" i="7"/>
  <c r="F302" i="9"/>
  <c r="B302" i="9" s="1"/>
  <c r="C302" i="9" s="1"/>
  <c r="E302" i="9"/>
  <c r="D302" i="9" s="1"/>
  <c r="G301" i="9"/>
  <c r="H301" i="9" s="1"/>
  <c r="K301" i="9"/>
  <c r="I301" i="9"/>
  <c r="J301" i="9"/>
  <c r="KM2" i="7" l="1"/>
  <c r="KM3" i="7"/>
  <c r="F303" i="9"/>
  <c r="B303" i="9" s="1"/>
  <c r="C303" i="9" s="1"/>
  <c r="E303" i="9"/>
  <c r="D303" i="9" s="1"/>
  <c r="G302" i="9"/>
  <c r="H302" i="9" s="1"/>
  <c r="J302" i="9"/>
  <c r="I302" i="9"/>
  <c r="K302" i="9"/>
  <c r="KN3" i="7" l="1"/>
  <c r="KN2" i="7"/>
  <c r="F304" i="9"/>
  <c r="B304" i="9" s="1"/>
  <c r="C304" i="9" s="1"/>
  <c r="E304" i="9"/>
  <c r="D304" i="9" s="1"/>
  <c r="G303" i="9"/>
  <c r="H303" i="9" s="1"/>
  <c r="J303" i="9"/>
  <c r="K303" i="9"/>
  <c r="I303" i="9"/>
  <c r="KO3" i="7" l="1"/>
  <c r="KO4" i="7"/>
  <c r="KO2" i="7"/>
  <c r="F305" i="9"/>
  <c r="B305" i="9" s="1"/>
  <c r="C305" i="9" s="1"/>
  <c r="E305" i="9"/>
  <c r="D305" i="9" s="1"/>
  <c r="G304" i="9"/>
  <c r="H304" i="9" s="1"/>
  <c r="J304" i="9"/>
  <c r="KP3" i="7" s="1"/>
  <c r="K304" i="9"/>
  <c r="KP4" i="7" s="1"/>
  <c r="I304" i="9"/>
  <c r="KP2" i="7" s="1"/>
  <c r="F306" i="9" l="1"/>
  <c r="B306" i="9" s="1"/>
  <c r="C306" i="9" s="1"/>
  <c r="E306" i="9"/>
  <c r="D306" i="9" s="1"/>
  <c r="G305" i="9"/>
  <c r="H305" i="9" s="1"/>
  <c r="J305" i="9"/>
  <c r="K305" i="9"/>
  <c r="I305" i="9"/>
  <c r="KQ4" i="7" l="1"/>
  <c r="KQ2" i="7"/>
  <c r="KQ3" i="7"/>
  <c r="F307" i="9"/>
  <c r="B307" i="9" s="1"/>
  <c r="C307" i="9" s="1"/>
  <c r="E307" i="9"/>
  <c r="D307" i="9" s="1"/>
  <c r="G306" i="9"/>
  <c r="H306" i="9" s="1"/>
  <c r="J306" i="9"/>
  <c r="KR3" i="7" s="1"/>
  <c r="I306" i="9"/>
  <c r="KR2" i="7" s="1"/>
  <c r="K306" i="9"/>
  <c r="KR4" i="7" s="1"/>
  <c r="F308" i="9" l="1"/>
  <c r="E308" i="9"/>
  <c r="D308" i="9" s="1"/>
  <c r="G307" i="9"/>
  <c r="H307" i="9" s="1"/>
  <c r="K307" i="9"/>
  <c r="KS4" i="7" s="1"/>
  <c r="J307" i="9"/>
  <c r="KS3" i="7" s="1"/>
  <c r="I307" i="9"/>
  <c r="KS2" i="7" s="1"/>
  <c r="F309" i="9" l="1"/>
  <c r="E309" i="9"/>
  <c r="D309" i="9" s="1"/>
  <c r="G308" i="9"/>
  <c r="J308" i="9"/>
  <c r="K308" i="9"/>
  <c r="I308" i="9"/>
  <c r="B308" i="9"/>
  <c r="C308" i="9" s="1"/>
  <c r="H308" i="9" s="1"/>
  <c r="KT2" i="7" l="1"/>
  <c r="KT3" i="7"/>
  <c r="KT4" i="7"/>
  <c r="F310" i="9"/>
  <c r="E310" i="9"/>
  <c r="D310" i="9" s="1"/>
  <c r="G309" i="9"/>
  <c r="I309" i="9"/>
  <c r="KU2" i="7" s="1"/>
  <c r="K309" i="9"/>
  <c r="J309" i="9"/>
  <c r="B309" i="9"/>
  <c r="C309" i="9" s="1"/>
  <c r="H309" i="9" s="1"/>
  <c r="KU3" i="7" l="1"/>
  <c r="KU4" i="7"/>
  <c r="F311" i="9"/>
  <c r="B311" i="9" s="1"/>
  <c r="C311" i="9" s="1"/>
  <c r="E311" i="9"/>
  <c r="D311" i="9" s="1"/>
  <c r="G310" i="9"/>
  <c r="I310" i="9"/>
  <c r="KV2" i="7" s="1"/>
  <c r="K310" i="9"/>
  <c r="J310" i="9"/>
  <c r="B310" i="9"/>
  <c r="C310" i="9" s="1"/>
  <c r="H310" i="9" s="1"/>
  <c r="KV3" i="7" l="1"/>
  <c r="F312" i="9"/>
  <c r="B312" i="9" s="1"/>
  <c r="C312" i="9" s="1"/>
  <c r="E312" i="9"/>
  <c r="D312" i="9" s="1"/>
  <c r="G311" i="9"/>
  <c r="H311" i="9" s="1"/>
  <c r="I311" i="9"/>
  <c r="K311" i="9"/>
  <c r="J311" i="9"/>
  <c r="KW3" i="7" l="1"/>
  <c r="KW4" i="7"/>
  <c r="KW2" i="7"/>
  <c r="F313" i="9"/>
  <c r="B313" i="9" s="1"/>
  <c r="C313" i="9" s="1"/>
  <c r="E313" i="9"/>
  <c r="D313" i="9" s="1"/>
  <c r="G312" i="9"/>
  <c r="H312" i="9" s="1"/>
  <c r="J312" i="9"/>
  <c r="K312" i="9"/>
  <c r="I312" i="9"/>
  <c r="KX3" i="7" l="1"/>
  <c r="KX2" i="7"/>
  <c r="KX4" i="7"/>
  <c r="F314" i="9"/>
  <c r="B314" i="9" s="1"/>
  <c r="C314" i="9" s="1"/>
  <c r="E314" i="9"/>
  <c r="D314" i="9" s="1"/>
  <c r="G313" i="9"/>
  <c r="H313" i="9" s="1"/>
  <c r="I313" i="9"/>
  <c r="J313" i="9"/>
  <c r="K313" i="9"/>
  <c r="KY3" i="7" l="1"/>
  <c r="KY2" i="7"/>
  <c r="KY4" i="7"/>
  <c r="F315" i="9"/>
  <c r="B315" i="9" s="1"/>
  <c r="C315" i="9" s="1"/>
  <c r="E315" i="9"/>
  <c r="D315" i="9" s="1"/>
  <c r="G314" i="9"/>
  <c r="H314" i="9" s="1"/>
  <c r="I314" i="9"/>
  <c r="J314" i="9"/>
  <c r="K314" i="9"/>
  <c r="KZ3" i="7" l="1"/>
  <c r="KZ2" i="7"/>
  <c r="KZ4" i="7"/>
  <c r="F316" i="9"/>
  <c r="B316" i="9" s="1"/>
  <c r="C316" i="9" s="1"/>
  <c r="E316" i="9"/>
  <c r="D316" i="9" s="1"/>
  <c r="G315" i="9"/>
  <c r="H315" i="9" s="1"/>
  <c r="I315" i="9"/>
  <c r="LA2" i="7" s="1"/>
  <c r="J315" i="9"/>
  <c r="LA3" i="7" s="1"/>
  <c r="K315" i="9"/>
  <c r="LA4" i="7" s="1"/>
  <c r="F317" i="9" l="1"/>
  <c r="B317" i="9" s="1"/>
  <c r="C317" i="9" s="1"/>
  <c r="E317" i="9"/>
  <c r="D317" i="9" s="1"/>
  <c r="G316" i="9"/>
  <c r="H316" i="9" s="1"/>
  <c r="I316" i="9"/>
  <c r="J316" i="9"/>
  <c r="K316" i="9"/>
  <c r="LB4" i="7" l="1"/>
  <c r="LB3" i="7"/>
  <c r="F318" i="9"/>
  <c r="B318" i="9" s="1"/>
  <c r="C318" i="9" s="1"/>
  <c r="E318" i="9"/>
  <c r="D318" i="9" s="1"/>
  <c r="G317" i="9"/>
  <c r="H317" i="9" s="1"/>
  <c r="K317" i="9"/>
  <c r="I317" i="9"/>
  <c r="J317" i="9"/>
  <c r="LC2" i="7" l="1"/>
  <c r="LC4" i="7"/>
  <c r="LC3" i="7"/>
  <c r="F319" i="9"/>
  <c r="B319" i="9" s="1"/>
  <c r="C319" i="9" s="1"/>
  <c r="E319" i="9"/>
  <c r="D319" i="9" s="1"/>
  <c r="G318" i="9"/>
  <c r="H318" i="9" s="1"/>
  <c r="J318" i="9"/>
  <c r="LD3" i="7" s="1"/>
  <c r="K318" i="9"/>
  <c r="LD4" i="7" s="1"/>
  <c r="I318" i="9"/>
  <c r="LD2" i="7" s="1"/>
  <c r="F320" i="9" l="1"/>
  <c r="B320" i="9" s="1"/>
  <c r="C320" i="9" s="1"/>
  <c r="E320" i="9"/>
  <c r="D320" i="9" s="1"/>
  <c r="G319" i="9"/>
  <c r="H319" i="9" s="1"/>
  <c r="I319" i="9"/>
  <c r="J319" i="9"/>
  <c r="K319" i="9"/>
  <c r="LE3" i="7" l="1"/>
  <c r="LE4" i="7"/>
  <c r="LE2" i="7"/>
  <c r="F321" i="9"/>
  <c r="B321" i="9" s="1"/>
  <c r="C321" i="9" s="1"/>
  <c r="E321" i="9"/>
  <c r="D321" i="9" s="1"/>
  <c r="G320" i="9"/>
  <c r="H320" i="9" s="1"/>
  <c r="K320" i="9"/>
  <c r="LF4" i="7" s="1"/>
  <c r="I320" i="9"/>
  <c r="LF2" i="7" s="1"/>
  <c r="J320" i="9"/>
  <c r="LF3" i="7" s="1"/>
  <c r="F322" i="9" l="1"/>
  <c r="B322" i="9" s="1"/>
  <c r="C322" i="9" s="1"/>
  <c r="E322" i="9"/>
  <c r="D322" i="9" s="1"/>
  <c r="G321" i="9"/>
  <c r="H321" i="9" s="1"/>
  <c r="K321" i="9"/>
  <c r="I321" i="9"/>
  <c r="J321" i="9"/>
  <c r="LG2" i="7" l="1"/>
  <c r="LG4" i="7"/>
  <c r="F323" i="9"/>
  <c r="E323" i="9"/>
  <c r="D323" i="9" s="1"/>
  <c r="G322" i="9"/>
  <c r="H322" i="9" s="1"/>
  <c r="J322" i="9"/>
  <c r="I322" i="9"/>
  <c r="K322" i="9"/>
  <c r="LH2" i="7" l="1"/>
  <c r="LH3" i="7"/>
  <c r="LH4" i="7"/>
  <c r="F324" i="9"/>
  <c r="E324" i="9"/>
  <c r="D324" i="9" s="1"/>
  <c r="G323" i="9"/>
  <c r="K323" i="9"/>
  <c r="LI4" i="7" s="1"/>
  <c r="I323" i="9"/>
  <c r="J323" i="9"/>
  <c r="B323" i="9"/>
  <c r="C323" i="9" s="1"/>
  <c r="H323" i="9" s="1"/>
  <c r="LI3" i="7" l="1"/>
  <c r="LI2" i="7"/>
  <c r="F325" i="9"/>
  <c r="G324" i="9"/>
  <c r="E325" i="9"/>
  <c r="D325" i="9" s="1"/>
  <c r="K324" i="9"/>
  <c r="LJ4" i="7" s="1"/>
  <c r="I324" i="9"/>
  <c r="J324" i="9"/>
  <c r="B324" i="9"/>
  <c r="C324" i="9" s="1"/>
  <c r="H324" i="9" l="1"/>
  <c r="LJ3" i="7"/>
  <c r="LJ2" i="7"/>
  <c r="F326" i="9"/>
  <c r="B326" i="9" s="1"/>
  <c r="C326" i="9" s="1"/>
  <c r="G325" i="9"/>
  <c r="E326" i="9"/>
  <c r="D326" i="9" s="1"/>
  <c r="I325" i="9"/>
  <c r="K325" i="9"/>
  <c r="J325" i="9"/>
  <c r="B325" i="9"/>
  <c r="C325" i="9" s="1"/>
  <c r="H325" i="9" s="1"/>
  <c r="LK2" i="7" l="1"/>
  <c r="LK3" i="7"/>
  <c r="F327" i="9"/>
  <c r="B327" i="9" s="1"/>
  <c r="C327" i="9" s="1"/>
  <c r="E327" i="9"/>
  <c r="D327" i="9" s="1"/>
  <c r="G326" i="9"/>
  <c r="H326" i="9" s="1"/>
  <c r="K326" i="9"/>
  <c r="I326" i="9"/>
  <c r="J326" i="9"/>
  <c r="LL3" i="7" l="1"/>
  <c r="LL2" i="7"/>
  <c r="F328" i="9"/>
  <c r="B328" i="9" s="1"/>
  <c r="C328" i="9" s="1"/>
  <c r="E328" i="9"/>
  <c r="D328" i="9" s="1"/>
  <c r="G327" i="9"/>
  <c r="H327" i="9" s="1"/>
  <c r="K327" i="9"/>
  <c r="I327" i="9"/>
  <c r="J327" i="9"/>
  <c r="LM2" i="7" l="1"/>
  <c r="LM4" i="7"/>
  <c r="LM3" i="7"/>
  <c r="F329" i="9"/>
  <c r="B329" i="9" s="1"/>
  <c r="C329" i="9" s="1"/>
  <c r="G328" i="9"/>
  <c r="H328" i="9" s="1"/>
  <c r="E329" i="9"/>
  <c r="D329" i="9" s="1"/>
  <c r="K328" i="9"/>
  <c r="J328" i="9"/>
  <c r="I328" i="9"/>
  <c r="LN4" i="7" l="1"/>
  <c r="LN2" i="7"/>
  <c r="LN3" i="7"/>
  <c r="F330" i="9"/>
  <c r="B330" i="9" s="1"/>
  <c r="C330" i="9" s="1"/>
  <c r="G329" i="9"/>
  <c r="H329" i="9" s="1"/>
  <c r="E330" i="9"/>
  <c r="D330" i="9" s="1"/>
  <c r="K329" i="9"/>
  <c r="I329" i="9"/>
  <c r="J329" i="9"/>
  <c r="LO3" i="7" l="1"/>
  <c r="LO4" i="7"/>
  <c r="LO2" i="7"/>
  <c r="F331" i="9"/>
  <c r="B331" i="9" s="1"/>
  <c r="C331" i="9" s="1"/>
  <c r="E331" i="9"/>
  <c r="D331" i="9" s="1"/>
  <c r="G330" i="9"/>
  <c r="H330" i="9" s="1"/>
  <c r="I330" i="9"/>
  <c r="LP2" i="7" s="1"/>
  <c r="J330" i="9"/>
  <c r="LP3" i="7" s="1"/>
  <c r="K330" i="9"/>
  <c r="LP4" i="7" s="1"/>
  <c r="F332" i="9" l="1"/>
  <c r="B332" i="9" s="1"/>
  <c r="C332" i="9" s="1"/>
  <c r="E332" i="9"/>
  <c r="D332" i="9" s="1"/>
  <c r="G331" i="9"/>
  <c r="H331" i="9" s="1"/>
  <c r="J331" i="9"/>
  <c r="I331" i="9"/>
  <c r="K331" i="9"/>
  <c r="LQ2" i="7" l="1"/>
  <c r="LQ4" i="7"/>
  <c r="LQ3" i="7"/>
  <c r="F333" i="9"/>
  <c r="B333" i="9" s="1"/>
  <c r="C333" i="9" s="1"/>
  <c r="G332" i="9"/>
  <c r="H332" i="9" s="1"/>
  <c r="E333" i="9"/>
  <c r="D333" i="9" s="1"/>
  <c r="J332" i="9"/>
  <c r="I332" i="9"/>
  <c r="K332" i="9"/>
  <c r="LR2" i="7" l="1"/>
  <c r="LR3" i="7"/>
  <c r="LR4" i="7"/>
  <c r="F334" i="9"/>
  <c r="B334" i="9" s="1"/>
  <c r="C334" i="9" s="1"/>
  <c r="G333" i="9"/>
  <c r="H333" i="9" s="1"/>
  <c r="E334" i="9"/>
  <c r="D334" i="9" s="1"/>
  <c r="I333" i="9"/>
  <c r="K333" i="9"/>
  <c r="J333" i="9"/>
  <c r="LS2" i="7" l="1"/>
  <c r="LS3" i="7"/>
  <c r="F335" i="9"/>
  <c r="B335" i="9" s="1"/>
  <c r="C335" i="9" s="1"/>
  <c r="E335" i="9"/>
  <c r="D335" i="9" s="1"/>
  <c r="G334" i="9"/>
  <c r="H334" i="9" s="1"/>
  <c r="J334" i="9"/>
  <c r="I334" i="9"/>
  <c r="K334" i="9"/>
  <c r="LT2" i="7" l="1"/>
  <c r="LT3" i="7"/>
  <c r="LT4" i="7"/>
  <c r="F336" i="9"/>
  <c r="B336" i="9" s="1"/>
  <c r="C336" i="9" s="1"/>
  <c r="E336" i="9"/>
  <c r="D336" i="9" s="1"/>
  <c r="G335" i="9"/>
  <c r="H335" i="9" s="1"/>
  <c r="J335" i="9"/>
  <c r="K335" i="9"/>
  <c r="I335" i="9"/>
  <c r="LU3" i="7" l="1"/>
  <c r="LU2" i="7"/>
  <c r="LU4" i="7"/>
  <c r="F337" i="9"/>
  <c r="B337" i="9" s="1"/>
  <c r="C337" i="9" s="1"/>
  <c r="G336" i="9"/>
  <c r="H336" i="9" s="1"/>
  <c r="E337" i="9"/>
  <c r="D337" i="9" s="1"/>
  <c r="K336" i="9"/>
  <c r="J336" i="9"/>
  <c r="I336" i="9"/>
  <c r="LV4" i="7" l="1"/>
  <c r="LV2" i="7"/>
  <c r="F338" i="9"/>
  <c r="G337" i="9"/>
  <c r="H337" i="9" s="1"/>
  <c r="E338" i="9"/>
  <c r="D338" i="9" s="1"/>
  <c r="J337" i="9"/>
  <c r="K337" i="9"/>
  <c r="I337" i="9"/>
  <c r="LW4" i="7" l="1"/>
  <c r="LW2" i="7"/>
  <c r="F339" i="9"/>
  <c r="E339" i="9"/>
  <c r="D339" i="9" s="1"/>
  <c r="G338" i="9"/>
  <c r="J338" i="9"/>
  <c r="LX3" i="7" s="1"/>
  <c r="I338" i="9"/>
  <c r="K338" i="9"/>
  <c r="B338" i="9"/>
  <c r="C338" i="9" s="1"/>
  <c r="H338" i="9" s="1"/>
  <c r="LX4" i="7" l="1"/>
  <c r="LX2" i="7"/>
  <c r="F340" i="9"/>
  <c r="E340" i="9"/>
  <c r="D340" i="9" s="1"/>
  <c r="G339" i="9"/>
  <c r="K339" i="9"/>
  <c r="LY4" i="7" s="1"/>
  <c r="I339" i="9"/>
  <c r="LY2" i="7" s="1"/>
  <c r="J339" i="9"/>
  <c r="B339" i="9"/>
  <c r="C339" i="9" s="1"/>
  <c r="H339" i="9" s="1"/>
  <c r="LY3" i="7" l="1"/>
  <c r="F341" i="9"/>
  <c r="G340" i="9"/>
  <c r="E341" i="9"/>
  <c r="D341" i="9" s="1"/>
  <c r="J340" i="9"/>
  <c r="K340" i="9"/>
  <c r="I340" i="9"/>
  <c r="B340" i="9"/>
  <c r="C340" i="9" s="1"/>
  <c r="H340" i="9" l="1"/>
  <c r="LZ3" i="7" s="1"/>
  <c r="F342" i="9"/>
  <c r="G341" i="9"/>
  <c r="E342" i="9"/>
  <c r="D342" i="9" s="1"/>
  <c r="I341" i="9"/>
  <c r="J341" i="9"/>
  <c r="K341" i="9"/>
  <c r="B341" i="9"/>
  <c r="C341" i="9" s="1"/>
  <c r="LZ4" i="7" l="1"/>
  <c r="LZ2" i="7"/>
  <c r="MA3" i="7"/>
  <c r="H341" i="9"/>
  <c r="MA2" i="7" s="1"/>
  <c r="MA4" i="7"/>
  <c r="F343" i="9"/>
  <c r="B343" i="9" s="1"/>
  <c r="C343" i="9" s="1"/>
  <c r="E343" i="9"/>
  <c r="D343" i="9" s="1"/>
  <c r="G342" i="9"/>
  <c r="I342" i="9"/>
  <c r="K342" i="9"/>
  <c r="J342" i="9"/>
  <c r="B342" i="9"/>
  <c r="C342" i="9" s="1"/>
  <c r="H342" i="9" s="1"/>
  <c r="MB2" i="7" l="1"/>
  <c r="MB3" i="7"/>
  <c r="F344" i="9"/>
  <c r="B344" i="9" s="1"/>
  <c r="C344" i="9" s="1"/>
  <c r="E344" i="9"/>
  <c r="D344" i="9" s="1"/>
  <c r="G343" i="9"/>
  <c r="H343" i="9" s="1"/>
  <c r="I343" i="9"/>
  <c r="K343" i="9"/>
  <c r="J343" i="9"/>
  <c r="MC4" i="7" l="1"/>
  <c r="MC3" i="7"/>
  <c r="MC2" i="7"/>
  <c r="F345" i="9"/>
  <c r="B345" i="9" s="1"/>
  <c r="C345" i="9" s="1"/>
  <c r="G344" i="9"/>
  <c r="H344" i="9" s="1"/>
  <c r="E345" i="9"/>
  <c r="D345" i="9" s="1"/>
  <c r="K344" i="9"/>
  <c r="J344" i="9"/>
  <c r="I344" i="9"/>
  <c r="MD3" i="7" l="1"/>
  <c r="MD4" i="7"/>
  <c r="MD2" i="7"/>
  <c r="F346" i="9"/>
  <c r="B346" i="9" s="1"/>
  <c r="C346" i="9" s="1"/>
  <c r="G345" i="9"/>
  <c r="H345" i="9" s="1"/>
  <c r="E346" i="9"/>
  <c r="D346" i="9" s="1"/>
  <c r="I345" i="9"/>
  <c r="J345" i="9"/>
  <c r="K345" i="9"/>
  <c r="ME2" i="7" l="1"/>
  <c r="ME3" i="7"/>
  <c r="ME4" i="7"/>
  <c r="F347" i="9"/>
  <c r="B347" i="9" s="1"/>
  <c r="C347" i="9" s="1"/>
  <c r="E347" i="9"/>
  <c r="D347" i="9" s="1"/>
  <c r="G346" i="9"/>
  <c r="H346" i="9" s="1"/>
  <c r="I346" i="9"/>
  <c r="J346" i="9"/>
  <c r="K346" i="9"/>
  <c r="MF3" i="7" l="1"/>
  <c r="MF2" i="7"/>
  <c r="MF4" i="7"/>
  <c r="F348" i="9"/>
  <c r="E348" i="9"/>
  <c r="D348" i="9" s="1"/>
  <c r="G347" i="9"/>
  <c r="H347" i="9" s="1"/>
  <c r="I347" i="9"/>
  <c r="J347" i="9"/>
  <c r="K347" i="9"/>
  <c r="MG4" i="7" l="1"/>
  <c r="MG2" i="7"/>
  <c r="MG3" i="7"/>
  <c r="F349" i="9"/>
  <c r="G348" i="9"/>
  <c r="E349" i="9"/>
  <c r="D349" i="9" s="1"/>
  <c r="I348" i="9"/>
  <c r="MH2" i="7" s="1"/>
  <c r="J348" i="9"/>
  <c r="K348" i="9"/>
  <c r="B348" i="9"/>
  <c r="C348" i="9" s="1"/>
  <c r="H348" i="9" s="1"/>
  <c r="MH4" i="7" l="1"/>
  <c r="MH3" i="7"/>
  <c r="F350" i="9"/>
  <c r="G349" i="9"/>
  <c r="E350" i="9"/>
  <c r="D350" i="9" s="1"/>
  <c r="I349" i="9"/>
  <c r="MI2" i="7" s="1"/>
  <c r="K349" i="9"/>
  <c r="J349" i="9"/>
  <c r="B349" i="9"/>
  <c r="C349" i="9" s="1"/>
  <c r="H349" i="9" l="1"/>
  <c r="MI3" i="7"/>
  <c r="MI4" i="7"/>
  <c r="F351" i="9"/>
  <c r="E351" i="9"/>
  <c r="D351" i="9" s="1"/>
  <c r="G350" i="9"/>
  <c r="J350" i="9"/>
  <c r="MJ3" i="7" s="1"/>
  <c r="K350" i="9"/>
  <c r="I350" i="9"/>
  <c r="B350" i="9"/>
  <c r="C350" i="9" s="1"/>
  <c r="H350" i="9" s="1"/>
  <c r="MJ2" i="7" l="1"/>
  <c r="MJ4" i="7"/>
  <c r="F352" i="9"/>
  <c r="E352" i="9"/>
  <c r="D352" i="9" s="1"/>
  <c r="G351" i="9"/>
  <c r="I351" i="9"/>
  <c r="MK2" i="7" s="1"/>
  <c r="J351" i="9"/>
  <c r="K351" i="9"/>
  <c r="B351" i="9"/>
  <c r="C351" i="9" s="1"/>
  <c r="H351" i="9" s="1"/>
  <c r="MK4" i="7" l="1"/>
  <c r="MK3" i="7"/>
  <c r="F353" i="9"/>
  <c r="B353" i="9" s="1"/>
  <c r="C353" i="9" s="1"/>
  <c r="G352" i="9"/>
  <c r="E353" i="9"/>
  <c r="D353" i="9" s="1"/>
  <c r="K352" i="9"/>
  <c r="J352" i="9"/>
  <c r="I352" i="9"/>
  <c r="B352" i="9"/>
  <c r="C352" i="9" s="1"/>
  <c r="ML4" i="7" l="1"/>
  <c r="ML2" i="7"/>
  <c r="H352" i="9"/>
  <c r="ML3" i="7"/>
  <c r="F354" i="9"/>
  <c r="B354" i="9" s="1"/>
  <c r="C354" i="9" s="1"/>
  <c r="G353" i="9"/>
  <c r="H353" i="9" s="1"/>
  <c r="E354" i="9"/>
  <c r="D354" i="9" s="1"/>
  <c r="K353" i="9"/>
  <c r="MM4" i="7" s="1"/>
  <c r="J353" i="9"/>
  <c r="I353" i="9"/>
  <c r="MM2" i="7" l="1"/>
  <c r="F355" i="9"/>
  <c r="B355" i="9" s="1"/>
  <c r="C355" i="9" s="1"/>
  <c r="E355" i="9"/>
  <c r="D355" i="9" s="1"/>
  <c r="G354" i="9"/>
  <c r="H354" i="9" s="1"/>
  <c r="J354" i="9"/>
  <c r="I354" i="9"/>
  <c r="K354" i="9"/>
  <c r="MN2" i="7" l="1"/>
  <c r="MN4" i="7"/>
  <c r="MN3" i="7"/>
  <c r="F356" i="9"/>
  <c r="E356" i="9"/>
  <c r="D356" i="9" s="1"/>
  <c r="G355" i="9"/>
  <c r="H355" i="9" s="1"/>
  <c r="K355" i="9"/>
  <c r="I355" i="9"/>
  <c r="J355" i="9"/>
  <c r="MO2" i="7" l="1"/>
  <c r="MO4" i="7"/>
  <c r="MO3" i="7"/>
  <c r="F357" i="9"/>
  <c r="G356" i="9"/>
  <c r="E357" i="9"/>
  <c r="D357" i="9" s="1"/>
  <c r="K356" i="9"/>
  <c r="MP4" i="7" s="1"/>
  <c r="I356" i="9"/>
  <c r="J356" i="9"/>
  <c r="B356" i="9"/>
  <c r="C356" i="9" s="1"/>
  <c r="H356" i="9" s="1"/>
  <c r="MP3" i="7" l="1"/>
  <c r="MP2" i="7"/>
  <c r="F358" i="9"/>
  <c r="G357" i="9"/>
  <c r="E358" i="9"/>
  <c r="D358" i="9" s="1"/>
  <c r="K357" i="9"/>
  <c r="I357" i="9"/>
  <c r="J357" i="9"/>
  <c r="B357" i="9"/>
  <c r="C357" i="9" s="1"/>
  <c r="H357" i="9" l="1"/>
  <c r="MQ3" i="7"/>
  <c r="MQ2" i="7"/>
  <c r="F359" i="9"/>
  <c r="B359" i="9" s="1"/>
  <c r="C359" i="9" s="1"/>
  <c r="E359" i="9"/>
  <c r="D359" i="9" s="1"/>
  <c r="G358" i="9"/>
  <c r="K358" i="9"/>
  <c r="I358" i="9"/>
  <c r="J358" i="9"/>
  <c r="B358" i="9"/>
  <c r="C358" i="9" s="1"/>
  <c r="H358" i="9" s="1"/>
  <c r="MR3" i="7" l="1"/>
  <c r="MR2" i="7"/>
  <c r="F360" i="9"/>
  <c r="B360" i="9" s="1"/>
  <c r="C360" i="9" s="1"/>
  <c r="E360" i="9"/>
  <c r="D360" i="9" s="1"/>
  <c r="G359" i="9"/>
  <c r="H359" i="9" s="1"/>
  <c r="K359" i="9"/>
  <c r="I359" i="9"/>
  <c r="J359" i="9"/>
  <c r="MS2" i="7" l="1"/>
  <c r="MS4" i="7"/>
  <c r="MS3" i="7"/>
  <c r="F361" i="9"/>
  <c r="B361" i="9" s="1"/>
  <c r="C361" i="9" s="1"/>
  <c r="G360" i="9"/>
  <c r="H360" i="9" s="1"/>
  <c r="E361" i="9"/>
  <c r="D361" i="9" s="1"/>
  <c r="J360" i="9"/>
  <c r="K360" i="9"/>
  <c r="I360" i="9"/>
  <c r="MT4" i="7" l="1"/>
  <c r="MT3" i="7"/>
  <c r="MT2" i="7"/>
  <c r="F362" i="9"/>
  <c r="B362" i="9" s="1"/>
  <c r="C362" i="9" s="1"/>
  <c r="G361" i="9"/>
  <c r="H361" i="9" s="1"/>
  <c r="E362" i="9"/>
  <c r="D362" i="9" s="1"/>
  <c r="K361" i="9"/>
  <c r="I361" i="9"/>
  <c r="J361" i="9"/>
  <c r="MU4" i="7" l="1"/>
  <c r="MU3" i="7"/>
  <c r="MU2" i="7"/>
  <c r="F363" i="9"/>
  <c r="B363" i="9" s="1"/>
  <c r="C363" i="9" s="1"/>
  <c r="E363" i="9"/>
  <c r="D363" i="9" s="1"/>
  <c r="G362" i="9"/>
  <c r="H362" i="9" s="1"/>
  <c r="I362" i="9"/>
  <c r="J362" i="9"/>
  <c r="K362" i="9"/>
  <c r="MV3" i="7" l="1"/>
  <c r="MV2" i="7"/>
  <c r="MV4" i="7"/>
  <c r="F364" i="9"/>
  <c r="B364" i="9" s="1"/>
  <c r="C364" i="9" s="1"/>
  <c r="E364" i="9"/>
  <c r="D364" i="9" s="1"/>
  <c r="G363" i="9"/>
  <c r="H363" i="9" s="1"/>
  <c r="J363" i="9"/>
  <c r="K363" i="9"/>
  <c r="I363" i="9"/>
  <c r="MW4" i="7" l="1"/>
  <c r="MW3" i="7"/>
  <c r="MW2" i="7"/>
  <c r="F365" i="9"/>
  <c r="B365" i="9" s="1"/>
  <c r="C365" i="9" s="1"/>
  <c r="G364" i="9"/>
  <c r="H364" i="9" s="1"/>
  <c r="E365" i="9"/>
  <c r="D365" i="9" s="1"/>
  <c r="J364" i="9"/>
  <c r="MX3" i="7" s="1"/>
  <c r="K364" i="9"/>
  <c r="MX4" i="7" s="1"/>
  <c r="I364" i="9"/>
  <c r="MX2" i="7" s="1"/>
  <c r="F366" i="9" l="1"/>
  <c r="B366" i="9" s="1"/>
  <c r="C366" i="9" s="1"/>
  <c r="G365" i="9"/>
  <c r="H365" i="9" s="1"/>
  <c r="E366" i="9"/>
  <c r="D366" i="9" s="1"/>
  <c r="I365" i="9"/>
  <c r="K365" i="9"/>
  <c r="J365" i="9"/>
  <c r="MY3" i="7" l="1"/>
  <c r="MY2" i="7"/>
  <c r="F367" i="9"/>
  <c r="B367" i="9" s="1"/>
  <c r="C367" i="9" s="1"/>
  <c r="E367" i="9"/>
  <c r="D367" i="9" s="1"/>
  <c r="G366" i="9"/>
  <c r="H366" i="9" s="1"/>
  <c r="J366" i="9"/>
  <c r="I366" i="9"/>
  <c r="K366" i="9"/>
  <c r="MZ2" i="7" l="1"/>
  <c r="MZ3" i="7"/>
  <c r="F368" i="9"/>
  <c r="B368" i="9" s="1"/>
  <c r="C368" i="9" s="1"/>
  <c r="E368" i="9"/>
  <c r="D368" i="9" s="1"/>
  <c r="G367" i="9"/>
  <c r="H367" i="9" s="1"/>
  <c r="J367" i="9"/>
  <c r="K367" i="9"/>
  <c r="I367" i="9"/>
  <c r="NA4" i="7" l="1"/>
  <c r="NA3" i="7"/>
  <c r="NA2" i="7"/>
  <c r="F369" i="9"/>
  <c r="B369" i="9" s="1"/>
  <c r="C369" i="9" s="1"/>
  <c r="G368" i="9"/>
  <c r="H368" i="9" s="1"/>
  <c r="E369" i="9"/>
  <c r="D369" i="9" s="1"/>
  <c r="J368" i="9"/>
  <c r="K368" i="9"/>
  <c r="I368" i="9"/>
  <c r="NB2" i="7" l="1"/>
  <c r="NB3" i="7"/>
  <c r="NB4" i="7"/>
  <c r="F370" i="9"/>
  <c r="G369" i="9"/>
  <c r="H369" i="9" s="1"/>
  <c r="E370" i="9"/>
  <c r="D370" i="9" s="1"/>
  <c r="J369" i="9"/>
  <c r="K369" i="9"/>
  <c r="I369" i="9"/>
  <c r="NC3" i="7" l="1"/>
  <c r="NC2" i="7"/>
  <c r="NC4" i="7"/>
  <c r="F371" i="9"/>
  <c r="E371" i="9"/>
  <c r="D371" i="9" s="1"/>
  <c r="G370" i="9"/>
  <c r="J370" i="9"/>
  <c r="I370" i="9"/>
  <c r="K370" i="9"/>
  <c r="B370" i="9"/>
  <c r="C370" i="9" s="1"/>
  <c r="H370" i="9" s="1"/>
  <c r="ND2" i="7" l="1"/>
  <c r="ND3" i="7"/>
  <c r="ND4" i="7"/>
  <c r="F372" i="9"/>
  <c r="E372" i="9"/>
  <c r="D372" i="9" s="1"/>
  <c r="G371" i="9"/>
  <c r="K371" i="9"/>
  <c r="J371" i="9"/>
  <c r="I371" i="9"/>
  <c r="B371" i="9"/>
  <c r="C371" i="9" s="1"/>
  <c r="H371" i="9" s="1"/>
  <c r="NE3" i="7" l="1"/>
  <c r="NE4" i="7"/>
  <c r="NE2" i="7"/>
  <c r="F373" i="9"/>
  <c r="B373" i="9" s="1"/>
  <c r="C373" i="9" s="1"/>
  <c r="G372" i="9"/>
  <c r="E373" i="9"/>
  <c r="D373" i="9" s="1"/>
  <c r="J372" i="9"/>
  <c r="NF3" i="7" s="1"/>
  <c r="K372" i="9"/>
  <c r="I372" i="9"/>
  <c r="NF2" i="7" s="1"/>
  <c r="B372" i="9"/>
  <c r="C372" i="9" s="1"/>
  <c r="H372" i="9" s="1"/>
  <c r="NF4" i="7" l="1"/>
  <c r="F374" i="9"/>
  <c r="B374" i="9" s="1"/>
  <c r="C374" i="9" s="1"/>
  <c r="G373" i="9"/>
  <c r="H373" i="9" s="1"/>
  <c r="E374" i="9"/>
  <c r="D374" i="9" s="1"/>
  <c r="I373" i="9"/>
  <c r="K373" i="9"/>
  <c r="J373" i="9"/>
  <c r="NG3" i="7" l="1"/>
  <c r="NG4" i="7"/>
  <c r="NG2" i="7"/>
  <c r="F375" i="9"/>
  <c r="B375" i="9" s="1"/>
  <c r="C375" i="9" s="1"/>
  <c r="E375" i="9"/>
  <c r="D375" i="9" s="1"/>
  <c r="G374" i="9"/>
  <c r="H374" i="9" s="1"/>
  <c r="I374" i="9"/>
  <c r="K374" i="9"/>
  <c r="J374" i="9"/>
  <c r="NH3" i="7" l="1"/>
  <c r="NH2" i="7"/>
  <c r="F376" i="9"/>
  <c r="B376" i="9" s="1"/>
  <c r="C376" i="9" s="1"/>
  <c r="G375" i="9"/>
  <c r="H375" i="9" s="1"/>
  <c r="E376" i="9"/>
  <c r="D376" i="9" s="1"/>
  <c r="I375" i="9"/>
  <c r="NI2" i="7" s="1"/>
  <c r="K375" i="9"/>
  <c r="J375" i="9"/>
  <c r="NI3" i="7" s="1"/>
  <c r="NI4" i="7" l="1"/>
  <c r="F377" i="9"/>
  <c r="B377" i="9" s="1"/>
  <c r="C377" i="9" s="1"/>
  <c r="E377" i="9"/>
  <c r="D377" i="9" s="1"/>
  <c r="G376" i="9"/>
  <c r="H376" i="9" s="1"/>
  <c r="K376" i="9"/>
  <c r="NJ4" i="7" s="1"/>
  <c r="J376" i="9"/>
  <c r="I376" i="9"/>
  <c r="NJ2" i="7" s="1"/>
  <c r="F378" i="9" l="1"/>
  <c r="B378" i="9" s="1"/>
  <c r="C378" i="9" s="1"/>
  <c r="G377" i="9"/>
  <c r="H377" i="9" s="1"/>
  <c r="E378" i="9"/>
  <c r="D378" i="9" s="1"/>
  <c r="I377" i="9"/>
  <c r="J377" i="9"/>
  <c r="K377" i="9"/>
  <c r="NK3" i="7" l="1"/>
  <c r="NK4" i="7"/>
  <c r="NK2" i="7"/>
  <c r="F379" i="9"/>
  <c r="B379" i="9" s="1"/>
  <c r="C379" i="9" s="1"/>
  <c r="E379" i="9"/>
  <c r="D379" i="9" s="1"/>
  <c r="G378" i="9"/>
  <c r="H378" i="9" s="1"/>
  <c r="I378" i="9"/>
  <c r="NL2" i="7" s="1"/>
  <c r="J378" i="9"/>
  <c r="NL3" i="7" s="1"/>
  <c r="K378" i="9"/>
  <c r="NL4" i="7" s="1"/>
  <c r="F380" i="9" l="1"/>
  <c r="B380" i="9" s="1"/>
  <c r="C380" i="9" s="1"/>
  <c r="G379" i="9"/>
  <c r="H379" i="9" s="1"/>
  <c r="E380" i="9"/>
  <c r="D380" i="9" s="1"/>
  <c r="I379" i="9"/>
  <c r="J379" i="9"/>
  <c r="K379" i="9"/>
  <c r="NM3" i="7" l="1"/>
  <c r="NM4" i="7"/>
  <c r="NM2" i="7"/>
  <c r="F381" i="9"/>
  <c r="B381" i="9" s="1"/>
  <c r="C381" i="9" s="1"/>
  <c r="E381" i="9"/>
  <c r="D381" i="9" s="1"/>
  <c r="G380" i="9"/>
  <c r="H380" i="9" s="1"/>
  <c r="I380" i="9"/>
  <c r="J380" i="9"/>
  <c r="K380" i="9"/>
  <c r="NN4" i="7" l="1"/>
  <c r="NN3" i="7"/>
  <c r="NN2" i="7"/>
  <c r="F382" i="9"/>
  <c r="B382" i="9" s="1"/>
  <c r="C382" i="9" s="1"/>
  <c r="G381" i="9"/>
  <c r="H381" i="9" s="1"/>
  <c r="E382" i="9"/>
  <c r="D382" i="9" s="1"/>
  <c r="K381" i="9"/>
  <c r="I381" i="9"/>
  <c r="J381" i="9"/>
  <c r="NO4" i="7" l="1"/>
  <c r="NO3" i="7"/>
  <c r="NO2" i="7"/>
  <c r="F383" i="9"/>
  <c r="B383" i="9" s="1"/>
  <c r="C383" i="9" s="1"/>
  <c r="E383" i="9"/>
  <c r="D383" i="9" s="1"/>
  <c r="G382" i="9"/>
  <c r="H382" i="9" s="1"/>
  <c r="J382" i="9"/>
  <c r="K382" i="9"/>
  <c r="I382" i="9"/>
  <c r="NP4" i="7" l="1"/>
  <c r="NP3" i="7"/>
  <c r="NP2" i="7"/>
  <c r="F384" i="9"/>
  <c r="G383" i="9"/>
  <c r="H383" i="9" s="1"/>
  <c r="E384" i="9"/>
  <c r="D384" i="9" s="1"/>
  <c r="I383" i="9"/>
  <c r="J383" i="9"/>
  <c r="K383" i="9"/>
  <c r="NQ2" i="7" l="1"/>
  <c r="NQ4" i="7"/>
  <c r="NQ3" i="7"/>
  <c r="F385" i="9"/>
  <c r="E385" i="9"/>
  <c r="D385" i="9" s="1"/>
  <c r="G384" i="9"/>
  <c r="J384" i="9"/>
  <c r="K384" i="9"/>
  <c r="I384" i="9"/>
  <c r="B384" i="9"/>
  <c r="C384" i="9" s="1"/>
  <c r="H384" i="9" s="1"/>
  <c r="NR2" i="7" l="1"/>
  <c r="NR4" i="7"/>
  <c r="F386" i="9"/>
  <c r="G385" i="9"/>
  <c r="E386" i="9"/>
  <c r="D386" i="9" s="1"/>
  <c r="K385" i="9"/>
  <c r="NS4" i="7" s="1"/>
  <c r="J385" i="9"/>
  <c r="I385" i="9"/>
  <c r="B385" i="9"/>
  <c r="C385" i="9" s="1"/>
  <c r="H385" i="9" l="1"/>
  <c r="NS2" i="7"/>
  <c r="F387" i="9"/>
  <c r="E387" i="9"/>
  <c r="D387" i="9" s="1"/>
  <c r="G386" i="9"/>
  <c r="J386" i="9"/>
  <c r="NT3" i="7" s="1"/>
  <c r="I386" i="9"/>
  <c r="NT2" i="7" s="1"/>
  <c r="K386" i="9"/>
  <c r="B386" i="9"/>
  <c r="C386" i="9" s="1"/>
  <c r="H386" i="9" s="1"/>
  <c r="NT4" i="7" l="1"/>
  <c r="F388" i="9"/>
  <c r="B388" i="9" s="1"/>
  <c r="C388" i="9" s="1"/>
  <c r="G387" i="9"/>
  <c r="E388" i="9"/>
  <c r="D388" i="9" s="1"/>
  <c r="K387" i="9"/>
  <c r="J387" i="9"/>
  <c r="I387" i="9"/>
  <c r="B387" i="9"/>
  <c r="C387" i="9" s="1"/>
  <c r="H387" i="9" l="1"/>
  <c r="NU4" i="7" s="1"/>
  <c r="F389" i="9"/>
  <c r="B389" i="9" s="1"/>
  <c r="C389" i="9" s="1"/>
  <c r="E389" i="9"/>
  <c r="D389" i="9" s="1"/>
  <c r="G388" i="9"/>
  <c r="H388" i="9" s="1"/>
  <c r="K388" i="9"/>
  <c r="I388" i="9"/>
  <c r="J388" i="9"/>
  <c r="NU3" i="7" l="1"/>
  <c r="NU2" i="7"/>
  <c r="NV2" i="7"/>
  <c r="NV3" i="7"/>
  <c r="NV4" i="7"/>
  <c r="F390" i="9"/>
  <c r="B390" i="9" s="1"/>
  <c r="C390" i="9" s="1"/>
  <c r="G389" i="9"/>
  <c r="H389" i="9" s="1"/>
  <c r="E390" i="9"/>
  <c r="D390" i="9" s="1"/>
  <c r="K389" i="9"/>
  <c r="I389" i="9"/>
  <c r="J389" i="9"/>
  <c r="NW2" i="7" l="1"/>
  <c r="NW3" i="7"/>
  <c r="F391" i="9"/>
  <c r="B391" i="9" s="1"/>
  <c r="C391" i="9" s="1"/>
  <c r="E391" i="9"/>
  <c r="D391" i="9" s="1"/>
  <c r="G390" i="9"/>
  <c r="H390" i="9" s="1"/>
  <c r="K390" i="9"/>
  <c r="I390" i="9"/>
  <c r="J390" i="9"/>
  <c r="NX3" i="7" l="1"/>
  <c r="NX2" i="7"/>
  <c r="F392" i="9"/>
  <c r="B392" i="9" s="1"/>
  <c r="C392" i="9" s="1"/>
  <c r="G391" i="9"/>
  <c r="H391" i="9" s="1"/>
  <c r="E392" i="9"/>
  <c r="D392" i="9" s="1"/>
  <c r="K391" i="9"/>
  <c r="I391" i="9"/>
  <c r="J391" i="9"/>
  <c r="NY2" i="7" l="1"/>
  <c r="NY4" i="7"/>
  <c r="NY3" i="7"/>
  <c r="F393" i="9"/>
  <c r="B393" i="9" s="1"/>
  <c r="C393" i="9" s="1"/>
  <c r="E393" i="9"/>
  <c r="D393" i="9" s="1"/>
  <c r="G392" i="9"/>
  <c r="H392" i="9" s="1"/>
  <c r="K392" i="9"/>
  <c r="NZ4" i="7" s="1"/>
  <c r="J392" i="9"/>
  <c r="NZ3" i="7" s="1"/>
  <c r="I392" i="9"/>
  <c r="NZ2" i="7" s="1"/>
  <c r="F394" i="9" l="1"/>
  <c r="B394" i="9" s="1"/>
  <c r="C394" i="9" s="1"/>
  <c r="G393" i="9"/>
  <c r="H393" i="9" s="1"/>
  <c r="E394" i="9"/>
  <c r="D394" i="9" s="1"/>
  <c r="K393" i="9"/>
  <c r="I393" i="9"/>
  <c r="J393" i="9"/>
  <c r="OA4" i="7" l="1"/>
  <c r="OA3" i="7"/>
  <c r="OA2" i="7"/>
  <c r="F395" i="9"/>
  <c r="B395" i="9" s="1"/>
  <c r="C395" i="9" s="1"/>
  <c r="E395" i="9"/>
  <c r="D395" i="9" s="1"/>
  <c r="G394" i="9"/>
  <c r="H394" i="9" s="1"/>
  <c r="I394" i="9"/>
  <c r="OB2" i="7" s="1"/>
  <c r="J394" i="9"/>
  <c r="OB3" i="7" s="1"/>
  <c r="K394" i="9"/>
  <c r="OB4" i="7" s="1"/>
  <c r="G395" i="9" l="1"/>
  <c r="H395" i="9" s="1"/>
  <c r="E396" i="9"/>
  <c r="D396" i="9" s="1"/>
  <c r="F396" i="9"/>
  <c r="B396" i="9" s="1"/>
  <c r="C396" i="9" s="1"/>
  <c r="I395" i="9"/>
  <c r="OC2" i="7" s="1"/>
  <c r="J395" i="9"/>
  <c r="OC3" i="7" s="1"/>
  <c r="K395" i="9"/>
  <c r="OC4" i="7" s="1"/>
  <c r="G396" i="9" l="1"/>
  <c r="H396" i="9" s="1"/>
  <c r="F397" i="9"/>
  <c r="B397" i="9" s="1"/>
  <c r="C397" i="9" s="1"/>
  <c r="E397" i="9"/>
  <c r="D397" i="9" s="1"/>
  <c r="J396" i="9"/>
  <c r="I396" i="9"/>
  <c r="K396" i="9"/>
  <c r="OD3" i="7" l="1"/>
  <c r="OD4" i="7"/>
  <c r="OD2" i="7"/>
  <c r="G397" i="9"/>
  <c r="H397" i="9" s="1"/>
  <c r="E398" i="9"/>
  <c r="D398" i="9" s="1"/>
  <c r="F398" i="9"/>
  <c r="K397" i="9"/>
  <c r="I397" i="9"/>
  <c r="J397" i="9"/>
  <c r="OE2" i="7" l="1"/>
  <c r="OE3" i="7"/>
  <c r="G398" i="9"/>
  <c r="F399" i="9"/>
  <c r="E399" i="9"/>
  <c r="D399" i="9" s="1"/>
  <c r="J398" i="9"/>
  <c r="OF3" i="7" s="1"/>
  <c r="I398" i="9"/>
  <c r="K398" i="9"/>
  <c r="B398" i="9"/>
  <c r="C398" i="9" s="1"/>
  <c r="H398" i="9" l="1"/>
  <c r="OF4" i="7"/>
  <c r="OF2" i="7"/>
  <c r="G399" i="9"/>
  <c r="E400" i="9"/>
  <c r="D400" i="9" s="1"/>
  <c r="F400" i="9"/>
  <c r="J399" i="9"/>
  <c r="K399" i="9"/>
  <c r="I399" i="9"/>
  <c r="B399" i="9"/>
  <c r="C399" i="9" s="1"/>
  <c r="H399" i="9" l="1"/>
  <c r="OG3" i="7" s="1"/>
  <c r="G400" i="9"/>
  <c r="F401" i="9"/>
  <c r="E401" i="9"/>
  <c r="D401" i="9" s="1"/>
  <c r="K400" i="9"/>
  <c r="OH4" i="7" s="1"/>
  <c r="J400" i="9"/>
  <c r="OH3" i="7" s="1"/>
  <c r="I400" i="9"/>
  <c r="OH2" i="7" s="1"/>
  <c r="B400" i="9"/>
  <c r="C400" i="9" s="1"/>
  <c r="H400" i="9" s="1"/>
  <c r="OG4" i="7" l="1"/>
  <c r="OG2" i="7"/>
  <c r="G401" i="9"/>
  <c r="E402" i="9"/>
  <c r="D402" i="9" s="1"/>
  <c r="F402" i="9"/>
  <c r="B402" i="9" s="1"/>
  <c r="C402" i="9" s="1"/>
  <c r="J401" i="9"/>
  <c r="K401" i="9"/>
  <c r="I401" i="9"/>
  <c r="B401" i="9"/>
  <c r="C401" i="9" s="1"/>
  <c r="H401" i="9" s="1"/>
  <c r="OI2" i="7" l="1"/>
  <c r="OI4" i="7"/>
  <c r="G402" i="9"/>
  <c r="H402" i="9" s="1"/>
  <c r="F403" i="9"/>
  <c r="B403" i="9" s="1"/>
  <c r="C403" i="9" s="1"/>
  <c r="E403" i="9"/>
  <c r="D403" i="9" s="1"/>
  <c r="J402" i="9"/>
  <c r="I402" i="9"/>
  <c r="K402" i="9"/>
  <c r="OJ2" i="7" l="1"/>
  <c r="OJ4" i="7"/>
  <c r="OJ3" i="7"/>
  <c r="G403" i="9"/>
  <c r="H403" i="9" s="1"/>
  <c r="E404" i="9"/>
  <c r="D404" i="9" s="1"/>
  <c r="F404" i="9"/>
  <c r="B404" i="9" s="1"/>
  <c r="C404" i="9" s="1"/>
  <c r="K403" i="9"/>
  <c r="I403" i="9"/>
  <c r="J403" i="9"/>
  <c r="OK2" i="7" l="1"/>
  <c r="OK4" i="7"/>
  <c r="OK3" i="7"/>
  <c r="G404" i="9"/>
  <c r="H404" i="9" s="1"/>
  <c r="F405" i="9"/>
  <c r="B405" i="9" s="1"/>
  <c r="C405" i="9" s="1"/>
  <c r="E405" i="9"/>
  <c r="D405" i="9" s="1"/>
  <c r="J404" i="9"/>
  <c r="K404" i="9"/>
  <c r="I404" i="9"/>
  <c r="OL3" i="7" l="1"/>
  <c r="OL2" i="7"/>
  <c r="OL4" i="7"/>
  <c r="G405" i="9"/>
  <c r="H405" i="9" s="1"/>
  <c r="E406" i="9"/>
  <c r="D406" i="9" s="1"/>
  <c r="F406" i="9"/>
  <c r="B406" i="9" s="1"/>
  <c r="C406" i="9" s="1"/>
  <c r="I405" i="9"/>
  <c r="K405" i="9"/>
  <c r="J405" i="9"/>
  <c r="OM2" i="7" l="1"/>
  <c r="OM3" i="7"/>
  <c r="G406" i="9"/>
  <c r="H406" i="9" s="1"/>
  <c r="F407" i="9"/>
  <c r="B407" i="9" s="1"/>
  <c r="C407" i="9" s="1"/>
  <c r="E407" i="9"/>
  <c r="D407" i="9" s="1"/>
  <c r="I406" i="9"/>
  <c r="J406" i="9"/>
  <c r="K406" i="9"/>
  <c r="ON3" i="7" l="1"/>
  <c r="ON2" i="7"/>
  <c r="G407" i="9"/>
  <c r="H407" i="9" s="1"/>
  <c r="E408" i="9"/>
  <c r="D408" i="9" s="1"/>
  <c r="F408" i="9"/>
  <c r="B408" i="9" s="1"/>
  <c r="C408" i="9" s="1"/>
  <c r="I407" i="9"/>
  <c r="K407" i="9"/>
  <c r="J407" i="9"/>
  <c r="OO3" i="7" l="1"/>
  <c r="OO4" i="7"/>
  <c r="OO2" i="7"/>
  <c r="G408" i="9"/>
  <c r="H408" i="9" s="1"/>
  <c r="F409" i="9"/>
  <c r="B409" i="9" s="1"/>
  <c r="C409" i="9" s="1"/>
  <c r="E409" i="9"/>
  <c r="D409" i="9" s="1"/>
  <c r="J408" i="9"/>
  <c r="K408" i="9"/>
  <c r="I408" i="9"/>
  <c r="OP4" i="7" l="1"/>
  <c r="OP2" i="7"/>
  <c r="OP3" i="7"/>
  <c r="G409" i="9"/>
  <c r="H409" i="9" s="1"/>
  <c r="E410" i="9"/>
  <c r="D410" i="9" s="1"/>
  <c r="F410" i="9"/>
  <c r="B410" i="9" s="1"/>
  <c r="C410" i="9" s="1"/>
  <c r="I409" i="9"/>
  <c r="J409" i="9"/>
  <c r="K409" i="9"/>
  <c r="OQ2" i="7" l="1"/>
  <c r="OQ4" i="7"/>
  <c r="OQ3" i="7"/>
  <c r="G410" i="9"/>
  <c r="H410" i="9" s="1"/>
  <c r="F411" i="9"/>
  <c r="B411" i="9" s="1"/>
  <c r="C411" i="9" s="1"/>
  <c r="E411" i="9"/>
  <c r="D411" i="9" s="1"/>
  <c r="I410" i="9"/>
  <c r="J410" i="9"/>
  <c r="K410" i="9"/>
  <c r="OR4" i="7" l="1"/>
  <c r="OR2" i="7"/>
  <c r="OR3" i="7"/>
  <c r="G411" i="9"/>
  <c r="H411" i="9" s="1"/>
  <c r="E412" i="9"/>
  <c r="D412" i="9" s="1"/>
  <c r="F412" i="9"/>
  <c r="J411" i="9"/>
  <c r="K411" i="9"/>
  <c r="I411" i="9"/>
  <c r="OS2" i="7" l="1"/>
  <c r="OS3" i="7"/>
  <c r="OS4" i="7"/>
  <c r="G412" i="9"/>
  <c r="F413" i="9"/>
  <c r="E413" i="9"/>
  <c r="D413" i="9" s="1"/>
  <c r="I412" i="9"/>
  <c r="OT2" i="7" s="1"/>
  <c r="J412" i="9"/>
  <c r="K412" i="9"/>
  <c r="B412" i="9"/>
  <c r="C412" i="9" s="1"/>
  <c r="H412" i="9" l="1"/>
  <c r="OT4" i="7"/>
  <c r="OT3" i="7"/>
  <c r="G413" i="9"/>
  <c r="E414" i="9"/>
  <c r="D414" i="9" s="1"/>
  <c r="F414" i="9"/>
  <c r="I413" i="9"/>
  <c r="OU2" i="7" s="1"/>
  <c r="K413" i="9"/>
  <c r="J413" i="9"/>
  <c r="B413" i="9"/>
  <c r="C413" i="9" s="1"/>
  <c r="H413" i="9" s="1"/>
  <c r="OU3" i="7" l="1"/>
  <c r="OU4" i="7"/>
  <c r="G414" i="9"/>
  <c r="F415" i="9"/>
  <c r="E415" i="9"/>
  <c r="D415" i="9" s="1"/>
  <c r="J414" i="9"/>
  <c r="OV3" i="7" s="1"/>
  <c r="K414" i="9"/>
  <c r="I414" i="9"/>
  <c r="B414" i="9"/>
  <c r="C414" i="9" s="1"/>
  <c r="H414" i="9" l="1"/>
  <c r="OV2" i="7"/>
  <c r="OV4" i="7"/>
  <c r="G415" i="9"/>
  <c r="E416" i="9"/>
  <c r="D416" i="9" s="1"/>
  <c r="F416" i="9"/>
  <c r="B416" i="9" s="1"/>
  <c r="C416" i="9" s="1"/>
  <c r="I415" i="9"/>
  <c r="OW2" i="7" s="1"/>
  <c r="J415" i="9"/>
  <c r="K415" i="9"/>
  <c r="B415" i="9"/>
  <c r="C415" i="9" s="1"/>
  <c r="H415" i="9" s="1"/>
  <c r="OW4" i="7" l="1"/>
  <c r="OW3" i="7"/>
  <c r="G416" i="9"/>
  <c r="H416" i="9" s="1"/>
  <c r="E417" i="9"/>
  <c r="D417" i="9" s="1"/>
  <c r="F417" i="9"/>
  <c r="B417" i="9" s="1"/>
  <c r="C417" i="9" s="1"/>
  <c r="K416" i="9"/>
  <c r="J416" i="9"/>
  <c r="I416" i="9"/>
  <c r="OX2" i="7" l="1"/>
  <c r="OX4" i="7"/>
  <c r="E418" i="9"/>
  <c r="D418" i="9" s="1"/>
  <c r="G417" i="9"/>
  <c r="H417" i="9" s="1"/>
  <c r="F418" i="9"/>
  <c r="B418" i="9" s="1"/>
  <c r="C418" i="9" s="1"/>
  <c r="K417" i="9"/>
  <c r="J417" i="9"/>
  <c r="I417" i="9"/>
  <c r="OY4" i="7" l="1"/>
  <c r="OY2" i="7"/>
  <c r="F419" i="9"/>
  <c r="B419" i="9" s="1"/>
  <c r="C419" i="9" s="1"/>
  <c r="G418" i="9"/>
  <c r="H418" i="9" s="1"/>
  <c r="E419" i="9"/>
  <c r="D419" i="9" s="1"/>
  <c r="J418" i="9"/>
  <c r="OZ3" i="7" s="1"/>
  <c r="K418" i="9"/>
  <c r="I418" i="9"/>
  <c r="OZ2" i="7" s="1"/>
  <c r="OZ4" i="7" l="1"/>
  <c r="G419" i="9"/>
  <c r="H419" i="9" s="1"/>
  <c r="F420" i="9"/>
  <c r="B420" i="9" s="1"/>
  <c r="C420" i="9" s="1"/>
  <c r="E420" i="9"/>
  <c r="D420" i="9" s="1"/>
  <c r="K419" i="9"/>
  <c r="PA4" i="7" s="1"/>
  <c r="J419" i="9"/>
  <c r="PA3" i="7" s="1"/>
  <c r="I419" i="9"/>
  <c r="PA2" i="7" s="1"/>
  <c r="G420" i="9" l="1"/>
  <c r="H420" i="9" s="1"/>
  <c r="F421" i="9"/>
  <c r="B421" i="9" s="1"/>
  <c r="C421" i="9" s="1"/>
  <c r="E421" i="9"/>
  <c r="D421" i="9" s="1"/>
  <c r="K420" i="9"/>
  <c r="I420" i="9"/>
  <c r="J420" i="9"/>
  <c r="PB2" i="7" l="1"/>
  <c r="PB3" i="7"/>
  <c r="PB4" i="7"/>
  <c r="E422" i="9"/>
  <c r="D422" i="9" s="1"/>
  <c r="F422" i="9"/>
  <c r="B422" i="9" s="1"/>
  <c r="C422" i="9" s="1"/>
  <c r="G421" i="9"/>
  <c r="H421" i="9" s="1"/>
  <c r="I421" i="9"/>
  <c r="K421" i="9"/>
  <c r="J421" i="9"/>
  <c r="PC3" i="7" l="1"/>
  <c r="PC2" i="7"/>
  <c r="PC4" i="7"/>
  <c r="F423" i="9"/>
  <c r="B423" i="9" s="1"/>
  <c r="C423" i="9" s="1"/>
  <c r="E423" i="9"/>
  <c r="D423" i="9" s="1"/>
  <c r="G422" i="9"/>
  <c r="H422" i="9" s="1"/>
  <c r="K422" i="9"/>
  <c r="I422" i="9"/>
  <c r="J422" i="9"/>
  <c r="PD3" i="7" l="1"/>
  <c r="PD2" i="7"/>
  <c r="E424" i="9"/>
  <c r="D424" i="9" s="1"/>
  <c r="F424" i="9"/>
  <c r="B424" i="9" s="1"/>
  <c r="C424" i="9" s="1"/>
  <c r="G423" i="9"/>
  <c r="H423" i="9" s="1"/>
  <c r="K423" i="9"/>
  <c r="I423" i="9"/>
  <c r="J423" i="9"/>
  <c r="PE2" i="7" l="1"/>
  <c r="PE4" i="7"/>
  <c r="PE3" i="7"/>
  <c r="G424" i="9"/>
  <c r="H424" i="9" s="1"/>
  <c r="E425" i="9"/>
  <c r="D425" i="9" s="1"/>
  <c r="F425" i="9"/>
  <c r="B425" i="9" s="1"/>
  <c r="C425" i="9" s="1"/>
  <c r="J424" i="9"/>
  <c r="K424" i="9"/>
  <c r="I424" i="9"/>
  <c r="PF3" i="7" l="1"/>
  <c r="PF2" i="7"/>
  <c r="PF4" i="7"/>
  <c r="E426" i="9"/>
  <c r="D426" i="9" s="1"/>
  <c r="G425" i="9"/>
  <c r="H425" i="9" s="1"/>
  <c r="F426" i="9"/>
  <c r="B426" i="9" s="1"/>
  <c r="C426" i="9" s="1"/>
  <c r="K425" i="9"/>
  <c r="I425" i="9"/>
  <c r="J425" i="9"/>
  <c r="PG4" i="7" l="1"/>
  <c r="PG3" i="7"/>
  <c r="PG2" i="7"/>
  <c r="F427" i="9"/>
  <c r="G426" i="9"/>
  <c r="H426" i="9" s="1"/>
  <c r="E427" i="9"/>
  <c r="D427" i="9" s="1"/>
  <c r="I426" i="9"/>
  <c r="J426" i="9"/>
  <c r="K426" i="9"/>
  <c r="PH3" i="7" l="1"/>
  <c r="PH4" i="7"/>
  <c r="PH2" i="7"/>
  <c r="F428" i="9"/>
  <c r="G427" i="9"/>
  <c r="E428" i="9"/>
  <c r="D428" i="9" s="1"/>
  <c r="I427" i="9"/>
  <c r="J427" i="9"/>
  <c r="K427" i="9"/>
  <c r="B427" i="9"/>
  <c r="C427" i="9" s="1"/>
  <c r="H427" i="9" s="1"/>
  <c r="PI3" i="7" l="1"/>
  <c r="PI2" i="7"/>
  <c r="PI4" i="7"/>
  <c r="G428" i="9"/>
  <c r="F429" i="9"/>
  <c r="E429" i="9"/>
  <c r="D429" i="9" s="1"/>
  <c r="J428" i="9"/>
  <c r="I428" i="9"/>
  <c r="K428" i="9"/>
  <c r="B428" i="9"/>
  <c r="C428" i="9" s="1"/>
  <c r="H428" i="9" l="1"/>
  <c r="PJ3" i="7" s="1"/>
  <c r="E430" i="9"/>
  <c r="D430" i="9" s="1"/>
  <c r="F430" i="9"/>
  <c r="G429" i="9"/>
  <c r="I429" i="9"/>
  <c r="K429" i="9"/>
  <c r="J429" i="9"/>
  <c r="B429" i="9"/>
  <c r="C429" i="9" s="1"/>
  <c r="H429" i="9" s="1"/>
  <c r="PK2" i="7" l="1"/>
  <c r="PJ4" i="7"/>
  <c r="PK3" i="7"/>
  <c r="PJ2" i="7"/>
  <c r="PK4" i="7"/>
  <c r="F431" i="9"/>
  <c r="B431" i="9" s="1"/>
  <c r="C431" i="9" s="1"/>
  <c r="E431" i="9"/>
  <c r="D431" i="9" s="1"/>
  <c r="G430" i="9"/>
  <c r="J430" i="9"/>
  <c r="PL3" i="7" s="1"/>
  <c r="I430" i="9"/>
  <c r="K430" i="9"/>
  <c r="B430" i="9"/>
  <c r="C430" i="9" s="1"/>
  <c r="H430" i="9" s="1"/>
  <c r="PL2" i="7" l="1"/>
  <c r="E432" i="9"/>
  <c r="D432" i="9" s="1"/>
  <c r="G431" i="9"/>
  <c r="H431" i="9" s="1"/>
  <c r="F432" i="9"/>
  <c r="B432" i="9" s="1"/>
  <c r="C432" i="9" s="1"/>
  <c r="J431" i="9"/>
  <c r="K431" i="9"/>
  <c r="I431" i="9"/>
  <c r="PM2" i="7" l="1"/>
  <c r="PM4" i="7"/>
  <c r="PM3" i="7"/>
  <c r="G432" i="9"/>
  <c r="H432" i="9" s="1"/>
  <c r="E433" i="9"/>
  <c r="D433" i="9" s="1"/>
  <c r="F433" i="9"/>
  <c r="B433" i="9" s="1"/>
  <c r="C433" i="9" s="1"/>
  <c r="K432" i="9"/>
  <c r="I432" i="9"/>
  <c r="J432" i="9"/>
  <c r="PN2" i="7" l="1"/>
  <c r="PN3" i="7"/>
  <c r="PN4" i="7"/>
  <c r="E434" i="9"/>
  <c r="D434" i="9" s="1"/>
  <c r="G433" i="9"/>
  <c r="H433" i="9" s="1"/>
  <c r="F434" i="9"/>
  <c r="B434" i="9" s="1"/>
  <c r="C434" i="9" s="1"/>
  <c r="J433" i="9"/>
  <c r="K433" i="9"/>
  <c r="I433" i="9"/>
  <c r="PO2" i="7" l="1"/>
  <c r="PO3" i="7"/>
  <c r="PO4" i="7"/>
  <c r="F435" i="9"/>
  <c r="B435" i="9" s="1"/>
  <c r="C435" i="9" s="1"/>
  <c r="G434" i="9"/>
  <c r="H434" i="9" s="1"/>
  <c r="E435" i="9"/>
  <c r="D435" i="9" s="1"/>
  <c r="J434" i="9"/>
  <c r="I434" i="9"/>
  <c r="K434" i="9"/>
  <c r="PP3" i="7" l="1"/>
  <c r="PP4" i="7"/>
  <c r="PP2" i="7"/>
  <c r="G435" i="9"/>
  <c r="H435" i="9" s="1"/>
  <c r="F436" i="9"/>
  <c r="B436" i="9" s="1"/>
  <c r="C436" i="9" s="1"/>
  <c r="E436" i="9"/>
  <c r="D436" i="9" s="1"/>
  <c r="K435" i="9"/>
  <c r="J435" i="9"/>
  <c r="I435" i="9"/>
  <c r="PQ4" i="7" l="1"/>
  <c r="PQ2" i="7"/>
  <c r="PQ3" i="7"/>
  <c r="G436" i="9"/>
  <c r="H436" i="9" s="1"/>
  <c r="F437" i="9"/>
  <c r="B437" i="9" s="1"/>
  <c r="C437" i="9" s="1"/>
  <c r="E437" i="9"/>
  <c r="D437" i="9" s="1"/>
  <c r="J436" i="9"/>
  <c r="K436" i="9"/>
  <c r="I436" i="9"/>
  <c r="PR3" i="7" l="1"/>
  <c r="PR2" i="7"/>
  <c r="PR4" i="7"/>
  <c r="E438" i="9"/>
  <c r="D438" i="9" s="1"/>
  <c r="F438" i="9"/>
  <c r="B438" i="9" s="1"/>
  <c r="C438" i="9" s="1"/>
  <c r="G437" i="9"/>
  <c r="H437" i="9" s="1"/>
  <c r="K437" i="9"/>
  <c r="I437" i="9"/>
  <c r="J437" i="9"/>
  <c r="PS3" i="7" l="1"/>
  <c r="PS2" i="7"/>
  <c r="F439" i="9"/>
  <c r="B439" i="9" s="1"/>
  <c r="C439" i="9" s="1"/>
  <c r="E439" i="9"/>
  <c r="D439" i="9" s="1"/>
  <c r="G438" i="9"/>
  <c r="H438" i="9" s="1"/>
  <c r="I438" i="9"/>
  <c r="K438" i="9"/>
  <c r="J438" i="9"/>
  <c r="PT3" i="7" l="1"/>
  <c r="PT2" i="7"/>
  <c r="E440" i="9"/>
  <c r="D440" i="9" s="1"/>
  <c r="G439" i="9"/>
  <c r="H439" i="9" s="1"/>
  <c r="F440" i="9"/>
  <c r="B440" i="9" s="1"/>
  <c r="C440" i="9" s="1"/>
  <c r="I439" i="9"/>
  <c r="K439" i="9"/>
  <c r="J439" i="9"/>
  <c r="PU4" i="7" l="1"/>
  <c r="PU2" i="7"/>
  <c r="PU3" i="7"/>
  <c r="G440" i="9"/>
  <c r="H440" i="9" s="1"/>
  <c r="F441" i="9"/>
  <c r="B441" i="9" s="1"/>
  <c r="C441" i="9" s="1"/>
  <c r="E441" i="9"/>
  <c r="D441" i="9" s="1"/>
  <c r="J440" i="9"/>
  <c r="K440" i="9"/>
  <c r="I440" i="9"/>
  <c r="PV4" i="7" l="1"/>
  <c r="PV2" i="7"/>
  <c r="PV3" i="7"/>
  <c r="E442" i="9"/>
  <c r="D442" i="9" s="1"/>
  <c r="G441" i="9"/>
  <c r="H441" i="9" s="1"/>
  <c r="F442" i="9"/>
  <c r="I441" i="9"/>
  <c r="J441" i="9"/>
  <c r="K441" i="9"/>
  <c r="PW3" i="7" l="1"/>
  <c r="PW4" i="7"/>
  <c r="PW2" i="7"/>
  <c r="F443" i="9"/>
  <c r="E443" i="9"/>
  <c r="D443" i="9" s="1"/>
  <c r="G442" i="9"/>
  <c r="I442" i="9"/>
  <c r="J442" i="9"/>
  <c r="K442" i="9"/>
  <c r="B442" i="9"/>
  <c r="C442" i="9" s="1"/>
  <c r="H442" i="9" s="1"/>
  <c r="PX3" i="7" l="1"/>
  <c r="PX2" i="7"/>
  <c r="PX4" i="7"/>
  <c r="F444" i="9"/>
  <c r="G443" i="9"/>
  <c r="E444" i="9"/>
  <c r="D444" i="9" s="1"/>
  <c r="J443" i="9"/>
  <c r="I443" i="9"/>
  <c r="K443" i="9"/>
  <c r="B443" i="9"/>
  <c r="C443" i="9" s="1"/>
  <c r="H443" i="9" l="1"/>
  <c r="PY3" i="7" s="1"/>
  <c r="G444" i="9"/>
  <c r="E445" i="9"/>
  <c r="D445" i="9" s="1"/>
  <c r="F445" i="9"/>
  <c r="B445" i="9" s="1"/>
  <c r="C445" i="9" s="1"/>
  <c r="I444" i="9"/>
  <c r="J444" i="9"/>
  <c r="K444" i="9"/>
  <c r="B444" i="9"/>
  <c r="C444" i="9" s="1"/>
  <c r="PY4" i="7" l="1"/>
  <c r="PY2" i="7"/>
  <c r="H444" i="9"/>
  <c r="PZ2" i="7" s="1"/>
  <c r="E446" i="9"/>
  <c r="D446" i="9" s="1"/>
  <c r="F446" i="9"/>
  <c r="B446" i="9" s="1"/>
  <c r="C446" i="9" s="1"/>
  <c r="G445" i="9"/>
  <c r="H445" i="9" s="1"/>
  <c r="K445" i="9"/>
  <c r="I445" i="9"/>
  <c r="J445" i="9"/>
  <c r="PZ3" i="7" l="1"/>
  <c r="QA4" i="7"/>
  <c r="PZ4" i="7"/>
  <c r="QA2" i="7"/>
  <c r="QA3" i="7"/>
  <c r="F447" i="9"/>
  <c r="B447" i="9" s="1"/>
  <c r="C447" i="9" s="1"/>
  <c r="G446" i="9"/>
  <c r="H446" i="9" s="1"/>
  <c r="E447" i="9"/>
  <c r="D447" i="9" s="1"/>
  <c r="J446" i="9"/>
  <c r="K446" i="9"/>
  <c r="I446" i="9"/>
  <c r="QB4" i="7" l="1"/>
  <c r="QB2" i="7"/>
  <c r="QB3" i="7"/>
  <c r="F448" i="9"/>
  <c r="B448" i="9" s="1"/>
  <c r="C448" i="9" s="1"/>
  <c r="E448" i="9"/>
  <c r="D448" i="9" s="1"/>
  <c r="G447" i="9"/>
  <c r="H447" i="9" s="1"/>
  <c r="I447" i="9"/>
  <c r="J447" i="9"/>
  <c r="K447" i="9"/>
  <c r="QC3" i="7" l="1"/>
  <c r="QC2" i="7"/>
  <c r="QC4" i="7"/>
  <c r="G448" i="9"/>
  <c r="H448" i="9" s="1"/>
  <c r="E449" i="9"/>
  <c r="D449" i="9" s="1"/>
  <c r="F449" i="9"/>
  <c r="B449" i="9" s="1"/>
  <c r="C449" i="9" s="1"/>
  <c r="J448" i="9"/>
  <c r="K448" i="9"/>
  <c r="I448" i="9"/>
  <c r="QD4" i="7" l="1"/>
  <c r="QD3" i="7"/>
  <c r="QD2" i="7"/>
  <c r="E450" i="9"/>
  <c r="D450" i="9" s="1"/>
  <c r="F450" i="9"/>
  <c r="B450" i="9" s="1"/>
  <c r="C450" i="9" s="1"/>
  <c r="G449" i="9"/>
  <c r="H449" i="9" s="1"/>
  <c r="K449" i="9"/>
  <c r="QE4" i="7" s="1"/>
  <c r="I449" i="9"/>
  <c r="QE2" i="7" s="1"/>
  <c r="J449" i="9"/>
  <c r="F451" i="9" l="1"/>
  <c r="B451" i="9" s="1"/>
  <c r="C451" i="9" s="1"/>
  <c r="G450" i="9"/>
  <c r="H450" i="9" s="1"/>
  <c r="E451" i="9"/>
  <c r="D451" i="9" s="1"/>
  <c r="J450" i="9"/>
  <c r="I450" i="9"/>
  <c r="K450" i="9"/>
  <c r="QF2" i="7" l="1"/>
  <c r="QF4" i="7"/>
  <c r="QF3" i="7"/>
  <c r="E452" i="9"/>
  <c r="D452" i="9" s="1"/>
  <c r="G451" i="9"/>
  <c r="H451" i="9" s="1"/>
  <c r="F452" i="9"/>
  <c r="B452" i="9" s="1"/>
  <c r="C452" i="9" s="1"/>
  <c r="K451" i="9"/>
  <c r="J451" i="9"/>
  <c r="I451" i="9"/>
  <c r="QG4" i="7" l="1"/>
  <c r="QG2" i="7"/>
  <c r="QG3" i="7"/>
  <c r="G452" i="9"/>
  <c r="H452" i="9" s="1"/>
  <c r="F453" i="9"/>
  <c r="B453" i="9" s="1"/>
  <c r="C453" i="9" s="1"/>
  <c r="E453" i="9"/>
  <c r="D453" i="9" s="1"/>
  <c r="K452" i="9"/>
  <c r="I452" i="9"/>
  <c r="J452" i="9"/>
  <c r="QH4" i="7" l="1"/>
  <c r="QH3" i="7"/>
  <c r="QH2" i="7"/>
  <c r="E454" i="9"/>
  <c r="D454" i="9" s="1"/>
  <c r="G453" i="9"/>
  <c r="H453" i="9" s="1"/>
  <c r="F454" i="9"/>
  <c r="B454" i="9" s="1"/>
  <c r="C454" i="9" s="1"/>
  <c r="I453" i="9"/>
  <c r="J453" i="9"/>
  <c r="K453" i="9"/>
  <c r="QI3" i="7" l="1"/>
  <c r="QI2" i="7"/>
  <c r="QI4" i="7"/>
  <c r="F455" i="9"/>
  <c r="B455" i="9" s="1"/>
  <c r="C455" i="9" s="1"/>
  <c r="E455" i="9"/>
  <c r="D455" i="9" s="1"/>
  <c r="G454" i="9"/>
  <c r="H454" i="9" s="1"/>
  <c r="K454" i="9"/>
  <c r="I454" i="9"/>
  <c r="J454" i="9"/>
  <c r="QJ3" i="7" l="1"/>
  <c r="QJ2" i="7"/>
  <c r="G455" i="9"/>
  <c r="H455" i="9" s="1"/>
  <c r="E456" i="9"/>
  <c r="D456" i="9" s="1"/>
  <c r="F456" i="9"/>
  <c r="B456" i="9" s="1"/>
  <c r="C456" i="9" s="1"/>
  <c r="K455" i="9"/>
  <c r="I455" i="9"/>
  <c r="J455" i="9"/>
  <c r="QK4" i="7" l="1"/>
  <c r="QK2" i="7"/>
  <c r="QK3" i="7"/>
  <c r="G456" i="9"/>
  <c r="H456" i="9" s="1"/>
  <c r="F457" i="9"/>
  <c r="E457" i="9"/>
  <c r="D457" i="9" s="1"/>
  <c r="K456" i="9"/>
  <c r="J456" i="9"/>
  <c r="I456" i="9"/>
  <c r="QL2" i="7" l="1"/>
  <c r="QL4" i="7"/>
  <c r="E458" i="9"/>
  <c r="D458" i="9" s="1"/>
  <c r="G457" i="9"/>
  <c r="F458" i="9"/>
  <c r="K457" i="9"/>
  <c r="QM4" i="7" s="1"/>
  <c r="I457" i="9"/>
  <c r="J457" i="9"/>
  <c r="B457" i="9"/>
  <c r="C457" i="9" s="1"/>
  <c r="H457" i="9" l="1"/>
  <c r="QM3" i="7"/>
  <c r="QM2" i="7"/>
  <c r="F459" i="9"/>
  <c r="E459" i="9"/>
  <c r="D459" i="9" s="1"/>
  <c r="G458" i="9"/>
  <c r="I458" i="9"/>
  <c r="QN2" i="7" s="1"/>
  <c r="J458" i="9"/>
  <c r="K458" i="9"/>
  <c r="B458" i="9"/>
  <c r="C458" i="9" s="1"/>
  <c r="H458" i="9" s="1"/>
  <c r="QN4" i="7" l="1"/>
  <c r="QN3" i="7"/>
  <c r="F460" i="9"/>
  <c r="B460" i="9" s="1"/>
  <c r="C460" i="9" s="1"/>
  <c r="G459" i="9"/>
  <c r="E460" i="9"/>
  <c r="D460" i="9" s="1"/>
  <c r="I459" i="9"/>
  <c r="J459" i="9"/>
  <c r="QO3" i="7" s="1"/>
  <c r="K459" i="9"/>
  <c r="B459" i="9"/>
  <c r="C459" i="9" s="1"/>
  <c r="H459" i="9" l="1"/>
  <c r="QO4" i="7"/>
  <c r="G460" i="9"/>
  <c r="H460" i="9" s="1"/>
  <c r="E461" i="9"/>
  <c r="D461" i="9" s="1"/>
  <c r="F461" i="9"/>
  <c r="B461" i="9" s="1"/>
  <c r="C461" i="9" s="1"/>
  <c r="J460" i="9"/>
  <c r="I460" i="9"/>
  <c r="K460" i="9"/>
  <c r="QP4" i="7" l="1"/>
  <c r="QP3" i="7"/>
  <c r="E462" i="9"/>
  <c r="D462" i="9" s="1"/>
  <c r="F462" i="9"/>
  <c r="B462" i="9" s="1"/>
  <c r="C462" i="9" s="1"/>
  <c r="G461" i="9"/>
  <c r="H461" i="9" s="1"/>
  <c r="J461" i="9"/>
  <c r="I461" i="9"/>
  <c r="K461" i="9"/>
  <c r="QQ2" i="7" l="1"/>
  <c r="QQ3" i="7"/>
  <c r="QQ4" i="7"/>
  <c r="F463" i="9"/>
  <c r="B463" i="9" s="1"/>
  <c r="C463" i="9" s="1"/>
  <c r="G462" i="9"/>
  <c r="H462" i="9" s="1"/>
  <c r="E463" i="9"/>
  <c r="D463" i="9" s="1"/>
  <c r="I462" i="9"/>
  <c r="K462" i="9"/>
  <c r="J462" i="9"/>
  <c r="QR3" i="7" l="1"/>
  <c r="QR2" i="7"/>
  <c r="QR4" i="7"/>
  <c r="F464" i="9"/>
  <c r="B464" i="9" s="1"/>
  <c r="C464" i="9" s="1"/>
  <c r="E464" i="9"/>
  <c r="D464" i="9" s="1"/>
  <c r="G463" i="9"/>
  <c r="H463" i="9" s="1"/>
  <c r="J463" i="9"/>
  <c r="I463" i="9"/>
  <c r="K463" i="9"/>
  <c r="QS2" i="7" l="1"/>
  <c r="QS3" i="7"/>
  <c r="G464" i="9"/>
  <c r="H464" i="9" s="1"/>
  <c r="E465" i="9"/>
  <c r="D465" i="9" s="1"/>
  <c r="F465" i="9"/>
  <c r="B465" i="9" s="1"/>
  <c r="C465" i="9" s="1"/>
  <c r="J464" i="9"/>
  <c r="K464" i="9"/>
  <c r="I464" i="9"/>
  <c r="QT4" i="7" l="1"/>
  <c r="QT3" i="7"/>
  <c r="QT2" i="7"/>
  <c r="E466" i="9"/>
  <c r="D466" i="9" s="1"/>
  <c r="F466" i="9"/>
  <c r="B466" i="9" s="1"/>
  <c r="C466" i="9" s="1"/>
  <c r="G465" i="9"/>
  <c r="H465" i="9" s="1"/>
  <c r="I465" i="9"/>
  <c r="K465" i="9"/>
  <c r="J465" i="9"/>
  <c r="QU2" i="7" l="1"/>
  <c r="QU3" i="7"/>
  <c r="QU4" i="7"/>
  <c r="F467" i="9"/>
  <c r="B467" i="9" s="1"/>
  <c r="C467" i="9" s="1"/>
  <c r="G466" i="9"/>
  <c r="H466" i="9" s="1"/>
  <c r="E467" i="9"/>
  <c r="D467" i="9" s="1"/>
  <c r="J466" i="9"/>
  <c r="I466" i="9"/>
  <c r="K466" i="9"/>
  <c r="QV4" i="7" l="1"/>
  <c r="QV3" i="7"/>
  <c r="QV2" i="7"/>
  <c r="E468" i="9"/>
  <c r="D468" i="9" s="1"/>
  <c r="G467" i="9"/>
  <c r="H467" i="9" s="1"/>
  <c r="F468" i="9"/>
  <c r="B468" i="9" s="1"/>
  <c r="C468" i="9" s="1"/>
  <c r="I467" i="9"/>
  <c r="J467" i="9"/>
  <c r="K467" i="9"/>
  <c r="QW2" i="7" l="1"/>
  <c r="QW4" i="7"/>
  <c r="QW3" i="7"/>
  <c r="G468" i="9"/>
  <c r="H468" i="9" s="1"/>
  <c r="F469" i="9"/>
  <c r="B469" i="9" s="1"/>
  <c r="C469" i="9" s="1"/>
  <c r="E469" i="9"/>
  <c r="D469" i="9" s="1"/>
  <c r="K468" i="9"/>
  <c r="J468" i="9"/>
  <c r="I468" i="9"/>
  <c r="QX4" i="7" l="1"/>
  <c r="QX2" i="7"/>
  <c r="QX3" i="7"/>
  <c r="E470" i="9"/>
  <c r="D470" i="9" s="1"/>
  <c r="G469" i="9"/>
  <c r="H469" i="9" s="1"/>
  <c r="F470" i="9"/>
  <c r="B470" i="9" s="1"/>
  <c r="C470" i="9" s="1"/>
  <c r="K469" i="9"/>
  <c r="J469" i="9"/>
  <c r="I469" i="9"/>
  <c r="QY2" i="7" l="1"/>
  <c r="QY4" i="7"/>
  <c r="QY3" i="7"/>
  <c r="F471" i="9"/>
  <c r="B471" i="9" s="1"/>
  <c r="C471" i="9" s="1"/>
  <c r="E471" i="9"/>
  <c r="D471" i="9" s="1"/>
  <c r="G470" i="9"/>
  <c r="H470" i="9" s="1"/>
  <c r="K470" i="9"/>
  <c r="J470" i="9"/>
  <c r="I470" i="9"/>
  <c r="QZ2" i="7" l="1"/>
  <c r="QZ3" i="7"/>
  <c r="QZ4" i="7"/>
  <c r="G471" i="9"/>
  <c r="H471" i="9" s="1"/>
  <c r="E472" i="9"/>
  <c r="D472" i="9" s="1"/>
  <c r="F472" i="9"/>
  <c r="J471" i="9"/>
  <c r="K471" i="9"/>
  <c r="I471" i="9"/>
  <c r="RA4" i="7" l="1"/>
  <c r="RA3" i="7"/>
  <c r="RA2" i="7"/>
  <c r="G472" i="9"/>
  <c r="F473" i="9"/>
  <c r="E473" i="9"/>
  <c r="D473" i="9" s="1"/>
  <c r="J472" i="9"/>
  <c r="K472" i="9"/>
  <c r="I472" i="9"/>
  <c r="B472" i="9"/>
  <c r="C472" i="9" s="1"/>
  <c r="RB2" i="7" l="1"/>
  <c r="H472" i="9"/>
  <c r="RB3" i="7" s="1"/>
  <c r="E474" i="9"/>
  <c r="D474" i="9" s="1"/>
  <c r="G473" i="9"/>
  <c r="F474" i="9"/>
  <c r="K473" i="9"/>
  <c r="I473" i="9"/>
  <c r="J473" i="9"/>
  <c r="B473" i="9"/>
  <c r="C473" i="9" s="1"/>
  <c r="H473" i="9" l="1"/>
  <c r="RC3" i="7" s="1"/>
  <c r="RB4" i="7"/>
  <c r="RC2" i="7"/>
  <c r="F475" i="9"/>
  <c r="B475" i="9" s="1"/>
  <c r="C475" i="9" s="1"/>
  <c r="E475" i="9"/>
  <c r="D475" i="9" s="1"/>
  <c r="G474" i="9"/>
  <c r="I474" i="9"/>
  <c r="RD2" i="7" s="1"/>
  <c r="K474" i="9"/>
  <c r="J474" i="9"/>
  <c r="B474" i="9"/>
  <c r="C474" i="9" s="1"/>
  <c r="H474" i="9" s="1"/>
  <c r="RC4" i="7" l="1"/>
  <c r="RD3" i="7"/>
  <c r="RD4" i="7"/>
  <c r="F476" i="9"/>
  <c r="B476" i="9" s="1"/>
  <c r="C476" i="9" s="1"/>
  <c r="G475" i="9"/>
  <c r="H475" i="9" s="1"/>
  <c r="E476" i="9"/>
  <c r="D476" i="9" s="1"/>
  <c r="J475" i="9"/>
  <c r="K475" i="9"/>
  <c r="I475" i="9"/>
  <c r="RE4" i="7" l="1"/>
  <c r="RE3" i="7"/>
  <c r="RE2" i="7"/>
  <c r="G476" i="9"/>
  <c r="H476" i="9" s="1"/>
  <c r="E477" i="9"/>
  <c r="D477" i="9" s="1"/>
  <c r="F477" i="9"/>
  <c r="B477" i="9" s="1"/>
  <c r="C477" i="9" s="1"/>
  <c r="J476" i="9"/>
  <c r="I476" i="9"/>
  <c r="RF2" i="7" s="1"/>
  <c r="K476" i="9"/>
  <c r="RF4" i="7" s="1"/>
  <c r="RF3" i="7" l="1"/>
  <c r="E478" i="9"/>
  <c r="D478" i="9" s="1"/>
  <c r="F478" i="9"/>
  <c r="B478" i="9" s="1"/>
  <c r="C478" i="9" s="1"/>
  <c r="G477" i="9"/>
  <c r="H477" i="9" s="1"/>
  <c r="I477" i="9"/>
  <c r="K477" i="9"/>
  <c r="J477" i="9"/>
  <c r="RG3" i="7" l="1"/>
  <c r="RG4" i="7"/>
  <c r="RG2" i="7"/>
  <c r="F479" i="9"/>
  <c r="B479" i="9" s="1"/>
  <c r="C479" i="9" s="1"/>
  <c r="G478" i="9"/>
  <c r="H478" i="9" s="1"/>
  <c r="E479" i="9"/>
  <c r="D479" i="9" s="1"/>
  <c r="K478" i="9"/>
  <c r="J478" i="9"/>
  <c r="I478" i="9"/>
  <c r="RH2" i="7" l="1"/>
  <c r="RH3" i="7"/>
  <c r="RH4" i="7"/>
  <c r="F480" i="9"/>
  <c r="B480" i="9" s="1"/>
  <c r="C480" i="9" s="1"/>
  <c r="E480" i="9"/>
  <c r="D480" i="9" s="1"/>
  <c r="G479" i="9"/>
  <c r="H479" i="9" s="1"/>
  <c r="J479" i="9"/>
  <c r="K479" i="9"/>
  <c r="I479" i="9"/>
  <c r="RI2" i="7" l="1"/>
  <c r="RI4" i="7"/>
  <c r="RI3" i="7"/>
  <c r="G480" i="9"/>
  <c r="H480" i="9" s="1"/>
  <c r="E481" i="9"/>
  <c r="D481" i="9" s="1"/>
  <c r="F481" i="9"/>
  <c r="B481" i="9" s="1"/>
  <c r="C481" i="9" s="1"/>
  <c r="I480" i="9"/>
  <c r="K480" i="9"/>
  <c r="J480" i="9"/>
  <c r="RJ3" i="7" l="1"/>
  <c r="RJ2" i="7"/>
  <c r="RJ4" i="7"/>
  <c r="E482" i="9"/>
  <c r="D482" i="9" s="1"/>
  <c r="F482" i="9"/>
  <c r="B482" i="9" s="1"/>
  <c r="C482" i="9" s="1"/>
  <c r="G481" i="9"/>
  <c r="H481" i="9" s="1"/>
  <c r="K481" i="9"/>
  <c r="I481" i="9"/>
  <c r="J481" i="9"/>
  <c r="RK3" i="7" l="1"/>
  <c r="RK2" i="7"/>
  <c r="RK4" i="7"/>
  <c r="F483" i="9"/>
  <c r="B483" i="9" s="1"/>
  <c r="C483" i="9" s="1"/>
  <c r="G482" i="9"/>
  <c r="H482" i="9" s="1"/>
  <c r="E483" i="9"/>
  <c r="D483" i="9" s="1"/>
  <c r="J482" i="9"/>
  <c r="K482" i="9"/>
  <c r="I482" i="9"/>
  <c r="RL2" i="7" l="1"/>
  <c r="RL3" i="7"/>
  <c r="RL4" i="7"/>
  <c r="E484" i="9"/>
  <c r="D484" i="9" s="1"/>
  <c r="G483" i="9"/>
  <c r="H483" i="9" s="1"/>
  <c r="F484" i="9"/>
  <c r="B484" i="9" s="1"/>
  <c r="C484" i="9" s="1"/>
  <c r="K483" i="9"/>
  <c r="I483" i="9"/>
  <c r="J483" i="9"/>
  <c r="RM4" i="7" l="1"/>
  <c r="RM3" i="7"/>
  <c r="RM2" i="7"/>
  <c r="G484" i="9"/>
  <c r="H484" i="9" s="1"/>
  <c r="F485" i="9"/>
  <c r="B485" i="9" s="1"/>
  <c r="C485" i="9" s="1"/>
  <c r="E485" i="9"/>
  <c r="D485" i="9" s="1"/>
  <c r="J484" i="9"/>
  <c r="I484" i="9"/>
  <c r="K484" i="9"/>
  <c r="RN3" i="7" l="1"/>
  <c r="RN4" i="7"/>
  <c r="RN2" i="7"/>
  <c r="E486" i="9"/>
  <c r="D486" i="9" s="1"/>
  <c r="G485" i="9"/>
  <c r="H485" i="9" s="1"/>
  <c r="F486" i="9"/>
  <c r="B486" i="9" s="1"/>
  <c r="C486" i="9" s="1"/>
  <c r="J485" i="9"/>
  <c r="K485" i="9"/>
  <c r="I485" i="9"/>
  <c r="RO4" i="7" l="1"/>
  <c r="RO2" i="7"/>
  <c r="F487" i="9"/>
  <c r="E487" i="9"/>
  <c r="D487" i="9" s="1"/>
  <c r="G486" i="9"/>
  <c r="H486" i="9" s="1"/>
  <c r="J486" i="9"/>
  <c r="K486" i="9"/>
  <c r="I486" i="9"/>
  <c r="RP4" i="7" l="1"/>
  <c r="RP2" i="7"/>
  <c r="RP3" i="7"/>
  <c r="G487" i="9"/>
  <c r="E488" i="9"/>
  <c r="D488" i="9" s="1"/>
  <c r="F488" i="9"/>
  <c r="K487" i="9"/>
  <c r="I487" i="9"/>
  <c r="J487" i="9"/>
  <c r="B487" i="9"/>
  <c r="C487" i="9" s="1"/>
  <c r="H487" i="9" s="1"/>
  <c r="RQ3" i="7" l="1"/>
  <c r="RQ2" i="7"/>
  <c r="RQ4" i="7"/>
  <c r="G488" i="9"/>
  <c r="F489" i="9"/>
  <c r="E489" i="9"/>
  <c r="D489" i="9" s="1"/>
  <c r="J488" i="9"/>
  <c r="RR3" i="7" s="1"/>
  <c r="I488" i="9"/>
  <c r="K488" i="9"/>
  <c r="B488" i="9"/>
  <c r="C488" i="9" s="1"/>
  <c r="H488" i="9" s="1"/>
  <c r="RR4" i="7" l="1"/>
  <c r="RR2" i="7"/>
  <c r="E490" i="9"/>
  <c r="D490" i="9" s="1"/>
  <c r="G489" i="9"/>
  <c r="F490" i="9"/>
  <c r="B490" i="9" s="1"/>
  <c r="C490" i="9" s="1"/>
  <c r="K489" i="9"/>
  <c r="J489" i="9"/>
  <c r="I489" i="9"/>
  <c r="B489" i="9"/>
  <c r="C489" i="9" s="1"/>
  <c r="RS4" i="7" l="1"/>
  <c r="RS2" i="7"/>
  <c r="H489" i="9"/>
  <c r="RS3" i="7"/>
  <c r="F491" i="9"/>
  <c r="B491" i="9" s="1"/>
  <c r="C491" i="9" s="1"/>
  <c r="E491" i="9"/>
  <c r="D491" i="9" s="1"/>
  <c r="G490" i="9"/>
  <c r="H490" i="9" s="1"/>
  <c r="K490" i="9"/>
  <c r="I490" i="9"/>
  <c r="J490" i="9"/>
  <c r="RT3" i="7" l="1"/>
  <c r="RT2" i="7"/>
  <c r="RT4" i="7"/>
  <c r="F492" i="9"/>
  <c r="B492" i="9" s="1"/>
  <c r="C492" i="9" s="1"/>
  <c r="G491" i="9"/>
  <c r="H491" i="9" s="1"/>
  <c r="E492" i="9"/>
  <c r="D492" i="9" s="1"/>
  <c r="I491" i="9"/>
  <c r="K491" i="9"/>
  <c r="J491" i="9"/>
  <c r="RU2" i="7" l="1"/>
  <c r="RU3" i="7"/>
  <c r="RU4" i="7"/>
  <c r="G492" i="9"/>
  <c r="H492" i="9" s="1"/>
  <c r="E493" i="9"/>
  <c r="D493" i="9" s="1"/>
  <c r="F493" i="9"/>
  <c r="B493" i="9" s="1"/>
  <c r="C493" i="9" s="1"/>
  <c r="K492" i="9"/>
  <c r="I492" i="9"/>
  <c r="J492" i="9"/>
  <c r="RV2" i="7" l="1"/>
  <c r="RV4" i="7"/>
  <c r="RV3" i="7"/>
  <c r="E494" i="9"/>
  <c r="D494" i="9" s="1"/>
  <c r="F494" i="9"/>
  <c r="B494" i="9" s="1"/>
  <c r="C494" i="9" s="1"/>
  <c r="G493" i="9"/>
  <c r="H493" i="9" s="1"/>
  <c r="I493" i="9"/>
  <c r="RW2" i="7" s="1"/>
  <c r="K493" i="9"/>
  <c r="RW4" i="7" s="1"/>
  <c r="J493" i="9"/>
  <c r="RW3" i="7" s="1"/>
  <c r="F495" i="9" l="1"/>
  <c r="B495" i="9" s="1"/>
  <c r="C495" i="9" s="1"/>
  <c r="G494" i="9"/>
  <c r="H494" i="9" s="1"/>
  <c r="E495" i="9"/>
  <c r="D495" i="9" s="1"/>
  <c r="J494" i="9"/>
  <c r="K494" i="9"/>
  <c r="I494" i="9"/>
  <c r="RX2" i="7" l="1"/>
  <c r="RX3" i="7"/>
  <c r="F496" i="9"/>
  <c r="B496" i="9" s="1"/>
  <c r="C496" i="9" s="1"/>
  <c r="E496" i="9"/>
  <c r="D496" i="9" s="1"/>
  <c r="G495" i="9"/>
  <c r="H495" i="9" s="1"/>
  <c r="J495" i="9"/>
  <c r="I495" i="9"/>
  <c r="K495" i="9"/>
  <c r="RY3" i="7" l="1"/>
  <c r="RY2" i="7"/>
  <c r="RY4" i="7"/>
  <c r="G496" i="9"/>
  <c r="H496" i="9" s="1"/>
  <c r="E497" i="9"/>
  <c r="D497" i="9" s="1"/>
  <c r="F497" i="9"/>
  <c r="B497" i="9" s="1"/>
  <c r="C497" i="9" s="1"/>
  <c r="K496" i="9"/>
  <c r="J496" i="9"/>
  <c r="I496" i="9"/>
  <c r="RZ4" i="7" l="1"/>
  <c r="RZ2" i="7"/>
  <c r="RZ3" i="7"/>
  <c r="E498" i="9"/>
  <c r="D498" i="9" s="1"/>
  <c r="F498" i="9"/>
  <c r="B498" i="9" s="1"/>
  <c r="C498" i="9" s="1"/>
  <c r="G497" i="9"/>
  <c r="H497" i="9" s="1"/>
  <c r="I497" i="9"/>
  <c r="K497" i="9"/>
  <c r="J497" i="9"/>
  <c r="SA2" i="7" l="1"/>
  <c r="SA3" i="7"/>
  <c r="SA4" i="7"/>
  <c r="F499" i="9"/>
  <c r="B499" i="9" s="1"/>
  <c r="C499" i="9" s="1"/>
  <c r="G498" i="9"/>
  <c r="H498" i="9" s="1"/>
  <c r="E499" i="9"/>
  <c r="D499" i="9" s="1"/>
  <c r="J498" i="9"/>
  <c r="I498" i="9"/>
  <c r="K498" i="9"/>
  <c r="SB2" i="7" l="1"/>
  <c r="SB4" i="7"/>
  <c r="E500" i="9"/>
  <c r="D500" i="9" s="1"/>
  <c r="G499" i="9"/>
  <c r="H499" i="9" s="1"/>
  <c r="F500" i="9"/>
  <c r="B500" i="9" s="1"/>
  <c r="C500" i="9" s="1"/>
  <c r="I499" i="9"/>
  <c r="J499" i="9"/>
  <c r="K499" i="9"/>
  <c r="SC3" i="7" l="1"/>
  <c r="SC2" i="7"/>
  <c r="SC4" i="7"/>
  <c r="G500" i="9"/>
  <c r="H500" i="9" s="1"/>
  <c r="F501" i="9"/>
  <c r="B501" i="9" s="1"/>
  <c r="C501" i="9" s="1"/>
  <c r="E501" i="9"/>
  <c r="D501" i="9" s="1"/>
  <c r="K500" i="9"/>
  <c r="I500" i="9"/>
  <c r="J500" i="9"/>
  <c r="SD3" i="7" l="1"/>
  <c r="G501" i="9"/>
  <c r="H501" i="9" s="1"/>
  <c r="J501" i="9"/>
  <c r="I501" i="9"/>
  <c r="K501" i="9"/>
  <c r="SE3" i="7" l="1"/>
  <c r="SE2" i="7"/>
  <c r="SE4" i="7"/>
  <c r="JD4" i="7"/>
  <c r="NR3" i="7"/>
  <c r="FR3" i="7"/>
  <c r="QO2" i="7"/>
  <c r="FB2" i="7"/>
  <c r="LL4" i="7"/>
  <c r="BW4" i="7"/>
  <c r="AU3" i="7"/>
  <c r="CM2" i="7"/>
  <c r="PT4" i="7"/>
  <c r="SB3" i="7"/>
  <c r="PD4" i="7"/>
  <c r="OI3" i="7"/>
  <c r="HH4" i="7"/>
  <c r="AA3" i="7"/>
  <c r="LV3" i="7"/>
  <c r="FL4" i="7"/>
  <c r="OX3" i="7"/>
  <c r="GQ4" i="7"/>
  <c r="HL4" i="7"/>
  <c r="MR4" i="7"/>
  <c r="DT4" i="7"/>
  <c r="RO3" i="7"/>
  <c r="QS4" i="7"/>
  <c r="MY4" i="7"/>
  <c r="FV2" i="7"/>
  <c r="HS4" i="7"/>
  <c r="GT3" i="7"/>
  <c r="EU4" i="7"/>
  <c r="PS4" i="7"/>
  <c r="NH4" i="7"/>
  <c r="AH3" i="7"/>
  <c r="QJ4" i="7"/>
  <c r="GV4" i="7"/>
  <c r="KH3" i="7"/>
  <c r="LB2" i="7"/>
  <c r="GM4" i="7"/>
  <c r="GK4" i="7"/>
  <c r="FY4" i="7"/>
  <c r="EB4" i="7"/>
  <c r="GY4" i="7"/>
  <c r="FG2" i="7"/>
  <c r="HW3" i="7"/>
  <c r="O3" i="7"/>
  <c r="EN4" i="7"/>
  <c r="OY3" i="7"/>
  <c r="AF4" i="7"/>
  <c r="IK4" i="7"/>
  <c r="JX3" i="7"/>
  <c r="HW2" i="7"/>
  <c r="HP3" i="7"/>
  <c r="AJ4" i="7"/>
  <c r="MB4" i="7"/>
  <c r="IW4" i="7"/>
  <c r="OE4" i="7"/>
  <c r="NS3" i="7"/>
  <c r="JK4" i="7"/>
  <c r="JX4" i="7"/>
  <c r="MQ4" i="7"/>
  <c r="DC4" i="7"/>
  <c r="KL2" i="7"/>
  <c r="JO4" i="7"/>
  <c r="IT4" i="7"/>
  <c r="BC4" i="7"/>
  <c r="DS4" i="7"/>
  <c r="HE4" i="7"/>
  <c r="QE3" i="7"/>
  <c r="KB3" i="7"/>
  <c r="IY4" i="7"/>
  <c r="CH2" i="7"/>
  <c r="FS4" i="7"/>
  <c r="SD4" i="7"/>
  <c r="ON4" i="7"/>
  <c r="HC4" i="7"/>
  <c r="MZ4" i="7"/>
  <c r="LS4" i="7"/>
  <c r="NJ3" i="7"/>
  <c r="GF4" i="7"/>
  <c r="SD2" i="7"/>
  <c r="LG3" i="7"/>
  <c r="GH3" i="7"/>
  <c r="BF3" i="7"/>
  <c r="KM4" i="7"/>
  <c r="GA2" i="7"/>
  <c r="FK4" i="7"/>
  <c r="LK4" i="7"/>
  <c r="KF4" i="7"/>
  <c r="IR4" i="7"/>
  <c r="II3" i="7"/>
  <c r="NW4" i="7"/>
  <c r="AO4" i="7"/>
  <c r="BK3" i="7"/>
  <c r="OM4" i="7"/>
  <c r="KV4" i="7"/>
  <c r="NX4" i="7"/>
  <c r="T4" i="7"/>
  <c r="EM4" i="7"/>
  <c r="ID2" i="7"/>
  <c r="RX4" i="7"/>
  <c r="DL4" i="7"/>
  <c r="EV4" i="7"/>
  <c r="JQ4" i="7"/>
  <c r="MM3" i="7"/>
  <c r="QL3" i="7"/>
  <c r="QP2" i="7"/>
  <c r="GO4" i="7"/>
  <c r="PL4" i="7"/>
  <c r="LW3" i="7"/>
  <c r="KE4" i="7"/>
  <c r="ID3" i="7"/>
  <c r="KN4"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<sst xmlns="http://schemas.openxmlformats.org/spreadsheetml/2006/main" count="5908" uniqueCount="1101">
  <si>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</si>
  <si>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</si>
  <si>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</si>
  <si>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</si>
  <si>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</si>
  <si>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</si>
  <si>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</si>
  <si>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</si>
  <si>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</si>
  <si>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</si>
  <si>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</si>
  <si>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</si>
  <si>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</si>
  <si>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</si>
  <si>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</si>
  <si>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</si>
  <si>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</si>
  <si>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</si>
  <si>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</si>
  <si>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</si>
  <si>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</si>
  <si>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</si>
  <si>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</si>
  <si>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</si>
  <si>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</si>
  <si>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</si>
  <si>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</si>
  <si>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</si>
  <si>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</si>
  <si>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</si>
  <si>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</si>
  <si>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</si>
  <si>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</si>
  <si>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</si>
  <si>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</si>
  <si>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</si>
  <si>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</si>
  <si>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</si>
  <si>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</si>
  <si>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</si>
  <si>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</si>
  <si>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</si>
  <si>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</si>
  <si>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</si>
  <si>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</si>
  <si>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</si>
  <si>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</si>
  <si>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</si>
  <si>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</si>
  <si>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</si>
  <si>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</si>
  <si>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</si>
  <si>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</si>
  <si>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</si>
  <si>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</si>
  <si>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</si>
  <si>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</si>
  <si>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</si>
  <si>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</si>
  <si>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</si>
  <si>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</si>
  <si>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</si>
  <si>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</si>
  <si>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</si>
  <si>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</si>
  <si>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</si>
  <si>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</si>
  <si>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</si>
  <si>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</si>
  <si>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</si>
  <si>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</si>
  <si>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</si>
  <si>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</si>
  <si>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</si>
  <si>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</si>
  <si>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</si>
  <si>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</si>
  <si>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</si>
  <si>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</si>
  <si>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</si>
  <si>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</si>
  <si>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</si>
  <si>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</si>
  <si>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</si>
  <si>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</si>
  <si>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</si>
  <si>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</si>
  <si>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</si>
  <si>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</si>
  <si>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</si>
  <si>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</si>
  <si>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</si>
  <si>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</si>
  <si>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</si>
  <si>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</si>
  <si>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</si>
  <si>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</si>
  <si>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</si>
  <si>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</si>
  <si>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</si>
  <si>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</si>
  <si>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</si>
  <si>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</si>
  <si>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</si>
  <si>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</si>
  <si>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</si>
  <si>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</si>
  <si>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</si>
  <si>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</si>
  <si>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</si>
  <si>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</si>
  <si>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</si>
  <si>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</si>
  <si>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</si>
  <si>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</si>
  <si>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</si>
  <si>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</si>
  <si>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</si>
  <si>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</si>
  <si>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</si>
  <si>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</si>
  <si>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</si>
  <si>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</si>
  <si>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</si>
  <si>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</si>
  <si>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</si>
  <si>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</si>
  <si>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</si>
  <si>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</si>
  <si>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</si>
  <si>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</si>
  <si>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</si>
  <si>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</si>
  <si>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</si>
  <si>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</si>
  <si>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</si>
  <si>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</si>
  <si>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</si>
  <si>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</si>
  <si>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</si>
  <si>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</si>
  <si>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</si>
  <si>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</si>
  <si>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</si>
  <si>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</si>
  <si>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</si>
  <si>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</si>
  <si>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</si>
  <si>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</si>
  <si>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</si>
  <si>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</si>
  <si>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</si>
  <si>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</si>
  <si>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</si>
  <si>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</si>
  <si>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</si>
  <si>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</si>
  <si>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</si>
  <si>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</si>
  <si>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</si>
  <si>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</si>
  <si>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</si>
  <si>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</si>
  <si>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</si>
  <si>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</si>
  <si>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</si>
  <si>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</si>
  <si>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</si>
  <si>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</si>
  <si>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</si>
  <si>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</si>
  <si>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</si>
  <si>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</si>
  <si>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</si>
  <si>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</si>
  <si>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</si>
  <si>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</si>
  <si>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</si>
  <si>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</si>
  <si>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</si>
  <si>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</si>
  <si>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</si>
  <si>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</si>
  <si>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</si>
  <si>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</si>
  <si>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</si>
  <si>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</si>
  <si>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</si>
  <si>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</si>
  <si>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</si>
  <si>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</si>
  <si>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</si>
  <si>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</si>
  <si>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</si>
  <si>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</si>
  <si>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</si>
  <si>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</si>
  <si>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</si>
  <si>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</si>
  <si>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</si>
  <si>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</si>
  <si>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</si>
  <si>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</si>
  <si>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</si>
  <si>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</si>
  <si>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</si>
  <si>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</si>
  <si>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</si>
  <si>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</si>
  <si>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</si>
  <si>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</si>
  <si>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</si>
  <si>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</si>
  <si>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</si>
  <si>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</si>
  <si>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</si>
  <si>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</si>
  <si>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</si>
  <si>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</si>
  <si>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</si>
  <si>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</si>
  <si>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</si>
  <si>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</si>
  <si>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</si>
  <si>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</si>
  <si>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</si>
  <si>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</si>
  <si>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</si>
  <si>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</si>
  <si>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</si>
  <si>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</si>
  <si>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</si>
  <si>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</si>
  <si>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</si>
  <si>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</si>
  <si>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</si>
  <si>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</si>
  <si>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</si>
  <si>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</si>
  <si>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</si>
  <si>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</si>
  <si>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</si>
  <si>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</si>
  <si>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</si>
  <si>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</si>
  <si>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</si>
  <si>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</si>
  <si>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</si>
  <si>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</si>
  <si>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</si>
  <si>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</si>
  <si>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</si>
  <si>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</si>
  <si>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</si>
  <si>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</si>
  <si>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</si>
  <si>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</si>
  <si>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</si>
  <si>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</si>
  <si>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</si>
  <si>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</si>
  <si>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</si>
  <si>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</si>
  <si>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</si>
  <si>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</si>
  <si>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</si>
  <si>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</si>
  <si>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</si>
  <si>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</si>
  <si>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</si>
  <si>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</si>
  <si>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</si>
  <si>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</si>
  <si>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</si>
  <si>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</si>
  <si>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</si>
  <si>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</si>
  <si>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</si>
  <si>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</si>
  <si>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</si>
  <si>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</si>
  <si>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</si>
  <si>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</si>
  <si>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</si>
  <si>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</si>
  <si>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</si>
  <si>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</si>
  <si>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</si>
  <si>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</si>
  <si>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</si>
  <si>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</si>
  <si>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</si>
  <si>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</si>
  <si>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</si>
  <si>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</si>
  <si>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</si>
  <si>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</si>
  <si>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</si>
  <si>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</si>
  <si>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</si>
  <si>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</si>
  <si>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</si>
  <si>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</si>
  <si>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</si>
  <si>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</si>
  <si>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</si>
  <si>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</si>
  <si>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</si>
  <si>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</si>
  <si>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</si>
  <si>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</si>
  <si>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</si>
  <si>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</si>
  <si>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</si>
  <si>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</si>
  <si>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</si>
  <si>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</si>
  <si>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</si>
  <si>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</si>
  <si>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</si>
  <si>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</si>
  <si>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</si>
  <si>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</si>
  <si>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</si>
  <si>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</si>
  <si>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</si>
  <si>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</si>
  <si>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</si>
  <si>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</si>
  <si>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</si>
  <si>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</si>
  <si>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</si>
  <si>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</si>
  <si>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</si>
  <si>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</si>
  <si>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</si>
  <si>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</si>
  <si>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</si>
  <si>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</si>
  <si>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</si>
  <si>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</si>
  <si>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</si>
  <si>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</si>
  <si>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</si>
  <si>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</si>
  <si>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</si>
  <si>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</si>
  <si>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</si>
  <si>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</si>
  <si>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</si>
  <si>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</si>
  <si>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</si>
  <si>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</si>
  <si>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</si>
  <si>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</si>
  <si>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</si>
  <si>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</si>
  <si>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</si>
  <si>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</si>
  <si>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</si>
  <si>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</si>
  <si>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</si>
  <si>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</si>
  <si>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</si>
  <si>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</si>
  <si>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</si>
  <si>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</si>
  <si>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</si>
  <si>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</si>
  <si>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</si>
  <si>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</si>
  <si>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</si>
  <si>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</si>
  <si>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</si>
  <si>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</si>
  <si>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</si>
  <si>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</si>
  <si>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</si>
  <si>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</si>
  <si>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</si>
  <si>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</si>
  <si>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</si>
  <si>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</si>
  <si>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</si>
  <si>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</si>
  <si>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</si>
  <si>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</si>
  <si>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</si>
  <si>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</si>
  <si>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</si>
  <si>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</si>
  <si>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</si>
  <si>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</si>
  <si>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</si>
  <si>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</si>
  <si>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</si>
  <si>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</si>
  <si>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</si>
  <si>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</si>
  <si>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</si>
  <si>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</si>
  <si>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</si>
  <si>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</si>
  <si>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</si>
  <si>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</si>
  <si>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</si>
  <si>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</si>
  <si>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</si>
  <si>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</si>
  <si>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</si>
  <si>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</si>
  <si>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</si>
  <si>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</si>
  <si>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</si>
  <si>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</si>
  <si>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</si>
  <si>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</si>
  <si>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</si>
  <si>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</si>
  <si>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</si>
  <si>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</si>
  <si>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</si>
  <si>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</si>
  <si>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</si>
  <si>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</si>
  <si>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</si>
  <si>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</si>
  <si>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</si>
  <si>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</si>
  <si>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</si>
  <si>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</si>
  <si>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</si>
  <si>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</si>
  <si>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</si>
  <si>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</si>
  <si>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</si>
  <si>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</si>
  <si>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</si>
  <si>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</si>
  <si>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</si>
  <si>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</si>
  <si>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</si>
  <si>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</si>
  <si>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</si>
  <si>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</si>
  <si>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</si>
  <si>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</si>
  <si>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</si>
  <si>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</si>
  <si>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</si>
  <si>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</si>
  <si>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</si>
  <si>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</si>
  <si>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</si>
  <si>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</si>
  <si>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</si>
  <si>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</si>
  <si>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</si>
  <si>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</si>
  <si>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</si>
  <si>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</si>
  <si>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</si>
  <si>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</si>
  <si>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</si>
  <si>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</si>
  <si>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</si>
  <si>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</si>
  <si>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</si>
  <si>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</si>
  <si>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</si>
  <si>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</si>
  <si>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</si>
  <si>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</si>
  <si>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</si>
  <si>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</si>
  <si>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</si>
  <si>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</si>
  <si>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</si>
  <si>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</si>
  <si>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</si>
  <si>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</si>
  <si>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</si>
  <si>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</si>
  <si>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</si>
  <si>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</si>
  <si>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</si>
  <si>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</si>
  <si>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</si>
  <si>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</si>
  <si>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</si>
  <si>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</si>
  <si>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</si>
  <si>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</si>
  <si>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</si>
  <si>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</si>
  <si>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</si>
  <si>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</si>
  <si>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</si>
  <si>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</si>
  <si>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</si>
  <si>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</si>
  <si>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</si>
  <si>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</si>
  <si>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</si>
  <si>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</si>
  <si>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</si>
  <si>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</si>
  <si>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</si>
  <si>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</si>
  <si>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</si>
  <si>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</si>
  <si>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</si>
  <si>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</si>
  <si>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</si>
  <si>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</si>
  <si>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</si>
  <si>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</si>
  <si>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</si>
  <si>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</si>
  <si>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</si>
  <si>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</si>
  <si>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</si>
  <si>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</si>
  <si>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</si>
  <si>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</si>
  <si>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</si>
  <si>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</si>
  <si>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</si>
  <si>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</si>
  <si>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</si>
  <si>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</si>
  <si>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</si>
  <si>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</si>
  <si>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</si>
  <si>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</si>
  <si>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</si>
  <si>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</si>
  <si>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</si>
  <si>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</si>
  <si>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</si>
  <si>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</si>
  <si>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</si>
  <si>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</si>
  <si>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</si>
  <si>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</si>
  <si>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</si>
  <si>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</si>
  <si>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</si>
  <si>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</si>
  <si>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</si>
  <si>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</si>
  <si>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</si>
  <si>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</si>
  <si>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</si>
  <si>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</si>
  <si>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</si>
  <si>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</si>
  <si>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</si>
  <si>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</si>
  <si>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</si>
  <si>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</si>
  <si>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</si>
  <si>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</si>
  <si>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</si>
  <si>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</si>
  <si>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</si>
  <si>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</si>
  <si>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</si>
  <si>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</si>
  <si>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</si>
  <si>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</si>
  <si>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</si>
  <si>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</si>
  <si>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</si>
  <si>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</si>
  <si>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</si>
  <si>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</si>
  <si>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</si>
  <si>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</si>
  <si>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</si>
  <si>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</si>
  <si>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</si>
  <si>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</si>
  <si>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</si>
  <si>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</si>
  <si>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</si>
  <si>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</si>
  <si>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</si>
  <si>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</si>
  <si>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</si>
  <si>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</si>
  <si>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</si>
  <si>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</si>
  <si>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</si>
  <si>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</si>
  <si>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</si>
  <si>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</si>
  <si>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</si>
  <si>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</si>
  <si>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</si>
  <si>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</si>
  <si>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</si>
  <si>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</si>
  <si>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</si>
  <si>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</si>
  <si>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</si>
  <si>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</si>
  <si>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</si>
  <si>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</si>
  <si>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</si>
  <si>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</si>
  <si>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</si>
  <si>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</si>
  <si>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</si>
  <si>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</si>
  <si>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</si>
  <si>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</si>
  <si>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</si>
  <si>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</si>
  <si>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</si>
  <si>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</si>
  <si>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</si>
  <si>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</si>
  <si>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</si>
  <si>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</si>
  <si>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</si>
  <si>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</si>
  <si>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</si>
  <si>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</si>
  <si>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</si>
  <si>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</si>
  <si>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</si>
  <si>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</si>
  <si>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</si>
  <si>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</si>
  <si>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</si>
  <si>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</si>
  <si>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</si>
  <si>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</si>
  <si>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</si>
  <si>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</si>
  <si>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</si>
  <si>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</si>
  <si>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</si>
  <si>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</si>
  <si>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</si>
  <si>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</si>
  <si>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</si>
  <si>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</si>
  <si>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</si>
  <si>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</si>
  <si>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</si>
  <si>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</si>
  <si>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</si>
  <si>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</si>
  <si>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</si>
  <si>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</si>
  <si>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</si>
  <si>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</si>
  <si>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</si>
  <si>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</si>
  <si>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</si>
  <si>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</si>
  <si>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</si>
  <si>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</si>
  <si>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</si>
  <si>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</si>
  <si>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</si>
  <si>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</si>
  <si>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</si>
  <si>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</si>
  <si>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</si>
  <si>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</si>
  <si>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</si>
  <si>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</si>
  <si>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</si>
  <si>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</si>
  <si>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</si>
  <si>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</si>
  <si>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</si>
  <si>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</si>
  <si>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</si>
  <si>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</si>
  <si>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</si>
  <si>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</si>
  <si>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</si>
  <si>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</si>
  <si>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</si>
  <si>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</si>
  <si>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</si>
  <si>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</si>
  <si>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</si>
  <si>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</si>
  <si>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</si>
  <si>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</si>
  <si>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</si>
  <si>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</si>
  <si>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</si>
  <si>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</si>
  <si>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</si>
  <si>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</si>
  <si>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</si>
  <si>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</si>
  <si>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</si>
  <si>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</si>
  <si>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</si>
  <si>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</si>
  <si>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</si>
  <si>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</si>
  <si>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</si>
  <si>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</si>
  <si>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</si>
  <si>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</si>
  <si>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</si>
  <si>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</si>
  <si>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</si>
  <si>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</si>
  <si>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</si>
  <si>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</si>
  <si>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</si>
  <si>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</si>
  <si>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</si>
  <si>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</si>
  <si>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</si>
  <si>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</si>
  <si>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</si>
  <si>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</si>
  <si>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</si>
  <si>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</si>
  <si>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</si>
  <si>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</si>
  <si>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</si>
  <si>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</si>
  <si>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</si>
  <si>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</si>
  <si>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</si>
  <si>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</si>
  <si>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</si>
  <si>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</si>
  <si>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</si>
  <si>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</si>
  <si>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</si>
  <si>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</si>
  <si>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</si>
  <si>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</si>
  <si>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</si>
  <si>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</si>
  <si>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</si>
  <si>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</si>
  <si>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</si>
  <si>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</si>
  <si>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</si>
  <si>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</si>
  <si>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</si>
  <si>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</si>
  <si>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</si>
  <si>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</si>
  <si>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</si>
  <si>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</si>
  <si>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</si>
  <si>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</si>
  <si>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</si>
  <si>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</si>
  <si>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</si>
  <si>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</si>
  <si>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</si>
  <si>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</si>
  <si>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</si>
  <si>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</si>
  <si>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</si>
  <si>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</si>
  <si>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</si>
  <si>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</si>
  <si>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</si>
  <si>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</si>
  <si>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</si>
  <si>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</si>
  <si>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</si>
  <si>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</si>
  <si>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</si>
  <si>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</si>
  <si>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</si>
  <si>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</si>
  <si>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</si>
  <si>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</si>
  <si>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</si>
  <si>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</si>
  <si>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</si>
  <si>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</si>
  <si>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</si>
  <si>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</si>
  <si>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</si>
  <si>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</si>
  <si>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</si>
  <si>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</si>
  <si>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</si>
  <si>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</si>
  <si>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</si>
  <si>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</si>
  <si>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</si>
  <si>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</si>
  <si>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</si>
  <si>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</si>
  <si>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</si>
  <si>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</si>
  <si>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</si>
  <si>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</si>
  <si>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</si>
  <si>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</si>
  <si>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</si>
  <si>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</si>
  <si>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</si>
  <si>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</si>
  <si>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</si>
  <si>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</si>
  <si>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</si>
  <si>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</si>
  <si>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</si>
  <si>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</si>
  <si>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</si>
  <si>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</si>
  <si>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</si>
  <si>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</si>
  <si>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</si>
  <si>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</si>
  <si>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</si>
  <si>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</si>
  <si>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</si>
  <si>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</si>
  <si>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</si>
  <si>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</si>
  <si>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</si>
  <si>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</si>
  <si>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</si>
  <si>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</si>
  <si>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</si>
  <si>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</si>
  <si>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</si>
  <si>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</si>
  <si>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</si>
  <si>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</si>
  <si>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</si>
  <si>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</si>
  <si>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</si>
  <si>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</si>
  <si>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</si>
  <si>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</si>
  <si>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</si>
  <si>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</si>
  <si>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</si>
  <si>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</si>
  <si>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</si>
  <si>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</si>
  <si>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</si>
  <si>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</si>
  <si>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</si>
  <si>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</si>
  <si>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</si>
  <si>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</si>
  <si>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</si>
  <si>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</si>
  <si>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</si>
  <si>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</si>
  <si>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</si>
  <si>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</si>
  <si>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</si>
  <si>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</si>
  <si>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</si>
  <si>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</si>
  <si>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</si>
  <si>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</si>
  <si>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</si>
  <si>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</si>
  <si>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</si>
  <si>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</si>
  <si>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</si>
  <si>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</si>
  <si>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</si>
  <si>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</si>
  <si>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</si>
  <si>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</si>
  <si>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</si>
  <si>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</si>
  <si>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</si>
  <si>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</si>
  <si>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</si>
  <si>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</si>
  <si>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</si>
  <si>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</si>
  <si>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</si>
  <si>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</si>
  <si>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</si>
  <si>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</si>
  <si>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</si>
  <si>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</si>
  <si>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</si>
  <si>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</si>
  <si>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</si>
  <si>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</si>
  <si>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</si>
  <si>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</si>
  <si>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</si>
  <si>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</si>
  <si>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</si>
  <si>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</si>
  <si>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</si>
  <si>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</si>
  <si>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</si>
  <si>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</si>
  <si>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</si>
  <si>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</si>
  <si>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</si>
  <si>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</si>
  <si>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</si>
  <si>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</si>
  <si>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</si>
  <si>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</si>
  <si>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</si>
  <si>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</si>
  <si>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</si>
  <si>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</si>
  <si>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</si>
  <si>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</si>
  <si>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</si>
  <si>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</si>
  <si>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</si>
  <si>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</si>
  <si>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</si>
  <si>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</si>
  <si>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</si>
  <si>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</si>
  <si>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</si>
  <si>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</si>
  <si>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</si>
  <si>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</si>
  <si>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</si>
  <si>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</si>
  <si>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</si>
  <si>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</si>
  <si>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</si>
  <si>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</si>
  <si>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</si>
  <si>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</si>
  <si>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</si>
  <si>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</si>
  <si>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</si>
  <si>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</si>
  <si>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</si>
  <si>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</si>
  <si>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</si>
  <si>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</si>
  <si>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</si>
  <si>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</si>
  <si>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</si>
  <si>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</si>
  <si>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</si>
  <si>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</si>
  <si>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</si>
  <si>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</si>
  <si>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</si>
  <si>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</si>
  <si>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</si>
  <si>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</si>
  <si>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</si>
  <si>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</si>
  <si>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</si>
  <si>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</si>
  <si>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</si>
  <si>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</si>
  <si>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</si>
  <si>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</si>
  <si>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</si>
  <si>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</si>
  <si>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</si>
  <si>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</si>
  <si>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</si>
  <si>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</si>
  <si>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</si>
  <si>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</si>
  <si>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</si>
  <si>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</si>
  <si>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</si>
  <si>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</si>
  <si>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</si>
  <si>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</si>
  <si>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</si>
  <si>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</si>
  <si>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</si>
  <si>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</si>
  <si>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</si>
  <si>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</si>
  <si>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</si>
  <si>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</si>
  <si>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</si>
  <si>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</si>
  <si>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</si>
  <si>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</si>
  <si>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</si>
  <si>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</si>
  <si>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</si>
  <si>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</si>
  <si>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</si>
  <si>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</si>
  <si>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</si>
  <si>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</si>
  <si>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</si>
  <si>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</si>
  <si>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</si>
  <si>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</si>
  <si>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</si>
  <si>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</si>
  <si>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</si>
  <si>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</si>
  <si>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</si>
  <si>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</si>
  <si>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</si>
  <si>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</si>
  <si>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</si>
  <si>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</si>
  <si>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</si>
  <si>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</si>
  <si>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</si>
  <si>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</si>
  <si>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</si>
  <si>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</si>
  <si>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</si>
  <si>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</si>
  <si>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</si>
  <si>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</si>
  <si>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</si>
  <si>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</si>
  <si>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</si>
  <si>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</si>
  <si>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</si>
  <si>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</si>
  <si>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</si>
  <si>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</si>
  <si>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</si>
  <si>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</si>
  <si>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</si>
  <si>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</si>
  <si>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</si>
  <si>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</si>
  <si>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</si>
  <si>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</si>
  <si>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</si>
  <si>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</si>
  <si>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</si>
  <si>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</si>
  <si>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</si>
  <si>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</si>
  <si>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</si>
  <si>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</si>
  <si>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</si>
  <si>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</si>
  <si>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</si>
  <si>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</si>
  <si>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</si>
  <si>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</si>
  <si>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</si>
  <si>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</si>
  <si>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</si>
  <si>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</si>
  <si>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</si>
  <si>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</si>
  <si>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</si>
  <si>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</si>
  <si>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</si>
  <si>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</si>
  <si>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</si>
  <si>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</si>
  <si>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</si>
  <si>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</si>
  <si>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</si>
  <si>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</si>
  <si>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</si>
  <si>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</si>
  <si>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</si>
  <si>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</si>
  <si>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</si>
  <si>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</si>
  <si>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</si>
  <si>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</si>
  <si>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</si>
  <si>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</si>
  <si>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</si>
  <si>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</si>
  <si>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</si>
  <si>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</si>
  <si>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</si>
  <si>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</si>
  <si>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</si>
  <si>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</si>
  <si>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</si>
  <si>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</si>
  <si>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</si>
  <si>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</si>
  <si>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</si>
  <si>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</si>
  <si>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t>Hi everybody</t>
  </si>
  <si>
    <t>Life Transitions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</si>
</sst>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4"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
      <sz val="13"/>
      <color rgb="FF000000"/>
      <name val="Calibri Light"/>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protection locked="0"/>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styles" Target="styles.xml"/><Relationship Id="rId3" Type="http://schemas.openxmlformats.org/officeDocument/2006/relationships/worksheet" Target="worksheets/sheet1.xml"/><Relationship Id="rId21" Type="http://schemas.openxmlformats.org/officeDocument/2006/relationships/customXml" Target="../customXml/item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chartsheet" Target="chartsheets/sheet2.xml"/><Relationship Id="rId16" Type="http://schemas.openxmlformats.org/officeDocument/2006/relationships/worksheet" Target="worksheets/sheet14.xml"/><Relationship Id="rId20" Type="http://schemas.openxmlformats.org/officeDocument/2006/relationships/calcChain" Target="calcChai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customXml" Target="../customXml/item4.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customXml" Target="../customXml/item3.xml"/><Relationship Id="rId10" Type="http://schemas.openxmlformats.org/officeDocument/2006/relationships/worksheet" Target="worksheets/sheet8.xml"/><Relationship Id="rId19" Type="http://schemas.openxmlformats.org/officeDocument/2006/relationships/sharedStrings" Target="sharedStrings.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'Face Sheet'!$B$10</c:f>
              <c:strCache>
                <c:ptCount val="1"/>
                <c:pt idx="0">
                  <c:v>DATE OF FAMILY PLAN FOR CHANGE</c:v>
                </c:pt>
              </c:strCache>
            </c:strRef>
          </c:tx>
          <c:spPr>
            <a:solidFill>
              <a:schemeClr val="accent1"/>
            </a:solidFill>
            <a:ln>
              <a:noFill/>
            </a:ln>
            <a:effectLst/>
          </c:spPr>
          <c:invertIfNegative val="0"/>
          <c:val>
            <c:numRef>
              <c:f>'Face Sheet'!$C$10:$E$10</c:f>
              <c:numCache>
                <c:formatCode>General</c:formatCode>
                <c:ptCount val="3"/>
                <c:pt idx="1">
                  <c:v>0</c:v>
                </c:pt>
                <c:pt idx="2">
                  <c:v>1</c:v>
                </c:pt>
              </c:numCache>
            </c:numRef>
          </c:val>
        </c:ser>
        <c:ser>
          <c:idx val="1"/>
          <c:order val="1"/>
          <c:tx>
            <c:strRef>
              <c:f>'Face Sheet'!$B$11</c:f>
              <c:strCache>
                <c:ptCount val="1"/>
                <c:pt idx="0">
                  <c:v>DATE OF TRANSITION PLANNING</c:v>
                </c:pt>
              </c:strCache>
            </c:strRef>
          </c:tx>
          <c:spPr>
            <a:solidFill>
              <a:schemeClr val="accent2"/>
            </a:solidFill>
            <a:ln>
              <a:noFill/>
            </a:ln>
            <a:effectLst/>
          </c:spPr>
          <c:invertIfNegative val="0"/>
          <c:val>
            <c:numRef>
              <c:f>'Face Sheet'!$C$11:$E$11</c:f>
              <c:numCache>
                <c:formatCode>General</c:formatCode>
                <c:ptCount val="3"/>
                <c:pt idx="1">
                  <c:v>0</c:v>
                </c:pt>
                <c:pt idx="2">
                  <c:v>1</c:v>
                </c:pt>
              </c:numCache>
            </c:numRef>
          </c:val>
        </c:ser>
        <c:ser>
          <c:idx val="2"/>
          <c:order val="2"/>
          <c:tx>
            <c:strRef>
              <c:f>'Face Sheet'!$B$12</c:f>
              <c:strCache>
                <c:ptCount val="1"/>
                <c:pt idx="0">
                  <c:v>DATE OF END OF SERVICE SUMMARY</c:v>
                </c:pt>
              </c:strCache>
            </c:strRef>
          </c:tx>
          <c:spPr>
            <a:solidFill>
              <a:schemeClr val="accent3"/>
            </a:solidFill>
            <a:ln>
              <a:noFill/>
            </a:ln>
            <a:effectLst/>
          </c:spPr>
          <c:invertIfNegative val="0"/>
          <c:val>
            <c:numRef>
              <c:f>'Face Sheet'!$C$12:$E$12</c:f>
              <c:numCache>
                <c:formatCode>General</c:formatCode>
                <c:ptCount val="3"/>
              </c:numCache>
            </c:numRef>
          </c:val>
        </c:ser>
        <c:dLbls>
          <c:showLegendKey val="0"/>
          <c:showVal val="0"/>
          <c:showCatName val="0"/>
          <c:showSerName val="0"/>
          <c:showPercent val="0"/>
          <c:showBubbleSize val="0"/>
        </c:dLbls>
        <c:gapWidth val="219"/>
        <c:overlap val="-27"/>
        <c:axId val="282237808"/>
        <c:axId val="275090272"/>
      </c:barChart>
      <c:catAx>
        <c:axId val="282237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090272"/>
        <c:crosses val="autoZero"/>
        <c:auto val="1"/>
        <c:lblAlgn val="ctr"/>
        <c:lblOffset val="100"/>
        <c:noMultiLvlLbl val="0"/>
      </c:catAx>
      <c:valAx>
        <c:axId val="275090272"/>
        <c:scaling>
          <c:orientation val="minMax"/>
        </c:scaling>
        <c:delete val="0"/>
        <c:axPos val="l"/>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37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Sheet'!$C$1:$C$7</c:f>
              <c:numCache>
                <c:formatCode>General</c:formatCode>
                <c:ptCount val="7"/>
              </c:numCache>
            </c:numRef>
          </c:val>
        </c:ser>
        <c:ser>
          <c:idx val="1"/>
          <c:order val="1"/>
          <c:spPr>
            <a:solidFill>
              <a:schemeClr val="accent2"/>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Sheet'!$D$1:$D$7</c:f>
              <c:numCache>
                <c:formatCode>General</c:formatCode>
                <c:ptCount val="7"/>
                <c:pt idx="1">
                  <c:v>0</c:v>
                </c:pt>
                <c:pt idx="2">
                  <c:v>0</c:v>
                </c:pt>
                <c:pt idx="3">
                  <c:v>0</c:v>
                </c:pt>
                <c:pt idx="4">
                  <c:v>0</c:v>
                </c:pt>
              </c:numCache>
            </c:numRef>
          </c:val>
        </c:ser>
        <c:ser>
          <c:idx val="2"/>
          <c:order val="2"/>
          <c:spPr>
            <a:solidFill>
              <a:schemeClr val="accent3"/>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Sheet'!$E$1:$E$7</c:f>
              <c:numCache>
                <c:formatCode>General</c:formatCode>
                <c:ptCount val="7"/>
              </c:numCache>
            </c:numRef>
          </c:val>
        </c:ser>
        <c:dLbls>
          <c:showLegendKey val="0"/>
          <c:showVal val="0"/>
          <c:showCatName val="0"/>
          <c:showSerName val="0"/>
          <c:showPercent val="0"/>
          <c:showBubbleSize val="0"/>
        </c:dLbls>
        <c:gapWidth val="219"/>
        <c:overlap val="-27"/>
        <c:axId val="489862000"/>
        <c:axId val="489862560"/>
      </c:barChart>
      <c:catAx>
        <c:axId val="48986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62560"/>
        <c:crosses val="autoZero"/>
        <c:auto val="1"/>
        <c:lblAlgn val="ctr"/>
        <c:lblOffset val="100"/>
        <c:noMultiLvlLbl val="0"/>
      </c:catAx>
      <c:valAx>
        <c:axId val="48986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6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485931152"/>
        <c:axId val="485931712"/>
      </c:barChart>
      <c:catAx>
        <c:axId val="48593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1712"/>
        <c:crosses val="autoZero"/>
        <c:auto val="1"/>
        <c:lblAlgn val="ctr"/>
        <c:lblOffset val="100"/>
        <c:noMultiLvlLbl val="0"/>
      </c:catAx>
      <c:valAx>
        <c:axId val="4859317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115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87617184"/>
        <c:axId val="487617744"/>
      </c:barChart>
      <c:catAx>
        <c:axId val="48761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7744"/>
        <c:crosses val="autoZero"/>
        <c:auto val="1"/>
        <c:lblAlgn val="ctr"/>
        <c:lblOffset val="100"/>
        <c:noMultiLvlLbl val="0"/>
      </c:catAx>
      <c:valAx>
        <c:axId val="4876177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71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80091824"/>
        <c:axId val="283835664"/>
      </c:barChart>
      <c:catAx>
        <c:axId val="28009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83835664"/>
        <c:crosses val="autoZero"/>
        <c:auto val="1"/>
        <c:lblAlgn val="ctr"/>
        <c:lblOffset val="100"/>
        <c:noMultiLvlLbl val="0"/>
      </c:catAx>
      <c:valAx>
        <c:axId val="2838356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0918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7380816"/>
        <c:axId val="277381376"/>
      </c:barChart>
      <c:catAx>
        <c:axId val="2773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381376"/>
        <c:crosses val="autoZero"/>
        <c:auto val="1"/>
        <c:lblAlgn val="ctr"/>
        <c:lblOffset val="100"/>
        <c:noMultiLvlLbl val="0"/>
      </c:catAx>
      <c:valAx>
        <c:axId val="2773813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3808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8275776"/>
        <c:axId val="278276336"/>
      </c:barChart>
      <c:catAx>
        <c:axId val="27827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276336"/>
        <c:crosses val="autoZero"/>
        <c:auto val="1"/>
        <c:lblAlgn val="ctr"/>
        <c:lblOffset val="100"/>
        <c:noMultiLvlLbl val="0"/>
      </c:catAx>
      <c:valAx>
        <c:axId val="278276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2757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80386320"/>
        <c:axId val="280386880"/>
      </c:barChart>
      <c:catAx>
        <c:axId val="280386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86880"/>
        <c:crosses val="autoZero"/>
        <c:auto val="1"/>
        <c:lblAlgn val="ctr"/>
        <c:lblOffset val="100"/>
        <c:noMultiLvlLbl val="0"/>
      </c:catAx>
      <c:valAx>
        <c:axId val="280386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863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21617984"/>
        <c:axId val="621618544"/>
      </c:barChart>
      <c:catAx>
        <c:axId val="62161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21618544"/>
        <c:crosses val="autoZero"/>
        <c:auto val="1"/>
        <c:lblAlgn val="ctr"/>
        <c:lblOffset val="100"/>
        <c:noMultiLvlLbl val="0"/>
      </c:catAx>
      <c:valAx>
        <c:axId val="6216185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6179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85174096"/>
        <c:axId val="285174656"/>
      </c:barChart>
      <c:catAx>
        <c:axId val="28517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85174656"/>
        <c:crosses val="autoZero"/>
        <c:auto val="1"/>
        <c:lblAlgn val="ctr"/>
        <c:lblOffset val="100"/>
        <c:noMultiLvlLbl val="0"/>
      </c:catAx>
      <c:valAx>
        <c:axId val="285174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174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85178576"/>
        <c:axId val="499457648"/>
      </c:barChart>
      <c:catAx>
        <c:axId val="28517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99457648"/>
        <c:crosses val="autoZero"/>
        <c:auto val="1"/>
        <c:lblAlgn val="ctr"/>
        <c:lblOffset val="100"/>
        <c:noMultiLvlLbl val="0"/>
      </c:catAx>
      <c:valAx>
        <c:axId val="4994576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1785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99461568"/>
        <c:axId val="499462128"/>
      </c:barChart>
      <c:catAx>
        <c:axId val="49946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99462128"/>
        <c:crosses val="autoZero"/>
        <c:auto val="1"/>
        <c:lblAlgn val="ctr"/>
        <c:lblOffset val="100"/>
        <c:noMultiLvlLbl val="0"/>
      </c:catAx>
      <c:valAx>
        <c:axId val="4994621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4615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34885648"/>
        <c:axId val="634886208"/>
      </c:barChart>
      <c:catAx>
        <c:axId val="63488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4886208"/>
        <c:crosses val="autoZero"/>
        <c:auto val="1"/>
        <c:lblAlgn val="ctr"/>
        <c:lblOffset val="100"/>
        <c:noMultiLvlLbl val="0"/>
      </c:catAx>
      <c:valAx>
        <c:axId val="6348862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8856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34890128"/>
        <c:axId val="634890688"/>
      </c:barChart>
      <c:catAx>
        <c:axId val="63489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4890688"/>
        <c:crosses val="autoZero"/>
        <c:auto val="1"/>
        <c:lblAlgn val="ctr"/>
        <c:lblOffset val="100"/>
        <c:noMultiLvlLbl val="0"/>
      </c:catAx>
      <c:valAx>
        <c:axId val="6348906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8901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1"/>
  <sheetViews>
    <sheetView zoomScale="154" workbookViewId="0" zoomToFit="1"/>
  </sheetViews>
  <sheetProtection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sheetViews>
    <sheetView zoomScale="154"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fmlaLink="$A$4" noThreeD="1"/>
</file>

<file path=xl/ctrlProps/ctrlProp30.xml><?xml version="1.0" encoding="utf-8"?>
<formControlPr xmlns="http://schemas.microsoft.com/office/spreadsheetml/2009/9/main" objectType="CheckBox" fmlaLink="$A$12" lockText="1" noThreeD="1"/>
</file>

<file path=xl/ctrlProps/ctrlProp31.xml><?xml version="1.0" encoding="utf-8"?>
<formControlPr xmlns="http://schemas.microsoft.com/office/spreadsheetml/2009/9/main" objectType="CheckBox" fmlaLink="$A$20" lockText="1" noThreeD="1"/>
</file>

<file path=xl/ctrlProps/ctrlProp32.xml><?xml version="1.0" encoding="utf-8"?>
<formControlPr xmlns="http://schemas.microsoft.com/office/spreadsheetml/2009/9/main" objectType="CheckBox" fmlaLink="$A$28" lockText="1" noThreeD="1"/>
</file>

<file path=xl/ctrlProps/ctrlProp33.xml><?xml version="1.0" encoding="utf-8"?>
<formControlPr xmlns="http://schemas.microsoft.com/office/spreadsheetml/2009/9/main" objectType="CheckBox" fmlaLink="$A$36" lockText="1" noThreeD="1"/>
</file>

<file path=xl/ctrlProps/ctrlProp34.xml><?xml version="1.0" encoding="utf-8"?>
<formControlPr xmlns="http://schemas.microsoft.com/office/spreadsheetml/2009/9/main" objectType="CheckBox" fmlaLink="$A$44" lockText="1" noThreeD="1"/>
</file>

<file path=xl/ctrlProps/ctrlProp35.xml><?xml version="1.0" encoding="utf-8"?>
<formControlPr xmlns="http://schemas.microsoft.com/office/spreadsheetml/2009/9/main" objectType="CheckBox" fmlaLink="$A$52" lockText="1" noThreeD="1"/>
</file>

<file path=xl/ctrlProps/ctrlProp36.xml><?xml version="1.0" encoding="utf-8"?>
<formControlPr xmlns="http://schemas.microsoft.com/office/spreadsheetml/2009/9/main" objectType="CheckBox" fmlaLink="$A$60" lockText="1" noThreeD="1"/>
</file>

<file path=xl/ctrlProps/ctrlProp37.xml><?xml version="1.0" encoding="utf-8"?>
<formControlPr xmlns="http://schemas.microsoft.com/office/spreadsheetml/2009/9/main" objectType="CheckBox" fmlaLink="$A$68"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absoluteAnchor>
    <xdr:pos x="0" y="0"/>
    <xdr:ext cx="8665276" cy="629021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5276" cy="629021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457200</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466725</xdr:colOff>
          <xdr:row>103</xdr:row>
          <xdr:rowOff>104775</xdr:rowOff>
        </xdr:from>
        <xdr:to>
          <xdr:col>29</xdr:col>
          <xdr:colOff>1714500</xdr:colOff>
          <xdr:row>105</xdr:row>
          <xdr:rowOff>19050</xdr:rowOff>
        </xdr:to>
        <xdr:sp macro="" textlink="">
          <xdr:nvSpPr>
            <xdr:cNvPr id="2114" name="Button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2276475</xdr:colOff>
          <xdr:row>0</xdr:row>
          <xdr:rowOff>57150</xdr:rowOff>
        </xdr:from>
        <xdr:to>
          <xdr:col>38</xdr:col>
          <xdr:colOff>371475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7.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9.xml"/><Relationship Id="rId16" Type="http://schemas.openxmlformats.org/officeDocument/2006/relationships/ctrlProp" Target="../ctrlProps/ctrlProp41.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5" Type="http://schemas.openxmlformats.org/officeDocument/2006/relationships/ctrlProp" Target="../ctrlProps/ctrlProp4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E4" sqref="E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6"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7"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7">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7">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8"/>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8"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5" t="s">
        <v>692</v>
      </c>
      <c r="C14" s="205" t="s">
        <v>856</v>
      </c>
      <c r="D14" s="205" t="s">
        <v>162</v>
      </c>
      <c r="E14" s="205" t="s">
        <v>51</v>
      </c>
      <c r="F14" s="206" t="s">
        <v>54</v>
      </c>
      <c r="G14" s="205" t="s">
        <v>164</v>
      </c>
      <c r="H14" s="205" t="s">
        <v>682</v>
      </c>
      <c r="I14" s="205" t="s">
        <v>162</v>
      </c>
      <c r="J14" s="205" t="s">
        <v>51</v>
      </c>
      <c r="K14" s="207" t="s">
        <v>53</v>
      </c>
      <c r="L14" s="208" t="s">
        <v>854</v>
      </c>
      <c r="M14" s="207" t="s">
        <v>261</v>
      </c>
      <c r="N14" s="207" t="s">
        <v>679</v>
      </c>
      <c r="O14" s="207" t="s">
        <v>680</v>
      </c>
      <c r="P14" s="209" t="s">
        <v>933</v>
      </c>
      <c r="Q14" s="210" t="s">
        <v>932</v>
      </c>
      <c r="R14" s="207" t="s">
        <v>147</v>
      </c>
      <c r="S14" s="210" t="s">
        <v>145</v>
      </c>
      <c r="T14" s="210" t="s">
        <v>676</v>
      </c>
      <c r="U14" s="210" t="s">
        <v>931</v>
      </c>
      <c r="V14" s="210" t="s">
        <v>677</v>
      </c>
      <c r="W14" s="210" t="s">
        <v>930</v>
      </c>
      <c r="X14" s="208" t="s">
        <v>260</v>
      </c>
      <c r="Y14" s="207" t="s">
        <v>671</v>
      </c>
      <c r="Z14" s="207" t="s">
        <v>672</v>
      </c>
      <c r="AA14" s="208" t="s">
        <v>52</v>
      </c>
      <c r="AB14" s="211"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3"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4" t="s">
        <v>263</v>
      </c>
      <c r="AD19" s="54"/>
      <c r="AE19" s="54"/>
      <c r="AF19" s="112"/>
      <c r="AG19" s="200"/>
      <c r="AH19" s="113"/>
      <c r="AI19" s="114"/>
      <c r="AJ19" s="112"/>
      <c r="AK19" s="200"/>
      <c r="AL19" s="113"/>
      <c r="AM19" s="114"/>
      <c r="AN19" s="112"/>
      <c r="AO19" s="200"/>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5" t="s">
        <v>264</v>
      </c>
      <c r="AD20" s="87"/>
      <c r="AE20" s="87"/>
      <c r="AF20" s="115"/>
      <c r="AG20" s="201"/>
      <c r="AH20" s="122"/>
      <c r="AI20" s="123"/>
      <c r="AJ20" s="115"/>
      <c r="AK20" s="201"/>
      <c r="AL20" s="122"/>
      <c r="AM20" s="123"/>
      <c r="AN20" s="115"/>
      <c r="AO20" s="201"/>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4" t="s">
        <v>45</v>
      </c>
      <c r="AD21" s="54"/>
      <c r="AE21" s="54"/>
      <c r="AF21" s="112"/>
      <c r="AG21" s="200"/>
      <c r="AH21" s="113"/>
      <c r="AI21" s="114"/>
      <c r="AJ21" s="112"/>
      <c r="AK21" s="200"/>
      <c r="AL21" s="113"/>
      <c r="AM21" s="114"/>
      <c r="AN21" s="112"/>
      <c r="AO21" s="200"/>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5" t="s">
        <v>265</v>
      </c>
      <c r="AD22" s="87"/>
      <c r="AE22" s="87"/>
      <c r="AF22" s="115"/>
      <c r="AG22" s="201"/>
      <c r="AH22" s="116"/>
      <c r="AI22" s="117"/>
      <c r="AJ22" s="115"/>
      <c r="AK22" s="201"/>
      <c r="AL22" s="116"/>
      <c r="AM22" s="117"/>
      <c r="AN22" s="115"/>
      <c r="AO22" s="201"/>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4" t="s">
        <v>115</v>
      </c>
      <c r="AD23" s="54"/>
      <c r="AE23" s="54"/>
      <c r="AF23" s="112"/>
      <c r="AG23" s="200"/>
      <c r="AH23" s="113"/>
      <c r="AI23" s="114"/>
      <c r="AJ23" s="112"/>
      <c r="AK23" s="200"/>
      <c r="AL23" s="113"/>
      <c r="AM23" s="114"/>
      <c r="AN23" s="112"/>
      <c r="AO23" s="200"/>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5" t="s">
        <v>118</v>
      </c>
      <c r="AD24" s="87"/>
      <c r="AE24" s="87"/>
      <c r="AF24" s="115"/>
      <c r="AG24" s="201"/>
      <c r="AH24" s="116"/>
      <c r="AI24" s="117"/>
      <c r="AJ24" s="115"/>
      <c r="AK24" s="201"/>
      <c r="AL24" s="116"/>
      <c r="AM24" s="117"/>
      <c r="AN24" s="115"/>
      <c r="AO24" s="201"/>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4" t="s">
        <v>266</v>
      </c>
      <c r="AD25" s="54"/>
      <c r="AE25" s="54"/>
      <c r="AF25" s="112"/>
      <c r="AG25" s="200"/>
      <c r="AH25" s="113"/>
      <c r="AI25" s="114"/>
      <c r="AJ25" s="112"/>
      <c r="AK25" s="200"/>
      <c r="AL25" s="113"/>
      <c r="AM25" s="114"/>
      <c r="AN25" s="112"/>
      <c r="AO25" s="200"/>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5" t="s">
        <v>267</v>
      </c>
      <c r="AD26" s="87"/>
      <c r="AE26" s="87"/>
      <c r="AF26" s="115"/>
      <c r="AG26" s="201"/>
      <c r="AH26" s="116"/>
      <c r="AI26" s="117"/>
      <c r="AJ26" s="115"/>
      <c r="AK26" s="201"/>
      <c r="AL26" s="116"/>
      <c r="AM26" s="117"/>
      <c r="AN26" s="115"/>
      <c r="AO26" s="201"/>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4" t="s">
        <v>268</v>
      </c>
      <c r="AD27" s="54"/>
      <c r="AE27" s="54"/>
      <c r="AF27" s="112"/>
      <c r="AG27" s="200"/>
      <c r="AH27" s="113"/>
      <c r="AI27" s="114"/>
      <c r="AJ27" s="112"/>
      <c r="AK27" s="200"/>
      <c r="AL27" s="113"/>
      <c r="AM27" s="114"/>
      <c r="AN27" s="112"/>
      <c r="AO27" s="200"/>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5" t="s">
        <v>116</v>
      </c>
      <c r="AD28" s="87"/>
      <c r="AE28" s="87"/>
      <c r="AF28" s="115"/>
      <c r="AG28" s="201"/>
      <c r="AH28" s="116"/>
      <c r="AI28" s="117"/>
      <c r="AJ28" s="115"/>
      <c r="AK28" s="201"/>
      <c r="AL28" s="116"/>
      <c r="AM28" s="117"/>
      <c r="AN28" s="115"/>
      <c r="AO28" s="201"/>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3"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4" t="s">
        <v>269</v>
      </c>
      <c r="AD30" s="54"/>
      <c r="AE30" s="54"/>
      <c r="AF30" s="112"/>
      <c r="AG30" s="200"/>
      <c r="AH30" s="113"/>
      <c r="AI30" s="114"/>
      <c r="AJ30" s="112"/>
      <c r="AK30" s="200"/>
      <c r="AL30" s="113"/>
      <c r="AM30" s="114"/>
      <c r="AN30" s="112"/>
      <c r="AO30" s="200"/>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5" t="s">
        <v>270</v>
      </c>
      <c r="AD31" s="87"/>
      <c r="AE31" s="87"/>
      <c r="AF31" s="115"/>
      <c r="AG31" s="201"/>
      <c r="AH31" s="116"/>
      <c r="AI31" s="117"/>
      <c r="AJ31" s="115"/>
      <c r="AK31" s="201"/>
      <c r="AL31" s="116"/>
      <c r="AM31" s="117"/>
      <c r="AN31" s="115"/>
      <c r="AO31" s="201"/>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4" t="s">
        <v>271</v>
      </c>
      <c r="AD32" s="54"/>
      <c r="AE32" s="54"/>
      <c r="AF32" s="112"/>
      <c r="AG32" s="200"/>
      <c r="AH32" s="113"/>
      <c r="AI32" s="114"/>
      <c r="AJ32" s="112"/>
      <c r="AK32" s="200"/>
      <c r="AL32" s="113"/>
      <c r="AM32" s="114"/>
      <c r="AN32" s="112"/>
      <c r="AO32" s="200"/>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5" t="s">
        <v>272</v>
      </c>
      <c r="AD33" s="87"/>
      <c r="AE33" s="87"/>
      <c r="AF33" s="115"/>
      <c r="AG33" s="201"/>
      <c r="AH33" s="116"/>
      <c r="AI33" s="117"/>
      <c r="AJ33" s="115"/>
      <c r="AK33" s="201"/>
      <c r="AL33" s="116"/>
      <c r="AM33" s="117"/>
      <c r="AN33" s="115"/>
      <c r="AO33" s="201"/>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4" t="s">
        <v>273</v>
      </c>
      <c r="AD34" s="54"/>
      <c r="AE34" s="54"/>
      <c r="AF34" s="112"/>
      <c r="AG34" s="200"/>
      <c r="AH34" s="113"/>
      <c r="AI34" s="114"/>
      <c r="AJ34" s="112"/>
      <c r="AK34" s="200"/>
      <c r="AL34" s="113"/>
      <c r="AM34" s="114"/>
      <c r="AN34" s="112"/>
      <c r="AO34" s="200"/>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5" t="s">
        <v>22</v>
      </c>
      <c r="AD35" s="87"/>
      <c r="AE35" s="87"/>
      <c r="AF35" s="115"/>
      <c r="AG35" s="201"/>
      <c r="AH35" s="116"/>
      <c r="AI35" s="117"/>
      <c r="AJ35" s="115"/>
      <c r="AK35" s="201"/>
      <c r="AL35" s="116"/>
      <c r="AM35" s="117"/>
      <c r="AN35" s="115"/>
      <c r="AO35" s="201"/>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4" t="s">
        <v>274</v>
      </c>
      <c r="AD36" s="54"/>
      <c r="AE36" s="54"/>
      <c r="AF36" s="112"/>
      <c r="AG36" s="200"/>
      <c r="AH36" s="113"/>
      <c r="AI36" s="114"/>
      <c r="AJ36" s="112"/>
      <c r="AK36" s="200"/>
      <c r="AL36" s="113"/>
      <c r="AM36" s="114"/>
      <c r="AN36" s="112"/>
      <c r="AO36" s="200"/>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5" t="s">
        <v>275</v>
      </c>
      <c r="AD37" s="87"/>
      <c r="AE37" s="87"/>
      <c r="AF37" s="115"/>
      <c r="AG37" s="201"/>
      <c r="AH37" s="116"/>
      <c r="AI37" s="117"/>
      <c r="AJ37" s="115"/>
      <c r="AK37" s="201"/>
      <c r="AL37" s="116"/>
      <c r="AM37" s="117"/>
      <c r="AN37" s="115"/>
      <c r="AO37" s="201"/>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3"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7"/>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4" t="s">
        <v>276</v>
      </c>
      <c r="AD40" s="54"/>
      <c r="AE40" s="54"/>
      <c r="AF40" s="112"/>
      <c r="AG40" s="200"/>
      <c r="AH40" s="113"/>
      <c r="AI40" s="114"/>
      <c r="AJ40" s="112"/>
      <c r="AK40" s="200"/>
      <c r="AL40" s="113"/>
      <c r="AM40" s="114"/>
      <c r="AN40" s="112"/>
      <c r="AO40" s="200"/>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5" t="s">
        <v>277</v>
      </c>
      <c r="AD41" s="87"/>
      <c r="AE41" s="87"/>
      <c r="AF41" s="115"/>
      <c r="AG41" s="201"/>
      <c r="AH41" s="116"/>
      <c r="AI41" s="117"/>
      <c r="AJ41" s="115"/>
      <c r="AK41" s="201"/>
      <c r="AL41" s="116"/>
      <c r="AM41" s="117"/>
      <c r="AN41" s="115"/>
      <c r="AO41" s="201"/>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4" t="s">
        <v>38</v>
      </c>
      <c r="AD42" s="54"/>
      <c r="AE42" s="54"/>
      <c r="AF42" s="112"/>
      <c r="AG42" s="200"/>
      <c r="AH42" s="113"/>
      <c r="AI42" s="114"/>
      <c r="AJ42" s="112"/>
      <c r="AK42" s="200"/>
      <c r="AL42" s="113"/>
      <c r="AM42" s="114"/>
      <c r="AN42" s="112"/>
      <c r="AO42" s="200"/>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5" t="s">
        <v>130</v>
      </c>
      <c r="AD43" s="87"/>
      <c r="AE43" s="87"/>
      <c r="AF43" s="115"/>
      <c r="AG43" s="201"/>
      <c r="AH43" s="116"/>
      <c r="AI43" s="117"/>
      <c r="AJ43" s="115"/>
      <c r="AK43" s="201"/>
      <c r="AL43" s="116"/>
      <c r="AM43" s="117"/>
      <c r="AN43" s="115"/>
      <c r="AO43" s="201"/>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4" t="s">
        <v>42</v>
      </c>
      <c r="AD44" s="54"/>
      <c r="AE44" s="54"/>
      <c r="AF44" s="112"/>
      <c r="AG44" s="200"/>
      <c r="AH44" s="122"/>
      <c r="AI44" s="123"/>
      <c r="AJ44" s="112"/>
      <c r="AK44" s="200"/>
      <c r="AL44" s="122"/>
      <c r="AM44" s="123"/>
      <c r="AN44" s="112"/>
      <c r="AO44" s="200"/>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5" t="s">
        <v>278</v>
      </c>
      <c r="AD45" s="87"/>
      <c r="AE45" s="87"/>
      <c r="AF45" s="115"/>
      <c r="AG45" s="201"/>
      <c r="AH45" s="116"/>
      <c r="AI45" s="117"/>
      <c r="AJ45" s="115"/>
      <c r="AK45" s="201"/>
      <c r="AL45" s="116"/>
      <c r="AM45" s="117"/>
      <c r="AN45" s="115"/>
      <c r="AO45" s="201"/>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4" t="s">
        <v>121</v>
      </c>
      <c r="AD46" s="54"/>
      <c r="AE46" s="54"/>
      <c r="AF46" s="112"/>
      <c r="AG46" s="200"/>
      <c r="AH46" s="122"/>
      <c r="AI46" s="123"/>
      <c r="AJ46" s="112"/>
      <c r="AK46" s="200"/>
      <c r="AL46" s="122"/>
      <c r="AM46" s="123"/>
      <c r="AN46" s="112"/>
      <c r="AO46" s="200"/>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5" t="s">
        <v>279</v>
      </c>
      <c r="AD47" s="87"/>
      <c r="AE47" s="87"/>
      <c r="AF47" s="115"/>
      <c r="AG47" s="201"/>
      <c r="AH47" s="116"/>
      <c r="AI47" s="117"/>
      <c r="AJ47" s="115"/>
      <c r="AK47" s="201"/>
      <c r="AL47" s="116"/>
      <c r="AM47" s="117"/>
      <c r="AN47" s="115"/>
      <c r="AO47" s="201"/>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4" t="s">
        <v>41</v>
      </c>
      <c r="AD48" s="54"/>
      <c r="AE48" s="54"/>
      <c r="AF48" s="112"/>
      <c r="AG48" s="200"/>
      <c r="AH48" s="113"/>
      <c r="AI48" s="114"/>
      <c r="AJ48" s="112"/>
      <c r="AK48" s="200"/>
      <c r="AL48" s="113"/>
      <c r="AM48" s="114"/>
      <c r="AN48" s="112"/>
      <c r="AO48" s="200"/>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5" t="s">
        <v>280</v>
      </c>
      <c r="AD49" s="87"/>
      <c r="AE49" s="87"/>
      <c r="AF49" s="115"/>
      <c r="AG49" s="201"/>
      <c r="AH49" s="116"/>
      <c r="AI49" s="117"/>
      <c r="AJ49" s="115"/>
      <c r="AK49" s="201"/>
      <c r="AL49" s="116"/>
      <c r="AM49" s="117"/>
      <c r="AN49" s="115"/>
      <c r="AO49" s="201"/>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4" t="s">
        <v>281</v>
      </c>
      <c r="AD50" s="54"/>
      <c r="AE50" s="54"/>
      <c r="AF50" s="112"/>
      <c r="AG50" s="200"/>
      <c r="AH50" s="113"/>
      <c r="AI50" s="114"/>
      <c r="AJ50" s="112"/>
      <c r="AK50" s="200"/>
      <c r="AL50" s="113"/>
      <c r="AM50" s="114"/>
      <c r="AN50" s="112"/>
      <c r="AO50" s="200"/>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5" t="s">
        <v>282</v>
      </c>
      <c r="AD51" s="87"/>
      <c r="AE51" s="87"/>
      <c r="AF51" s="115"/>
      <c r="AG51" s="201"/>
      <c r="AH51" s="122"/>
      <c r="AI51" s="123"/>
      <c r="AJ51" s="115"/>
      <c r="AK51" s="201"/>
      <c r="AL51" s="122"/>
      <c r="AM51" s="123"/>
      <c r="AN51" s="115"/>
      <c r="AO51" s="201"/>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4" t="s">
        <v>283</v>
      </c>
      <c r="AD52" s="54"/>
      <c r="AE52" s="54"/>
      <c r="AF52" s="112"/>
      <c r="AG52" s="200"/>
      <c r="AH52" s="122"/>
      <c r="AI52" s="123"/>
      <c r="AJ52" s="112"/>
      <c r="AK52" s="200"/>
      <c r="AL52" s="122"/>
      <c r="AM52" s="123"/>
      <c r="AN52" s="112"/>
      <c r="AO52" s="200"/>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5" t="s">
        <v>131</v>
      </c>
      <c r="AD53" s="87"/>
      <c r="AE53" s="87"/>
      <c r="AF53" s="115"/>
      <c r="AG53" s="201"/>
      <c r="AH53" s="116"/>
      <c r="AI53" s="117"/>
      <c r="AJ53" s="115"/>
      <c r="AK53" s="201"/>
      <c r="AL53" s="116"/>
      <c r="AM53" s="117"/>
      <c r="AN53" s="115"/>
      <c r="AO53" s="201"/>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3"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7"/>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4" t="s">
        <v>276</v>
      </c>
      <c r="AD56" s="54"/>
      <c r="AE56" s="54"/>
      <c r="AF56" s="112"/>
      <c r="AG56" s="200"/>
      <c r="AH56" s="113"/>
      <c r="AI56" s="114"/>
      <c r="AJ56" s="112"/>
      <c r="AK56" s="200"/>
      <c r="AL56" s="113"/>
      <c r="AM56" s="114"/>
      <c r="AN56" s="112"/>
      <c r="AO56" s="200"/>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5" t="s">
        <v>277</v>
      </c>
      <c r="AD57" s="87"/>
      <c r="AE57" s="87"/>
      <c r="AF57" s="115"/>
      <c r="AG57" s="201"/>
      <c r="AH57" s="116"/>
      <c r="AI57" s="117"/>
      <c r="AJ57" s="115"/>
      <c r="AK57" s="201"/>
      <c r="AL57" s="116"/>
      <c r="AM57" s="117"/>
      <c r="AN57" s="115"/>
      <c r="AO57" s="201"/>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4" t="s">
        <v>38</v>
      </c>
      <c r="AD58" s="54"/>
      <c r="AE58" s="54"/>
      <c r="AF58" s="112"/>
      <c r="AG58" s="200"/>
      <c r="AH58" s="113"/>
      <c r="AI58" s="114"/>
      <c r="AJ58" s="112"/>
      <c r="AK58" s="200"/>
      <c r="AL58" s="113"/>
      <c r="AM58" s="114"/>
      <c r="AN58" s="112"/>
      <c r="AO58" s="200"/>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5" t="s">
        <v>130</v>
      </c>
      <c r="AD59" s="87"/>
      <c r="AE59" s="87"/>
      <c r="AF59" s="115"/>
      <c r="AG59" s="201"/>
      <c r="AH59" s="116"/>
      <c r="AI59" s="117"/>
      <c r="AJ59" s="115"/>
      <c r="AK59" s="201"/>
      <c r="AL59" s="116"/>
      <c r="AM59" s="117"/>
      <c r="AN59" s="115"/>
      <c r="AO59" s="201"/>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4" t="s">
        <v>42</v>
      </c>
      <c r="AD60" s="54"/>
      <c r="AE60" s="54"/>
      <c r="AF60" s="112"/>
      <c r="AG60" s="200"/>
      <c r="AH60" s="122"/>
      <c r="AI60" s="123"/>
      <c r="AJ60" s="112"/>
      <c r="AK60" s="200"/>
      <c r="AL60" s="122"/>
      <c r="AM60" s="123"/>
      <c r="AN60" s="112"/>
      <c r="AO60" s="200"/>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5" t="s">
        <v>278</v>
      </c>
      <c r="AD61" s="87"/>
      <c r="AE61" s="87"/>
      <c r="AF61" s="115"/>
      <c r="AG61" s="201"/>
      <c r="AH61" s="116"/>
      <c r="AI61" s="117"/>
      <c r="AJ61" s="115"/>
      <c r="AK61" s="201"/>
      <c r="AL61" s="116"/>
      <c r="AM61" s="117"/>
      <c r="AN61" s="115"/>
      <c r="AO61" s="201"/>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4" t="s">
        <v>121</v>
      </c>
      <c r="AD62" s="54"/>
      <c r="AE62" s="54"/>
      <c r="AF62" s="112"/>
      <c r="AG62" s="200"/>
      <c r="AH62" s="122"/>
      <c r="AI62" s="123"/>
      <c r="AJ62" s="112"/>
      <c r="AK62" s="200"/>
      <c r="AL62" s="122"/>
      <c r="AM62" s="123"/>
      <c r="AN62" s="112"/>
      <c r="AO62" s="200"/>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5" t="s">
        <v>279</v>
      </c>
      <c r="AD63" s="87"/>
      <c r="AE63" s="87"/>
      <c r="AF63" s="115"/>
      <c r="AG63" s="201"/>
      <c r="AH63" s="116"/>
      <c r="AI63" s="117"/>
      <c r="AJ63" s="115"/>
      <c r="AK63" s="201"/>
      <c r="AL63" s="116"/>
      <c r="AM63" s="117"/>
      <c r="AN63" s="115"/>
      <c r="AO63" s="201"/>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4" t="s">
        <v>41</v>
      </c>
      <c r="AD64" s="54"/>
      <c r="AE64" s="54"/>
      <c r="AF64" s="112"/>
      <c r="AG64" s="200"/>
      <c r="AH64" s="113"/>
      <c r="AI64" s="114"/>
      <c r="AJ64" s="112"/>
      <c r="AK64" s="200"/>
      <c r="AL64" s="113"/>
      <c r="AM64" s="114"/>
      <c r="AN64" s="112"/>
      <c r="AO64" s="200"/>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5" t="s">
        <v>280</v>
      </c>
      <c r="AD65" s="87"/>
      <c r="AE65" s="87"/>
      <c r="AF65" s="115"/>
      <c r="AG65" s="201"/>
      <c r="AH65" s="116"/>
      <c r="AI65" s="117"/>
      <c r="AJ65" s="115"/>
      <c r="AK65" s="201"/>
      <c r="AL65" s="116"/>
      <c r="AM65" s="117"/>
      <c r="AN65" s="115"/>
      <c r="AO65" s="201"/>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4" t="s">
        <v>281</v>
      </c>
      <c r="AD66" s="54"/>
      <c r="AE66" s="54"/>
      <c r="AF66" s="112"/>
      <c r="AG66" s="200"/>
      <c r="AH66" s="113"/>
      <c r="AI66" s="114"/>
      <c r="AJ66" s="112"/>
      <c r="AK66" s="200"/>
      <c r="AL66" s="113"/>
      <c r="AM66" s="114"/>
      <c r="AN66" s="112"/>
      <c r="AO66" s="200"/>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5" t="s">
        <v>282</v>
      </c>
      <c r="AD67" s="87"/>
      <c r="AE67" s="87"/>
      <c r="AF67" s="115"/>
      <c r="AG67" s="201"/>
      <c r="AH67" s="122"/>
      <c r="AI67" s="123"/>
      <c r="AJ67" s="115"/>
      <c r="AK67" s="201"/>
      <c r="AL67" s="122"/>
      <c r="AM67" s="123"/>
      <c r="AN67" s="115"/>
      <c r="AO67" s="201"/>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4" t="s">
        <v>283</v>
      </c>
      <c r="AD68" s="54"/>
      <c r="AE68" s="54"/>
      <c r="AF68" s="112"/>
      <c r="AG68" s="200"/>
      <c r="AH68" s="122"/>
      <c r="AI68" s="123"/>
      <c r="AJ68" s="112"/>
      <c r="AK68" s="200"/>
      <c r="AL68" s="122"/>
      <c r="AM68" s="123"/>
      <c r="AN68" s="112"/>
      <c r="AO68" s="200"/>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5" t="s">
        <v>131</v>
      </c>
      <c r="AD69" s="87"/>
      <c r="AE69" s="87"/>
      <c r="AF69" s="115"/>
      <c r="AG69" s="201"/>
      <c r="AH69" s="116"/>
      <c r="AI69" s="117"/>
      <c r="AJ69" s="115"/>
      <c r="AK69" s="201"/>
      <c r="AL69" s="116"/>
      <c r="AM69" s="117"/>
      <c r="AN69" s="115"/>
      <c r="AO69" s="201"/>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3"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7"/>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4" t="s">
        <v>276</v>
      </c>
      <c r="AD72" s="54"/>
      <c r="AE72" s="54"/>
      <c r="AF72" s="112"/>
      <c r="AG72" s="200"/>
      <c r="AH72" s="113"/>
      <c r="AI72" s="114"/>
      <c r="AJ72" s="112"/>
      <c r="AK72" s="200"/>
      <c r="AL72" s="113"/>
      <c r="AM72" s="114"/>
      <c r="AN72" s="112"/>
      <c r="AO72" s="200"/>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5" t="s">
        <v>277</v>
      </c>
      <c r="AD73" s="87"/>
      <c r="AE73" s="87"/>
      <c r="AF73" s="115"/>
      <c r="AG73" s="201"/>
      <c r="AH73" s="116"/>
      <c r="AI73" s="117"/>
      <c r="AJ73" s="115"/>
      <c r="AK73" s="201"/>
      <c r="AL73" s="116"/>
      <c r="AM73" s="117"/>
      <c r="AN73" s="115"/>
      <c r="AO73" s="201"/>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4" t="s">
        <v>38</v>
      </c>
      <c r="AD74" s="54"/>
      <c r="AE74" s="54"/>
      <c r="AF74" s="112"/>
      <c r="AG74" s="200"/>
      <c r="AH74" s="113"/>
      <c r="AI74" s="114"/>
      <c r="AJ74" s="112"/>
      <c r="AK74" s="200"/>
      <c r="AL74" s="113"/>
      <c r="AM74" s="114"/>
      <c r="AN74" s="112"/>
      <c r="AO74" s="200"/>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5" t="s">
        <v>130</v>
      </c>
      <c r="AD75" s="87"/>
      <c r="AE75" s="87"/>
      <c r="AF75" s="115"/>
      <c r="AG75" s="201"/>
      <c r="AH75" s="116"/>
      <c r="AI75" s="117"/>
      <c r="AJ75" s="115"/>
      <c r="AK75" s="201"/>
      <c r="AL75" s="116"/>
      <c r="AM75" s="117"/>
      <c r="AN75" s="115"/>
      <c r="AO75" s="201"/>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4" t="s">
        <v>42</v>
      </c>
      <c r="AD76" s="54"/>
      <c r="AE76" s="54"/>
      <c r="AF76" s="112"/>
      <c r="AG76" s="200"/>
      <c r="AH76" s="122"/>
      <c r="AI76" s="123"/>
      <c r="AJ76" s="112"/>
      <c r="AK76" s="200"/>
      <c r="AL76" s="122"/>
      <c r="AM76" s="123"/>
      <c r="AN76" s="112"/>
      <c r="AO76" s="200"/>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5" t="s">
        <v>278</v>
      </c>
      <c r="AD77" s="87"/>
      <c r="AE77" s="87"/>
      <c r="AF77" s="115"/>
      <c r="AG77" s="201"/>
      <c r="AH77" s="116"/>
      <c r="AI77" s="117"/>
      <c r="AJ77" s="115"/>
      <c r="AK77" s="201"/>
      <c r="AL77" s="116"/>
      <c r="AM77" s="117"/>
      <c r="AN77" s="115"/>
      <c r="AO77" s="201"/>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4" t="s">
        <v>121</v>
      </c>
      <c r="AD78" s="54"/>
      <c r="AE78" s="54"/>
      <c r="AF78" s="112"/>
      <c r="AG78" s="200"/>
      <c r="AH78" s="122"/>
      <c r="AI78" s="123"/>
      <c r="AJ78" s="112"/>
      <c r="AK78" s="200"/>
      <c r="AL78" s="122"/>
      <c r="AM78" s="123"/>
      <c r="AN78" s="112"/>
      <c r="AO78" s="200"/>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5" t="s">
        <v>279</v>
      </c>
      <c r="AD79" s="87"/>
      <c r="AE79" s="87"/>
      <c r="AF79" s="115"/>
      <c r="AG79" s="201"/>
      <c r="AH79" s="116"/>
      <c r="AI79" s="117"/>
      <c r="AJ79" s="115"/>
      <c r="AK79" s="201"/>
      <c r="AL79" s="116"/>
      <c r="AM79" s="117"/>
      <c r="AN79" s="115"/>
      <c r="AO79" s="201"/>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4" t="s">
        <v>41</v>
      </c>
      <c r="AD80" s="54"/>
      <c r="AE80" s="54"/>
      <c r="AF80" s="112"/>
      <c r="AG80" s="200"/>
      <c r="AH80" s="113"/>
      <c r="AI80" s="114"/>
      <c r="AJ80" s="112"/>
      <c r="AK80" s="200"/>
      <c r="AL80" s="113"/>
      <c r="AM80" s="114"/>
      <c r="AN80" s="112"/>
      <c r="AO80" s="200"/>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5" t="s">
        <v>280</v>
      </c>
      <c r="AD81" s="87"/>
      <c r="AE81" s="87"/>
      <c r="AF81" s="115"/>
      <c r="AG81" s="201"/>
      <c r="AH81" s="116"/>
      <c r="AI81" s="117"/>
      <c r="AJ81" s="115"/>
      <c r="AK81" s="201"/>
      <c r="AL81" s="116"/>
      <c r="AM81" s="117"/>
      <c r="AN81" s="115"/>
      <c r="AO81" s="201"/>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4" t="s">
        <v>281</v>
      </c>
      <c r="AD82" s="54"/>
      <c r="AE82" s="54"/>
      <c r="AF82" s="112"/>
      <c r="AG82" s="200"/>
      <c r="AH82" s="113"/>
      <c r="AI82" s="114"/>
      <c r="AJ82" s="112"/>
      <c r="AK82" s="200"/>
      <c r="AL82" s="113"/>
      <c r="AM82" s="114"/>
      <c r="AN82" s="112"/>
      <c r="AO82" s="200"/>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5" t="s">
        <v>282</v>
      </c>
      <c r="AD83" s="87"/>
      <c r="AE83" s="87"/>
      <c r="AF83" s="115"/>
      <c r="AG83" s="201"/>
      <c r="AH83" s="122"/>
      <c r="AI83" s="123"/>
      <c r="AJ83" s="115"/>
      <c r="AK83" s="201"/>
      <c r="AL83" s="122"/>
      <c r="AM83" s="123"/>
      <c r="AN83" s="115"/>
      <c r="AO83" s="201"/>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4" t="s">
        <v>283</v>
      </c>
      <c r="AD84" s="54"/>
      <c r="AE84" s="54"/>
      <c r="AF84" s="112"/>
      <c r="AG84" s="200"/>
      <c r="AH84" s="122"/>
      <c r="AI84" s="123"/>
      <c r="AJ84" s="112"/>
      <c r="AK84" s="200"/>
      <c r="AL84" s="122"/>
      <c r="AM84" s="123"/>
      <c r="AN84" s="112"/>
      <c r="AO84" s="200"/>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5" t="s">
        <v>131</v>
      </c>
      <c r="AD85" s="87"/>
      <c r="AE85" s="87"/>
      <c r="AF85" s="115"/>
      <c r="AG85" s="201"/>
      <c r="AH85" s="116"/>
      <c r="AI85" s="117"/>
      <c r="AJ85" s="115"/>
      <c r="AK85" s="201"/>
      <c r="AL85" s="116"/>
      <c r="AM85" s="117"/>
      <c r="AN85" s="115"/>
      <c r="AO85" s="201"/>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3"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7"/>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4" t="s">
        <v>276</v>
      </c>
      <c r="AD88" s="54"/>
      <c r="AE88" s="54"/>
      <c r="AF88" s="112"/>
      <c r="AG88" s="200"/>
      <c r="AH88" s="113"/>
      <c r="AI88" s="114"/>
      <c r="AJ88" s="112"/>
      <c r="AK88" s="200"/>
      <c r="AL88" s="113"/>
      <c r="AM88" s="114"/>
      <c r="AN88" s="112"/>
      <c r="AO88" s="200"/>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5" t="s">
        <v>277</v>
      </c>
      <c r="AD89" s="87"/>
      <c r="AE89" s="87"/>
      <c r="AF89" s="115"/>
      <c r="AG89" s="201"/>
      <c r="AH89" s="116"/>
      <c r="AI89" s="117"/>
      <c r="AJ89" s="115"/>
      <c r="AK89" s="201"/>
      <c r="AL89" s="116"/>
      <c r="AM89" s="117"/>
      <c r="AN89" s="115"/>
      <c r="AO89" s="201"/>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4" t="s">
        <v>38</v>
      </c>
      <c r="AD90" s="54"/>
      <c r="AE90" s="54"/>
      <c r="AF90" s="112"/>
      <c r="AG90" s="200"/>
      <c r="AH90" s="113"/>
      <c r="AI90" s="114"/>
      <c r="AJ90" s="112"/>
      <c r="AK90" s="200"/>
      <c r="AL90" s="113"/>
      <c r="AM90" s="114"/>
      <c r="AN90" s="112"/>
      <c r="AO90" s="200"/>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5" t="s">
        <v>130</v>
      </c>
      <c r="AD91" s="87"/>
      <c r="AE91" s="87"/>
      <c r="AF91" s="115"/>
      <c r="AG91" s="201"/>
      <c r="AH91" s="116"/>
      <c r="AI91" s="117"/>
      <c r="AJ91" s="115"/>
      <c r="AK91" s="201"/>
      <c r="AL91" s="116"/>
      <c r="AM91" s="117"/>
      <c r="AN91" s="115"/>
      <c r="AO91" s="201"/>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4" t="s">
        <v>42</v>
      </c>
      <c r="AD92" s="54"/>
      <c r="AE92" s="54"/>
      <c r="AF92" s="112"/>
      <c r="AG92" s="200"/>
      <c r="AH92" s="122"/>
      <c r="AI92" s="123"/>
      <c r="AJ92" s="112"/>
      <c r="AK92" s="200"/>
      <c r="AL92" s="122"/>
      <c r="AM92" s="123"/>
      <c r="AN92" s="112"/>
      <c r="AO92" s="200"/>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5" t="s">
        <v>278</v>
      </c>
      <c r="AD93" s="87"/>
      <c r="AE93" s="87"/>
      <c r="AF93" s="115"/>
      <c r="AG93" s="201"/>
      <c r="AH93" s="116"/>
      <c r="AI93" s="117"/>
      <c r="AJ93" s="115"/>
      <c r="AK93" s="201"/>
      <c r="AL93" s="116"/>
      <c r="AM93" s="117"/>
      <c r="AN93" s="115"/>
      <c r="AO93" s="201"/>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4" t="s">
        <v>121</v>
      </c>
      <c r="AD94" s="54"/>
      <c r="AE94" s="54"/>
      <c r="AF94" s="112"/>
      <c r="AG94" s="200"/>
      <c r="AH94" s="122"/>
      <c r="AI94" s="123"/>
      <c r="AJ94" s="112"/>
      <c r="AK94" s="200"/>
      <c r="AL94" s="122"/>
      <c r="AM94" s="123"/>
      <c r="AN94" s="112"/>
      <c r="AO94" s="200"/>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5" t="s">
        <v>279</v>
      </c>
      <c r="AD95" s="87"/>
      <c r="AE95" s="87"/>
      <c r="AF95" s="115"/>
      <c r="AG95" s="201"/>
      <c r="AH95" s="116"/>
      <c r="AI95" s="117"/>
      <c r="AJ95" s="115"/>
      <c r="AK95" s="201"/>
      <c r="AL95" s="116"/>
      <c r="AM95" s="117"/>
      <c r="AN95" s="115"/>
      <c r="AO95" s="201"/>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4" t="s">
        <v>41</v>
      </c>
      <c r="AD96" s="54"/>
      <c r="AE96" s="54"/>
      <c r="AF96" s="112"/>
      <c r="AG96" s="200"/>
      <c r="AH96" s="113"/>
      <c r="AI96" s="114"/>
      <c r="AJ96" s="112"/>
      <c r="AK96" s="200"/>
      <c r="AL96" s="113"/>
      <c r="AM96" s="114"/>
      <c r="AN96" s="112"/>
      <c r="AO96" s="200"/>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5" t="s">
        <v>280</v>
      </c>
      <c r="AD97" s="87"/>
      <c r="AE97" s="87"/>
      <c r="AF97" s="115"/>
      <c r="AG97" s="201"/>
      <c r="AH97" s="116"/>
      <c r="AI97" s="117"/>
      <c r="AJ97" s="115"/>
      <c r="AK97" s="201"/>
      <c r="AL97" s="116"/>
      <c r="AM97" s="117"/>
      <c r="AN97" s="115"/>
      <c r="AO97" s="201"/>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4" t="s">
        <v>281</v>
      </c>
      <c r="AD98" s="54"/>
      <c r="AE98" s="54"/>
      <c r="AF98" s="112"/>
      <c r="AG98" s="200"/>
      <c r="AH98" s="113"/>
      <c r="AI98" s="114"/>
      <c r="AJ98" s="112"/>
      <c r="AK98" s="200"/>
      <c r="AL98" s="113"/>
      <c r="AM98" s="114"/>
      <c r="AN98" s="112"/>
      <c r="AO98" s="200"/>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5" t="s">
        <v>282</v>
      </c>
      <c r="AD99" s="87"/>
      <c r="AE99" s="87"/>
      <c r="AF99" s="115"/>
      <c r="AG99" s="201"/>
      <c r="AH99" s="122"/>
      <c r="AI99" s="123"/>
      <c r="AJ99" s="115"/>
      <c r="AK99" s="201"/>
      <c r="AL99" s="122"/>
      <c r="AM99" s="123"/>
      <c r="AN99" s="115"/>
      <c r="AO99" s="201"/>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4" t="s">
        <v>283</v>
      </c>
      <c r="AD100" s="54"/>
      <c r="AE100" s="54"/>
      <c r="AF100" s="112"/>
      <c r="AG100" s="200"/>
      <c r="AH100" s="122"/>
      <c r="AI100" s="123"/>
      <c r="AJ100" s="112"/>
      <c r="AK100" s="200"/>
      <c r="AL100" s="122"/>
      <c r="AM100" s="123"/>
      <c r="AN100" s="112"/>
      <c r="AO100" s="200"/>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5" t="s">
        <v>131</v>
      </c>
      <c r="AD101" s="87"/>
      <c r="AE101" s="87"/>
      <c r="AF101" s="115"/>
      <c r="AG101" s="201"/>
      <c r="AH101" s="116"/>
      <c r="AI101" s="117"/>
      <c r="AJ101" s="115"/>
      <c r="AK101" s="201"/>
      <c r="AL101" s="116"/>
      <c r="AM101" s="117"/>
      <c r="AN101" s="115"/>
      <c r="AO101" s="201"/>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3"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7"/>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7"/>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4" t="s">
        <v>284</v>
      </c>
      <c r="AD105" s="54"/>
      <c r="AE105" s="54"/>
      <c r="AF105" s="112"/>
      <c r="AG105" s="200"/>
      <c r="AH105" s="122"/>
      <c r="AI105" s="123"/>
      <c r="AJ105" s="112"/>
      <c r="AK105" s="200"/>
      <c r="AL105" s="122"/>
      <c r="AM105" s="123"/>
      <c r="AN105" s="112"/>
      <c r="AO105" s="200"/>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5" t="s">
        <v>285</v>
      </c>
      <c r="AD106" s="87"/>
      <c r="AE106" s="87"/>
      <c r="AF106" s="115"/>
      <c r="AG106" s="201"/>
      <c r="AH106" s="116"/>
      <c r="AI106" s="117"/>
      <c r="AJ106" s="115"/>
      <c r="AK106" s="201"/>
      <c r="AL106" s="116"/>
      <c r="AM106" s="117"/>
      <c r="AN106" s="115"/>
      <c r="AO106" s="201"/>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4" t="s">
        <v>287</v>
      </c>
      <c r="AD107" s="54"/>
      <c r="AE107" s="54"/>
      <c r="AF107" s="112"/>
      <c r="AG107" s="200"/>
      <c r="AH107" s="113"/>
      <c r="AI107" s="114"/>
      <c r="AJ107" s="112"/>
      <c r="AK107" s="200"/>
      <c r="AL107" s="113"/>
      <c r="AM107" s="114"/>
      <c r="AN107" s="112"/>
      <c r="AO107" s="200"/>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5" t="s">
        <v>286</v>
      </c>
      <c r="AD108" s="87"/>
      <c r="AE108" s="87"/>
      <c r="AF108" s="115"/>
      <c r="AG108" s="201"/>
      <c r="AH108" s="116"/>
      <c r="AI108" s="117"/>
      <c r="AJ108" s="115"/>
      <c r="AK108" s="201"/>
      <c r="AL108" s="116"/>
      <c r="AM108" s="117"/>
      <c r="AN108" s="115"/>
      <c r="AO108" s="201"/>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4" t="s">
        <v>288</v>
      </c>
      <c r="AD109" s="54"/>
      <c r="AE109" s="54"/>
      <c r="AF109" s="112"/>
      <c r="AG109" s="200"/>
      <c r="AH109" s="113"/>
      <c r="AI109" s="114"/>
      <c r="AJ109" s="112"/>
      <c r="AK109" s="200"/>
      <c r="AL109" s="113"/>
      <c r="AM109" s="114"/>
      <c r="AN109" s="112"/>
      <c r="AO109" s="200"/>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5" t="s">
        <v>289</v>
      </c>
      <c r="AD110" s="87"/>
      <c r="AE110" s="87"/>
      <c r="AF110" s="115"/>
      <c r="AG110" s="201"/>
      <c r="AH110" s="116"/>
      <c r="AI110" s="117"/>
      <c r="AJ110" s="115"/>
      <c r="AK110" s="201"/>
      <c r="AL110" s="116"/>
      <c r="AM110" s="117"/>
      <c r="AN110" s="115"/>
      <c r="AO110" s="201"/>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4" t="s">
        <v>132</v>
      </c>
      <c r="AD111" s="54"/>
      <c r="AE111" s="54"/>
      <c r="AF111" s="112"/>
      <c r="AG111" s="200"/>
      <c r="AH111" s="113"/>
      <c r="AI111" s="114"/>
      <c r="AJ111" s="112"/>
      <c r="AK111" s="200"/>
      <c r="AL111" s="113"/>
      <c r="AM111" s="114"/>
      <c r="AN111" s="112"/>
      <c r="AO111" s="200"/>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5" t="s">
        <v>290</v>
      </c>
      <c r="AD112" s="87"/>
      <c r="AE112" s="87"/>
      <c r="AF112" s="115"/>
      <c r="AG112" s="201"/>
      <c r="AH112" s="116"/>
      <c r="AI112" s="117"/>
      <c r="AJ112" s="115"/>
      <c r="AK112" s="201"/>
      <c r="AL112" s="116"/>
      <c r="AM112" s="117"/>
      <c r="AN112" s="115"/>
      <c r="AO112" s="201"/>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4" t="s">
        <v>291</v>
      </c>
      <c r="AD113" s="54"/>
      <c r="AE113" s="54"/>
      <c r="AF113" s="112"/>
      <c r="AG113" s="200"/>
      <c r="AH113" s="113"/>
      <c r="AI113" s="114"/>
      <c r="AJ113" s="112"/>
      <c r="AK113" s="200"/>
      <c r="AL113" s="113"/>
      <c r="AM113" s="114"/>
      <c r="AN113" s="112"/>
      <c r="AO113" s="200"/>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5" t="s">
        <v>292</v>
      </c>
      <c r="AD114" s="87"/>
      <c r="AE114" s="87"/>
      <c r="AF114" s="115"/>
      <c r="AG114" s="201"/>
      <c r="AH114" s="122"/>
      <c r="AI114" s="123"/>
      <c r="AJ114" s="115"/>
      <c r="AK114" s="201"/>
      <c r="AL114" s="122"/>
      <c r="AM114" s="123"/>
      <c r="AN114" s="115"/>
      <c r="AO114" s="201"/>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4" t="s">
        <v>293</v>
      </c>
      <c r="AD115" s="54"/>
      <c r="AE115" s="54"/>
      <c r="AF115" s="112"/>
      <c r="AG115" s="200"/>
      <c r="AH115" s="122"/>
      <c r="AI115" s="123"/>
      <c r="AJ115" s="112"/>
      <c r="AK115" s="200"/>
      <c r="AL115" s="122"/>
      <c r="AM115" s="123"/>
      <c r="AN115" s="112"/>
      <c r="AO115" s="200"/>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5" t="s">
        <v>294</v>
      </c>
      <c r="AD116" s="87"/>
      <c r="AE116" s="87"/>
      <c r="AF116" s="115"/>
      <c r="AG116" s="201"/>
      <c r="AH116" s="116"/>
      <c r="AI116" s="117"/>
      <c r="AJ116" s="115"/>
      <c r="AK116" s="201"/>
      <c r="AL116" s="116"/>
      <c r="AM116" s="117"/>
      <c r="AN116" s="115"/>
      <c r="AO116" s="201"/>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4" t="s">
        <v>5</v>
      </c>
      <c r="AD117" s="54"/>
      <c r="AE117" s="54"/>
      <c r="AF117" s="112"/>
      <c r="AG117" s="200"/>
      <c r="AH117" s="113"/>
      <c r="AI117" s="114"/>
      <c r="AJ117" s="112"/>
      <c r="AK117" s="200"/>
      <c r="AL117" s="113"/>
      <c r="AM117" s="114"/>
      <c r="AN117" s="112"/>
      <c r="AO117" s="200"/>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5" t="s">
        <v>295</v>
      </c>
      <c r="AD118" s="87"/>
      <c r="AE118" s="87"/>
      <c r="AF118" s="115"/>
      <c r="AG118" s="201"/>
      <c r="AH118" s="116"/>
      <c r="AI118" s="117"/>
      <c r="AJ118" s="115"/>
      <c r="AK118" s="201"/>
      <c r="AL118" s="116"/>
      <c r="AM118" s="117"/>
      <c r="AN118" s="115"/>
      <c r="AO118" s="201"/>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4" t="s">
        <v>32</v>
      </c>
      <c r="AD119" s="54"/>
      <c r="AE119" s="54"/>
      <c r="AF119" s="112"/>
      <c r="AG119" s="200"/>
      <c r="AH119" s="122"/>
      <c r="AI119" s="123"/>
      <c r="AJ119" s="112"/>
      <c r="AK119" s="200"/>
      <c r="AL119" s="122"/>
      <c r="AM119" s="123"/>
      <c r="AN119" s="112"/>
      <c r="AO119" s="200"/>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3"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7"/>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7"/>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4" t="s">
        <v>284</v>
      </c>
      <c r="AD123" s="54"/>
      <c r="AE123" s="54"/>
      <c r="AF123" s="112"/>
      <c r="AG123" s="200"/>
      <c r="AH123" s="122"/>
      <c r="AI123" s="123"/>
      <c r="AJ123" s="112"/>
      <c r="AK123" s="200"/>
      <c r="AL123" s="122"/>
      <c r="AM123" s="123"/>
      <c r="AN123" s="112"/>
      <c r="AO123" s="200"/>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5" t="s">
        <v>285</v>
      </c>
      <c r="AD124" s="87"/>
      <c r="AE124" s="87"/>
      <c r="AF124" s="115"/>
      <c r="AG124" s="201"/>
      <c r="AH124" s="116"/>
      <c r="AI124" s="117"/>
      <c r="AJ124" s="115"/>
      <c r="AK124" s="201"/>
      <c r="AL124" s="116"/>
      <c r="AM124" s="117"/>
      <c r="AN124" s="115"/>
      <c r="AO124" s="201"/>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4" t="s">
        <v>287</v>
      </c>
      <c r="AD125" s="54"/>
      <c r="AE125" s="54"/>
      <c r="AF125" s="112"/>
      <c r="AG125" s="200"/>
      <c r="AH125" s="113"/>
      <c r="AI125" s="114"/>
      <c r="AJ125" s="112"/>
      <c r="AK125" s="200"/>
      <c r="AL125" s="113"/>
      <c r="AM125" s="114"/>
      <c r="AN125" s="112"/>
      <c r="AO125" s="200"/>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5" t="s">
        <v>286</v>
      </c>
      <c r="AD126" s="87"/>
      <c r="AE126" s="87"/>
      <c r="AF126" s="115"/>
      <c r="AG126" s="201"/>
      <c r="AH126" s="116"/>
      <c r="AI126" s="117"/>
      <c r="AJ126" s="115"/>
      <c r="AK126" s="201"/>
      <c r="AL126" s="116"/>
      <c r="AM126" s="117"/>
      <c r="AN126" s="115"/>
      <c r="AO126" s="201"/>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4" t="s">
        <v>288</v>
      </c>
      <c r="AD127" s="54"/>
      <c r="AE127" s="54"/>
      <c r="AF127" s="112"/>
      <c r="AG127" s="200"/>
      <c r="AH127" s="113"/>
      <c r="AI127" s="114"/>
      <c r="AJ127" s="112"/>
      <c r="AK127" s="200"/>
      <c r="AL127" s="113"/>
      <c r="AM127" s="114"/>
      <c r="AN127" s="112"/>
      <c r="AO127" s="200"/>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5" t="s">
        <v>289</v>
      </c>
      <c r="AD128" s="87"/>
      <c r="AE128" s="87"/>
      <c r="AF128" s="115"/>
      <c r="AG128" s="201"/>
      <c r="AH128" s="116"/>
      <c r="AI128" s="117"/>
      <c r="AJ128" s="115"/>
      <c r="AK128" s="201"/>
      <c r="AL128" s="116"/>
      <c r="AM128" s="117"/>
      <c r="AN128" s="115"/>
      <c r="AO128" s="201"/>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4" t="s">
        <v>132</v>
      </c>
      <c r="AD129" s="54"/>
      <c r="AE129" s="54"/>
      <c r="AF129" s="112"/>
      <c r="AG129" s="200"/>
      <c r="AH129" s="113"/>
      <c r="AI129" s="114"/>
      <c r="AJ129" s="112"/>
      <c r="AK129" s="200"/>
      <c r="AL129" s="113"/>
      <c r="AM129" s="114"/>
      <c r="AN129" s="112"/>
      <c r="AO129" s="200"/>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5" t="s">
        <v>290</v>
      </c>
      <c r="AD130" s="87"/>
      <c r="AE130" s="87"/>
      <c r="AF130" s="115"/>
      <c r="AG130" s="201"/>
      <c r="AH130" s="116"/>
      <c r="AI130" s="117"/>
      <c r="AJ130" s="115"/>
      <c r="AK130" s="201"/>
      <c r="AL130" s="116"/>
      <c r="AM130" s="117"/>
      <c r="AN130" s="115"/>
      <c r="AO130" s="201"/>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4" t="s">
        <v>291</v>
      </c>
      <c r="AD131" s="54"/>
      <c r="AE131" s="54"/>
      <c r="AF131" s="112"/>
      <c r="AG131" s="200"/>
      <c r="AH131" s="113"/>
      <c r="AI131" s="114"/>
      <c r="AJ131" s="112"/>
      <c r="AK131" s="200"/>
      <c r="AL131" s="113"/>
      <c r="AM131" s="114"/>
      <c r="AN131" s="112"/>
      <c r="AO131" s="200"/>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5" t="s">
        <v>292</v>
      </c>
      <c r="AD132" s="87"/>
      <c r="AE132" s="87"/>
      <c r="AF132" s="115"/>
      <c r="AG132" s="201"/>
      <c r="AH132" s="122"/>
      <c r="AI132" s="123"/>
      <c r="AJ132" s="115"/>
      <c r="AK132" s="201"/>
      <c r="AL132" s="122"/>
      <c r="AM132" s="123"/>
      <c r="AN132" s="115"/>
      <c r="AO132" s="201"/>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4" t="s">
        <v>293</v>
      </c>
      <c r="AD133" s="54"/>
      <c r="AE133" s="54"/>
      <c r="AF133" s="112"/>
      <c r="AG133" s="200"/>
      <c r="AH133" s="122"/>
      <c r="AI133" s="123"/>
      <c r="AJ133" s="112"/>
      <c r="AK133" s="200"/>
      <c r="AL133" s="122"/>
      <c r="AM133" s="123"/>
      <c r="AN133" s="112"/>
      <c r="AO133" s="200"/>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5" t="s">
        <v>294</v>
      </c>
      <c r="AD134" s="87"/>
      <c r="AE134" s="87"/>
      <c r="AF134" s="115"/>
      <c r="AG134" s="201"/>
      <c r="AH134" s="116"/>
      <c r="AI134" s="117"/>
      <c r="AJ134" s="115"/>
      <c r="AK134" s="201"/>
      <c r="AL134" s="116"/>
      <c r="AM134" s="117"/>
      <c r="AN134" s="115"/>
      <c r="AO134" s="201"/>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4" t="s">
        <v>5</v>
      </c>
      <c r="AD135" s="54"/>
      <c r="AE135" s="54"/>
      <c r="AF135" s="112"/>
      <c r="AG135" s="200"/>
      <c r="AH135" s="113"/>
      <c r="AI135" s="114"/>
      <c r="AJ135" s="112"/>
      <c r="AK135" s="200"/>
      <c r="AL135" s="113"/>
      <c r="AM135" s="114"/>
      <c r="AN135" s="112"/>
      <c r="AO135" s="200"/>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5" t="s">
        <v>295</v>
      </c>
      <c r="AD136" s="87"/>
      <c r="AE136" s="87"/>
      <c r="AF136" s="115"/>
      <c r="AG136" s="201"/>
      <c r="AH136" s="116"/>
      <c r="AI136" s="117"/>
      <c r="AJ136" s="115"/>
      <c r="AK136" s="201"/>
      <c r="AL136" s="116"/>
      <c r="AM136" s="117"/>
      <c r="AN136" s="115"/>
      <c r="AO136" s="201"/>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4" t="s">
        <v>32</v>
      </c>
      <c r="AD137" s="54"/>
      <c r="AE137" s="54"/>
      <c r="AF137" s="112"/>
      <c r="AG137" s="200"/>
      <c r="AH137" s="122"/>
      <c r="AI137" s="123"/>
      <c r="AJ137" s="112"/>
      <c r="AK137" s="200"/>
      <c r="AL137" s="122"/>
      <c r="AM137" s="123"/>
      <c r="AN137" s="112"/>
      <c r="AO137" s="200"/>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3"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7"/>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7"/>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4" t="s">
        <v>284</v>
      </c>
      <c r="AD141" s="54"/>
      <c r="AE141" s="54"/>
      <c r="AF141" s="112"/>
      <c r="AG141" s="200"/>
      <c r="AH141" s="122"/>
      <c r="AI141" s="123"/>
      <c r="AJ141" s="112"/>
      <c r="AK141" s="200"/>
      <c r="AL141" s="122"/>
      <c r="AM141" s="123"/>
      <c r="AN141" s="112"/>
      <c r="AO141" s="200"/>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5" t="s">
        <v>285</v>
      </c>
      <c r="AD142" s="87"/>
      <c r="AE142" s="87"/>
      <c r="AF142" s="115"/>
      <c r="AG142" s="201"/>
      <c r="AH142" s="116"/>
      <c r="AI142" s="117"/>
      <c r="AJ142" s="115"/>
      <c r="AK142" s="201"/>
      <c r="AL142" s="116"/>
      <c r="AM142" s="117"/>
      <c r="AN142" s="115"/>
      <c r="AO142" s="201"/>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4" t="s">
        <v>287</v>
      </c>
      <c r="AD143" s="54"/>
      <c r="AE143" s="54"/>
      <c r="AF143" s="112"/>
      <c r="AG143" s="200"/>
      <c r="AH143" s="113"/>
      <c r="AI143" s="114"/>
      <c r="AJ143" s="112"/>
      <c r="AK143" s="200"/>
      <c r="AL143" s="113"/>
      <c r="AM143" s="114"/>
      <c r="AN143" s="112"/>
      <c r="AO143" s="200"/>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5" t="s">
        <v>286</v>
      </c>
      <c r="AD144" s="87"/>
      <c r="AE144" s="87"/>
      <c r="AF144" s="115"/>
      <c r="AG144" s="201"/>
      <c r="AH144" s="116"/>
      <c r="AI144" s="117"/>
      <c r="AJ144" s="115"/>
      <c r="AK144" s="201"/>
      <c r="AL144" s="116"/>
      <c r="AM144" s="117"/>
      <c r="AN144" s="115"/>
      <c r="AO144" s="201"/>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4" t="s">
        <v>288</v>
      </c>
      <c r="AD145" s="54"/>
      <c r="AE145" s="54"/>
      <c r="AF145" s="112"/>
      <c r="AG145" s="200"/>
      <c r="AH145" s="113"/>
      <c r="AI145" s="114"/>
      <c r="AJ145" s="112"/>
      <c r="AK145" s="200"/>
      <c r="AL145" s="113"/>
      <c r="AM145" s="114"/>
      <c r="AN145" s="112"/>
      <c r="AO145" s="200"/>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5" t="s">
        <v>289</v>
      </c>
      <c r="AD146" s="87"/>
      <c r="AE146" s="87"/>
      <c r="AF146" s="115"/>
      <c r="AG146" s="201"/>
      <c r="AH146" s="116"/>
      <c r="AI146" s="117"/>
      <c r="AJ146" s="115"/>
      <c r="AK146" s="201"/>
      <c r="AL146" s="116"/>
      <c r="AM146" s="117"/>
      <c r="AN146" s="115"/>
      <c r="AO146" s="201"/>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4" t="s">
        <v>132</v>
      </c>
      <c r="AD147" s="54"/>
      <c r="AE147" s="54"/>
      <c r="AF147" s="112"/>
      <c r="AG147" s="200"/>
      <c r="AH147" s="113"/>
      <c r="AI147" s="114"/>
      <c r="AJ147" s="112"/>
      <c r="AK147" s="200"/>
      <c r="AL147" s="113"/>
      <c r="AM147" s="114"/>
      <c r="AN147" s="112"/>
      <c r="AO147" s="200"/>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5" t="s">
        <v>290</v>
      </c>
      <c r="AD148" s="87"/>
      <c r="AE148" s="87"/>
      <c r="AF148" s="115"/>
      <c r="AG148" s="201"/>
      <c r="AH148" s="116"/>
      <c r="AI148" s="117"/>
      <c r="AJ148" s="115"/>
      <c r="AK148" s="201"/>
      <c r="AL148" s="116"/>
      <c r="AM148" s="117"/>
      <c r="AN148" s="115"/>
      <c r="AO148" s="201"/>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4" t="s">
        <v>291</v>
      </c>
      <c r="AD149" s="54"/>
      <c r="AE149" s="54"/>
      <c r="AF149" s="112"/>
      <c r="AG149" s="200"/>
      <c r="AH149" s="113"/>
      <c r="AI149" s="114"/>
      <c r="AJ149" s="112"/>
      <c r="AK149" s="200"/>
      <c r="AL149" s="113"/>
      <c r="AM149" s="114"/>
      <c r="AN149" s="112"/>
      <c r="AO149" s="200"/>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5" t="s">
        <v>292</v>
      </c>
      <c r="AD150" s="87"/>
      <c r="AE150" s="87"/>
      <c r="AF150" s="115"/>
      <c r="AG150" s="201"/>
      <c r="AH150" s="122"/>
      <c r="AI150" s="123"/>
      <c r="AJ150" s="115"/>
      <c r="AK150" s="201"/>
      <c r="AL150" s="122"/>
      <c r="AM150" s="123"/>
      <c r="AN150" s="115"/>
      <c r="AO150" s="201"/>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4" t="s">
        <v>293</v>
      </c>
      <c r="AD151" s="54"/>
      <c r="AE151" s="54"/>
      <c r="AF151" s="112"/>
      <c r="AG151" s="200"/>
      <c r="AH151" s="122"/>
      <c r="AI151" s="123"/>
      <c r="AJ151" s="112"/>
      <c r="AK151" s="200"/>
      <c r="AL151" s="122"/>
      <c r="AM151" s="123"/>
      <c r="AN151" s="112"/>
      <c r="AO151" s="200"/>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5" t="s">
        <v>294</v>
      </c>
      <c r="AD152" s="87"/>
      <c r="AE152" s="87"/>
      <c r="AF152" s="115"/>
      <c r="AG152" s="201"/>
      <c r="AH152" s="116"/>
      <c r="AI152" s="117"/>
      <c r="AJ152" s="115"/>
      <c r="AK152" s="201"/>
      <c r="AL152" s="116"/>
      <c r="AM152" s="117"/>
      <c r="AN152" s="115"/>
      <c r="AO152" s="201"/>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4" t="s">
        <v>5</v>
      </c>
      <c r="AD153" s="54"/>
      <c r="AE153" s="54"/>
      <c r="AF153" s="112"/>
      <c r="AG153" s="200"/>
      <c r="AH153" s="113"/>
      <c r="AI153" s="114"/>
      <c r="AJ153" s="112"/>
      <c r="AK153" s="200"/>
      <c r="AL153" s="113"/>
      <c r="AM153" s="114"/>
      <c r="AN153" s="112"/>
      <c r="AO153" s="200"/>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5" t="s">
        <v>295</v>
      </c>
      <c r="AD154" s="87"/>
      <c r="AE154" s="87"/>
      <c r="AF154" s="115"/>
      <c r="AG154" s="201"/>
      <c r="AH154" s="116"/>
      <c r="AI154" s="117"/>
      <c r="AJ154" s="115"/>
      <c r="AK154" s="201"/>
      <c r="AL154" s="116"/>
      <c r="AM154" s="117"/>
      <c r="AN154" s="115"/>
      <c r="AO154" s="201"/>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4" t="s">
        <v>32</v>
      </c>
      <c r="AD155" s="54"/>
      <c r="AE155" s="54"/>
      <c r="AF155" s="112"/>
      <c r="AG155" s="200"/>
      <c r="AH155" s="122"/>
      <c r="AI155" s="123"/>
      <c r="AJ155" s="112"/>
      <c r="AK155" s="200"/>
      <c r="AL155" s="122"/>
      <c r="AM155" s="123"/>
      <c r="AN155" s="112"/>
      <c r="AO155" s="200"/>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6"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7"/>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7"/>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4" t="s">
        <v>284</v>
      </c>
      <c r="AD159" s="54"/>
      <c r="AE159" s="54"/>
      <c r="AF159" s="112"/>
      <c r="AG159" s="200"/>
      <c r="AH159" s="122"/>
      <c r="AI159" s="123"/>
      <c r="AJ159" s="112"/>
      <c r="AK159" s="200"/>
      <c r="AL159" s="122"/>
      <c r="AM159" s="123"/>
      <c r="AN159" s="112"/>
      <c r="AO159" s="200"/>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5" t="s">
        <v>285</v>
      </c>
      <c r="AD160" s="87"/>
      <c r="AE160" s="87"/>
      <c r="AF160" s="115"/>
      <c r="AG160" s="201"/>
      <c r="AH160" s="116"/>
      <c r="AI160" s="117"/>
      <c r="AJ160" s="115"/>
      <c r="AK160" s="201"/>
      <c r="AL160" s="116"/>
      <c r="AM160" s="117"/>
      <c r="AN160" s="115"/>
      <c r="AO160" s="201"/>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4" t="s">
        <v>287</v>
      </c>
      <c r="AD161" s="54"/>
      <c r="AE161" s="54"/>
      <c r="AF161" s="112"/>
      <c r="AG161" s="200"/>
      <c r="AH161" s="113"/>
      <c r="AI161" s="114"/>
      <c r="AJ161" s="112"/>
      <c r="AK161" s="200"/>
      <c r="AL161" s="113"/>
      <c r="AM161" s="114"/>
      <c r="AN161" s="112"/>
      <c r="AO161" s="200"/>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5" t="s">
        <v>286</v>
      </c>
      <c r="AD162" s="87"/>
      <c r="AE162" s="87"/>
      <c r="AF162" s="115"/>
      <c r="AG162" s="201"/>
      <c r="AH162" s="116"/>
      <c r="AI162" s="117"/>
      <c r="AJ162" s="115"/>
      <c r="AK162" s="201"/>
      <c r="AL162" s="116"/>
      <c r="AM162" s="117"/>
      <c r="AN162" s="115"/>
      <c r="AO162" s="201"/>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4" t="s">
        <v>288</v>
      </c>
      <c r="AD163" s="54"/>
      <c r="AE163" s="54"/>
      <c r="AF163" s="112"/>
      <c r="AG163" s="200"/>
      <c r="AH163" s="113"/>
      <c r="AI163" s="114"/>
      <c r="AJ163" s="112"/>
      <c r="AK163" s="200"/>
      <c r="AL163" s="113"/>
      <c r="AM163" s="114"/>
      <c r="AN163" s="112"/>
      <c r="AO163" s="200"/>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5" t="s">
        <v>289</v>
      </c>
      <c r="AD164" s="87"/>
      <c r="AE164" s="87"/>
      <c r="AF164" s="115"/>
      <c r="AG164" s="201"/>
      <c r="AH164" s="116"/>
      <c r="AI164" s="117"/>
      <c r="AJ164" s="115"/>
      <c r="AK164" s="201"/>
      <c r="AL164" s="116"/>
      <c r="AM164" s="117"/>
      <c r="AN164" s="115"/>
      <c r="AO164" s="201"/>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4" t="s">
        <v>132</v>
      </c>
      <c r="AD165" s="54"/>
      <c r="AE165" s="54"/>
      <c r="AF165" s="112"/>
      <c r="AG165" s="200"/>
      <c r="AH165" s="113"/>
      <c r="AI165" s="114"/>
      <c r="AJ165" s="112"/>
      <c r="AK165" s="200"/>
      <c r="AL165" s="113"/>
      <c r="AM165" s="114"/>
      <c r="AN165" s="112"/>
      <c r="AO165" s="200"/>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5" t="s">
        <v>290</v>
      </c>
      <c r="AD166" s="87"/>
      <c r="AE166" s="87"/>
      <c r="AF166" s="115"/>
      <c r="AG166" s="201"/>
      <c r="AH166" s="116"/>
      <c r="AI166" s="117"/>
      <c r="AJ166" s="115"/>
      <c r="AK166" s="201"/>
      <c r="AL166" s="116"/>
      <c r="AM166" s="117"/>
      <c r="AN166" s="115"/>
      <c r="AO166" s="201"/>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4" t="s">
        <v>291</v>
      </c>
      <c r="AD167" s="54"/>
      <c r="AE167" s="54"/>
      <c r="AF167" s="112"/>
      <c r="AG167" s="200"/>
      <c r="AH167" s="113"/>
      <c r="AI167" s="114"/>
      <c r="AJ167" s="112"/>
      <c r="AK167" s="200"/>
      <c r="AL167" s="113"/>
      <c r="AM167" s="114"/>
      <c r="AN167" s="112"/>
      <c r="AO167" s="200"/>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5" t="s">
        <v>292</v>
      </c>
      <c r="AD168" s="87"/>
      <c r="AE168" s="87"/>
      <c r="AF168" s="115"/>
      <c r="AG168" s="201"/>
      <c r="AH168" s="122"/>
      <c r="AI168" s="123"/>
      <c r="AJ168" s="115"/>
      <c r="AK168" s="201"/>
      <c r="AL168" s="122"/>
      <c r="AM168" s="123"/>
      <c r="AN168" s="115"/>
      <c r="AO168" s="201"/>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4" t="s">
        <v>293</v>
      </c>
      <c r="AD169" s="54"/>
      <c r="AE169" s="54"/>
      <c r="AF169" s="112"/>
      <c r="AG169" s="200"/>
      <c r="AH169" s="122"/>
      <c r="AI169" s="123"/>
      <c r="AJ169" s="112"/>
      <c r="AK169" s="200"/>
      <c r="AL169" s="122"/>
      <c r="AM169" s="123"/>
      <c r="AN169" s="112"/>
      <c r="AO169" s="200"/>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5" t="s">
        <v>294</v>
      </c>
      <c r="AD170" s="87"/>
      <c r="AE170" s="87"/>
      <c r="AF170" s="115"/>
      <c r="AG170" s="201"/>
      <c r="AH170" s="116"/>
      <c r="AI170" s="117"/>
      <c r="AJ170" s="115"/>
      <c r="AK170" s="201"/>
      <c r="AL170" s="116"/>
      <c r="AM170" s="117"/>
      <c r="AN170" s="115"/>
      <c r="AO170" s="201"/>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4" t="s">
        <v>5</v>
      </c>
      <c r="AD171" s="54"/>
      <c r="AE171" s="54"/>
      <c r="AF171" s="112"/>
      <c r="AG171" s="200"/>
      <c r="AH171" s="113"/>
      <c r="AI171" s="114"/>
      <c r="AJ171" s="112"/>
      <c r="AK171" s="200"/>
      <c r="AL171" s="113"/>
      <c r="AM171" s="114"/>
      <c r="AN171" s="112"/>
      <c r="AO171" s="200"/>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5" t="s">
        <v>295</v>
      </c>
      <c r="AD172" s="87"/>
      <c r="AE172" s="87"/>
      <c r="AF172" s="115"/>
      <c r="AG172" s="201"/>
      <c r="AH172" s="116"/>
      <c r="AI172" s="117"/>
      <c r="AJ172" s="115"/>
      <c r="AK172" s="201"/>
      <c r="AL172" s="116"/>
      <c r="AM172" s="117"/>
      <c r="AN172" s="115"/>
      <c r="AO172" s="201"/>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4" t="s">
        <v>32</v>
      </c>
      <c r="AD173" s="54"/>
      <c r="AE173" s="54"/>
      <c r="AF173" s="112"/>
      <c r="AG173" s="200"/>
      <c r="AH173" s="122"/>
      <c r="AI173" s="123"/>
      <c r="AJ173" s="112"/>
      <c r="AK173" s="200"/>
      <c r="AL173" s="122"/>
      <c r="AM173" s="123"/>
      <c r="AN173" s="112"/>
      <c r="AO173" s="200"/>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6"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7"/>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7"/>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4" t="s">
        <v>284</v>
      </c>
      <c r="AD177" s="54"/>
      <c r="AE177" s="54"/>
      <c r="AF177" s="112"/>
      <c r="AG177" s="200"/>
      <c r="AH177" s="122"/>
      <c r="AI177" s="123"/>
      <c r="AJ177" s="112"/>
      <c r="AK177" s="200"/>
      <c r="AL177" s="122"/>
      <c r="AM177" s="123"/>
      <c r="AN177" s="112"/>
      <c r="AO177" s="200"/>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5" t="s">
        <v>285</v>
      </c>
      <c r="AD178" s="87"/>
      <c r="AE178" s="87"/>
      <c r="AF178" s="115"/>
      <c r="AG178" s="201"/>
      <c r="AH178" s="116"/>
      <c r="AI178" s="117"/>
      <c r="AJ178" s="115"/>
      <c r="AK178" s="201"/>
      <c r="AL178" s="116"/>
      <c r="AM178" s="117"/>
      <c r="AN178" s="115"/>
      <c r="AO178" s="201"/>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4" t="s">
        <v>287</v>
      </c>
      <c r="AD179" s="54"/>
      <c r="AE179" s="54"/>
      <c r="AF179" s="112"/>
      <c r="AG179" s="200"/>
      <c r="AH179" s="113"/>
      <c r="AI179" s="114"/>
      <c r="AJ179" s="112"/>
      <c r="AK179" s="200"/>
      <c r="AL179" s="113"/>
      <c r="AM179" s="114"/>
      <c r="AN179" s="112"/>
      <c r="AO179" s="200"/>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5" t="s">
        <v>286</v>
      </c>
      <c r="AD180" s="87"/>
      <c r="AE180" s="87"/>
      <c r="AF180" s="115"/>
      <c r="AG180" s="201"/>
      <c r="AH180" s="116"/>
      <c r="AI180" s="117"/>
      <c r="AJ180" s="115"/>
      <c r="AK180" s="201"/>
      <c r="AL180" s="116"/>
      <c r="AM180" s="117"/>
      <c r="AN180" s="115"/>
      <c r="AO180" s="201"/>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4" t="s">
        <v>288</v>
      </c>
      <c r="AD181" s="54"/>
      <c r="AE181" s="54"/>
      <c r="AF181" s="112"/>
      <c r="AG181" s="200"/>
      <c r="AH181" s="113"/>
      <c r="AI181" s="114"/>
      <c r="AJ181" s="112"/>
      <c r="AK181" s="200"/>
      <c r="AL181" s="113"/>
      <c r="AM181" s="114"/>
      <c r="AN181" s="112"/>
      <c r="AO181" s="200"/>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5" t="s">
        <v>289</v>
      </c>
      <c r="AD182" s="87"/>
      <c r="AE182" s="87"/>
      <c r="AF182" s="115"/>
      <c r="AG182" s="201"/>
      <c r="AH182" s="116"/>
      <c r="AI182" s="117"/>
      <c r="AJ182" s="115"/>
      <c r="AK182" s="201"/>
      <c r="AL182" s="116"/>
      <c r="AM182" s="117"/>
      <c r="AN182" s="115"/>
      <c r="AO182" s="201"/>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4" t="s">
        <v>132</v>
      </c>
      <c r="AD183" s="54"/>
      <c r="AE183" s="54"/>
      <c r="AF183" s="112"/>
      <c r="AG183" s="200"/>
      <c r="AH183" s="113"/>
      <c r="AI183" s="114"/>
      <c r="AJ183" s="112"/>
      <c r="AK183" s="200"/>
      <c r="AL183" s="113"/>
      <c r="AM183" s="114"/>
      <c r="AN183" s="112"/>
      <c r="AO183" s="200"/>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5" t="s">
        <v>290</v>
      </c>
      <c r="AD184" s="87"/>
      <c r="AE184" s="87"/>
      <c r="AF184" s="115"/>
      <c r="AG184" s="201"/>
      <c r="AH184" s="116"/>
      <c r="AI184" s="117"/>
      <c r="AJ184" s="115"/>
      <c r="AK184" s="201"/>
      <c r="AL184" s="116"/>
      <c r="AM184" s="117"/>
      <c r="AN184" s="115"/>
      <c r="AO184" s="201"/>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4" t="s">
        <v>291</v>
      </c>
      <c r="AD185" s="54"/>
      <c r="AE185" s="54"/>
      <c r="AF185" s="112"/>
      <c r="AG185" s="200"/>
      <c r="AH185" s="113"/>
      <c r="AI185" s="114"/>
      <c r="AJ185" s="112"/>
      <c r="AK185" s="200"/>
      <c r="AL185" s="113"/>
      <c r="AM185" s="114"/>
      <c r="AN185" s="112"/>
      <c r="AO185" s="200"/>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5" t="s">
        <v>292</v>
      </c>
      <c r="AD186" s="87"/>
      <c r="AE186" s="87"/>
      <c r="AF186" s="115"/>
      <c r="AG186" s="201"/>
      <c r="AH186" s="122"/>
      <c r="AI186" s="123"/>
      <c r="AJ186" s="115"/>
      <c r="AK186" s="201"/>
      <c r="AL186" s="122"/>
      <c r="AM186" s="123"/>
      <c r="AN186" s="115"/>
      <c r="AO186" s="201"/>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4" t="s">
        <v>293</v>
      </c>
      <c r="AD187" s="54"/>
      <c r="AE187" s="54"/>
      <c r="AF187" s="112"/>
      <c r="AG187" s="200"/>
      <c r="AH187" s="122"/>
      <c r="AI187" s="123"/>
      <c r="AJ187" s="112"/>
      <c r="AK187" s="200"/>
      <c r="AL187" s="122"/>
      <c r="AM187" s="123"/>
      <c r="AN187" s="112"/>
      <c r="AO187" s="200"/>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5" t="s">
        <v>294</v>
      </c>
      <c r="AD188" s="87"/>
      <c r="AE188" s="87"/>
      <c r="AF188" s="115"/>
      <c r="AG188" s="201"/>
      <c r="AH188" s="116"/>
      <c r="AI188" s="117"/>
      <c r="AJ188" s="115"/>
      <c r="AK188" s="201"/>
      <c r="AL188" s="116"/>
      <c r="AM188" s="117"/>
      <c r="AN188" s="115"/>
      <c r="AO188" s="201"/>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4" t="s">
        <v>5</v>
      </c>
      <c r="AD189" s="54"/>
      <c r="AE189" s="54"/>
      <c r="AF189" s="112"/>
      <c r="AG189" s="200"/>
      <c r="AH189" s="113"/>
      <c r="AI189" s="114"/>
      <c r="AJ189" s="112"/>
      <c r="AK189" s="200"/>
      <c r="AL189" s="113"/>
      <c r="AM189" s="114"/>
      <c r="AN189" s="112"/>
      <c r="AO189" s="200"/>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5" t="s">
        <v>295</v>
      </c>
      <c r="AD190" s="87"/>
      <c r="AE190" s="87"/>
      <c r="AF190" s="115"/>
      <c r="AG190" s="201"/>
      <c r="AH190" s="116"/>
      <c r="AI190" s="117"/>
      <c r="AJ190" s="115"/>
      <c r="AK190" s="201"/>
      <c r="AL190" s="116"/>
      <c r="AM190" s="117"/>
      <c r="AN190" s="115"/>
      <c r="AO190" s="201"/>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4" t="s">
        <v>32</v>
      </c>
      <c r="AD191" s="54"/>
      <c r="AE191" s="54"/>
      <c r="AF191" s="112"/>
      <c r="AG191" s="200"/>
      <c r="AH191" s="122"/>
      <c r="AI191" s="123"/>
      <c r="AJ191" s="112"/>
      <c r="AK191" s="200"/>
      <c r="AL191" s="122"/>
      <c r="AM191" s="123"/>
      <c r="AN191" s="112"/>
      <c r="AO191" s="200"/>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6"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7"/>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7"/>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4" t="s">
        <v>284</v>
      </c>
      <c r="AD195" s="54"/>
      <c r="AE195" s="54"/>
      <c r="AF195" s="112"/>
      <c r="AG195" s="200"/>
      <c r="AH195" s="122"/>
      <c r="AI195" s="123"/>
      <c r="AJ195" s="112"/>
      <c r="AK195" s="200"/>
      <c r="AL195" s="122"/>
      <c r="AM195" s="123"/>
      <c r="AN195" s="112"/>
      <c r="AO195" s="200"/>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5" t="s">
        <v>285</v>
      </c>
      <c r="AD196" s="87"/>
      <c r="AE196" s="87"/>
      <c r="AF196" s="115"/>
      <c r="AG196" s="201"/>
      <c r="AH196" s="116"/>
      <c r="AI196" s="117"/>
      <c r="AJ196" s="115"/>
      <c r="AK196" s="201"/>
      <c r="AL196" s="116"/>
      <c r="AM196" s="117"/>
      <c r="AN196" s="115"/>
      <c r="AO196" s="201"/>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4" t="s">
        <v>287</v>
      </c>
      <c r="AD197" s="54"/>
      <c r="AE197" s="54"/>
      <c r="AF197" s="112"/>
      <c r="AG197" s="200"/>
      <c r="AH197" s="113"/>
      <c r="AI197" s="114"/>
      <c r="AJ197" s="112"/>
      <c r="AK197" s="200"/>
      <c r="AL197" s="113"/>
      <c r="AM197" s="114"/>
      <c r="AN197" s="112"/>
      <c r="AO197" s="200"/>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5" t="s">
        <v>286</v>
      </c>
      <c r="AD198" s="87"/>
      <c r="AE198" s="87"/>
      <c r="AF198" s="115"/>
      <c r="AG198" s="201"/>
      <c r="AH198" s="116"/>
      <c r="AI198" s="117"/>
      <c r="AJ198" s="115"/>
      <c r="AK198" s="201"/>
      <c r="AL198" s="116"/>
      <c r="AM198" s="117"/>
      <c r="AN198" s="115"/>
      <c r="AO198" s="201"/>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4" t="s">
        <v>288</v>
      </c>
      <c r="AD199" s="54"/>
      <c r="AE199" s="54"/>
      <c r="AF199" s="112"/>
      <c r="AG199" s="200"/>
      <c r="AH199" s="113"/>
      <c r="AI199" s="114"/>
      <c r="AJ199" s="112"/>
      <c r="AK199" s="200"/>
      <c r="AL199" s="113"/>
      <c r="AM199" s="114"/>
      <c r="AN199" s="112"/>
      <c r="AO199" s="200"/>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5" t="s">
        <v>289</v>
      </c>
      <c r="AD200" s="87"/>
      <c r="AE200" s="87"/>
      <c r="AF200" s="115"/>
      <c r="AG200" s="201"/>
      <c r="AH200" s="116"/>
      <c r="AI200" s="117"/>
      <c r="AJ200" s="115"/>
      <c r="AK200" s="201"/>
      <c r="AL200" s="116"/>
      <c r="AM200" s="117"/>
      <c r="AN200" s="115"/>
      <c r="AO200" s="201"/>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4" t="s">
        <v>132</v>
      </c>
      <c r="AD201" s="54"/>
      <c r="AE201" s="54"/>
      <c r="AF201" s="112"/>
      <c r="AG201" s="200"/>
      <c r="AH201" s="113"/>
      <c r="AI201" s="114"/>
      <c r="AJ201" s="112"/>
      <c r="AK201" s="200"/>
      <c r="AL201" s="113"/>
      <c r="AM201" s="114"/>
      <c r="AN201" s="112"/>
      <c r="AO201" s="200"/>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5" t="s">
        <v>290</v>
      </c>
      <c r="AD202" s="87"/>
      <c r="AE202" s="87"/>
      <c r="AF202" s="115"/>
      <c r="AG202" s="201"/>
      <c r="AH202" s="116"/>
      <c r="AI202" s="117"/>
      <c r="AJ202" s="115"/>
      <c r="AK202" s="201"/>
      <c r="AL202" s="116"/>
      <c r="AM202" s="117"/>
      <c r="AN202" s="115"/>
      <c r="AO202" s="201"/>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4" t="s">
        <v>291</v>
      </c>
      <c r="AD203" s="54"/>
      <c r="AE203" s="54"/>
      <c r="AF203" s="112"/>
      <c r="AG203" s="200"/>
      <c r="AH203" s="113"/>
      <c r="AI203" s="114"/>
      <c r="AJ203" s="112"/>
      <c r="AK203" s="200"/>
      <c r="AL203" s="113"/>
      <c r="AM203" s="114"/>
      <c r="AN203" s="112"/>
      <c r="AO203" s="200"/>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5" t="s">
        <v>292</v>
      </c>
      <c r="AD204" s="87"/>
      <c r="AE204" s="87"/>
      <c r="AF204" s="115"/>
      <c r="AG204" s="201"/>
      <c r="AH204" s="122"/>
      <c r="AI204" s="123"/>
      <c r="AJ204" s="115"/>
      <c r="AK204" s="201"/>
      <c r="AL204" s="122"/>
      <c r="AM204" s="123"/>
      <c r="AN204" s="115"/>
      <c r="AO204" s="201"/>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4" t="s">
        <v>293</v>
      </c>
      <c r="AD205" s="54"/>
      <c r="AE205" s="54"/>
      <c r="AF205" s="112"/>
      <c r="AG205" s="200"/>
      <c r="AH205" s="122"/>
      <c r="AI205" s="123"/>
      <c r="AJ205" s="112"/>
      <c r="AK205" s="200"/>
      <c r="AL205" s="122"/>
      <c r="AM205" s="123"/>
      <c r="AN205" s="112"/>
      <c r="AO205" s="200"/>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5" t="s">
        <v>294</v>
      </c>
      <c r="AD206" s="87"/>
      <c r="AE206" s="87"/>
      <c r="AF206" s="115"/>
      <c r="AG206" s="201"/>
      <c r="AH206" s="116"/>
      <c r="AI206" s="117"/>
      <c r="AJ206" s="115"/>
      <c r="AK206" s="201"/>
      <c r="AL206" s="116"/>
      <c r="AM206" s="117"/>
      <c r="AN206" s="115"/>
      <c r="AO206" s="201"/>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4" t="s">
        <v>5</v>
      </c>
      <c r="AD207" s="54"/>
      <c r="AE207" s="54"/>
      <c r="AF207" s="112"/>
      <c r="AG207" s="200"/>
      <c r="AH207" s="113"/>
      <c r="AI207" s="114"/>
      <c r="AJ207" s="112"/>
      <c r="AK207" s="200"/>
      <c r="AL207" s="113"/>
      <c r="AM207" s="114"/>
      <c r="AN207" s="112"/>
      <c r="AO207" s="200"/>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5" t="s">
        <v>295</v>
      </c>
      <c r="AD208" s="87"/>
      <c r="AE208" s="87"/>
      <c r="AF208" s="115"/>
      <c r="AG208" s="201"/>
      <c r="AH208" s="116"/>
      <c r="AI208" s="117"/>
      <c r="AJ208" s="115"/>
      <c r="AK208" s="201"/>
      <c r="AL208" s="116"/>
      <c r="AM208" s="117"/>
      <c r="AN208" s="115"/>
      <c r="AO208" s="201"/>
      <c r="AP208" s="116"/>
      <c r="AQ208" s="117"/>
      <c r="AR208" s="130"/>
    </row>
    <row r="209" spans="1:44" hidden="1" x14ac:dyDescent="0.25">
      <c r="A209" s="41"/>
      <c r="B209" s="213" t="str">
        <f t="shared" si="62"/>
        <v>Child Functioning -- Child #6_15</v>
      </c>
      <c r="C209" s="213" t="str">
        <f t="shared" si="66"/>
        <v>CF</v>
      </c>
      <c r="D209" s="213" t="str">
        <f t="shared" si="63"/>
        <v>CF</v>
      </c>
      <c r="E209" s="213" t="str">
        <f t="shared" si="63"/>
        <v>Child Functioning -- Child #6</v>
      </c>
      <c r="F209" s="95">
        <f t="shared" si="72"/>
        <v>13</v>
      </c>
      <c r="G209" s="213">
        <f t="shared" si="73"/>
        <v>15</v>
      </c>
      <c r="H209" s="213" t="str">
        <f t="shared" si="67"/>
        <v>CF</v>
      </c>
      <c r="I209" s="213" t="str">
        <f t="shared" si="68"/>
        <v>CF</v>
      </c>
      <c r="J209" s="213" t="str">
        <f t="shared" si="81"/>
        <v>Child Functioning -- Child #6</v>
      </c>
      <c r="K209" s="214">
        <v>1</v>
      </c>
      <c r="L209" s="95" t="str">
        <f t="shared" ca="1" si="55"/>
        <v/>
      </c>
      <c r="M209" s="25" t="str">
        <f t="shared" ca="1" si="56"/>
        <v/>
      </c>
      <c r="N209" s="213" t="str">
        <f t="shared" ca="1" si="57"/>
        <v/>
      </c>
      <c r="O209" s="213" t="str">
        <f t="shared" ca="1" si="58"/>
        <v/>
      </c>
      <c r="P209" s="91" t="str">
        <f ca="1">IFERROR(IF(AND($X209=3, ISNUMBER($X209)), COUNTIFS(X$18:X209, "=3", $AC$18:$AC209, $AC209), "-"), "err")</f>
        <v>-</v>
      </c>
      <c r="Q209" s="26" t="str">
        <f ca="1">IFERROR(IF(AND($X209=2, ISNUMBER($X209)), COUNTIFS(X$18:X209, "=2", $AC$18:$AC209, $AC209), "-"), "err")</f>
        <v>-</v>
      </c>
      <c r="R209" s="25">
        <f t="shared" ca="1" si="59"/>
        <v>0</v>
      </c>
      <c r="S209" s="212" t="str">
        <f ca="1">IFERROR(IF(AND($X209&gt;=2, ISNUMBER($X209)), COUNTIFS(X$18:X209, "&gt;=2", $AC$18:$AC209, $AC209), "-"), "err")</f>
        <v>-</v>
      </c>
      <c r="T209" s="213">
        <f t="shared" ca="1" si="60"/>
        <v>0</v>
      </c>
      <c r="U209" s="212" t="str">
        <f ca="1">IFERROR(IF(Y209="Yes", COUNTIFS(Y$18:Y209, "Yes", $AC$18:$AC209, $AC209), "-"), "err")</f>
        <v>-</v>
      </c>
      <c r="V209" s="25">
        <f t="shared" ca="1" si="61"/>
        <v>0</v>
      </c>
      <c r="W209" s="212" t="str">
        <f ca="1">IFERROR(IF($Z209="Yes", COUNTIFS(Z$18:Z209, "Yes", $AC$18:AC209, $AC209), "-"), "err")</f>
        <v>-</v>
      </c>
      <c r="X209" s="91">
        <f t="shared" ca="1" si="77"/>
        <v>0</v>
      </c>
      <c r="Y209" s="212" t="str">
        <f t="shared" ca="1" si="78"/>
        <v/>
      </c>
      <c r="Z209" s="212" t="str">
        <f t="shared" ca="1" si="79"/>
        <v/>
      </c>
      <c r="AA209" s="91">
        <f t="shared" si="82"/>
        <v>164</v>
      </c>
      <c r="AB209" s="17" t="s">
        <v>32</v>
      </c>
      <c r="AC209" s="187" t="s">
        <v>32</v>
      </c>
      <c r="AD209" s="180"/>
      <c r="AE209" s="180"/>
      <c r="AF209" s="181"/>
      <c r="AG209" s="202"/>
      <c r="AH209" s="199"/>
      <c r="AI209" s="182"/>
      <c r="AJ209" s="181"/>
      <c r="AK209" s="202"/>
      <c r="AL209" s="199"/>
      <c r="AM209" s="182"/>
      <c r="AN209" s="181"/>
      <c r="AO209" s="202"/>
      <c r="AP209" s="199"/>
      <c r="AQ209" s="182"/>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457200</xdr:colOff>
                    <xdr:row>0</xdr:row>
                    <xdr:rowOff>57150</xdr:rowOff>
                  </from>
                  <to>
                    <xdr:col>48</xdr:col>
                    <xdr:colOff>76200</xdr:colOff>
                    <xdr:row>1</xdr:row>
                    <xdr:rowOff>19050</xdr:rowOff>
                  </to>
                </anchor>
              </controlPr>
            </control>
          </mc:Choice>
        </mc:AlternateContent>
        <mc:AlternateContent xmlns:mc="http://schemas.openxmlformats.org/markup-compatibility/2006">
          <mc:Choice Requires="x14">
            <control shapeId="2114" r:id="rId11" name="Button 66">
              <controlPr defaultSize="0" print="0" autoFill="0" autoPict="0" macro="[0]!Spell_Check">
                <anchor moveWithCells="1" sizeWithCells="1">
                  <from>
                    <xdr:col>29</xdr:col>
                    <xdr:colOff>466725</xdr:colOff>
                    <xdr:row>103</xdr:row>
                    <xdr:rowOff>104775</xdr:rowOff>
                  </from>
                  <to>
                    <xdr:col>29</xdr:col>
                    <xdr:colOff>1714500</xdr:colOff>
                    <xdr:row>105</xdr:row>
                    <xdr:rowOff>19050</xdr:rowOff>
                  </to>
                </anchor>
              </controlPr>
            </control>
          </mc:Choice>
        </mc:AlternateContent>
        <mc:AlternateContent xmlns:mc="http://schemas.openxmlformats.org/markup-compatibility/2006">
          <mc:Choice Requires="x14">
            <control shapeId="2115" r:id="rId12" name="Button 67">
              <controlPr defaultSize="0" print="0" autoFill="0" autoPict="0" macro="[0]!Spell_Check_Asmt">
                <anchor moveWithCells="1" sizeWithCells="1">
                  <from>
                    <xdr:col>36</xdr:col>
                    <xdr:colOff>2276475</xdr:colOff>
                    <xdr:row>0</xdr:row>
                    <xdr:rowOff>57150</xdr:rowOff>
                  </from>
                  <to>
                    <xdr:col>38</xdr:col>
                    <xdr:colOff>371475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3" t="s">
        <v>161</v>
      </c>
      <c r="B3" s="203" t="s">
        <v>54</v>
      </c>
      <c r="C3" s="203" t="s">
        <v>56</v>
      </c>
      <c r="D3" s="203" t="s">
        <v>57</v>
      </c>
      <c r="E3" s="203" t="s">
        <v>58</v>
      </c>
      <c r="F3" s="203" t="s">
        <v>0</v>
      </c>
      <c r="G3" s="203" t="s">
        <v>162</v>
      </c>
      <c r="H3" s="203" t="s">
        <v>61</v>
      </c>
      <c r="I3" s="203" t="s">
        <v>51</v>
      </c>
      <c r="J3" s="203" t="s">
        <v>59</v>
      </c>
      <c r="K3" s="203" t="s">
        <v>50</v>
      </c>
      <c r="L3" s="203"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4" t="str">
        <f t="shared" ref="R4:R53" ca="1" si="2">IFERROR(INDEX(Items, MATCH(ROW()-ROW(R$3), Needs, 0)), "")</f>
        <v/>
      </c>
      <c r="S4" s="204" t="str">
        <f t="shared" ref="S4:S53" ca="1" si="3">IFERROR(INDEX(Items, MATCH(ROW()-ROW(S$3), UsefulStrengths, 0)), "")</f>
        <v/>
      </c>
      <c r="T4" s="204"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4" t="str">
        <f t="shared" ca="1" si="2"/>
        <v/>
      </c>
      <c r="S5" s="204" t="str">
        <f t="shared" ca="1" si="3"/>
        <v/>
      </c>
      <c r="T5" s="204"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4" t="str">
        <f t="shared" ca="1" si="2"/>
        <v/>
      </c>
      <c r="S6" s="204" t="str">
        <f t="shared" ca="1" si="3"/>
        <v/>
      </c>
      <c r="T6" s="204"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4" t="str">
        <f t="shared" ca="1" si="2"/>
        <v/>
      </c>
      <c r="S7" s="204" t="str">
        <f t="shared" ca="1" si="3"/>
        <v/>
      </c>
      <c r="T7" s="204"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4" t="str">
        <f t="shared" ca="1" si="2"/>
        <v/>
      </c>
      <c r="S8" s="204" t="str">
        <f t="shared" ca="1" si="3"/>
        <v/>
      </c>
      <c r="T8" s="204"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4" t="str">
        <f t="shared" ca="1" si="2"/>
        <v/>
      </c>
      <c r="S9" s="204" t="str">
        <f t="shared" ca="1" si="3"/>
        <v/>
      </c>
      <c r="T9" s="204"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4" t="str">
        <f t="shared" ca="1" si="2"/>
        <v/>
      </c>
      <c r="S10" s="204" t="str">
        <f t="shared" ca="1" si="3"/>
        <v/>
      </c>
      <c r="T10" s="204"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4" t="str">
        <f t="shared" ca="1" si="2"/>
        <v/>
      </c>
      <c r="S11" s="204" t="str">
        <f t="shared" ca="1" si="3"/>
        <v/>
      </c>
      <c r="T11" s="204"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4" t="str">
        <f t="shared" ca="1" si="2"/>
        <v/>
      </c>
      <c r="S12" s="204" t="str">
        <f t="shared" ca="1" si="3"/>
        <v/>
      </c>
      <c r="T12" s="204"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4" t="str">
        <f t="shared" ca="1" si="2"/>
        <v/>
      </c>
      <c r="S13" s="204" t="str">
        <f t="shared" ca="1" si="3"/>
        <v/>
      </c>
      <c r="T13" s="204"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4" t="str">
        <f t="shared" ca="1" si="2"/>
        <v/>
      </c>
      <c r="S14" s="204" t="str">
        <f t="shared" ca="1" si="3"/>
        <v/>
      </c>
      <c r="T14" s="204"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4" t="str">
        <f t="shared" ca="1" si="2"/>
        <v/>
      </c>
      <c r="S15" s="204" t="str">
        <f t="shared" ca="1" si="3"/>
        <v/>
      </c>
      <c r="T15" s="204"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4" t="str">
        <f t="shared" ca="1" si="2"/>
        <v/>
      </c>
      <c r="S16" s="204" t="str">
        <f t="shared" ca="1" si="3"/>
        <v/>
      </c>
      <c r="T16" s="204"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4" t="str">
        <f t="shared" ca="1" si="2"/>
        <v/>
      </c>
      <c r="S17" s="204" t="str">
        <f t="shared" ca="1" si="3"/>
        <v/>
      </c>
      <c r="T17" s="204"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4" t="str">
        <f t="shared" ca="1" si="2"/>
        <v/>
      </c>
      <c r="S18" s="204" t="str">
        <f t="shared" ca="1" si="3"/>
        <v/>
      </c>
      <c r="T18" s="204"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4" t="str">
        <f t="shared" ca="1" si="2"/>
        <v/>
      </c>
      <c r="S19" s="204" t="str">
        <f t="shared" ca="1" si="3"/>
        <v/>
      </c>
      <c r="T19" s="204"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4" t="str">
        <f t="shared" ca="1" si="2"/>
        <v/>
      </c>
      <c r="S20" s="204" t="str">
        <f t="shared" ca="1" si="3"/>
        <v/>
      </c>
      <c r="T20" s="204"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4" t="str">
        <f t="shared" ca="1" si="2"/>
        <v/>
      </c>
      <c r="S21" s="204" t="str">
        <f t="shared" ca="1" si="3"/>
        <v/>
      </c>
      <c r="T21" s="204"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4" t="str">
        <f t="shared" ca="1" si="2"/>
        <v/>
      </c>
      <c r="S22" s="204" t="str">
        <f t="shared" ca="1" si="3"/>
        <v/>
      </c>
      <c r="T22" s="204"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4" t="str">
        <f t="shared" ca="1" si="2"/>
        <v/>
      </c>
      <c r="S23" s="204" t="str">
        <f t="shared" ca="1" si="3"/>
        <v/>
      </c>
      <c r="T23" s="204"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4" t="str">
        <f t="shared" ca="1" si="2"/>
        <v/>
      </c>
      <c r="S24" s="204" t="str">
        <f t="shared" ca="1" si="3"/>
        <v/>
      </c>
      <c r="T24" s="204"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4" t="str">
        <f t="shared" ca="1" si="2"/>
        <v/>
      </c>
      <c r="S25" s="204" t="str">
        <f t="shared" ca="1" si="3"/>
        <v/>
      </c>
      <c r="T25" s="204"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4" t="str">
        <f t="shared" ca="1" si="2"/>
        <v/>
      </c>
      <c r="S26" s="204" t="str">
        <f t="shared" ca="1" si="3"/>
        <v/>
      </c>
      <c r="T26" s="204"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4" t="str">
        <f t="shared" ca="1" si="2"/>
        <v/>
      </c>
      <c r="S27" s="204" t="str">
        <f t="shared" ca="1" si="3"/>
        <v/>
      </c>
      <c r="T27" s="204"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4" t="str">
        <f t="shared" ca="1" si="2"/>
        <v/>
      </c>
      <c r="S28" s="204" t="str">
        <f t="shared" ca="1" si="3"/>
        <v/>
      </c>
      <c r="T28" s="204"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4" t="str">
        <f t="shared" ca="1" si="2"/>
        <v/>
      </c>
      <c r="S29" s="204" t="str">
        <f t="shared" ca="1" si="3"/>
        <v/>
      </c>
      <c r="T29" s="204"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4" t="str">
        <f t="shared" ca="1" si="2"/>
        <v/>
      </c>
      <c r="S30" s="204" t="str">
        <f t="shared" ca="1" si="3"/>
        <v/>
      </c>
      <c r="T30" s="204"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4" t="str">
        <f t="shared" ca="1" si="2"/>
        <v/>
      </c>
      <c r="S31" s="204" t="str">
        <f t="shared" ca="1" si="3"/>
        <v/>
      </c>
      <c r="T31" s="204"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4" t="str">
        <f t="shared" ca="1" si="2"/>
        <v/>
      </c>
      <c r="S32" s="204" t="str">
        <f t="shared" ca="1" si="3"/>
        <v/>
      </c>
      <c r="T32" s="204"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4" t="str">
        <f t="shared" ca="1" si="2"/>
        <v/>
      </c>
      <c r="S33" s="204" t="str">
        <f t="shared" ca="1" si="3"/>
        <v/>
      </c>
      <c r="T33" s="204"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4" t="str">
        <f t="shared" ca="1" si="2"/>
        <v/>
      </c>
      <c r="S34" s="204" t="str">
        <f t="shared" ca="1" si="3"/>
        <v/>
      </c>
      <c r="T34" s="204"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4" t="str">
        <f t="shared" ca="1" si="2"/>
        <v/>
      </c>
      <c r="S35" s="204" t="str">
        <f t="shared" ca="1" si="3"/>
        <v/>
      </c>
      <c r="T35" s="204"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4" t="str">
        <f t="shared" ca="1" si="2"/>
        <v/>
      </c>
      <c r="S36" s="204" t="str">
        <f t="shared" ca="1" si="3"/>
        <v/>
      </c>
      <c r="T36" s="204"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4" t="str">
        <f t="shared" ca="1" si="2"/>
        <v/>
      </c>
      <c r="S37" s="204" t="str">
        <f t="shared" ca="1" si="3"/>
        <v/>
      </c>
      <c r="T37" s="204"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4" t="str">
        <f t="shared" ca="1" si="2"/>
        <v/>
      </c>
      <c r="S38" s="204" t="str">
        <f t="shared" ca="1" si="3"/>
        <v/>
      </c>
      <c r="T38" s="204"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4" t="str">
        <f t="shared" ca="1" si="2"/>
        <v/>
      </c>
      <c r="S39" s="204" t="str">
        <f t="shared" ca="1" si="3"/>
        <v/>
      </c>
      <c r="T39" s="204"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4" t="str">
        <f t="shared" ca="1" si="2"/>
        <v/>
      </c>
      <c r="S40" s="204" t="str">
        <f t="shared" ca="1" si="3"/>
        <v/>
      </c>
      <c r="T40" s="204"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4" t="str">
        <f t="shared" ca="1" si="2"/>
        <v/>
      </c>
      <c r="S41" s="204" t="str">
        <f t="shared" ca="1" si="3"/>
        <v/>
      </c>
      <c r="T41" s="204"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4" t="str">
        <f t="shared" ca="1" si="2"/>
        <v/>
      </c>
      <c r="S42" s="204" t="str">
        <f t="shared" ca="1" si="3"/>
        <v/>
      </c>
      <c r="T42" s="204"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4" t="str">
        <f t="shared" ca="1" si="2"/>
        <v/>
      </c>
      <c r="S43" s="204" t="str">
        <f t="shared" ca="1" si="3"/>
        <v/>
      </c>
      <c r="T43" s="204"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4" t="str">
        <f t="shared" ca="1" si="2"/>
        <v/>
      </c>
      <c r="S44" s="204" t="str">
        <f t="shared" ca="1" si="3"/>
        <v/>
      </c>
      <c r="T44" s="204"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4" t="str">
        <f t="shared" ca="1" si="2"/>
        <v/>
      </c>
      <c r="S45" s="204" t="str">
        <f t="shared" ca="1" si="3"/>
        <v/>
      </c>
      <c r="T45" s="204"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4" t="str">
        <f t="shared" ca="1" si="2"/>
        <v/>
      </c>
      <c r="S46" s="204" t="str">
        <f t="shared" ca="1" si="3"/>
        <v/>
      </c>
      <c r="T46" s="204"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4" t="str">
        <f t="shared" ca="1" si="2"/>
        <v/>
      </c>
      <c r="S47" s="204" t="str">
        <f t="shared" ca="1" si="3"/>
        <v/>
      </c>
      <c r="T47" s="204"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4" t="str">
        <f t="shared" ca="1" si="2"/>
        <v/>
      </c>
      <c r="S48" s="204" t="str">
        <f t="shared" ca="1" si="3"/>
        <v/>
      </c>
      <c r="T48" s="204"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4" t="str">
        <f t="shared" ca="1" si="2"/>
        <v/>
      </c>
      <c r="S49" s="204" t="str">
        <f t="shared" ca="1" si="3"/>
        <v/>
      </c>
      <c r="T49" s="204"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4" t="str">
        <f t="shared" ca="1" si="2"/>
        <v/>
      </c>
      <c r="S50" s="204" t="str">
        <f t="shared" ca="1" si="3"/>
        <v/>
      </c>
      <c r="T50" s="204"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4" t="str">
        <f t="shared" ca="1" si="2"/>
        <v/>
      </c>
      <c r="S51" s="204" t="str">
        <f t="shared" ca="1" si="3"/>
        <v/>
      </c>
      <c r="T51" s="204"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4" t="str">
        <f t="shared" ca="1" si="2"/>
        <v/>
      </c>
      <c r="S52" s="204" t="str">
        <f t="shared" ca="1" si="3"/>
        <v/>
      </c>
      <c r="T52" s="204"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4" t="str">
        <f t="shared" ca="1" si="2"/>
        <v/>
      </c>
      <c r="S53" s="204" t="str">
        <f t="shared" ca="1" si="3"/>
        <v/>
      </c>
      <c r="T53" s="204"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40" customWidth="1"/>
    <col min="2" max="2" width="76.7109375" style="179"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5" t="s">
        <v>304</v>
      </c>
      <c r="B1" s="162"/>
      <c r="C1" s="234"/>
      <c r="D1" s="163"/>
      <c r="E1" s="163"/>
      <c r="F1" s="163"/>
    </row>
    <row r="2" spans="1:6" x14ac:dyDescent="0.25">
      <c r="A2" s="164"/>
      <c r="B2" s="165"/>
      <c r="C2" s="168" t="s">
        <v>305</v>
      </c>
      <c r="D2" s="168" t="str">
        <f>FamilyName&amp;""</f>
        <v/>
      </c>
      <c r="E2" s="166"/>
      <c r="F2" s="164"/>
    </row>
    <row r="3" spans="1:6" x14ac:dyDescent="0.25">
      <c r="A3" s="153"/>
      <c r="B3" s="167"/>
      <c r="C3" s="168" t="str">
        <f>"Information from latest assessment: "&amp;TEXT(dateLastAssess, "M/D/YYYY")</f>
        <v xml:space="preserve">Information from latest assessment: </v>
      </c>
      <c r="D3" s="169"/>
      <c r="E3" s="166"/>
      <c r="F3" s="153"/>
    </row>
    <row r="4" spans="1:6" x14ac:dyDescent="0.25">
      <c r="A4" s="153"/>
      <c r="B4" s="167"/>
      <c r="C4" s="168"/>
      <c r="D4" s="169"/>
      <c r="E4" s="166"/>
      <c r="F4" s="153"/>
    </row>
    <row r="5" spans="1:6" x14ac:dyDescent="0.25">
      <c r="A5" s="153"/>
      <c r="B5" s="170" t="s">
        <v>681</v>
      </c>
      <c r="C5" s="171"/>
      <c r="D5" s="172" t="s">
        <v>258</v>
      </c>
      <c r="E5" s="172" t="s">
        <v>259</v>
      </c>
      <c r="F5" s="153"/>
    </row>
    <row r="6" spans="1:6" x14ac:dyDescent="0.25">
      <c r="A6" s="153"/>
      <c r="B6" s="167" t="s">
        <v>3</v>
      </c>
      <c r="C6" s="241" t="s">
        <v>3</v>
      </c>
      <c r="D6" s="173" t="str">
        <f t="shared" ref="D6:D17" ca="1" si="0">INDEX(ActionNeeds, MATCH($B6, LastDomainItem, 0))&amp;""</f>
        <v/>
      </c>
      <c r="E6" s="173" t="str">
        <f t="shared" ref="E6:E17" ca="1" si="1">INDEX(IActionNeeds, MATCH($B6, LastDomainItem, 0))&amp;""</f>
        <v/>
      </c>
      <c r="F6" s="153"/>
    </row>
    <row r="7" spans="1:6" x14ac:dyDescent="0.25">
      <c r="A7" s="153"/>
      <c r="B7" s="167" t="s">
        <v>306</v>
      </c>
      <c r="C7" s="241" t="s">
        <v>306</v>
      </c>
      <c r="D7" s="173" t="str">
        <f t="shared" ca="1" si="0"/>
        <v/>
      </c>
      <c r="E7" s="173" t="str">
        <f t="shared" ca="1" si="1"/>
        <v/>
      </c>
      <c r="F7" s="153"/>
    </row>
    <row r="8" spans="1:6" x14ac:dyDescent="0.25">
      <c r="A8" s="153"/>
      <c r="B8" s="167" t="s">
        <v>324</v>
      </c>
      <c r="C8" s="241" t="str">
        <f>"Caregiver Functioning - "&amp;CGName1</f>
        <v xml:space="preserve">Caregiver Functioning - </v>
      </c>
      <c r="D8" s="173" t="str">
        <f t="shared" ca="1" si="0"/>
        <v/>
      </c>
      <c r="E8" s="173" t="str">
        <f t="shared" ca="1" si="1"/>
        <v/>
      </c>
      <c r="F8" s="153"/>
    </row>
    <row r="9" spans="1:6" x14ac:dyDescent="0.25">
      <c r="A9" s="153"/>
      <c r="B9" s="167" t="s">
        <v>325</v>
      </c>
      <c r="C9" s="241" t="str">
        <f>"Caregiver Functioning - "&amp;CGName2</f>
        <v xml:space="preserve">Caregiver Functioning - </v>
      </c>
      <c r="D9" s="173" t="str">
        <f t="shared" ca="1" si="0"/>
        <v/>
      </c>
      <c r="E9" s="173" t="str">
        <f t="shared" ca="1" si="1"/>
        <v/>
      </c>
      <c r="F9" s="153"/>
    </row>
    <row r="10" spans="1:6" x14ac:dyDescent="0.25">
      <c r="A10" s="153"/>
      <c r="B10" s="167" t="s">
        <v>668</v>
      </c>
      <c r="C10" s="241" t="str">
        <f>"Caregiver Functioning - "&amp;CGName3</f>
        <v xml:space="preserve">Caregiver Functioning - </v>
      </c>
      <c r="D10" s="173" t="str">
        <f t="shared" ca="1" si="0"/>
        <v/>
      </c>
      <c r="E10" s="173" t="str">
        <f t="shared" ca="1" si="1"/>
        <v/>
      </c>
      <c r="F10" s="153"/>
    </row>
    <row r="11" spans="1:6" x14ac:dyDescent="0.25">
      <c r="A11" s="153"/>
      <c r="B11" s="167" t="s">
        <v>669</v>
      </c>
      <c r="C11" s="241" t="str">
        <f>"Caregiver Functioning - "&amp;CGName4</f>
        <v xml:space="preserve">Caregiver Functioning - </v>
      </c>
      <c r="D11" s="173" t="str">
        <f t="shared" ca="1" si="0"/>
        <v/>
      </c>
      <c r="E11" s="173" t="str">
        <f t="shared" ca="1" si="1"/>
        <v/>
      </c>
      <c r="F11" s="153"/>
    </row>
    <row r="12" spans="1:6" x14ac:dyDescent="0.25">
      <c r="A12" s="153"/>
      <c r="B12" s="167" t="s">
        <v>326</v>
      </c>
      <c r="C12" s="241" t="str">
        <f>"Child Functioning - "&amp;ChildName1</f>
        <v xml:space="preserve">Child Functioning - </v>
      </c>
      <c r="D12" s="173" t="str">
        <f t="shared" ca="1" si="0"/>
        <v/>
      </c>
      <c r="E12" s="173" t="str">
        <f t="shared" ca="1" si="1"/>
        <v/>
      </c>
      <c r="F12" s="153"/>
    </row>
    <row r="13" spans="1:6" x14ac:dyDescent="0.25">
      <c r="A13" s="153"/>
      <c r="B13" s="167" t="s">
        <v>327</v>
      </c>
      <c r="C13" s="241" t="str">
        <f>"Child Functioning - "&amp;ChildName2</f>
        <v xml:space="preserve">Child Functioning - </v>
      </c>
      <c r="D13" s="173" t="str">
        <f t="shared" ca="1" si="0"/>
        <v/>
      </c>
      <c r="E13" s="173" t="str">
        <f t="shared" ca="1" si="1"/>
        <v/>
      </c>
      <c r="F13" s="153"/>
    </row>
    <row r="14" spans="1:6" x14ac:dyDescent="0.25">
      <c r="A14" s="153"/>
      <c r="B14" s="167" t="s">
        <v>328</v>
      </c>
      <c r="C14" s="241" t="str">
        <f>"Child Functioning - "&amp;ChildName3</f>
        <v xml:space="preserve">Child Functioning - </v>
      </c>
      <c r="D14" s="173" t="str">
        <f t="shared" ca="1" si="0"/>
        <v/>
      </c>
      <c r="E14" s="173" t="str">
        <f t="shared" ca="1" si="1"/>
        <v/>
      </c>
      <c r="F14" s="153"/>
    </row>
    <row r="15" spans="1:6" x14ac:dyDescent="0.25">
      <c r="A15" s="153"/>
      <c r="B15" s="167" t="s">
        <v>329</v>
      </c>
      <c r="C15" s="241" t="str">
        <f>"Child Functioning - "&amp;ChildName4</f>
        <v xml:space="preserve">Child Functioning - </v>
      </c>
      <c r="D15" s="173" t="str">
        <f t="shared" ca="1" si="0"/>
        <v/>
      </c>
      <c r="E15" s="173" t="str">
        <f t="shared" ca="1" si="1"/>
        <v/>
      </c>
      <c r="F15" s="153"/>
    </row>
    <row r="16" spans="1:6" x14ac:dyDescent="0.25">
      <c r="A16" s="153"/>
      <c r="B16" s="167" t="s">
        <v>330</v>
      </c>
      <c r="C16" s="241" t="str">
        <f>"Child Functioning - "&amp;ChildName5</f>
        <v xml:space="preserve">Child Functioning - </v>
      </c>
      <c r="D16" s="173" t="str">
        <f t="shared" ca="1" si="0"/>
        <v/>
      </c>
      <c r="E16" s="173" t="str">
        <f t="shared" ca="1" si="1"/>
        <v/>
      </c>
      <c r="F16" s="153"/>
    </row>
    <row r="17" spans="1:6" x14ac:dyDescent="0.25">
      <c r="A17" s="153"/>
      <c r="B17" s="167" t="s">
        <v>331</v>
      </c>
      <c r="C17" s="241" t="str">
        <f>"Child Functioning - "&amp;ChildName6</f>
        <v xml:space="preserve">Child Functioning - </v>
      </c>
      <c r="D17" s="173" t="str">
        <f t="shared" ca="1" si="0"/>
        <v/>
      </c>
      <c r="E17" s="173" t="str">
        <f t="shared" ca="1" si="1"/>
        <v/>
      </c>
      <c r="F17" s="153"/>
    </row>
    <row r="18" spans="1:6" x14ac:dyDescent="0.25">
      <c r="A18" s="153"/>
      <c r="B18" s="167"/>
      <c r="C18" s="174"/>
      <c r="D18" s="175" t="s">
        <v>307</v>
      </c>
      <c r="E18" s="175" t="s">
        <v>308</v>
      </c>
      <c r="F18" s="153"/>
    </row>
    <row r="19" spans="1:6" x14ac:dyDescent="0.25">
      <c r="A19" s="153"/>
      <c r="B19" s="167" t="s">
        <v>683</v>
      </c>
      <c r="C19" s="241" t="s">
        <v>10</v>
      </c>
      <c r="D19" s="173" t="str">
        <f ca="1">INDEX(USList, MATCH($B19, LastDomShortItem, 0))&amp;""</f>
        <v/>
      </c>
      <c r="E19" s="173" t="str">
        <f ca="1">INDEX(SBList, MATCH($B19, LastDomShortItem, 0))&amp;""</f>
        <v/>
      </c>
      <c r="F19" s="153"/>
    </row>
    <row r="20" spans="1:6" x14ac:dyDescent="0.25">
      <c r="A20" s="153"/>
      <c r="B20" s="167" t="s">
        <v>666</v>
      </c>
      <c r="C20" s="241" t="s">
        <v>309</v>
      </c>
      <c r="D20" s="173" t="str">
        <f ca="1">INDEX(USList, MATCH($B20, LastDomShortItem, 0))&amp;""</f>
        <v/>
      </c>
      <c r="E20" s="173" t="str">
        <f ca="1">INDEX(SBList, MATCH($B20, LastDomShortItem, 0))&amp;""</f>
        <v/>
      </c>
      <c r="F20" s="153"/>
    </row>
    <row r="21" spans="1:6" x14ac:dyDescent="0.25">
      <c r="A21" s="153"/>
      <c r="B21" s="167" t="s">
        <v>667</v>
      </c>
      <c r="C21" s="241" t="s">
        <v>310</v>
      </c>
      <c r="D21" s="173" t="str">
        <f ca="1">INDEX(USList, MATCH($B21, LastDomShortItem, 0))&amp;""</f>
        <v/>
      </c>
      <c r="E21" s="173" t="str">
        <f ca="1">INDEX(SBList, MATCH($B21, LastDomShortItem, 0))&amp;""</f>
        <v/>
      </c>
      <c r="F21" s="153"/>
    </row>
    <row r="22" spans="1:6" x14ac:dyDescent="0.25">
      <c r="A22" s="153"/>
      <c r="B22" s="153"/>
      <c r="C22" s="153"/>
      <c r="D22" s="153"/>
      <c r="E22" s="153"/>
      <c r="F22" s="153"/>
    </row>
    <row r="23" spans="1:6" x14ac:dyDescent="0.25">
      <c r="A23" s="153"/>
      <c r="B23" s="170" t="s">
        <v>684</v>
      </c>
      <c r="C23" s="176" t="s">
        <v>311</v>
      </c>
      <c r="D23" s="177"/>
      <c r="E23" s="177"/>
      <c r="F23" s="153"/>
    </row>
    <row r="24" spans="1:6" x14ac:dyDescent="0.25">
      <c r="A24" s="153"/>
      <c r="B24" s="178">
        <f>FamilyGoals</f>
        <v>0</v>
      </c>
      <c r="C24" s="241" t="s">
        <v>312</v>
      </c>
      <c r="D24" s="274" t="str">
        <f>FamilyGoals &amp; ""</f>
        <v/>
      </c>
      <c r="E24" s="274"/>
      <c r="F24" s="153"/>
    </row>
    <row r="25" spans="1:6" x14ac:dyDescent="0.25">
      <c r="A25" s="153"/>
      <c r="B25" s="178">
        <f>FamilyStrengths</f>
        <v>0</v>
      </c>
      <c r="C25" s="241" t="s">
        <v>10</v>
      </c>
      <c r="D25" s="274" t="str">
        <f>FamilyStrengths &amp; ""</f>
        <v/>
      </c>
      <c r="E25" s="274"/>
      <c r="F25" s="153"/>
    </row>
    <row r="26" spans="1:6" x14ac:dyDescent="0.25">
      <c r="A26" s="153"/>
      <c r="B26" s="167"/>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0" t="str">
        <f>IF(dateAssess1="", "&lt;No 1st Assm't&gt;", dateAssess1)</f>
        <v>&lt;No 1st Assm't&gt;</v>
      </c>
      <c r="G2" s="19" t="str">
        <f>IF(dateAssess2="", "&lt;No 2nd Assm't&gt;", dateAssess2)</f>
        <v>&lt;No 2nd Assm't&gt;</v>
      </c>
      <c r="H2" s="19" t="str">
        <f>IF(dateAssess3="", "&lt;No 3rd Assm't&gt;", dateAssess3)</f>
        <v>&lt;No 3rd Assm't&gt;</v>
      </c>
      <c r="N2" s="250" t="str">
        <f>IF(dateAssess1="", "&lt;No 1st Assm't&gt;", dateAssess1)</f>
        <v>&lt;No 1st Assm't&gt;</v>
      </c>
      <c r="O2" s="19" t="str">
        <f>IF(dateAssess2="", "&lt;No 2nd Assm't&gt;", dateAssess2)</f>
        <v>&lt;No 2nd Assm't&gt;</v>
      </c>
      <c r="P2" s="19" t="str">
        <f>IF(dateAssess3="", "&lt;No 3rd Assm't&gt;", dateAssess3)</f>
        <v>&lt;No 3rd Assm't&gt;</v>
      </c>
      <c r="V2" s="250"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0"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0"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0"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0"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0"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0"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0"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0"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0"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3" customWidth="1"/>
    <col min="10" max="10" width="29.5703125" style="151" customWidth="1"/>
    <col min="11" max="11" width="26.7109375" style="151" bestFit="1" customWidth="1"/>
    <col min="12" max="12" width="3" style="233" customWidth="1"/>
    <col min="13" max="13" width="30.140625" style="151" customWidth="1"/>
    <col min="14" max="14" width="3" style="233"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6"/>
      <c r="J1" s="137"/>
      <c r="K1" s="137"/>
      <c r="L1" s="226"/>
      <c r="M1" s="137"/>
      <c r="N1" s="226"/>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8" t="s">
        <v>92</v>
      </c>
      <c r="E3" s="189"/>
      <c r="F3" s="189"/>
      <c r="G3" s="189"/>
      <c r="H3" s="189"/>
      <c r="I3" s="227"/>
      <c r="J3" s="189"/>
      <c r="K3" s="189"/>
      <c r="L3" s="227"/>
      <c r="M3" s="189"/>
      <c r="N3" s="227"/>
      <c r="O3" s="190"/>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5" t="str">
        <f t="shared" ref="Q4:Q35" ca="1" si="0">IFERROR(INDEX(Needs_Q, MATCH(ROW()-ROW(Q$3), Needs_Q_Ix, 0)), "")</f>
        <v/>
      </c>
      <c r="R4" s="215" t="str">
        <f t="shared" ref="R4:R35" ca="1" si="1">IFERROR(INDEX(US_Q, MATCH(ROW()-ROW(R$3), US_Q_Ix, 0)), "")</f>
        <v/>
      </c>
      <c r="S4" s="215"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8"/>
      <c r="F5" s="218"/>
      <c r="G5" s="218"/>
      <c r="H5" s="218"/>
      <c r="I5" s="257" t="s">
        <v>65</v>
      </c>
      <c r="J5" s="191"/>
      <c r="K5" s="218"/>
      <c r="L5" s="228" t="s">
        <v>65</v>
      </c>
      <c r="M5" s="191"/>
      <c r="N5" s="228" t="s">
        <v>65</v>
      </c>
      <c r="O5" s="192"/>
      <c r="P5" s="153"/>
      <c r="Q5" s="215" t="str">
        <f t="shared" ca="1" si="0"/>
        <v/>
      </c>
      <c r="R5" s="215" t="str">
        <f t="shared" ca="1" si="1"/>
        <v/>
      </c>
      <c r="S5" s="215" t="str">
        <f t="shared" ca="1" si="2"/>
        <v/>
      </c>
    </row>
    <row r="6" spans="1:29" x14ac:dyDescent="0.25">
      <c r="B6" s="141" t="str">
        <f t="shared" si="3"/>
        <v/>
      </c>
      <c r="C6" s="153"/>
      <c r="D6" s="279"/>
      <c r="E6" s="218"/>
      <c r="F6" s="218"/>
      <c r="G6" s="218"/>
      <c r="H6" s="218"/>
      <c r="I6" s="228" t="s">
        <v>66</v>
      </c>
      <c r="J6" s="191"/>
      <c r="K6" s="218"/>
      <c r="L6" s="228" t="s">
        <v>66</v>
      </c>
      <c r="M6" s="191"/>
      <c r="N6" s="228" t="s">
        <v>66</v>
      </c>
      <c r="O6" s="192"/>
      <c r="P6" s="153"/>
      <c r="Q6" s="215" t="str">
        <f t="shared" ca="1" si="0"/>
        <v/>
      </c>
      <c r="R6" s="215" t="str">
        <f t="shared" ca="1" si="1"/>
        <v/>
      </c>
      <c r="S6" s="215" t="str">
        <f t="shared" ca="1" si="2"/>
        <v/>
      </c>
    </row>
    <row r="7" spans="1:29" x14ac:dyDescent="0.25">
      <c r="B7" s="141" t="str">
        <f t="shared" si="3"/>
        <v/>
      </c>
      <c r="C7" s="153"/>
      <c r="D7" s="279"/>
      <c r="E7" s="218"/>
      <c r="F7" s="218"/>
      <c r="G7" s="218"/>
      <c r="H7" s="218"/>
      <c r="I7" s="228" t="s">
        <v>67</v>
      </c>
      <c r="J7" s="191"/>
      <c r="K7" s="218"/>
      <c r="L7" s="228" t="s">
        <v>67</v>
      </c>
      <c r="M7" s="191"/>
      <c r="N7" s="228" t="s">
        <v>67</v>
      </c>
      <c r="O7" s="192"/>
      <c r="P7" s="153"/>
      <c r="Q7" s="215" t="str">
        <f t="shared" ca="1" si="0"/>
        <v/>
      </c>
      <c r="R7" s="215" t="str">
        <f t="shared" ca="1" si="1"/>
        <v/>
      </c>
      <c r="S7" s="215" t="str">
        <f t="shared" ca="1" si="2"/>
        <v/>
      </c>
    </row>
    <row r="8" spans="1:29" x14ac:dyDescent="0.25">
      <c r="B8" s="141" t="str">
        <f t="shared" si="3"/>
        <v/>
      </c>
      <c r="C8" s="153"/>
      <c r="D8" s="279"/>
      <c r="E8" s="218"/>
      <c r="F8" s="218"/>
      <c r="G8" s="218"/>
      <c r="H8" s="218"/>
      <c r="I8" s="228" t="s">
        <v>68</v>
      </c>
      <c r="J8" s="191"/>
      <c r="K8" s="218"/>
      <c r="L8" s="228" t="s">
        <v>68</v>
      </c>
      <c r="M8" s="191"/>
      <c r="N8" s="228" t="s">
        <v>68</v>
      </c>
      <c r="O8" s="192"/>
      <c r="P8" s="153"/>
      <c r="Q8" s="215" t="str">
        <f t="shared" ca="1" si="0"/>
        <v/>
      </c>
      <c r="R8" s="215" t="str">
        <f t="shared" ca="1" si="1"/>
        <v/>
      </c>
      <c r="S8" s="215" t="str">
        <f t="shared" ca="1" si="2"/>
        <v/>
      </c>
    </row>
    <row r="9" spans="1:29" x14ac:dyDescent="0.25">
      <c r="B9" s="141" t="str">
        <f t="shared" si="3"/>
        <v/>
      </c>
      <c r="C9" s="153"/>
      <c r="D9" s="279"/>
      <c r="E9" s="218"/>
      <c r="F9" s="218"/>
      <c r="G9" s="218"/>
      <c r="H9" s="218"/>
      <c r="I9" s="228" t="s">
        <v>69</v>
      </c>
      <c r="J9" s="191"/>
      <c r="K9" s="218"/>
      <c r="L9" s="228" t="s">
        <v>69</v>
      </c>
      <c r="M9" s="191"/>
      <c r="N9" s="228" t="s">
        <v>69</v>
      </c>
      <c r="O9" s="192"/>
      <c r="P9" s="153"/>
      <c r="Q9" s="215" t="str">
        <f t="shared" ca="1" si="0"/>
        <v/>
      </c>
      <c r="R9" s="215" t="str">
        <f t="shared" ca="1" si="1"/>
        <v/>
      </c>
      <c r="S9" s="215" t="str">
        <f t="shared" ca="1" si="2"/>
        <v/>
      </c>
    </row>
    <row r="10" spans="1:29" x14ac:dyDescent="0.25">
      <c r="B10" s="141" t="str">
        <f t="shared" si="3"/>
        <v/>
      </c>
      <c r="C10" s="153"/>
      <c r="D10" s="280"/>
      <c r="E10" s="219"/>
      <c r="F10" s="219"/>
      <c r="G10" s="219"/>
      <c r="H10" s="219"/>
      <c r="I10" s="229" t="s">
        <v>70</v>
      </c>
      <c r="J10" s="193"/>
      <c r="K10" s="219"/>
      <c r="L10" s="229" t="s">
        <v>70</v>
      </c>
      <c r="M10" s="193"/>
      <c r="N10" s="229" t="s">
        <v>70</v>
      </c>
      <c r="O10" s="194"/>
      <c r="P10" s="153"/>
      <c r="Q10" s="215" t="str">
        <f t="shared" ca="1" si="0"/>
        <v/>
      </c>
      <c r="R10" s="215" t="str">
        <f t="shared" ca="1" si="1"/>
        <v/>
      </c>
      <c r="S10" s="215" t="str">
        <f t="shared" ca="1" si="2"/>
        <v/>
      </c>
    </row>
    <row r="11" spans="1:29" x14ac:dyDescent="0.25">
      <c r="B11" s="141" t="str">
        <f t="shared" si="3"/>
        <v/>
      </c>
      <c r="C11" s="153"/>
      <c r="D11" s="220"/>
      <c r="E11" s="220"/>
      <c r="F11" s="220"/>
      <c r="G11" s="220"/>
      <c r="H11" s="220"/>
      <c r="I11" s="221"/>
      <c r="J11" s="220"/>
      <c r="K11" s="220"/>
      <c r="L11" s="221"/>
      <c r="M11" s="220"/>
      <c r="N11" s="221"/>
      <c r="O11" s="220"/>
      <c r="P11" s="153"/>
      <c r="Q11" s="215" t="str">
        <f t="shared" ca="1" si="0"/>
        <v/>
      </c>
      <c r="R11" s="215" t="str">
        <f t="shared" ca="1" si="1"/>
        <v/>
      </c>
      <c r="S11" s="215"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5" t="str">
        <f t="shared" ca="1" si="0"/>
        <v/>
      </c>
      <c r="R12" s="215" t="str">
        <f t="shared" ca="1" si="1"/>
        <v/>
      </c>
      <c r="S12" s="215" t="str">
        <f t="shared" ca="1" si="2"/>
        <v/>
      </c>
    </row>
    <row r="13" spans="1:29" x14ac:dyDescent="0.25">
      <c r="B13" s="141" t="str">
        <f t="shared" si="3"/>
        <v/>
      </c>
      <c r="C13" s="153"/>
      <c r="D13" s="278"/>
      <c r="E13" s="218"/>
      <c r="F13" s="218"/>
      <c r="G13" s="218"/>
      <c r="H13" s="218"/>
      <c r="I13" s="228" t="s">
        <v>65</v>
      </c>
      <c r="J13" s="191"/>
      <c r="K13" s="218"/>
      <c r="L13" s="228" t="s">
        <v>65</v>
      </c>
      <c r="M13" s="191"/>
      <c r="N13" s="228" t="s">
        <v>65</v>
      </c>
      <c r="O13" s="192"/>
      <c r="P13" s="153"/>
      <c r="Q13" s="215" t="str">
        <f t="shared" ca="1" si="0"/>
        <v/>
      </c>
      <c r="R13" s="215" t="str">
        <f t="shared" ca="1" si="1"/>
        <v/>
      </c>
      <c r="S13" s="215" t="str">
        <f t="shared" ca="1" si="2"/>
        <v/>
      </c>
    </row>
    <row r="14" spans="1:29" x14ac:dyDescent="0.25">
      <c r="B14" s="141" t="str">
        <f t="shared" si="3"/>
        <v/>
      </c>
      <c r="C14" s="153"/>
      <c r="D14" s="279"/>
      <c r="E14" s="218"/>
      <c r="F14" s="218"/>
      <c r="G14" s="218"/>
      <c r="H14" s="218"/>
      <c r="I14" s="228" t="s">
        <v>66</v>
      </c>
      <c r="J14" s="191"/>
      <c r="K14" s="218"/>
      <c r="L14" s="228" t="s">
        <v>66</v>
      </c>
      <c r="M14" s="191"/>
      <c r="N14" s="228" t="s">
        <v>66</v>
      </c>
      <c r="O14" s="192"/>
      <c r="P14" s="153"/>
      <c r="Q14" s="215" t="str">
        <f t="shared" ca="1" si="0"/>
        <v/>
      </c>
      <c r="R14" s="215" t="str">
        <f t="shared" ca="1" si="1"/>
        <v/>
      </c>
      <c r="S14" s="215" t="str">
        <f t="shared" ca="1" si="2"/>
        <v/>
      </c>
    </row>
    <row r="15" spans="1:29" x14ac:dyDescent="0.25">
      <c r="B15" s="141" t="str">
        <f t="shared" si="3"/>
        <v/>
      </c>
      <c r="C15" s="153"/>
      <c r="D15" s="279"/>
      <c r="E15" s="218"/>
      <c r="F15" s="218"/>
      <c r="G15" s="218"/>
      <c r="H15" s="218"/>
      <c r="I15" s="228" t="s">
        <v>67</v>
      </c>
      <c r="J15" s="191"/>
      <c r="K15" s="218"/>
      <c r="L15" s="228" t="s">
        <v>67</v>
      </c>
      <c r="M15" s="191"/>
      <c r="N15" s="228" t="s">
        <v>67</v>
      </c>
      <c r="O15" s="192"/>
      <c r="P15" s="153"/>
      <c r="Q15" s="215" t="str">
        <f t="shared" ca="1" si="0"/>
        <v/>
      </c>
      <c r="R15" s="215" t="str">
        <f t="shared" ca="1" si="1"/>
        <v/>
      </c>
      <c r="S15" s="215" t="str">
        <f t="shared" ca="1" si="2"/>
        <v/>
      </c>
    </row>
    <row r="16" spans="1:29" x14ac:dyDescent="0.25">
      <c r="B16" s="141" t="str">
        <f t="shared" si="3"/>
        <v/>
      </c>
      <c r="C16" s="153"/>
      <c r="D16" s="279"/>
      <c r="E16" s="218"/>
      <c r="F16" s="218"/>
      <c r="G16" s="218"/>
      <c r="H16" s="218"/>
      <c r="I16" s="228" t="s">
        <v>68</v>
      </c>
      <c r="J16" s="191"/>
      <c r="K16" s="218"/>
      <c r="L16" s="228" t="s">
        <v>68</v>
      </c>
      <c r="M16" s="191"/>
      <c r="N16" s="228" t="s">
        <v>68</v>
      </c>
      <c r="O16" s="192"/>
      <c r="P16" s="153"/>
      <c r="Q16" s="215" t="str">
        <f t="shared" ca="1" si="0"/>
        <v/>
      </c>
      <c r="R16" s="215" t="str">
        <f t="shared" ca="1" si="1"/>
        <v/>
      </c>
      <c r="S16" s="215" t="str">
        <f t="shared" ca="1" si="2"/>
        <v/>
      </c>
    </row>
    <row r="17" spans="1:19" x14ac:dyDescent="0.25">
      <c r="B17" s="141" t="str">
        <f t="shared" si="3"/>
        <v/>
      </c>
      <c r="C17" s="153"/>
      <c r="D17" s="279"/>
      <c r="E17" s="218"/>
      <c r="F17" s="218"/>
      <c r="G17" s="218"/>
      <c r="H17" s="218"/>
      <c r="I17" s="228" t="s">
        <v>69</v>
      </c>
      <c r="J17" s="191"/>
      <c r="K17" s="218"/>
      <c r="L17" s="228" t="s">
        <v>69</v>
      </c>
      <c r="M17" s="191"/>
      <c r="N17" s="228" t="s">
        <v>69</v>
      </c>
      <c r="O17" s="192"/>
      <c r="P17" s="153"/>
      <c r="Q17" s="215" t="str">
        <f t="shared" ca="1" si="0"/>
        <v/>
      </c>
      <c r="R17" s="215" t="str">
        <f t="shared" ca="1" si="1"/>
        <v/>
      </c>
      <c r="S17" s="215" t="str">
        <f t="shared" ca="1" si="2"/>
        <v/>
      </c>
    </row>
    <row r="18" spans="1:19" x14ac:dyDescent="0.25">
      <c r="B18" s="141" t="str">
        <f t="shared" si="3"/>
        <v/>
      </c>
      <c r="C18" s="153"/>
      <c r="D18" s="280"/>
      <c r="E18" s="219"/>
      <c r="F18" s="219"/>
      <c r="G18" s="219"/>
      <c r="H18" s="219"/>
      <c r="I18" s="229" t="s">
        <v>70</v>
      </c>
      <c r="J18" s="193"/>
      <c r="K18" s="219"/>
      <c r="L18" s="229" t="s">
        <v>70</v>
      </c>
      <c r="M18" s="193"/>
      <c r="N18" s="229" t="s">
        <v>70</v>
      </c>
      <c r="O18" s="194"/>
      <c r="P18" s="153"/>
      <c r="Q18" s="215" t="str">
        <f t="shared" ca="1" si="0"/>
        <v/>
      </c>
      <c r="R18" s="215" t="str">
        <f t="shared" ca="1" si="1"/>
        <v/>
      </c>
      <c r="S18" s="215" t="str">
        <f t="shared" ca="1" si="2"/>
        <v/>
      </c>
    </row>
    <row r="19" spans="1:19" x14ac:dyDescent="0.25">
      <c r="B19" s="141" t="str">
        <f t="shared" si="3"/>
        <v/>
      </c>
      <c r="C19" s="153"/>
      <c r="D19" s="220"/>
      <c r="E19" s="222"/>
      <c r="F19" s="222"/>
      <c r="G19" s="222"/>
      <c r="H19" s="222"/>
      <c r="I19" s="223"/>
      <c r="J19" s="222"/>
      <c r="K19" s="222"/>
      <c r="L19" s="223"/>
      <c r="M19" s="222"/>
      <c r="N19" s="223"/>
      <c r="O19" s="222"/>
      <c r="P19" s="153"/>
      <c r="Q19" s="215" t="str">
        <f t="shared" ca="1" si="0"/>
        <v/>
      </c>
      <c r="R19" s="215" t="str">
        <f t="shared" ca="1" si="1"/>
        <v/>
      </c>
      <c r="S19" s="215"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5" t="str">
        <f t="shared" ca="1" si="0"/>
        <v/>
      </c>
      <c r="R20" s="215" t="str">
        <f t="shared" ca="1" si="1"/>
        <v/>
      </c>
      <c r="S20" s="215" t="str">
        <f t="shared" ca="1" si="2"/>
        <v/>
      </c>
    </row>
    <row r="21" spans="1:19" x14ac:dyDescent="0.25">
      <c r="B21" s="141" t="str">
        <f t="shared" si="3"/>
        <v/>
      </c>
      <c r="C21" s="159"/>
      <c r="D21" s="278"/>
      <c r="E21" s="218"/>
      <c r="F21" s="218"/>
      <c r="G21" s="218"/>
      <c r="H21" s="218"/>
      <c r="I21" s="228" t="s">
        <v>65</v>
      </c>
      <c r="J21" s="191"/>
      <c r="K21" s="218"/>
      <c r="L21" s="228" t="s">
        <v>65</v>
      </c>
      <c r="M21" s="191"/>
      <c r="N21" s="228" t="s">
        <v>65</v>
      </c>
      <c r="O21" s="192"/>
      <c r="P21" s="159"/>
      <c r="Q21" s="215" t="str">
        <f t="shared" ca="1" si="0"/>
        <v/>
      </c>
      <c r="R21" s="215" t="str">
        <f t="shared" ca="1" si="1"/>
        <v/>
      </c>
      <c r="S21" s="215" t="str">
        <f t="shared" ca="1" si="2"/>
        <v/>
      </c>
    </row>
    <row r="22" spans="1:19" x14ac:dyDescent="0.25">
      <c r="B22" s="141" t="str">
        <f t="shared" si="3"/>
        <v/>
      </c>
      <c r="C22" s="159"/>
      <c r="D22" s="279"/>
      <c r="E22" s="218"/>
      <c r="F22" s="218"/>
      <c r="G22" s="218"/>
      <c r="H22" s="218"/>
      <c r="I22" s="228" t="s">
        <v>66</v>
      </c>
      <c r="J22" s="191"/>
      <c r="K22" s="218"/>
      <c r="L22" s="228" t="s">
        <v>66</v>
      </c>
      <c r="M22" s="191"/>
      <c r="N22" s="228" t="s">
        <v>66</v>
      </c>
      <c r="O22" s="192"/>
      <c r="P22" s="159"/>
      <c r="Q22" s="215" t="str">
        <f t="shared" ca="1" si="0"/>
        <v/>
      </c>
      <c r="R22" s="215" t="str">
        <f t="shared" ca="1" si="1"/>
        <v/>
      </c>
      <c r="S22" s="215" t="str">
        <f t="shared" ca="1" si="2"/>
        <v/>
      </c>
    </row>
    <row r="23" spans="1:19" x14ac:dyDescent="0.25">
      <c r="B23" s="141" t="str">
        <f t="shared" si="3"/>
        <v/>
      </c>
      <c r="C23" s="159"/>
      <c r="D23" s="279"/>
      <c r="E23" s="218"/>
      <c r="F23" s="218"/>
      <c r="G23" s="218"/>
      <c r="H23" s="218"/>
      <c r="I23" s="228" t="s">
        <v>67</v>
      </c>
      <c r="J23" s="191"/>
      <c r="K23" s="218"/>
      <c r="L23" s="228" t="s">
        <v>67</v>
      </c>
      <c r="M23" s="191"/>
      <c r="N23" s="228" t="s">
        <v>67</v>
      </c>
      <c r="O23" s="192"/>
      <c r="P23" s="159"/>
      <c r="Q23" s="215" t="str">
        <f t="shared" ca="1" si="0"/>
        <v/>
      </c>
      <c r="R23" s="215" t="str">
        <f t="shared" ca="1" si="1"/>
        <v/>
      </c>
      <c r="S23" s="215" t="str">
        <f t="shared" ca="1" si="2"/>
        <v/>
      </c>
    </row>
    <row r="24" spans="1:19" x14ac:dyDescent="0.25">
      <c r="B24" s="141" t="str">
        <f t="shared" si="3"/>
        <v/>
      </c>
      <c r="C24" s="159"/>
      <c r="D24" s="279"/>
      <c r="E24" s="218"/>
      <c r="F24" s="218"/>
      <c r="G24" s="218"/>
      <c r="H24" s="218"/>
      <c r="I24" s="228" t="s">
        <v>68</v>
      </c>
      <c r="J24" s="191"/>
      <c r="K24" s="218"/>
      <c r="L24" s="228" t="s">
        <v>68</v>
      </c>
      <c r="M24" s="191"/>
      <c r="N24" s="228" t="s">
        <v>68</v>
      </c>
      <c r="O24" s="192"/>
      <c r="P24" s="159"/>
      <c r="Q24" s="215" t="str">
        <f t="shared" ca="1" si="0"/>
        <v/>
      </c>
      <c r="R24" s="215" t="str">
        <f t="shared" ca="1" si="1"/>
        <v/>
      </c>
      <c r="S24" s="215" t="str">
        <f t="shared" ca="1" si="2"/>
        <v/>
      </c>
    </row>
    <row r="25" spans="1:19" x14ac:dyDescent="0.25">
      <c r="B25" s="141" t="str">
        <f t="shared" si="3"/>
        <v/>
      </c>
      <c r="C25" s="159"/>
      <c r="D25" s="279"/>
      <c r="E25" s="218"/>
      <c r="F25" s="218"/>
      <c r="G25" s="218"/>
      <c r="H25" s="218"/>
      <c r="I25" s="228" t="s">
        <v>69</v>
      </c>
      <c r="J25" s="191"/>
      <c r="K25" s="218"/>
      <c r="L25" s="228" t="s">
        <v>69</v>
      </c>
      <c r="M25" s="191"/>
      <c r="N25" s="228" t="s">
        <v>69</v>
      </c>
      <c r="O25" s="192"/>
      <c r="P25" s="159"/>
      <c r="Q25" s="215" t="str">
        <f t="shared" ca="1" si="0"/>
        <v/>
      </c>
      <c r="R25" s="215" t="str">
        <f t="shared" ca="1" si="1"/>
        <v/>
      </c>
      <c r="S25" s="215" t="str">
        <f t="shared" ca="1" si="2"/>
        <v/>
      </c>
    </row>
    <row r="26" spans="1:19" x14ac:dyDescent="0.25">
      <c r="B26" s="141" t="str">
        <f t="shared" si="3"/>
        <v/>
      </c>
      <c r="C26" s="159"/>
      <c r="D26" s="280"/>
      <c r="E26" s="219"/>
      <c r="F26" s="219"/>
      <c r="G26" s="219"/>
      <c r="H26" s="219"/>
      <c r="I26" s="229" t="s">
        <v>70</v>
      </c>
      <c r="J26" s="193"/>
      <c r="K26" s="219"/>
      <c r="L26" s="229" t="s">
        <v>70</v>
      </c>
      <c r="M26" s="193"/>
      <c r="N26" s="229" t="s">
        <v>70</v>
      </c>
      <c r="O26" s="194"/>
      <c r="P26" s="159"/>
      <c r="Q26" s="215" t="str">
        <f t="shared" ca="1" si="0"/>
        <v/>
      </c>
      <c r="R26" s="215" t="str">
        <f t="shared" ca="1" si="1"/>
        <v/>
      </c>
      <c r="S26" s="215" t="str">
        <f t="shared" ca="1" si="2"/>
        <v/>
      </c>
    </row>
    <row r="27" spans="1:19" x14ac:dyDescent="0.25">
      <c r="B27" s="141" t="str">
        <f t="shared" si="3"/>
        <v/>
      </c>
      <c r="C27" s="153"/>
      <c r="D27" s="220"/>
      <c r="E27" s="222"/>
      <c r="F27" s="222"/>
      <c r="G27" s="222"/>
      <c r="H27" s="222"/>
      <c r="I27" s="223"/>
      <c r="J27" s="222"/>
      <c r="K27" s="222"/>
      <c r="L27" s="223"/>
      <c r="M27" s="222"/>
      <c r="N27" s="223"/>
      <c r="O27" s="222"/>
      <c r="P27" s="153"/>
      <c r="Q27" s="215" t="str">
        <f t="shared" ca="1" si="0"/>
        <v/>
      </c>
      <c r="R27" s="215" t="str">
        <f t="shared" ca="1" si="1"/>
        <v/>
      </c>
      <c r="S27" s="215"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5" t="str">
        <f t="shared" ca="1" si="0"/>
        <v/>
      </c>
      <c r="R28" s="215" t="str">
        <f t="shared" ca="1" si="1"/>
        <v/>
      </c>
      <c r="S28" s="215" t="str">
        <f t="shared" ca="1" si="2"/>
        <v/>
      </c>
    </row>
    <row r="29" spans="1:19" x14ac:dyDescent="0.25">
      <c r="B29" s="141" t="str">
        <f t="shared" si="3"/>
        <v/>
      </c>
      <c r="C29" s="159"/>
      <c r="D29" s="278"/>
      <c r="E29" s="218"/>
      <c r="F29" s="218"/>
      <c r="G29" s="218"/>
      <c r="H29" s="218"/>
      <c r="I29" s="228" t="s">
        <v>65</v>
      </c>
      <c r="J29" s="191"/>
      <c r="K29" s="218"/>
      <c r="L29" s="228" t="s">
        <v>65</v>
      </c>
      <c r="M29" s="191"/>
      <c r="N29" s="228" t="s">
        <v>65</v>
      </c>
      <c r="O29" s="192"/>
      <c r="P29" s="159"/>
      <c r="Q29" s="215" t="str">
        <f t="shared" ca="1" si="0"/>
        <v/>
      </c>
      <c r="R29" s="215" t="str">
        <f t="shared" ca="1" si="1"/>
        <v/>
      </c>
      <c r="S29" s="215" t="str">
        <f t="shared" ca="1" si="2"/>
        <v/>
      </c>
    </row>
    <row r="30" spans="1:19" x14ac:dyDescent="0.25">
      <c r="B30" s="141" t="str">
        <f t="shared" si="3"/>
        <v/>
      </c>
      <c r="C30" s="159"/>
      <c r="D30" s="279"/>
      <c r="E30" s="218"/>
      <c r="F30" s="218"/>
      <c r="G30" s="218"/>
      <c r="H30" s="218"/>
      <c r="I30" s="228" t="s">
        <v>66</v>
      </c>
      <c r="J30" s="191"/>
      <c r="K30" s="218"/>
      <c r="L30" s="228" t="s">
        <v>66</v>
      </c>
      <c r="M30" s="191"/>
      <c r="N30" s="228" t="s">
        <v>66</v>
      </c>
      <c r="O30" s="192"/>
      <c r="P30" s="159"/>
      <c r="Q30" s="215" t="str">
        <f t="shared" ca="1" si="0"/>
        <v/>
      </c>
      <c r="R30" s="215" t="str">
        <f t="shared" ca="1" si="1"/>
        <v/>
      </c>
      <c r="S30" s="215" t="str">
        <f t="shared" ca="1" si="2"/>
        <v/>
      </c>
    </row>
    <row r="31" spans="1:19" x14ac:dyDescent="0.25">
      <c r="B31" s="141" t="str">
        <f t="shared" si="3"/>
        <v/>
      </c>
      <c r="C31" s="159"/>
      <c r="D31" s="279"/>
      <c r="E31" s="218"/>
      <c r="F31" s="218"/>
      <c r="G31" s="218"/>
      <c r="H31" s="218"/>
      <c r="I31" s="228" t="s">
        <v>67</v>
      </c>
      <c r="J31" s="191"/>
      <c r="K31" s="218"/>
      <c r="L31" s="228" t="s">
        <v>67</v>
      </c>
      <c r="M31" s="191"/>
      <c r="N31" s="228" t="s">
        <v>67</v>
      </c>
      <c r="O31" s="192"/>
      <c r="P31" s="159"/>
      <c r="Q31" s="215" t="str">
        <f t="shared" ca="1" si="0"/>
        <v/>
      </c>
      <c r="R31" s="215" t="str">
        <f t="shared" ca="1" si="1"/>
        <v/>
      </c>
      <c r="S31" s="215" t="str">
        <f t="shared" ca="1" si="2"/>
        <v/>
      </c>
    </row>
    <row r="32" spans="1:19" x14ac:dyDescent="0.25">
      <c r="B32" s="141" t="str">
        <f t="shared" si="3"/>
        <v/>
      </c>
      <c r="C32" s="159"/>
      <c r="D32" s="279"/>
      <c r="E32" s="218"/>
      <c r="F32" s="218"/>
      <c r="G32" s="218"/>
      <c r="H32" s="218"/>
      <c r="I32" s="228" t="s">
        <v>68</v>
      </c>
      <c r="J32" s="191"/>
      <c r="K32" s="218"/>
      <c r="L32" s="228" t="s">
        <v>68</v>
      </c>
      <c r="M32" s="191"/>
      <c r="N32" s="228" t="s">
        <v>68</v>
      </c>
      <c r="O32" s="192"/>
      <c r="P32" s="159"/>
      <c r="Q32" s="215" t="str">
        <f t="shared" ca="1" si="0"/>
        <v/>
      </c>
      <c r="R32" s="215" t="str">
        <f t="shared" ca="1" si="1"/>
        <v/>
      </c>
      <c r="S32" s="215" t="str">
        <f t="shared" ca="1" si="2"/>
        <v/>
      </c>
    </row>
    <row r="33" spans="1:19" x14ac:dyDescent="0.25">
      <c r="B33" s="141" t="str">
        <f t="shared" si="3"/>
        <v/>
      </c>
      <c r="C33" s="159"/>
      <c r="D33" s="279"/>
      <c r="E33" s="218"/>
      <c r="F33" s="218"/>
      <c r="G33" s="218"/>
      <c r="H33" s="218"/>
      <c r="I33" s="228" t="s">
        <v>69</v>
      </c>
      <c r="J33" s="191"/>
      <c r="K33" s="218"/>
      <c r="L33" s="228" t="s">
        <v>69</v>
      </c>
      <c r="M33" s="191"/>
      <c r="N33" s="228" t="s">
        <v>69</v>
      </c>
      <c r="O33" s="192"/>
      <c r="P33" s="159"/>
      <c r="Q33" s="215" t="str">
        <f t="shared" ca="1" si="0"/>
        <v/>
      </c>
      <c r="R33" s="215" t="str">
        <f t="shared" ca="1" si="1"/>
        <v/>
      </c>
      <c r="S33" s="215" t="str">
        <f t="shared" ca="1" si="2"/>
        <v/>
      </c>
    </row>
    <row r="34" spans="1:19" x14ac:dyDescent="0.25">
      <c r="B34" s="141" t="str">
        <f t="shared" si="3"/>
        <v/>
      </c>
      <c r="C34" s="159"/>
      <c r="D34" s="280"/>
      <c r="E34" s="219"/>
      <c r="F34" s="219"/>
      <c r="G34" s="219"/>
      <c r="H34" s="219"/>
      <c r="I34" s="229" t="s">
        <v>70</v>
      </c>
      <c r="J34" s="193"/>
      <c r="K34" s="219"/>
      <c r="L34" s="229" t="s">
        <v>70</v>
      </c>
      <c r="M34" s="193"/>
      <c r="N34" s="229" t="s">
        <v>70</v>
      </c>
      <c r="O34" s="194"/>
      <c r="P34" s="159"/>
      <c r="Q34" s="215" t="str">
        <f t="shared" ca="1" si="0"/>
        <v/>
      </c>
      <c r="R34" s="215" t="str">
        <f t="shared" ca="1" si="1"/>
        <v/>
      </c>
      <c r="S34" s="215" t="str">
        <f t="shared" ca="1" si="2"/>
        <v/>
      </c>
    </row>
    <row r="35" spans="1:19" x14ac:dyDescent="0.25">
      <c r="B35" s="141" t="str">
        <f t="shared" si="3"/>
        <v/>
      </c>
      <c r="C35" s="159"/>
      <c r="D35" s="220"/>
      <c r="E35" s="222"/>
      <c r="F35" s="222"/>
      <c r="G35" s="222"/>
      <c r="H35" s="222"/>
      <c r="I35" s="223"/>
      <c r="J35" s="222"/>
      <c r="K35" s="222"/>
      <c r="L35" s="223"/>
      <c r="M35" s="222"/>
      <c r="N35" s="223"/>
      <c r="O35" s="222"/>
      <c r="P35" s="159"/>
      <c r="Q35" s="215" t="str">
        <f t="shared" ca="1" si="0"/>
        <v/>
      </c>
      <c r="R35" s="215" t="str">
        <f t="shared" ca="1" si="1"/>
        <v/>
      </c>
      <c r="S35" s="215"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5" t="str">
        <f t="shared" ref="Q36:Q53" ca="1" si="4">IFERROR(INDEX(Needs_Q, MATCH(ROW()-ROW(Q$3), Needs_Q_Ix, 0)), "")</f>
        <v/>
      </c>
      <c r="R36" s="215" t="str">
        <f t="shared" ref="R36:R53" ca="1" si="5">IFERROR(INDEX(US_Q, MATCH(ROW()-ROW(R$3), US_Q_Ix, 0)), "")</f>
        <v/>
      </c>
      <c r="S36" s="215"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8"/>
      <c r="F37" s="218"/>
      <c r="G37" s="218"/>
      <c r="H37" s="218"/>
      <c r="I37" s="228" t="s">
        <v>65</v>
      </c>
      <c r="J37" s="191"/>
      <c r="K37" s="218"/>
      <c r="L37" s="228" t="s">
        <v>65</v>
      </c>
      <c r="M37" s="191"/>
      <c r="N37" s="228" t="s">
        <v>65</v>
      </c>
      <c r="O37" s="192"/>
      <c r="P37" s="142"/>
      <c r="Q37" s="215" t="str">
        <f t="shared" ca="1" si="4"/>
        <v/>
      </c>
      <c r="R37" s="215" t="str">
        <f t="shared" ca="1" si="5"/>
        <v/>
      </c>
      <c r="S37" s="215" t="str">
        <f t="shared" ca="1" si="6"/>
        <v/>
      </c>
    </row>
    <row r="38" spans="1:19" x14ac:dyDescent="0.25">
      <c r="B38" s="141" t="str">
        <f t="shared" si="7"/>
        <v/>
      </c>
      <c r="C38" s="142"/>
      <c r="D38" s="279"/>
      <c r="E38" s="218"/>
      <c r="F38" s="218"/>
      <c r="G38" s="218"/>
      <c r="H38" s="218"/>
      <c r="I38" s="228" t="s">
        <v>66</v>
      </c>
      <c r="J38" s="191"/>
      <c r="K38" s="218"/>
      <c r="L38" s="228" t="s">
        <v>66</v>
      </c>
      <c r="M38" s="191"/>
      <c r="N38" s="228" t="s">
        <v>66</v>
      </c>
      <c r="O38" s="192"/>
      <c r="P38" s="142"/>
      <c r="Q38" s="215" t="str">
        <f t="shared" ca="1" si="4"/>
        <v/>
      </c>
      <c r="R38" s="215" t="str">
        <f t="shared" ca="1" si="5"/>
        <v/>
      </c>
      <c r="S38" s="215" t="str">
        <f t="shared" ca="1" si="6"/>
        <v/>
      </c>
    </row>
    <row r="39" spans="1:19" x14ac:dyDescent="0.25">
      <c r="B39" s="141" t="str">
        <f t="shared" si="7"/>
        <v/>
      </c>
      <c r="C39" s="142"/>
      <c r="D39" s="279"/>
      <c r="E39" s="218"/>
      <c r="F39" s="218"/>
      <c r="G39" s="218"/>
      <c r="H39" s="218"/>
      <c r="I39" s="228" t="s">
        <v>67</v>
      </c>
      <c r="J39" s="191"/>
      <c r="K39" s="218"/>
      <c r="L39" s="228" t="s">
        <v>67</v>
      </c>
      <c r="M39" s="191"/>
      <c r="N39" s="228" t="s">
        <v>67</v>
      </c>
      <c r="O39" s="192"/>
      <c r="P39" s="142"/>
      <c r="Q39" s="215" t="str">
        <f t="shared" ca="1" si="4"/>
        <v/>
      </c>
      <c r="R39" s="215" t="str">
        <f t="shared" ca="1" si="5"/>
        <v/>
      </c>
      <c r="S39" s="215" t="str">
        <f t="shared" ca="1" si="6"/>
        <v/>
      </c>
    </row>
    <row r="40" spans="1:19" x14ac:dyDescent="0.25">
      <c r="B40" s="141" t="str">
        <f t="shared" si="7"/>
        <v/>
      </c>
      <c r="C40" s="142"/>
      <c r="D40" s="279"/>
      <c r="E40" s="218"/>
      <c r="F40" s="218"/>
      <c r="G40" s="218"/>
      <c r="H40" s="218"/>
      <c r="I40" s="228" t="s">
        <v>68</v>
      </c>
      <c r="J40" s="191"/>
      <c r="K40" s="218"/>
      <c r="L40" s="228" t="s">
        <v>68</v>
      </c>
      <c r="M40" s="191"/>
      <c r="N40" s="228" t="s">
        <v>68</v>
      </c>
      <c r="O40" s="192"/>
      <c r="P40" s="142"/>
      <c r="Q40" s="215" t="str">
        <f t="shared" ca="1" si="4"/>
        <v/>
      </c>
      <c r="R40" s="215" t="str">
        <f t="shared" ca="1" si="5"/>
        <v/>
      </c>
      <c r="S40" s="215" t="str">
        <f t="shared" ca="1" si="6"/>
        <v/>
      </c>
    </row>
    <row r="41" spans="1:19" x14ac:dyDescent="0.25">
      <c r="B41" s="141" t="str">
        <f t="shared" si="7"/>
        <v/>
      </c>
      <c r="C41" s="142"/>
      <c r="D41" s="279"/>
      <c r="E41" s="218"/>
      <c r="F41" s="218"/>
      <c r="G41" s="218"/>
      <c r="H41" s="218"/>
      <c r="I41" s="228" t="s">
        <v>69</v>
      </c>
      <c r="J41" s="191"/>
      <c r="K41" s="218"/>
      <c r="L41" s="228" t="s">
        <v>69</v>
      </c>
      <c r="M41" s="191"/>
      <c r="N41" s="228" t="s">
        <v>69</v>
      </c>
      <c r="O41" s="192"/>
      <c r="P41" s="142"/>
      <c r="Q41" s="215" t="str">
        <f t="shared" ca="1" si="4"/>
        <v/>
      </c>
      <c r="R41" s="215" t="str">
        <f t="shared" ca="1" si="5"/>
        <v/>
      </c>
      <c r="S41" s="215" t="str">
        <f t="shared" ca="1" si="6"/>
        <v/>
      </c>
    </row>
    <row r="42" spans="1:19" x14ac:dyDescent="0.25">
      <c r="B42" s="141" t="str">
        <f t="shared" si="7"/>
        <v/>
      </c>
      <c r="C42" s="142"/>
      <c r="D42" s="280"/>
      <c r="E42" s="219"/>
      <c r="F42" s="219"/>
      <c r="G42" s="219"/>
      <c r="H42" s="219"/>
      <c r="I42" s="229" t="s">
        <v>70</v>
      </c>
      <c r="J42" s="193"/>
      <c r="K42" s="219"/>
      <c r="L42" s="229" t="s">
        <v>70</v>
      </c>
      <c r="M42" s="193"/>
      <c r="N42" s="229" t="s">
        <v>70</v>
      </c>
      <c r="O42" s="194"/>
      <c r="P42" s="142"/>
      <c r="Q42" s="215" t="str">
        <f t="shared" ca="1" si="4"/>
        <v/>
      </c>
      <c r="R42" s="215" t="str">
        <f t="shared" ca="1" si="5"/>
        <v/>
      </c>
      <c r="S42" s="215" t="str">
        <f t="shared" ca="1" si="6"/>
        <v/>
      </c>
    </row>
    <row r="43" spans="1:19" x14ac:dyDescent="0.25">
      <c r="B43" s="141" t="str">
        <f t="shared" si="7"/>
        <v/>
      </c>
      <c r="C43" s="142"/>
      <c r="D43" s="224"/>
      <c r="E43" s="224"/>
      <c r="F43" s="224"/>
      <c r="G43" s="224"/>
      <c r="H43" s="224"/>
      <c r="I43" s="225"/>
      <c r="J43" s="224"/>
      <c r="K43" s="224"/>
      <c r="L43" s="225"/>
      <c r="M43" s="224"/>
      <c r="N43" s="225"/>
      <c r="O43" s="224"/>
      <c r="P43" s="142"/>
      <c r="Q43" s="215" t="str">
        <f t="shared" ca="1" si="4"/>
        <v/>
      </c>
      <c r="R43" s="215" t="str">
        <f t="shared" ca="1" si="5"/>
        <v/>
      </c>
      <c r="S43" s="215"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5" t="str">
        <f t="shared" ca="1" si="4"/>
        <v/>
      </c>
      <c r="R44" s="215" t="str">
        <f t="shared" ca="1" si="5"/>
        <v/>
      </c>
      <c r="S44" s="215" t="str">
        <f t="shared" ca="1" si="6"/>
        <v/>
      </c>
    </row>
    <row r="45" spans="1:19" x14ac:dyDescent="0.25">
      <c r="B45" s="141" t="str">
        <f t="shared" si="7"/>
        <v/>
      </c>
      <c r="C45" s="142"/>
      <c r="D45" s="278"/>
      <c r="E45" s="218"/>
      <c r="F45" s="218"/>
      <c r="G45" s="218"/>
      <c r="H45" s="218"/>
      <c r="I45" s="228" t="s">
        <v>65</v>
      </c>
      <c r="J45" s="191"/>
      <c r="K45" s="218"/>
      <c r="L45" s="228" t="s">
        <v>65</v>
      </c>
      <c r="M45" s="191"/>
      <c r="N45" s="228" t="s">
        <v>65</v>
      </c>
      <c r="O45" s="192"/>
      <c r="P45" s="142"/>
      <c r="Q45" s="215" t="str">
        <f t="shared" ca="1" si="4"/>
        <v/>
      </c>
      <c r="R45" s="215" t="str">
        <f t="shared" ca="1" si="5"/>
        <v/>
      </c>
      <c r="S45" s="215" t="str">
        <f t="shared" ca="1" si="6"/>
        <v/>
      </c>
    </row>
    <row r="46" spans="1:19" x14ac:dyDescent="0.25">
      <c r="B46" s="141" t="str">
        <f t="shared" si="7"/>
        <v/>
      </c>
      <c r="C46" s="142"/>
      <c r="D46" s="279"/>
      <c r="E46" s="218"/>
      <c r="F46" s="218"/>
      <c r="G46" s="218"/>
      <c r="H46" s="218"/>
      <c r="I46" s="228" t="s">
        <v>66</v>
      </c>
      <c r="J46" s="191"/>
      <c r="K46" s="218"/>
      <c r="L46" s="228" t="s">
        <v>66</v>
      </c>
      <c r="M46" s="191"/>
      <c r="N46" s="228" t="s">
        <v>66</v>
      </c>
      <c r="O46" s="192"/>
      <c r="P46" s="142"/>
      <c r="Q46" s="215" t="str">
        <f t="shared" ca="1" si="4"/>
        <v/>
      </c>
      <c r="R46" s="215" t="str">
        <f t="shared" ca="1" si="5"/>
        <v/>
      </c>
      <c r="S46" s="215" t="str">
        <f t="shared" ca="1" si="6"/>
        <v/>
      </c>
    </row>
    <row r="47" spans="1:19" x14ac:dyDescent="0.25">
      <c r="B47" s="141" t="str">
        <f t="shared" si="7"/>
        <v/>
      </c>
      <c r="C47" s="142"/>
      <c r="D47" s="279"/>
      <c r="E47" s="218"/>
      <c r="F47" s="218"/>
      <c r="G47" s="218"/>
      <c r="H47" s="218"/>
      <c r="I47" s="228" t="s">
        <v>67</v>
      </c>
      <c r="J47" s="191"/>
      <c r="K47" s="218"/>
      <c r="L47" s="228" t="s">
        <v>67</v>
      </c>
      <c r="M47" s="191"/>
      <c r="N47" s="228" t="s">
        <v>67</v>
      </c>
      <c r="O47" s="192"/>
      <c r="P47" s="142"/>
      <c r="Q47" s="215" t="str">
        <f t="shared" ca="1" si="4"/>
        <v/>
      </c>
      <c r="R47" s="215" t="str">
        <f t="shared" ca="1" si="5"/>
        <v/>
      </c>
      <c r="S47" s="215" t="str">
        <f t="shared" ca="1" si="6"/>
        <v/>
      </c>
    </row>
    <row r="48" spans="1:19" x14ac:dyDescent="0.25">
      <c r="B48" s="141" t="str">
        <f t="shared" si="7"/>
        <v/>
      </c>
      <c r="C48" s="142"/>
      <c r="D48" s="279"/>
      <c r="E48" s="218"/>
      <c r="F48" s="218"/>
      <c r="G48" s="218"/>
      <c r="H48" s="218"/>
      <c r="I48" s="228" t="s">
        <v>68</v>
      </c>
      <c r="J48" s="191"/>
      <c r="K48" s="218"/>
      <c r="L48" s="228" t="s">
        <v>68</v>
      </c>
      <c r="M48" s="191"/>
      <c r="N48" s="228" t="s">
        <v>68</v>
      </c>
      <c r="O48" s="192"/>
      <c r="P48" s="142"/>
      <c r="Q48" s="215" t="str">
        <f t="shared" ca="1" si="4"/>
        <v/>
      </c>
      <c r="R48" s="215" t="str">
        <f t="shared" ca="1" si="5"/>
        <v/>
      </c>
      <c r="S48" s="215" t="str">
        <f t="shared" ca="1" si="6"/>
        <v/>
      </c>
    </row>
    <row r="49" spans="1:19" x14ac:dyDescent="0.25">
      <c r="B49" s="141" t="str">
        <f t="shared" si="7"/>
        <v/>
      </c>
      <c r="C49" s="142"/>
      <c r="D49" s="279"/>
      <c r="E49" s="218"/>
      <c r="F49" s="218"/>
      <c r="G49" s="218"/>
      <c r="H49" s="218"/>
      <c r="I49" s="228" t="s">
        <v>69</v>
      </c>
      <c r="J49" s="191"/>
      <c r="K49" s="218"/>
      <c r="L49" s="228" t="s">
        <v>69</v>
      </c>
      <c r="M49" s="191"/>
      <c r="N49" s="228" t="s">
        <v>69</v>
      </c>
      <c r="O49" s="192"/>
      <c r="P49" s="142"/>
      <c r="Q49" s="215" t="str">
        <f t="shared" ca="1" si="4"/>
        <v/>
      </c>
      <c r="R49" s="215" t="str">
        <f t="shared" ca="1" si="5"/>
        <v/>
      </c>
      <c r="S49" s="215" t="str">
        <f t="shared" ca="1" si="6"/>
        <v/>
      </c>
    </row>
    <row r="50" spans="1:19" x14ac:dyDescent="0.25">
      <c r="B50" s="141" t="str">
        <f t="shared" si="7"/>
        <v/>
      </c>
      <c r="C50" s="142"/>
      <c r="D50" s="280"/>
      <c r="E50" s="219"/>
      <c r="F50" s="219"/>
      <c r="G50" s="219"/>
      <c r="H50" s="219"/>
      <c r="I50" s="229" t="s">
        <v>70</v>
      </c>
      <c r="J50" s="193"/>
      <c r="K50" s="219"/>
      <c r="L50" s="229" t="s">
        <v>70</v>
      </c>
      <c r="M50" s="193"/>
      <c r="N50" s="229" t="s">
        <v>70</v>
      </c>
      <c r="O50" s="194"/>
      <c r="P50" s="142"/>
      <c r="Q50" s="215" t="str">
        <f t="shared" ca="1" si="4"/>
        <v/>
      </c>
      <c r="R50" s="215" t="str">
        <f t="shared" ca="1" si="5"/>
        <v/>
      </c>
      <c r="S50" s="215" t="str">
        <f t="shared" ca="1" si="6"/>
        <v/>
      </c>
    </row>
    <row r="51" spans="1:19" x14ac:dyDescent="0.25">
      <c r="B51" s="141" t="str">
        <f t="shared" si="7"/>
        <v/>
      </c>
      <c r="C51" s="142"/>
      <c r="D51" s="224"/>
      <c r="E51" s="224"/>
      <c r="F51" s="224"/>
      <c r="G51" s="224"/>
      <c r="H51" s="224"/>
      <c r="I51" s="225"/>
      <c r="J51" s="224"/>
      <c r="K51" s="224"/>
      <c r="L51" s="225"/>
      <c r="M51" s="224"/>
      <c r="N51" s="225"/>
      <c r="O51" s="224"/>
      <c r="P51" s="142"/>
      <c r="Q51" s="215" t="str">
        <f t="shared" ca="1" si="4"/>
        <v/>
      </c>
      <c r="R51" s="215" t="str">
        <f t="shared" ca="1" si="5"/>
        <v/>
      </c>
      <c r="S51" s="215"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5" t="str">
        <f t="shared" ca="1" si="4"/>
        <v/>
      </c>
      <c r="R52" s="215" t="str">
        <f t="shared" ca="1" si="5"/>
        <v/>
      </c>
      <c r="S52" s="215" t="str">
        <f t="shared" ca="1" si="6"/>
        <v/>
      </c>
    </row>
    <row r="53" spans="1:19" x14ac:dyDescent="0.25">
      <c r="B53" s="141" t="str">
        <f t="shared" si="7"/>
        <v/>
      </c>
      <c r="C53" s="142"/>
      <c r="D53" s="275"/>
      <c r="E53" s="218"/>
      <c r="F53" s="218"/>
      <c r="G53" s="218"/>
      <c r="H53" s="218"/>
      <c r="I53" s="230" t="s">
        <v>65</v>
      </c>
      <c r="J53" s="195"/>
      <c r="K53" s="218"/>
      <c r="L53" s="230" t="s">
        <v>65</v>
      </c>
      <c r="M53" s="195"/>
      <c r="N53" s="230" t="s">
        <v>65</v>
      </c>
      <c r="O53" s="192"/>
      <c r="P53" s="142"/>
      <c r="Q53" s="215" t="str">
        <f t="shared" ca="1" si="4"/>
        <v/>
      </c>
      <c r="R53" s="215" t="str">
        <f t="shared" ca="1" si="5"/>
        <v/>
      </c>
      <c r="S53" s="215" t="str">
        <f t="shared" ca="1" si="6"/>
        <v/>
      </c>
    </row>
    <row r="54" spans="1:19" x14ac:dyDescent="0.25">
      <c r="B54" s="141" t="str">
        <f t="shared" si="7"/>
        <v/>
      </c>
      <c r="C54" s="142"/>
      <c r="D54" s="276"/>
      <c r="E54" s="218"/>
      <c r="F54" s="218"/>
      <c r="G54" s="218"/>
      <c r="H54" s="218"/>
      <c r="I54" s="230" t="s">
        <v>66</v>
      </c>
      <c r="J54" s="195"/>
      <c r="K54" s="218"/>
      <c r="L54" s="230" t="s">
        <v>66</v>
      </c>
      <c r="M54" s="195"/>
      <c r="N54" s="230" t="s">
        <v>66</v>
      </c>
      <c r="O54" s="192"/>
      <c r="P54" s="142"/>
      <c r="Q54" s="143"/>
      <c r="R54" s="143"/>
      <c r="S54" s="143"/>
    </row>
    <row r="55" spans="1:19" x14ac:dyDescent="0.25">
      <c r="B55" s="141" t="str">
        <f t="shared" si="7"/>
        <v/>
      </c>
      <c r="C55" s="142"/>
      <c r="D55" s="276"/>
      <c r="E55" s="218"/>
      <c r="F55" s="218"/>
      <c r="G55" s="218"/>
      <c r="H55" s="218"/>
      <c r="I55" s="230" t="s">
        <v>67</v>
      </c>
      <c r="J55" s="195"/>
      <c r="K55" s="218"/>
      <c r="L55" s="230" t="s">
        <v>67</v>
      </c>
      <c r="M55" s="195"/>
      <c r="N55" s="230" t="s">
        <v>67</v>
      </c>
      <c r="O55" s="192"/>
      <c r="P55" s="142"/>
      <c r="Q55" s="143"/>
      <c r="R55" s="143"/>
      <c r="S55" s="143"/>
    </row>
    <row r="56" spans="1:19" x14ac:dyDescent="0.25">
      <c r="B56" s="141" t="str">
        <f t="shared" si="7"/>
        <v/>
      </c>
      <c r="C56" s="142"/>
      <c r="D56" s="276"/>
      <c r="E56" s="218"/>
      <c r="F56" s="218"/>
      <c r="G56" s="218"/>
      <c r="H56" s="218"/>
      <c r="I56" s="230" t="s">
        <v>68</v>
      </c>
      <c r="J56" s="195"/>
      <c r="K56" s="218"/>
      <c r="L56" s="230" t="s">
        <v>68</v>
      </c>
      <c r="M56" s="195"/>
      <c r="N56" s="230" t="s">
        <v>68</v>
      </c>
      <c r="O56" s="192"/>
      <c r="P56" s="142"/>
      <c r="Q56" s="143"/>
      <c r="R56" s="143"/>
      <c r="S56" s="143"/>
    </row>
    <row r="57" spans="1:19" x14ac:dyDescent="0.25">
      <c r="B57" s="141" t="str">
        <f t="shared" si="7"/>
        <v/>
      </c>
      <c r="C57" s="142"/>
      <c r="D57" s="276"/>
      <c r="E57" s="218"/>
      <c r="F57" s="218"/>
      <c r="G57" s="218"/>
      <c r="H57" s="218"/>
      <c r="I57" s="230" t="s">
        <v>69</v>
      </c>
      <c r="J57" s="195"/>
      <c r="K57" s="218"/>
      <c r="L57" s="230" t="s">
        <v>69</v>
      </c>
      <c r="M57" s="195"/>
      <c r="N57" s="230" t="s">
        <v>69</v>
      </c>
      <c r="O57" s="192"/>
      <c r="P57" s="142"/>
      <c r="Q57" s="143"/>
      <c r="R57" s="143"/>
      <c r="S57" s="143"/>
    </row>
    <row r="58" spans="1:19" x14ac:dyDescent="0.25">
      <c r="B58" s="141" t="str">
        <f t="shared" si="7"/>
        <v/>
      </c>
      <c r="C58" s="142"/>
      <c r="D58" s="277"/>
      <c r="E58" s="219"/>
      <c r="F58" s="219"/>
      <c r="G58" s="219"/>
      <c r="H58" s="219"/>
      <c r="I58" s="231" t="s">
        <v>70</v>
      </c>
      <c r="J58" s="196"/>
      <c r="K58" s="219"/>
      <c r="L58" s="231" t="s">
        <v>70</v>
      </c>
      <c r="M58" s="196"/>
      <c r="N58" s="231" t="s">
        <v>70</v>
      </c>
      <c r="O58" s="194"/>
      <c r="P58" s="142"/>
      <c r="Q58" s="143"/>
      <c r="R58" s="143"/>
      <c r="S58" s="143"/>
    </row>
    <row r="59" spans="1:19" x14ac:dyDescent="0.25">
      <c r="B59" s="141" t="str">
        <f t="shared" si="7"/>
        <v/>
      </c>
      <c r="C59" s="142"/>
      <c r="D59" s="224"/>
      <c r="E59" s="224"/>
      <c r="F59" s="224"/>
      <c r="G59" s="224"/>
      <c r="H59" s="224"/>
      <c r="I59" s="225"/>
      <c r="J59" s="224"/>
      <c r="K59" s="224"/>
      <c r="L59" s="225"/>
      <c r="M59" s="224"/>
      <c r="N59" s="225"/>
      <c r="O59" s="224"/>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8"/>
      <c r="F61" s="218"/>
      <c r="G61" s="218"/>
      <c r="H61" s="218"/>
      <c r="I61" s="230" t="s">
        <v>65</v>
      </c>
      <c r="J61" s="195"/>
      <c r="K61" s="218"/>
      <c r="L61" s="230" t="s">
        <v>65</v>
      </c>
      <c r="M61" s="195"/>
      <c r="N61" s="230" t="s">
        <v>65</v>
      </c>
      <c r="O61" s="192"/>
      <c r="P61" s="142"/>
      <c r="Q61" s="143"/>
      <c r="R61" s="143"/>
      <c r="S61" s="143"/>
    </row>
    <row r="62" spans="1:19" x14ac:dyDescent="0.25">
      <c r="B62" s="141" t="str">
        <f t="shared" si="7"/>
        <v/>
      </c>
      <c r="C62" s="142"/>
      <c r="D62" s="276"/>
      <c r="E62" s="218"/>
      <c r="F62" s="218"/>
      <c r="G62" s="218"/>
      <c r="H62" s="218"/>
      <c r="I62" s="230" t="s">
        <v>66</v>
      </c>
      <c r="J62" s="195"/>
      <c r="K62" s="218"/>
      <c r="L62" s="230" t="s">
        <v>66</v>
      </c>
      <c r="M62" s="195"/>
      <c r="N62" s="230" t="s">
        <v>66</v>
      </c>
      <c r="O62" s="192"/>
      <c r="P62" s="142"/>
      <c r="Q62" s="143"/>
      <c r="R62" s="143"/>
      <c r="S62" s="143"/>
    </row>
    <row r="63" spans="1:19" x14ac:dyDescent="0.25">
      <c r="B63" s="141" t="str">
        <f t="shared" si="7"/>
        <v/>
      </c>
      <c r="C63" s="142"/>
      <c r="D63" s="276"/>
      <c r="E63" s="218"/>
      <c r="F63" s="218"/>
      <c r="G63" s="218"/>
      <c r="H63" s="218"/>
      <c r="I63" s="230" t="s">
        <v>67</v>
      </c>
      <c r="J63" s="195"/>
      <c r="K63" s="218"/>
      <c r="L63" s="230" t="s">
        <v>67</v>
      </c>
      <c r="M63" s="195"/>
      <c r="N63" s="230" t="s">
        <v>67</v>
      </c>
      <c r="O63" s="192"/>
      <c r="P63" s="142"/>
      <c r="Q63" s="143"/>
      <c r="R63" s="143"/>
      <c r="S63" s="143"/>
    </row>
    <row r="64" spans="1:19" x14ac:dyDescent="0.25">
      <c r="B64" s="141" t="str">
        <f t="shared" si="7"/>
        <v/>
      </c>
      <c r="C64" s="142"/>
      <c r="D64" s="276"/>
      <c r="E64" s="218"/>
      <c r="F64" s="218"/>
      <c r="G64" s="218"/>
      <c r="H64" s="218"/>
      <c r="I64" s="230" t="s">
        <v>68</v>
      </c>
      <c r="J64" s="195"/>
      <c r="K64" s="218"/>
      <c r="L64" s="230" t="s">
        <v>68</v>
      </c>
      <c r="M64" s="195"/>
      <c r="N64" s="230" t="s">
        <v>68</v>
      </c>
      <c r="O64" s="192"/>
      <c r="P64" s="142"/>
      <c r="Q64" s="143"/>
      <c r="R64" s="143"/>
      <c r="S64" s="143"/>
    </row>
    <row r="65" spans="1:19" x14ac:dyDescent="0.25">
      <c r="B65" s="141" t="str">
        <f t="shared" si="7"/>
        <v/>
      </c>
      <c r="C65" s="142"/>
      <c r="D65" s="276"/>
      <c r="E65" s="218"/>
      <c r="F65" s="218"/>
      <c r="G65" s="218"/>
      <c r="H65" s="218"/>
      <c r="I65" s="230" t="s">
        <v>69</v>
      </c>
      <c r="J65" s="195"/>
      <c r="K65" s="218"/>
      <c r="L65" s="230" t="s">
        <v>69</v>
      </c>
      <c r="M65" s="195"/>
      <c r="N65" s="230" t="s">
        <v>69</v>
      </c>
      <c r="O65" s="192"/>
      <c r="P65" s="142"/>
      <c r="Q65" s="143"/>
      <c r="R65" s="143"/>
      <c r="S65" s="143"/>
    </row>
    <row r="66" spans="1:19" x14ac:dyDescent="0.25">
      <c r="B66" s="141" t="str">
        <f t="shared" si="7"/>
        <v/>
      </c>
      <c r="C66" s="142"/>
      <c r="D66" s="277"/>
      <c r="E66" s="219"/>
      <c r="F66" s="219"/>
      <c r="G66" s="219"/>
      <c r="H66" s="219"/>
      <c r="I66" s="231" t="s">
        <v>70</v>
      </c>
      <c r="J66" s="196"/>
      <c r="K66" s="219"/>
      <c r="L66" s="231" t="s">
        <v>70</v>
      </c>
      <c r="M66" s="196"/>
      <c r="N66" s="231" t="s">
        <v>70</v>
      </c>
      <c r="O66" s="194"/>
      <c r="P66" s="142"/>
      <c r="Q66" s="143"/>
      <c r="R66" s="143"/>
      <c r="S66" s="143"/>
    </row>
    <row r="67" spans="1:19" x14ac:dyDescent="0.25">
      <c r="B67" s="141" t="str">
        <f t="shared" si="7"/>
        <v/>
      </c>
      <c r="C67" s="142"/>
      <c r="D67" s="224"/>
      <c r="E67" s="224"/>
      <c r="F67" s="224"/>
      <c r="G67" s="224"/>
      <c r="H67" s="224"/>
      <c r="I67" s="225"/>
      <c r="J67" s="224"/>
      <c r="K67" s="224"/>
      <c r="L67" s="225"/>
      <c r="M67" s="224"/>
      <c r="N67" s="225"/>
      <c r="O67" s="224"/>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8"/>
      <c r="F69" s="218"/>
      <c r="G69" s="218"/>
      <c r="H69" s="218"/>
      <c r="I69" s="230" t="s">
        <v>65</v>
      </c>
      <c r="J69" s="195"/>
      <c r="K69" s="218"/>
      <c r="L69" s="230" t="s">
        <v>65</v>
      </c>
      <c r="M69" s="195"/>
      <c r="N69" s="230" t="s">
        <v>65</v>
      </c>
      <c r="O69" s="192"/>
      <c r="P69" s="142"/>
      <c r="Q69" s="143"/>
      <c r="R69" s="143"/>
      <c r="S69" s="143"/>
    </row>
    <row r="70" spans="1:19" x14ac:dyDescent="0.25">
      <c r="B70" s="141" t="str">
        <f t="shared" si="8"/>
        <v/>
      </c>
      <c r="C70" s="142"/>
      <c r="D70" s="276"/>
      <c r="E70" s="218"/>
      <c r="F70" s="218"/>
      <c r="G70" s="218"/>
      <c r="H70" s="218"/>
      <c r="I70" s="230" t="s">
        <v>66</v>
      </c>
      <c r="J70" s="195"/>
      <c r="K70" s="218"/>
      <c r="L70" s="230" t="s">
        <v>66</v>
      </c>
      <c r="M70" s="195"/>
      <c r="N70" s="230" t="s">
        <v>66</v>
      </c>
      <c r="O70" s="192"/>
      <c r="P70" s="142"/>
      <c r="Q70" s="143"/>
      <c r="R70" s="143"/>
      <c r="S70" s="143"/>
    </row>
    <row r="71" spans="1:19" x14ac:dyDescent="0.25">
      <c r="B71" s="141" t="str">
        <f t="shared" si="8"/>
        <v/>
      </c>
      <c r="C71" s="142"/>
      <c r="D71" s="276"/>
      <c r="E71" s="218"/>
      <c r="F71" s="218"/>
      <c r="G71" s="218"/>
      <c r="H71" s="218"/>
      <c r="I71" s="230" t="s">
        <v>67</v>
      </c>
      <c r="J71" s="195"/>
      <c r="K71" s="218"/>
      <c r="L71" s="230" t="s">
        <v>67</v>
      </c>
      <c r="M71" s="195"/>
      <c r="N71" s="230" t="s">
        <v>67</v>
      </c>
      <c r="O71" s="192"/>
      <c r="P71" s="142"/>
      <c r="Q71" s="143"/>
      <c r="R71" s="143"/>
      <c r="S71" s="143"/>
    </row>
    <row r="72" spans="1:19" x14ac:dyDescent="0.25">
      <c r="B72" s="141" t="str">
        <f t="shared" si="8"/>
        <v/>
      </c>
      <c r="C72" s="142"/>
      <c r="D72" s="276"/>
      <c r="E72" s="218"/>
      <c r="F72" s="218"/>
      <c r="G72" s="218"/>
      <c r="H72" s="218"/>
      <c r="I72" s="230" t="s">
        <v>68</v>
      </c>
      <c r="J72" s="195"/>
      <c r="K72" s="218"/>
      <c r="L72" s="230" t="s">
        <v>68</v>
      </c>
      <c r="M72" s="195"/>
      <c r="N72" s="230" t="s">
        <v>68</v>
      </c>
      <c r="O72" s="192"/>
      <c r="P72" s="142"/>
      <c r="Q72" s="143"/>
      <c r="R72" s="143"/>
      <c r="S72" s="143"/>
    </row>
    <row r="73" spans="1:19" x14ac:dyDescent="0.25">
      <c r="B73" s="141" t="str">
        <f t="shared" si="8"/>
        <v/>
      </c>
      <c r="C73" s="142"/>
      <c r="D73" s="276"/>
      <c r="E73" s="218"/>
      <c r="F73" s="218"/>
      <c r="G73" s="218"/>
      <c r="H73" s="218"/>
      <c r="I73" s="230" t="s">
        <v>257</v>
      </c>
      <c r="J73" s="195"/>
      <c r="K73" s="218"/>
      <c r="L73" s="230" t="s">
        <v>69</v>
      </c>
      <c r="M73" s="195"/>
      <c r="N73" s="230" t="s">
        <v>69</v>
      </c>
      <c r="O73" s="192"/>
      <c r="P73" s="142"/>
      <c r="Q73" s="143"/>
      <c r="R73" s="143"/>
      <c r="S73" s="143"/>
    </row>
    <row r="74" spans="1:19" x14ac:dyDescent="0.25">
      <c r="B74" s="141" t="str">
        <f t="shared" si="8"/>
        <v/>
      </c>
      <c r="C74" s="142"/>
      <c r="D74" s="277"/>
      <c r="E74" s="219"/>
      <c r="F74" s="219"/>
      <c r="G74" s="219"/>
      <c r="H74" s="219"/>
      <c r="I74" s="231" t="s">
        <v>70</v>
      </c>
      <c r="J74" s="196"/>
      <c r="K74" s="219"/>
      <c r="L74" s="231" t="s">
        <v>70</v>
      </c>
      <c r="M74" s="196"/>
      <c r="N74" s="231" t="s">
        <v>70</v>
      </c>
      <c r="O74" s="194"/>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2"/>
      <c r="J76" s="140"/>
      <c r="K76" s="140"/>
      <c r="L76" s="232"/>
      <c r="M76" s="140"/>
      <c r="N76" s="232"/>
      <c r="O76" s="140"/>
      <c r="P76" s="140"/>
      <c r="Q76" s="143"/>
      <c r="R76" s="143"/>
      <c r="S76" s="143"/>
    </row>
    <row r="77" spans="1:19" x14ac:dyDescent="0.25">
      <c r="A77" s="149"/>
      <c r="B77" s="149"/>
      <c r="C77" s="140"/>
      <c r="D77" s="140"/>
      <c r="E77" s="140"/>
      <c r="F77" s="140"/>
      <c r="G77" s="140"/>
      <c r="H77" s="140"/>
      <c r="I77" s="232"/>
      <c r="J77" s="140"/>
      <c r="K77" s="140"/>
      <c r="L77" s="232"/>
      <c r="M77" s="140"/>
      <c r="N77" s="232"/>
      <c r="O77" s="140"/>
      <c r="P77" s="140"/>
      <c r="Q77" s="143"/>
      <c r="R77" s="143"/>
      <c r="S77" s="143"/>
    </row>
    <row r="78" spans="1:19" x14ac:dyDescent="0.25">
      <c r="A78" s="149"/>
      <c r="B78" s="149"/>
      <c r="C78" s="140"/>
      <c r="D78" s="140"/>
      <c r="E78" s="140"/>
      <c r="F78" s="140"/>
      <c r="G78" s="140"/>
      <c r="H78" s="140"/>
      <c r="I78" s="232"/>
      <c r="J78" s="140"/>
      <c r="K78" s="140"/>
      <c r="L78" s="232"/>
      <c r="M78" s="140"/>
      <c r="N78" s="232"/>
      <c r="O78" s="140"/>
      <c r="P78" s="140"/>
      <c r="Q78" s="143"/>
      <c r="R78" s="143"/>
      <c r="S78" s="143"/>
    </row>
    <row r="79" spans="1:19" x14ac:dyDescent="0.25">
      <c r="A79" s="149"/>
      <c r="B79" s="149"/>
      <c r="C79" s="140"/>
      <c r="D79" s="140"/>
      <c r="E79" s="140"/>
      <c r="F79" s="140"/>
      <c r="G79" s="140"/>
      <c r="H79" s="140"/>
      <c r="I79" s="232"/>
      <c r="J79" s="140"/>
      <c r="K79" s="140"/>
      <c r="L79" s="232"/>
      <c r="M79" s="140"/>
      <c r="N79" s="232"/>
      <c r="O79" s="140"/>
      <c r="P79" s="140"/>
      <c r="Q79" s="143"/>
      <c r="R79" s="143"/>
      <c r="S79" s="143"/>
    </row>
    <row r="80" spans="1:19" hidden="1" x14ac:dyDescent="0.25">
      <c r="A80" s="149"/>
      <c r="B80" s="149"/>
      <c r="C80" s="140"/>
      <c r="D80" s="140"/>
      <c r="E80" s="140"/>
      <c r="F80" s="140"/>
      <c r="G80" s="140"/>
      <c r="H80" s="140"/>
      <c r="I80" s="232"/>
      <c r="J80" s="140"/>
      <c r="K80" s="140"/>
      <c r="L80" s="232"/>
      <c r="M80" s="140"/>
      <c r="N80" s="232"/>
      <c r="O80" s="140"/>
      <c r="P80" s="140"/>
      <c r="Q80" s="143"/>
      <c r="R80" s="143"/>
      <c r="S80" s="143"/>
    </row>
    <row r="81" spans="1:19" hidden="1" x14ac:dyDescent="0.25">
      <c r="A81" s="149"/>
      <c r="B81" s="149"/>
      <c r="C81" s="140"/>
      <c r="D81" s="140"/>
      <c r="E81" s="140"/>
      <c r="F81" s="140"/>
      <c r="G81" s="140"/>
      <c r="H81" s="140"/>
      <c r="I81" s="232"/>
      <c r="J81" s="140"/>
      <c r="K81" s="140"/>
      <c r="L81" s="232"/>
      <c r="M81" s="140"/>
      <c r="N81" s="232"/>
      <c r="O81" s="140"/>
      <c r="P81" s="140"/>
      <c r="Q81" s="143"/>
      <c r="R81" s="143"/>
      <c r="S81" s="143"/>
    </row>
    <row r="82" spans="1:19" hidden="1" x14ac:dyDescent="0.25">
      <c r="A82" s="149"/>
      <c r="B82" s="149"/>
      <c r="C82" s="140"/>
      <c r="D82" s="140"/>
      <c r="E82" s="140"/>
      <c r="F82" s="140"/>
      <c r="G82" s="140"/>
      <c r="H82" s="140"/>
      <c r="I82" s="232"/>
      <c r="J82" s="140"/>
      <c r="K82" s="140"/>
      <c r="L82" s="232"/>
      <c r="M82" s="140"/>
      <c r="N82" s="232"/>
      <c r="O82" s="140"/>
      <c r="P82" s="140"/>
      <c r="Q82" s="143"/>
      <c r="R82" s="143"/>
      <c r="S82" s="143"/>
    </row>
    <row r="83" spans="1:19" hidden="1" x14ac:dyDescent="0.25">
      <c r="A83" s="149"/>
      <c r="B83" s="149"/>
      <c r="C83" s="140"/>
      <c r="D83" s="140"/>
      <c r="E83" s="140"/>
      <c r="F83" s="140"/>
      <c r="G83" s="140"/>
      <c r="H83" s="140"/>
      <c r="I83" s="232"/>
      <c r="J83" s="140"/>
      <c r="K83" s="140"/>
      <c r="L83" s="232"/>
      <c r="M83" s="140"/>
      <c r="N83" s="232"/>
      <c r="O83" s="140"/>
      <c r="P83" s="140"/>
      <c r="Q83" s="143"/>
      <c r="R83" s="143"/>
      <c r="S83" s="143"/>
    </row>
    <row r="84" spans="1:19" hidden="1" x14ac:dyDescent="0.25">
      <c r="A84" s="149"/>
      <c r="B84" s="149"/>
      <c r="C84" s="140"/>
      <c r="D84" s="140"/>
      <c r="E84" s="140"/>
      <c r="F84" s="140"/>
      <c r="G84" s="140"/>
      <c r="H84" s="140"/>
      <c r="I84" s="232"/>
      <c r="J84" s="140"/>
      <c r="K84" s="140"/>
      <c r="L84" s="232"/>
      <c r="M84" s="140"/>
      <c r="N84" s="232"/>
      <c r="O84" s="140"/>
      <c r="P84" s="140"/>
      <c r="Q84" s="143"/>
      <c r="R84" s="143"/>
      <c r="S84" s="143"/>
    </row>
    <row r="85" spans="1:19" hidden="1" x14ac:dyDescent="0.25">
      <c r="A85" s="149"/>
      <c r="B85" s="149"/>
      <c r="C85" s="140"/>
      <c r="D85" s="140"/>
      <c r="E85" s="140"/>
      <c r="F85" s="140"/>
      <c r="G85" s="140"/>
      <c r="H85" s="140"/>
      <c r="I85" s="232"/>
      <c r="J85" s="140"/>
      <c r="K85" s="140"/>
      <c r="L85" s="232"/>
      <c r="M85" s="140"/>
      <c r="N85" s="232"/>
      <c r="O85" s="140"/>
      <c r="P85" s="140"/>
      <c r="Q85" s="143"/>
      <c r="R85" s="143"/>
      <c r="S85" s="143"/>
    </row>
    <row r="86" spans="1:19" x14ac:dyDescent="0.25">
      <c r="A86" s="149"/>
      <c r="B86" s="149"/>
      <c r="C86" s="140"/>
      <c r="D86" s="140"/>
      <c r="E86" s="140"/>
      <c r="F86" s="140"/>
      <c r="G86" s="140"/>
      <c r="H86" s="140"/>
      <c r="I86" s="232"/>
      <c r="J86" s="140"/>
      <c r="K86" s="140"/>
      <c r="L86" s="232"/>
      <c r="M86" s="140"/>
      <c r="N86" s="232"/>
      <c r="O86" s="140"/>
      <c r="P86" s="140"/>
    </row>
    <row r="87" spans="1:19" x14ac:dyDescent="0.25">
      <c r="A87" s="149"/>
      <c r="B87" s="149"/>
      <c r="C87" s="140"/>
      <c r="D87" s="140"/>
      <c r="E87" s="140"/>
      <c r="F87" s="140"/>
      <c r="G87" s="140"/>
      <c r="H87" s="140"/>
      <c r="I87" s="232"/>
      <c r="J87" s="236"/>
      <c r="K87" s="140"/>
      <c r="L87" s="232"/>
      <c r="M87" s="140"/>
      <c r="N87" s="232"/>
      <c r="O87" s="140"/>
      <c r="P87" s="140"/>
    </row>
    <row r="88" spans="1:19" x14ac:dyDescent="0.25">
      <c r="A88" s="149"/>
      <c r="B88" s="149"/>
      <c r="C88" s="140"/>
      <c r="D88" s="140"/>
      <c r="E88" s="140"/>
      <c r="F88" s="140"/>
      <c r="G88" s="140"/>
      <c r="H88" s="140"/>
      <c r="I88" s="232"/>
      <c r="J88" s="140"/>
      <c r="K88" s="140"/>
      <c r="L88" s="232"/>
      <c r="M88" s="140"/>
      <c r="N88" s="232"/>
      <c r="O88" s="140"/>
      <c r="P88" s="140"/>
    </row>
    <row r="89" spans="1:19" x14ac:dyDescent="0.25">
      <c r="A89" s="149"/>
      <c r="B89" s="149"/>
      <c r="C89" s="140"/>
      <c r="D89" s="140"/>
      <c r="E89" s="140"/>
      <c r="F89" s="140"/>
      <c r="G89" s="140"/>
      <c r="H89" s="140"/>
      <c r="I89" s="232"/>
      <c r="J89" s="140"/>
      <c r="K89" s="140"/>
      <c r="L89" s="232"/>
      <c r="M89" s="140"/>
      <c r="N89" s="232"/>
      <c r="O89" s="140"/>
      <c r="P89" s="140"/>
    </row>
    <row r="90" spans="1:19" x14ac:dyDescent="0.25">
      <c r="A90" s="149"/>
      <c r="B90" s="149"/>
      <c r="C90" s="140"/>
      <c r="D90" s="140"/>
      <c r="E90" s="140"/>
      <c r="F90" s="140"/>
      <c r="G90" s="140"/>
      <c r="H90" s="140"/>
      <c r="I90" s="232"/>
      <c r="J90" s="140"/>
      <c r="K90" s="140"/>
      <c r="L90" s="232"/>
      <c r="M90" s="140"/>
      <c r="N90" s="232"/>
      <c r="O90" s="140"/>
      <c r="P90" s="140"/>
    </row>
    <row r="91" spans="1:19" x14ac:dyDescent="0.25">
      <c r="A91" s="149"/>
      <c r="B91" s="149"/>
      <c r="C91" s="140"/>
      <c r="D91" s="140"/>
      <c r="E91" s="140"/>
      <c r="F91" s="140"/>
      <c r="G91" s="140"/>
      <c r="H91" s="140"/>
      <c r="I91" s="232"/>
      <c r="J91" s="140"/>
      <c r="K91" s="140"/>
      <c r="L91" s="232"/>
      <c r="M91" s="140"/>
      <c r="N91" s="232"/>
      <c r="O91" s="140"/>
      <c r="P91" s="140"/>
    </row>
    <row r="92" spans="1:19" x14ac:dyDescent="0.25">
      <c r="A92" s="149"/>
      <c r="B92" s="149"/>
      <c r="C92" s="140"/>
      <c r="D92" s="140"/>
      <c r="E92" s="140"/>
      <c r="F92" s="140"/>
      <c r="G92" s="140"/>
      <c r="H92" s="140"/>
      <c r="I92" s="232"/>
      <c r="J92" s="140"/>
      <c r="K92" s="140"/>
      <c r="L92" s="232"/>
      <c r="M92" s="140"/>
      <c r="N92" s="232"/>
      <c r="O92" s="140"/>
      <c r="P92" s="140"/>
    </row>
    <row r="93" spans="1:19" x14ac:dyDescent="0.25">
      <c r="A93" s="149"/>
      <c r="B93" s="149"/>
      <c r="C93" s="140"/>
      <c r="D93" s="140"/>
      <c r="E93" s="140"/>
      <c r="F93" s="140"/>
      <c r="G93" s="140"/>
      <c r="H93" s="140"/>
      <c r="I93" s="232"/>
      <c r="J93" s="140"/>
      <c r="K93" s="140"/>
      <c r="L93" s="232"/>
      <c r="M93" s="140"/>
      <c r="N93" s="232"/>
      <c r="O93" s="140"/>
      <c r="P93" s="140"/>
    </row>
    <row r="94" spans="1:19" x14ac:dyDescent="0.25">
      <c r="A94" s="149"/>
      <c r="B94" s="149"/>
      <c r="C94" s="140"/>
      <c r="D94" s="140"/>
      <c r="E94" s="140"/>
      <c r="F94" s="140"/>
      <c r="G94" s="140"/>
      <c r="H94" s="140"/>
      <c r="I94" s="232"/>
      <c r="J94" s="140"/>
      <c r="K94" s="140"/>
      <c r="L94" s="232"/>
      <c r="M94" s="140"/>
      <c r="N94" s="232"/>
      <c r="O94" s="140"/>
      <c r="P94" s="140"/>
    </row>
    <row r="95" spans="1:19" x14ac:dyDescent="0.25">
      <c r="A95" s="149"/>
      <c r="B95" s="149"/>
      <c r="C95" s="140"/>
      <c r="D95" s="140"/>
      <c r="E95" s="140"/>
      <c r="F95" s="140"/>
      <c r="G95" s="140"/>
      <c r="H95" s="140"/>
      <c r="I95" s="232"/>
      <c r="J95" s="140"/>
      <c r="K95" s="140"/>
      <c r="L95" s="232"/>
      <c r="M95" s="140"/>
      <c r="N95" s="232"/>
      <c r="O95" s="140"/>
      <c r="P95" s="140"/>
    </row>
    <row r="96" spans="1:19" x14ac:dyDescent="0.25">
      <c r="A96" s="149"/>
      <c r="B96" s="149"/>
      <c r="C96" s="140"/>
      <c r="D96" s="140"/>
      <c r="E96" s="140"/>
      <c r="F96" s="140"/>
      <c r="G96" s="140"/>
      <c r="H96" s="140"/>
      <c r="I96" s="232"/>
      <c r="J96" s="140"/>
      <c r="K96" s="140"/>
      <c r="L96" s="232"/>
      <c r="M96" s="140"/>
      <c r="N96" s="232"/>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5" sqref="E5"/>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8"/>
      <c r="F4" s="146"/>
      <c r="G4" s="215" t="str">
        <f t="shared" ref="G4:G53" ca="1" si="0">IFERROR(INDEX(Needs_Q, MATCH(ROW()-ROW(G$3), Needs_Q_Ix, 0)), "")</f>
        <v/>
      </c>
      <c r="H4" s="215" t="str">
        <f t="shared" ref="H4:H35" ca="1" si="1">IFERROR(INDEX(US_Q, MATCH(ROW()-ROW(H$3), US_Q_Ix, 0)), "")</f>
        <v/>
      </c>
      <c r="I4" s="215"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8"/>
      <c r="F5" s="146"/>
      <c r="G5" s="215" t="str">
        <f t="shared" ca="1" si="0"/>
        <v/>
      </c>
      <c r="H5" s="215" t="str">
        <f t="shared" ca="1" si="1"/>
        <v/>
      </c>
      <c r="I5" s="215" t="str">
        <f t="shared" ca="1" si="2"/>
        <v/>
      </c>
    </row>
    <row r="6" spans="1:19" ht="15" x14ac:dyDescent="0.25">
      <c r="B6" s="141" t="str">
        <f>IFERROR(CHOOSE(MATCH(#REF!, Val_ResponseCat, 0), "IdentifiedNeeds", "IdentifiedUsefulStrengths", "IdentifiedStrengthsToBuild"), "")</f>
        <v/>
      </c>
      <c r="C6" s="145"/>
      <c r="D6" s="148" t="s">
        <v>67</v>
      </c>
      <c r="E6" s="198"/>
      <c r="F6" s="146"/>
      <c r="G6" s="215" t="str">
        <f t="shared" ca="1" si="0"/>
        <v/>
      </c>
      <c r="H6" s="215" t="str">
        <f t="shared" ca="1" si="1"/>
        <v/>
      </c>
      <c r="I6" s="215" t="str">
        <f t="shared" ca="1" si="2"/>
        <v/>
      </c>
    </row>
    <row r="7" spans="1:19" ht="15" x14ac:dyDescent="0.25">
      <c r="B7" s="141" t="str">
        <f>IFERROR(CHOOSE(MATCH(#REF!, Val_ResponseCat, 0), "IdentifiedNeeds", "IdentifiedUsefulStrengths", "IdentifiedStrengthsToBuild"), "")</f>
        <v/>
      </c>
      <c r="C7" s="145"/>
      <c r="D7" s="148" t="s">
        <v>68</v>
      </c>
      <c r="E7" s="198"/>
      <c r="F7" s="146"/>
      <c r="G7" s="215" t="str">
        <f t="shared" ca="1" si="0"/>
        <v/>
      </c>
      <c r="H7" s="215" t="str">
        <f t="shared" ca="1" si="1"/>
        <v/>
      </c>
      <c r="I7" s="215" t="str">
        <f t="shared" ca="1" si="2"/>
        <v/>
      </c>
    </row>
    <row r="8" spans="1:19" ht="15" x14ac:dyDescent="0.25">
      <c r="B8" s="141" t="str">
        <f>IFERROR(CHOOSE(MATCH(#REF!, Val_ResponseCat, 0), "IdentifiedNeeds", "IdentifiedUsefulStrengths", "IdentifiedStrengthsToBuild"), "")</f>
        <v/>
      </c>
      <c r="C8" s="145"/>
      <c r="D8" s="148" t="s">
        <v>69</v>
      </c>
      <c r="E8" s="198"/>
      <c r="F8" s="146"/>
      <c r="G8" s="215" t="str">
        <f t="shared" ca="1" si="0"/>
        <v/>
      </c>
      <c r="H8" s="215" t="str">
        <f t="shared" ca="1" si="1"/>
        <v/>
      </c>
      <c r="I8" s="215" t="str">
        <f t="shared" ca="1" si="2"/>
        <v/>
      </c>
    </row>
    <row r="9" spans="1:19" ht="15" x14ac:dyDescent="0.25">
      <c r="B9" s="141" t="str">
        <f>IFERROR(CHOOSE(MATCH(#REF!, Val_ResponseCat, 0), "IdentifiedNeeds", "IdentifiedUsefulStrengths", "IdentifiedStrengthsToBuild"), "")</f>
        <v/>
      </c>
      <c r="C9" s="145"/>
      <c r="D9" s="148" t="s">
        <v>70</v>
      </c>
      <c r="E9" s="198"/>
      <c r="F9" s="146"/>
      <c r="G9" s="215" t="str">
        <f t="shared" ca="1" si="0"/>
        <v/>
      </c>
      <c r="H9" s="215" t="str">
        <f t="shared" ca="1" si="1"/>
        <v/>
      </c>
      <c r="I9" s="215" t="str">
        <f t="shared" ca="1" si="2"/>
        <v/>
      </c>
    </row>
    <row r="10" spans="1:19" ht="15" x14ac:dyDescent="0.25">
      <c r="B10" s="141" t="str">
        <f>IFERROR(CHOOSE(MATCH(#REF!, Val_ResponseCat, 0), "IdentifiedNeeds", "IdentifiedUsefulStrengths", "IdentifiedStrengthsToBuild"), "")</f>
        <v/>
      </c>
      <c r="C10" s="145"/>
      <c r="D10" s="145"/>
      <c r="E10" s="145"/>
      <c r="F10" s="146"/>
      <c r="G10" s="215" t="str">
        <f t="shared" ca="1" si="0"/>
        <v/>
      </c>
      <c r="H10" s="215" t="str">
        <f t="shared" ca="1" si="1"/>
        <v/>
      </c>
      <c r="I10" s="215" t="str">
        <f t="shared" ca="1" si="2"/>
        <v/>
      </c>
    </row>
    <row r="11" spans="1:19" ht="15" x14ac:dyDescent="0.25">
      <c r="A11" s="149"/>
      <c r="B11" s="149" t="str">
        <f>IFERROR(CHOOSE(MATCH(#REF!, Val_ResponseCat, 0), "IdentifiedNeeds", "IdentifiedUsefulStrengths", "IdentifiedStrengthsToBuild"), "")</f>
        <v/>
      </c>
      <c r="C11" s="140"/>
      <c r="D11" s="140"/>
      <c r="E11" s="140"/>
      <c r="F11" s="140"/>
      <c r="G11" s="215" t="str">
        <f t="shared" ca="1" si="0"/>
        <v/>
      </c>
      <c r="H11" s="215" t="str">
        <f t="shared" ca="1" si="1"/>
        <v/>
      </c>
      <c r="I11" s="215"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5" t="str">
        <f t="shared" ca="1" si="0"/>
        <v/>
      </c>
      <c r="H12" s="215" t="str">
        <f t="shared" ca="1" si="1"/>
        <v/>
      </c>
      <c r="I12" s="215" t="str">
        <f t="shared" ca="1" si="2"/>
        <v/>
      </c>
    </row>
    <row r="13" spans="1:19" ht="15" x14ac:dyDescent="0.25">
      <c r="A13" s="149"/>
      <c r="B13" s="149" t="str">
        <f>IFERROR(CHOOSE(MATCH(#REF!, Val_ResponseCat, 0), "IdentifiedNeeds", "IdentifiedUsefulStrengths", "IdentifiedStrengthsToBuild"), "")</f>
        <v/>
      </c>
      <c r="C13" s="140"/>
      <c r="D13" s="140"/>
      <c r="E13" s="140"/>
      <c r="F13" s="140"/>
      <c r="G13" s="215" t="str">
        <f t="shared" ca="1" si="0"/>
        <v/>
      </c>
      <c r="H13" s="215" t="str">
        <f t="shared" ca="1" si="1"/>
        <v/>
      </c>
      <c r="I13" s="215" t="str">
        <f t="shared" ca="1" si="2"/>
        <v/>
      </c>
    </row>
    <row r="14" spans="1:19" ht="15" x14ac:dyDescent="0.25">
      <c r="A14" s="149"/>
      <c r="B14" s="149" t="str">
        <f>IFERROR(CHOOSE(MATCH(#REF!, Val_ResponseCat, 0), "IdentifiedNeeds", "IdentifiedUsefulStrengths", "IdentifiedStrengthsToBuild"), "")</f>
        <v/>
      </c>
      <c r="C14" s="140"/>
      <c r="D14" s="140"/>
      <c r="E14" s="140"/>
      <c r="F14" s="140"/>
      <c r="G14" s="215" t="str">
        <f t="shared" ca="1" si="0"/>
        <v/>
      </c>
      <c r="H14" s="215" t="str">
        <f t="shared" ca="1" si="1"/>
        <v/>
      </c>
      <c r="I14" s="215" t="str">
        <f t="shared" ca="1" si="2"/>
        <v/>
      </c>
    </row>
    <row r="15" spans="1:19" ht="15" x14ac:dyDescent="0.25">
      <c r="A15" s="149"/>
      <c r="B15" s="149" t="str">
        <f>IFERROR(CHOOSE(MATCH(#REF!, Val_ResponseCat, 0), "IdentifiedNeeds", "IdentifiedUsefulStrengths", "IdentifiedStrengthsToBuild"), "")</f>
        <v/>
      </c>
      <c r="C15" s="140"/>
      <c r="D15" s="140"/>
      <c r="E15" s="140"/>
      <c r="F15" s="140"/>
      <c r="G15" s="215" t="str">
        <f t="shared" ca="1" si="0"/>
        <v/>
      </c>
      <c r="H15" s="215" t="str">
        <f t="shared" ca="1" si="1"/>
        <v/>
      </c>
      <c r="I15" s="215" t="str">
        <f t="shared" ca="1" si="2"/>
        <v/>
      </c>
    </row>
    <row r="16" spans="1:19" ht="15" x14ac:dyDescent="0.25">
      <c r="A16" s="149"/>
      <c r="B16" s="149" t="str">
        <f>IFERROR(CHOOSE(MATCH(#REF!, Val_ResponseCat, 0), "IdentifiedNeeds", "IdentifiedUsefulStrengths", "IdentifiedStrengthsToBuild"), "")</f>
        <v/>
      </c>
      <c r="C16" s="140"/>
      <c r="D16" s="140"/>
      <c r="E16" s="140"/>
      <c r="F16" s="140"/>
      <c r="G16" s="215" t="str">
        <f t="shared" ca="1" si="0"/>
        <v/>
      </c>
      <c r="H16" s="215" t="str">
        <f t="shared" ca="1" si="1"/>
        <v/>
      </c>
      <c r="I16" s="215" t="str">
        <f t="shared" ca="1" si="2"/>
        <v/>
      </c>
    </row>
    <row r="17" spans="1:9" ht="15" x14ac:dyDescent="0.25">
      <c r="A17" s="149"/>
      <c r="B17" s="149" t="str">
        <f>IFERROR(CHOOSE(MATCH(#REF!, Val_ResponseCat, 0), "IdentifiedNeeds", "IdentifiedUsefulStrengths", "IdentifiedStrengthsToBuild"), "")</f>
        <v/>
      </c>
      <c r="C17" s="140"/>
      <c r="D17" s="140"/>
      <c r="E17" s="140"/>
      <c r="F17" s="140"/>
      <c r="G17" s="215" t="str">
        <f t="shared" ca="1" si="0"/>
        <v/>
      </c>
      <c r="H17" s="215" t="str">
        <f t="shared" ca="1" si="1"/>
        <v/>
      </c>
      <c r="I17" s="215" t="str">
        <f t="shared" ca="1" si="2"/>
        <v/>
      </c>
    </row>
    <row r="18" spans="1:9" ht="15" x14ac:dyDescent="0.25">
      <c r="A18" s="149"/>
      <c r="B18" s="149" t="str">
        <f>IFERROR(CHOOSE(MATCH(#REF!, Val_ResponseCat, 0), "IdentifiedNeeds", "IdentifiedUsefulStrengths", "IdentifiedStrengthsToBuild"), "")</f>
        <v/>
      </c>
      <c r="C18" s="140"/>
      <c r="D18" s="140"/>
      <c r="E18" s="140"/>
      <c r="F18" s="140"/>
      <c r="G18" s="215" t="str">
        <f t="shared" ca="1" si="0"/>
        <v/>
      </c>
      <c r="H18" s="215" t="str">
        <f t="shared" ca="1" si="1"/>
        <v/>
      </c>
      <c r="I18" s="215" t="str">
        <f t="shared" ca="1" si="2"/>
        <v/>
      </c>
    </row>
    <row r="19" spans="1:9" ht="15" x14ac:dyDescent="0.25">
      <c r="A19" s="149"/>
      <c r="B19" s="149" t="str">
        <f>IFERROR(CHOOSE(MATCH(#REF!, Val_ResponseCat, 0), "IdentifiedNeeds", "IdentifiedUsefulStrengths", "IdentifiedStrengthsToBuild"), "")</f>
        <v/>
      </c>
      <c r="C19" s="140"/>
      <c r="D19" s="140"/>
      <c r="E19" s="140"/>
      <c r="F19" s="140"/>
      <c r="G19" s="215" t="str">
        <f t="shared" ca="1" si="0"/>
        <v/>
      </c>
      <c r="H19" s="215" t="str">
        <f t="shared" ca="1" si="1"/>
        <v/>
      </c>
      <c r="I19" s="215" t="str">
        <f t="shared" ca="1" si="2"/>
        <v/>
      </c>
    </row>
    <row r="20" spans="1:9" ht="15" x14ac:dyDescent="0.25">
      <c r="A20" s="149"/>
      <c r="B20" s="149" t="str">
        <f>IFERROR(CHOOSE(MATCH(#REF!, Val_ResponseCat, 0), "IdentifiedNeeds", "IdentifiedUsefulStrengths", "IdentifiedStrengthsToBuild"), "")</f>
        <v/>
      </c>
      <c r="C20" s="140"/>
      <c r="D20" s="140"/>
      <c r="E20" s="140"/>
      <c r="F20" s="140"/>
      <c r="G20" s="215" t="str">
        <f t="shared" ca="1" si="0"/>
        <v/>
      </c>
      <c r="H20" s="215" t="str">
        <f t="shared" ca="1" si="1"/>
        <v/>
      </c>
      <c r="I20" s="215" t="str">
        <f t="shared" ca="1" si="2"/>
        <v/>
      </c>
    </row>
    <row r="21" spans="1:9" ht="15" x14ac:dyDescent="0.25">
      <c r="A21" s="149"/>
      <c r="B21" s="149" t="str">
        <f>IFERROR(CHOOSE(MATCH(#REF!, Val_ResponseCat, 0), "IdentifiedNeeds", "IdentifiedUsefulStrengths", "IdentifiedStrengthsToBuild"), "")</f>
        <v/>
      </c>
      <c r="C21" s="140"/>
      <c r="D21" s="140"/>
      <c r="E21" s="140"/>
      <c r="F21" s="140"/>
      <c r="G21" s="215" t="str">
        <f t="shared" ca="1" si="0"/>
        <v/>
      </c>
      <c r="H21" s="215" t="str">
        <f t="shared" ca="1" si="1"/>
        <v/>
      </c>
      <c r="I21" s="215" t="str">
        <f t="shared" ca="1" si="2"/>
        <v/>
      </c>
    </row>
    <row r="22" spans="1:9" ht="15" x14ac:dyDescent="0.25">
      <c r="A22" s="149"/>
      <c r="B22" s="149" t="str">
        <f>IFERROR(CHOOSE(MATCH(#REF!, Val_ResponseCat, 0), "IdentifiedNeeds", "IdentifiedUsefulStrengths", "IdentifiedStrengthsToBuild"), "")</f>
        <v/>
      </c>
      <c r="C22" s="140"/>
      <c r="D22" s="140"/>
      <c r="E22" s="140"/>
      <c r="F22" s="140"/>
      <c r="G22" s="215" t="str">
        <f t="shared" ca="1" si="0"/>
        <v/>
      </c>
      <c r="H22" s="215" t="str">
        <f t="shared" ca="1" si="1"/>
        <v/>
      </c>
      <c r="I22" s="215" t="str">
        <f t="shared" ca="1" si="2"/>
        <v/>
      </c>
    </row>
    <row r="23" spans="1:9" ht="15" x14ac:dyDescent="0.25">
      <c r="A23" s="149"/>
      <c r="B23" s="149" t="str">
        <f>IFERROR(CHOOSE(MATCH(#REF!, Val_ResponseCat, 0), "IdentifiedNeeds", "IdentifiedUsefulStrengths", "IdentifiedStrengthsToBuild"), "")</f>
        <v/>
      </c>
      <c r="C23" s="140"/>
      <c r="D23" s="140"/>
      <c r="E23" s="140"/>
      <c r="F23" s="140"/>
      <c r="G23" s="215" t="str">
        <f t="shared" ca="1" si="0"/>
        <v/>
      </c>
      <c r="H23" s="215" t="str">
        <f t="shared" ca="1" si="1"/>
        <v/>
      </c>
      <c r="I23" s="215" t="str">
        <f t="shared" ca="1" si="2"/>
        <v/>
      </c>
    </row>
    <row r="24" spans="1:9" ht="15" x14ac:dyDescent="0.25">
      <c r="A24" s="149"/>
      <c r="B24" s="149" t="str">
        <f>IFERROR(CHOOSE(MATCH(#REF!, Val_ResponseCat, 0), "IdentifiedNeeds", "IdentifiedUsefulStrengths", "IdentifiedStrengthsToBuild"), "")</f>
        <v/>
      </c>
      <c r="C24" s="140"/>
      <c r="D24" s="140"/>
      <c r="E24" s="140"/>
      <c r="F24" s="140"/>
      <c r="G24" s="215" t="str">
        <f t="shared" ca="1" si="0"/>
        <v/>
      </c>
      <c r="H24" s="215" t="str">
        <f t="shared" ca="1" si="1"/>
        <v/>
      </c>
      <c r="I24" s="215" t="str">
        <f t="shared" ca="1" si="2"/>
        <v/>
      </c>
    </row>
    <row r="25" spans="1:9" ht="15" x14ac:dyDescent="0.25">
      <c r="A25" s="149"/>
      <c r="B25" s="149" t="str">
        <f>IFERROR(CHOOSE(MATCH(#REF!, Val_ResponseCat, 0), "IdentifiedNeeds", "IdentifiedUsefulStrengths", "IdentifiedStrengthsToBuild"), "")</f>
        <v/>
      </c>
      <c r="C25" s="140"/>
      <c r="D25" s="140"/>
      <c r="E25" s="140"/>
      <c r="F25" s="140"/>
      <c r="G25" s="215" t="str">
        <f t="shared" ca="1" si="0"/>
        <v/>
      </c>
      <c r="H25" s="215" t="str">
        <f t="shared" ca="1" si="1"/>
        <v/>
      </c>
      <c r="I25" s="215" t="str">
        <f t="shared" ca="1" si="2"/>
        <v/>
      </c>
    </row>
    <row r="26" spans="1:9" ht="15" x14ac:dyDescent="0.25">
      <c r="A26" s="149"/>
      <c r="B26" s="149" t="str">
        <f>IFERROR(CHOOSE(MATCH(#REF!, Val_ResponseCat, 0), "IdentifiedNeeds", "IdentifiedUsefulStrengths", "IdentifiedStrengthsToBuild"), "")</f>
        <v/>
      </c>
      <c r="C26" s="140"/>
      <c r="D26" s="140"/>
      <c r="E26" s="140"/>
      <c r="F26" s="140"/>
      <c r="G26" s="215" t="str">
        <f t="shared" ca="1" si="0"/>
        <v/>
      </c>
      <c r="H26" s="215" t="str">
        <f t="shared" ca="1" si="1"/>
        <v/>
      </c>
      <c r="I26" s="215" t="str">
        <f t="shared" ca="1" si="2"/>
        <v/>
      </c>
    </row>
    <row r="27" spans="1:9" ht="15" x14ac:dyDescent="0.25">
      <c r="A27" s="149"/>
      <c r="B27" s="149" t="str">
        <f>IFERROR(CHOOSE(MATCH(#REF!, Val_ResponseCat, 0), "IdentifiedNeeds", "IdentifiedUsefulStrengths", "IdentifiedStrengthsToBuild"), "")</f>
        <v/>
      </c>
      <c r="C27" s="140"/>
      <c r="D27" s="140"/>
      <c r="E27" s="140"/>
      <c r="F27" s="140"/>
      <c r="G27" s="215" t="str">
        <f t="shared" ca="1" si="0"/>
        <v/>
      </c>
      <c r="H27" s="215" t="str">
        <f t="shared" ca="1" si="1"/>
        <v/>
      </c>
      <c r="I27" s="215" t="str">
        <f t="shared" ca="1" si="2"/>
        <v/>
      </c>
    </row>
    <row r="28" spans="1:9" ht="15" x14ac:dyDescent="0.25">
      <c r="A28" s="149"/>
      <c r="B28" s="149" t="str">
        <f>IFERROR(CHOOSE(MATCH(#REF!, Val_ResponseCat, 0), "IdentifiedNeeds", "IdentifiedUsefulStrengths", "IdentifiedStrengthsToBuild"), "")</f>
        <v/>
      </c>
      <c r="C28" s="140"/>
      <c r="D28" s="140"/>
      <c r="E28" s="140"/>
      <c r="F28" s="140"/>
      <c r="G28" s="215" t="str">
        <f t="shared" ca="1" si="0"/>
        <v/>
      </c>
      <c r="H28" s="215" t="str">
        <f t="shared" ca="1" si="1"/>
        <v/>
      </c>
      <c r="I28" s="215" t="str">
        <f t="shared" ca="1" si="2"/>
        <v/>
      </c>
    </row>
    <row r="29" spans="1:9" ht="15" x14ac:dyDescent="0.25">
      <c r="A29" s="149"/>
      <c r="B29" s="149" t="str">
        <f>IFERROR(CHOOSE(MATCH(#REF!, Val_ResponseCat, 0), "IdentifiedNeeds", "IdentifiedUsefulStrengths", "IdentifiedStrengthsToBuild"), "")</f>
        <v/>
      </c>
      <c r="C29" s="140"/>
      <c r="D29" s="140"/>
      <c r="E29" s="140"/>
      <c r="F29" s="140"/>
      <c r="G29" s="215" t="str">
        <f t="shared" ca="1" si="0"/>
        <v/>
      </c>
      <c r="H29" s="215" t="str">
        <f t="shared" ca="1" si="1"/>
        <v/>
      </c>
      <c r="I29" s="215" t="str">
        <f t="shared" ca="1" si="2"/>
        <v/>
      </c>
    </row>
    <row r="30" spans="1:9" ht="15" x14ac:dyDescent="0.25">
      <c r="A30" s="149"/>
      <c r="B30" s="149" t="str">
        <f>IFERROR(CHOOSE(MATCH(#REF!, Val_ResponseCat, 0), "IdentifiedNeeds", "IdentifiedUsefulStrengths", "IdentifiedStrengthsToBuild"), "")</f>
        <v/>
      </c>
      <c r="C30" s="140"/>
      <c r="D30" s="140"/>
      <c r="E30" s="140"/>
      <c r="F30" s="140"/>
      <c r="G30" s="215" t="str">
        <f t="shared" ca="1" si="0"/>
        <v/>
      </c>
      <c r="H30" s="215" t="str">
        <f t="shared" ca="1" si="1"/>
        <v/>
      </c>
      <c r="I30" s="215" t="str">
        <f t="shared" ca="1" si="2"/>
        <v/>
      </c>
    </row>
    <row r="31" spans="1:9" ht="15" x14ac:dyDescent="0.25">
      <c r="A31" s="149"/>
      <c r="B31" s="149" t="str">
        <f>IFERROR(CHOOSE(MATCH(#REF!, Val_ResponseCat, 0), "IdentifiedNeeds", "IdentifiedUsefulStrengths", "IdentifiedStrengthsToBuild"), "")</f>
        <v/>
      </c>
      <c r="C31" s="140"/>
      <c r="D31" s="140"/>
      <c r="E31" s="140"/>
      <c r="F31" s="140"/>
      <c r="G31" s="215" t="str">
        <f t="shared" ca="1" si="0"/>
        <v/>
      </c>
      <c r="H31" s="215" t="str">
        <f t="shared" ca="1" si="1"/>
        <v/>
      </c>
      <c r="I31" s="215" t="str">
        <f t="shared" ca="1" si="2"/>
        <v/>
      </c>
    </row>
    <row r="32" spans="1:9" ht="15" x14ac:dyDescent="0.25">
      <c r="A32" s="149"/>
      <c r="B32" s="149" t="str">
        <f>IFERROR(CHOOSE(MATCH(#REF!, Val_ResponseCat, 0), "IdentifiedNeeds", "IdentifiedUsefulStrengths", "IdentifiedStrengthsToBuild"), "")</f>
        <v/>
      </c>
      <c r="C32" s="140"/>
      <c r="D32" s="140"/>
      <c r="E32" s="140"/>
      <c r="F32" s="140"/>
      <c r="G32" s="215" t="str">
        <f t="shared" ca="1" si="0"/>
        <v/>
      </c>
      <c r="H32" s="215" t="str">
        <f t="shared" ca="1" si="1"/>
        <v/>
      </c>
      <c r="I32" s="215" t="str">
        <f t="shared" ca="1" si="2"/>
        <v/>
      </c>
    </row>
    <row r="33" spans="1:9" ht="15" x14ac:dyDescent="0.25">
      <c r="A33" s="149"/>
      <c r="B33" s="149" t="str">
        <f>IFERROR(CHOOSE(MATCH(#REF!, Val_ResponseCat, 0), "IdentifiedNeeds", "IdentifiedUsefulStrengths", "IdentifiedStrengthsToBuild"), "")</f>
        <v/>
      </c>
      <c r="C33" s="140"/>
      <c r="D33" s="140"/>
      <c r="E33" s="140"/>
      <c r="F33" s="140"/>
      <c r="G33" s="215" t="str">
        <f t="shared" ca="1" si="0"/>
        <v/>
      </c>
      <c r="H33" s="215" t="str">
        <f t="shared" ca="1" si="1"/>
        <v/>
      </c>
      <c r="I33" s="215" t="str">
        <f t="shared" ca="1" si="2"/>
        <v/>
      </c>
    </row>
    <row r="34" spans="1:9" ht="15" x14ac:dyDescent="0.25">
      <c r="A34" s="149"/>
      <c r="B34" s="149" t="str">
        <f>IFERROR(CHOOSE(MATCH(#REF!, Val_ResponseCat, 0), "IdentifiedNeeds", "IdentifiedUsefulStrengths", "IdentifiedStrengthsToBuild"), "")</f>
        <v/>
      </c>
      <c r="C34" s="140"/>
      <c r="D34" s="140"/>
      <c r="E34" s="140"/>
      <c r="F34" s="140"/>
      <c r="G34" s="215" t="str">
        <f t="shared" ca="1" si="0"/>
        <v/>
      </c>
      <c r="H34" s="215" t="str">
        <f t="shared" ca="1" si="1"/>
        <v/>
      </c>
      <c r="I34" s="215" t="str">
        <f t="shared" ca="1" si="2"/>
        <v/>
      </c>
    </row>
    <row r="35" spans="1:9" ht="15" x14ac:dyDescent="0.25">
      <c r="A35" s="149"/>
      <c r="B35" s="149" t="str">
        <f>IFERROR(CHOOSE(MATCH(#REF!, Val_ResponseCat, 0), "IdentifiedNeeds", "IdentifiedUsefulStrengths", "IdentifiedStrengthsToBuild"), "")</f>
        <v/>
      </c>
      <c r="C35" s="140"/>
      <c r="D35" s="140"/>
      <c r="E35" s="140"/>
      <c r="F35" s="140"/>
      <c r="G35" s="215" t="str">
        <f t="shared" ca="1" si="0"/>
        <v/>
      </c>
      <c r="H35" s="215" t="str">
        <f t="shared" ca="1" si="1"/>
        <v/>
      </c>
      <c r="I35" s="215" t="str">
        <f t="shared" ca="1" si="2"/>
        <v/>
      </c>
    </row>
    <row r="36" spans="1:9" ht="15" x14ac:dyDescent="0.25">
      <c r="A36" s="149"/>
      <c r="B36" s="149" t="str">
        <f>IFERROR(CHOOSE(MATCH(#REF!, Val_ResponseCat, 0), "IdentifiedNeeds", "IdentifiedUsefulStrengths", "IdentifiedStrengthsToBuild"), "")</f>
        <v/>
      </c>
      <c r="C36" s="140"/>
      <c r="D36" s="140"/>
      <c r="E36" s="140"/>
      <c r="F36" s="140"/>
      <c r="G36" s="215" t="str">
        <f t="shared" ca="1" si="0"/>
        <v/>
      </c>
      <c r="H36" s="215" t="str">
        <f t="shared" ref="H36:H53" ca="1" si="3">IFERROR(INDEX(US_Q, MATCH(ROW()-ROW(H$3), US_Q_Ix, 0)), "")</f>
        <v/>
      </c>
      <c r="I36" s="215"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5" t="str">
        <f t="shared" ca="1" si="0"/>
        <v/>
      </c>
      <c r="H37" s="215" t="str">
        <f t="shared" ca="1" si="3"/>
        <v/>
      </c>
      <c r="I37" s="215" t="str">
        <f t="shared" ca="1" si="4"/>
        <v/>
      </c>
    </row>
    <row r="38" spans="1:9" ht="15" x14ac:dyDescent="0.25">
      <c r="A38" s="149"/>
      <c r="B38" s="149" t="str">
        <f>IFERROR(CHOOSE(MATCH(#REF!, Val_ResponseCat, 0), "IdentifiedNeeds", "IdentifiedUsefulStrengths", "IdentifiedStrengthsToBuild"), "")</f>
        <v/>
      </c>
      <c r="C38" s="140"/>
      <c r="D38" s="140"/>
      <c r="E38" s="140"/>
      <c r="F38" s="140"/>
      <c r="G38" s="215" t="str">
        <f t="shared" ca="1" si="0"/>
        <v/>
      </c>
      <c r="H38" s="215" t="str">
        <f t="shared" ca="1" si="3"/>
        <v/>
      </c>
      <c r="I38" s="215" t="str">
        <f t="shared" ca="1" si="4"/>
        <v/>
      </c>
    </row>
    <row r="39" spans="1:9" ht="15" x14ac:dyDescent="0.25">
      <c r="A39" s="149"/>
      <c r="B39" s="149" t="str">
        <f>IFERROR(CHOOSE(MATCH(#REF!, Val_ResponseCat, 0), "IdentifiedNeeds", "IdentifiedUsefulStrengths", "IdentifiedStrengthsToBuild"), "")</f>
        <v/>
      </c>
      <c r="C39" s="140"/>
      <c r="D39" s="140"/>
      <c r="E39" s="140"/>
      <c r="F39" s="140"/>
      <c r="G39" s="215" t="str">
        <f t="shared" ca="1" si="0"/>
        <v/>
      </c>
      <c r="H39" s="215" t="str">
        <f t="shared" ca="1" si="3"/>
        <v/>
      </c>
      <c r="I39" s="215" t="str">
        <f t="shared" ca="1" si="4"/>
        <v/>
      </c>
    </row>
    <row r="40" spans="1:9" ht="15" x14ac:dyDescent="0.25">
      <c r="A40" s="149"/>
      <c r="B40" s="149" t="str">
        <f>IFERROR(CHOOSE(MATCH(#REF!, Val_ResponseCat, 0), "IdentifiedNeeds", "IdentifiedUsefulStrengths", "IdentifiedStrengthsToBuild"), "")</f>
        <v/>
      </c>
      <c r="C40" s="140"/>
      <c r="D40" s="140"/>
      <c r="E40" s="140"/>
      <c r="F40" s="140"/>
      <c r="G40" s="215" t="str">
        <f t="shared" ca="1" si="0"/>
        <v/>
      </c>
      <c r="H40" s="215" t="str">
        <f t="shared" ca="1" si="3"/>
        <v/>
      </c>
      <c r="I40" s="215" t="str">
        <f t="shared" ca="1" si="4"/>
        <v/>
      </c>
    </row>
    <row r="41" spans="1:9" ht="15" x14ac:dyDescent="0.25">
      <c r="A41" s="149"/>
      <c r="B41" s="149" t="str">
        <f>IFERROR(CHOOSE(MATCH(#REF!, Val_ResponseCat, 0), "IdentifiedNeeds", "IdentifiedUsefulStrengths", "IdentifiedStrengthsToBuild"), "")</f>
        <v/>
      </c>
      <c r="C41" s="140"/>
      <c r="D41" s="140"/>
      <c r="E41" s="140"/>
      <c r="F41" s="140"/>
      <c r="G41" s="215" t="str">
        <f t="shared" ca="1" si="0"/>
        <v/>
      </c>
      <c r="H41" s="215" t="str">
        <f t="shared" ca="1" si="3"/>
        <v/>
      </c>
      <c r="I41" s="215" t="str">
        <f t="shared" ca="1" si="4"/>
        <v/>
      </c>
    </row>
    <row r="42" spans="1:9" ht="15" x14ac:dyDescent="0.25">
      <c r="A42" s="149"/>
      <c r="B42" s="149" t="str">
        <f>IFERROR(CHOOSE(MATCH(#REF!, Val_ResponseCat, 0), "IdentifiedNeeds", "IdentifiedUsefulStrengths", "IdentifiedStrengthsToBuild"), "")</f>
        <v/>
      </c>
      <c r="C42" s="140"/>
      <c r="D42" s="140"/>
      <c r="E42" s="140"/>
      <c r="F42" s="140"/>
      <c r="G42" s="215" t="str">
        <f t="shared" ca="1" si="0"/>
        <v/>
      </c>
      <c r="H42" s="215" t="str">
        <f t="shared" ca="1" si="3"/>
        <v/>
      </c>
      <c r="I42" s="215" t="str">
        <f t="shared" ca="1" si="4"/>
        <v/>
      </c>
    </row>
    <row r="43" spans="1:9" ht="15" x14ac:dyDescent="0.25">
      <c r="A43" s="149"/>
      <c r="B43" s="149" t="str">
        <f>IFERROR(CHOOSE(MATCH(#REF!, Val_ResponseCat, 0), "IdentifiedNeeds", "IdentifiedUsefulStrengths", "IdentifiedStrengthsToBuild"), "")</f>
        <v/>
      </c>
      <c r="C43" s="140"/>
      <c r="D43" s="140"/>
      <c r="E43" s="140"/>
      <c r="F43" s="140"/>
      <c r="G43" s="215" t="str">
        <f t="shared" ca="1" si="0"/>
        <v/>
      </c>
      <c r="H43" s="215" t="str">
        <f t="shared" ca="1" si="3"/>
        <v/>
      </c>
      <c r="I43" s="215" t="str">
        <f t="shared" ca="1" si="4"/>
        <v/>
      </c>
    </row>
    <row r="44" spans="1:9" ht="15" x14ac:dyDescent="0.25">
      <c r="A44" s="149"/>
      <c r="B44" s="149" t="str">
        <f>IFERROR(CHOOSE(MATCH(#REF!, Val_ResponseCat, 0), "IdentifiedNeeds", "IdentifiedUsefulStrengths", "IdentifiedStrengthsToBuild"), "")</f>
        <v/>
      </c>
      <c r="C44" s="140"/>
      <c r="D44" s="140"/>
      <c r="E44" s="140"/>
      <c r="F44" s="140"/>
      <c r="G44" s="215" t="str">
        <f t="shared" ca="1" si="0"/>
        <v/>
      </c>
      <c r="H44" s="215" t="str">
        <f t="shared" ca="1" si="3"/>
        <v/>
      </c>
      <c r="I44" s="215" t="str">
        <f t="shared" ca="1" si="4"/>
        <v/>
      </c>
    </row>
    <row r="45" spans="1:9" ht="15" x14ac:dyDescent="0.25">
      <c r="A45" s="149"/>
      <c r="B45" s="149" t="str">
        <f>IFERROR(CHOOSE(MATCH(#REF!, Val_ResponseCat, 0), "IdentifiedNeeds", "IdentifiedUsefulStrengths", "IdentifiedStrengthsToBuild"), "")</f>
        <v/>
      </c>
      <c r="C45" s="140"/>
      <c r="D45" s="140"/>
      <c r="E45" s="140"/>
      <c r="F45" s="140"/>
      <c r="G45" s="215" t="str">
        <f t="shared" ca="1" si="0"/>
        <v/>
      </c>
      <c r="H45" s="215" t="str">
        <f t="shared" ca="1" si="3"/>
        <v/>
      </c>
      <c r="I45" s="215" t="str">
        <f t="shared" ca="1" si="4"/>
        <v/>
      </c>
    </row>
    <row r="46" spans="1:9" ht="15" x14ac:dyDescent="0.25">
      <c r="A46" s="149"/>
      <c r="B46" s="149" t="str">
        <f>IFERROR(CHOOSE(MATCH(#REF!, Val_ResponseCat, 0), "IdentifiedNeeds", "IdentifiedUsefulStrengths", "IdentifiedStrengthsToBuild"), "")</f>
        <v/>
      </c>
      <c r="C46" s="140"/>
      <c r="D46" s="140"/>
      <c r="E46" s="140"/>
      <c r="F46" s="140"/>
      <c r="G46" s="215" t="str">
        <f t="shared" ca="1" si="0"/>
        <v/>
      </c>
      <c r="H46" s="215" t="str">
        <f t="shared" ca="1" si="3"/>
        <v/>
      </c>
      <c r="I46" s="215" t="str">
        <f t="shared" ca="1" si="4"/>
        <v/>
      </c>
    </row>
    <row r="47" spans="1:9" ht="15" x14ac:dyDescent="0.25">
      <c r="A47" s="149"/>
      <c r="B47" s="149" t="str">
        <f>IFERROR(CHOOSE(MATCH(#REF!, Val_ResponseCat, 0), "IdentifiedNeeds", "IdentifiedUsefulStrengths", "IdentifiedStrengthsToBuild"), "")</f>
        <v/>
      </c>
      <c r="C47" s="140"/>
      <c r="D47" s="140"/>
      <c r="E47" s="140"/>
      <c r="F47" s="140"/>
      <c r="G47" s="215" t="str">
        <f t="shared" ca="1" si="0"/>
        <v/>
      </c>
      <c r="H47" s="215" t="str">
        <f t="shared" ca="1" si="3"/>
        <v/>
      </c>
      <c r="I47" s="215" t="str">
        <f t="shared" ca="1" si="4"/>
        <v/>
      </c>
    </row>
    <row r="48" spans="1:9" ht="15" x14ac:dyDescent="0.25">
      <c r="A48" s="149"/>
      <c r="B48" s="149" t="str">
        <f>IFERROR(CHOOSE(MATCH(#REF!, Val_ResponseCat, 0), "IdentifiedNeeds", "IdentifiedUsefulStrengths", "IdentifiedStrengthsToBuild"), "")</f>
        <v/>
      </c>
      <c r="C48" s="140"/>
      <c r="D48" s="140"/>
      <c r="E48" s="140"/>
      <c r="F48" s="140"/>
      <c r="G48" s="215" t="str">
        <f t="shared" ca="1" si="0"/>
        <v/>
      </c>
      <c r="H48" s="215" t="str">
        <f t="shared" ca="1" si="3"/>
        <v/>
      </c>
      <c r="I48" s="215" t="str">
        <f t="shared" ca="1" si="4"/>
        <v/>
      </c>
    </row>
    <row r="49" spans="1:9" ht="15" x14ac:dyDescent="0.25">
      <c r="A49" s="149"/>
      <c r="B49" s="149" t="str">
        <f>IFERROR(CHOOSE(MATCH(#REF!, Val_ResponseCat, 0), "IdentifiedNeeds", "IdentifiedUsefulStrengths", "IdentifiedStrengthsToBuild"), "")</f>
        <v/>
      </c>
      <c r="C49" s="140"/>
      <c r="D49" s="140"/>
      <c r="E49" s="140"/>
      <c r="F49" s="140"/>
      <c r="G49" s="215" t="str">
        <f t="shared" ca="1" si="0"/>
        <v/>
      </c>
      <c r="H49" s="215" t="str">
        <f t="shared" ca="1" si="3"/>
        <v/>
      </c>
      <c r="I49" s="215" t="str">
        <f t="shared" ca="1" si="4"/>
        <v/>
      </c>
    </row>
    <row r="50" spans="1:9" ht="15" x14ac:dyDescent="0.25">
      <c r="A50" s="149"/>
      <c r="B50" s="149" t="str">
        <f>IFERROR(CHOOSE(MATCH(#REF!, Val_ResponseCat, 0), "IdentifiedNeeds", "IdentifiedUsefulStrengths", "IdentifiedStrengthsToBuild"), "")</f>
        <v/>
      </c>
      <c r="C50" s="140"/>
      <c r="D50" s="140"/>
      <c r="E50" s="140"/>
      <c r="F50" s="140"/>
      <c r="G50" s="215" t="str">
        <f t="shared" ca="1" si="0"/>
        <v/>
      </c>
      <c r="H50" s="215" t="str">
        <f t="shared" ca="1" si="3"/>
        <v/>
      </c>
      <c r="I50" s="215" t="str">
        <f t="shared" ca="1" si="4"/>
        <v/>
      </c>
    </row>
    <row r="51" spans="1:9" ht="15" x14ac:dyDescent="0.25">
      <c r="A51" s="149"/>
      <c r="B51" s="149" t="str">
        <f>IFERROR(CHOOSE(MATCH(#REF!, Val_ResponseCat, 0), "IdentifiedNeeds", "IdentifiedUsefulStrengths", "IdentifiedStrengthsToBuild"), "")</f>
        <v/>
      </c>
      <c r="C51" s="140"/>
      <c r="D51" s="140"/>
      <c r="E51" s="140"/>
      <c r="F51" s="140"/>
      <c r="G51" s="215" t="str">
        <f t="shared" ca="1" si="0"/>
        <v/>
      </c>
      <c r="H51" s="215" t="str">
        <f t="shared" ca="1" si="3"/>
        <v/>
      </c>
      <c r="I51" s="215" t="str">
        <f t="shared" ca="1" si="4"/>
        <v/>
      </c>
    </row>
    <row r="52" spans="1:9" ht="15" x14ac:dyDescent="0.25">
      <c r="A52" s="149"/>
      <c r="B52" s="149" t="str">
        <f>IFERROR(CHOOSE(MATCH(#REF!, Val_ResponseCat, 0), "IdentifiedNeeds", "IdentifiedUsefulStrengths", "IdentifiedStrengthsToBuild"), "")</f>
        <v/>
      </c>
      <c r="C52" s="140"/>
      <c r="D52" s="140"/>
      <c r="E52" s="140"/>
      <c r="F52" s="140"/>
      <c r="G52" s="215" t="str">
        <f t="shared" ca="1" si="0"/>
        <v/>
      </c>
      <c r="H52" s="215" t="str">
        <f t="shared" ca="1" si="3"/>
        <v/>
      </c>
      <c r="I52" s="215" t="str">
        <f t="shared" ca="1" si="4"/>
        <v/>
      </c>
    </row>
    <row r="53" spans="1:9" ht="15" x14ac:dyDescent="0.25">
      <c r="A53" s="149"/>
      <c r="B53" s="149" t="str">
        <f>IFERROR(CHOOSE(MATCH(#REF!, Val_ResponseCat, 0), "IdentifiedNeeds", "IdentifiedUsefulStrengths", "IdentifiedStrengthsToBuild"), "")</f>
        <v/>
      </c>
      <c r="C53" s="140"/>
      <c r="D53" s="140"/>
      <c r="E53" s="140"/>
      <c r="F53" s="140"/>
      <c r="G53" s="215" t="str">
        <f t="shared" ca="1" si="0"/>
        <v/>
      </c>
      <c r="H53" s="215" t="str">
        <f t="shared" ca="1" si="3"/>
        <v/>
      </c>
      <c r="I53" s="215"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10" sqref="D10:H10"/>
    </sheetView>
  </sheetViews>
  <sheetFormatPr defaultRowHeight="15" x14ac:dyDescent="0.25"/>
  <cols>
    <col min="1" max="1" width="3" style="151" customWidth="1"/>
    <col min="2" max="2" width="138" style="247" hidden="1" customWidth="1"/>
    <col min="3" max="3" width="51.7109375" style="247" hidden="1" customWidth="1"/>
    <col min="4" max="4" width="50.7109375" style="237" customWidth="1"/>
    <col min="5" max="5" width="17.7109375" style="237" customWidth="1"/>
    <col min="6" max="6" width="17.85546875" style="237" customWidth="1"/>
    <col min="7" max="7" width="17.42578125" style="237" customWidth="1"/>
    <col min="8" max="8" width="29.85546875" style="237" customWidth="1"/>
    <col min="9" max="9" width="3.140625" style="151" customWidth="1"/>
    <col min="10" max="16384" width="9.140625" style="68"/>
  </cols>
  <sheetData>
    <row r="1" spans="1:9" ht="28.5" x14ac:dyDescent="0.25">
      <c r="A1" s="238" t="s">
        <v>941</v>
      </c>
      <c r="B1" s="238"/>
      <c r="C1" s="238"/>
      <c r="D1" s="239"/>
      <c r="E1" s="239"/>
      <c r="F1" s="239"/>
      <c r="G1" s="239"/>
      <c r="H1" s="239"/>
      <c r="I1" s="226"/>
    </row>
    <row r="2" spans="1:9" x14ac:dyDescent="0.25">
      <c r="A2" s="161"/>
      <c r="B2" s="243"/>
      <c r="C2" s="243"/>
      <c r="D2" s="240"/>
      <c r="E2" s="240"/>
      <c r="F2" s="240"/>
      <c r="G2" s="240"/>
      <c r="H2" s="240"/>
      <c r="I2" s="161"/>
    </row>
    <row r="3" spans="1:9" x14ac:dyDescent="0.25">
      <c r="A3" s="145"/>
      <c r="B3" s="244"/>
      <c r="C3" s="244"/>
      <c r="D3" s="285" t="s">
        <v>952</v>
      </c>
      <c r="E3" s="285"/>
      <c r="F3" s="285"/>
      <c r="G3" s="285"/>
      <c r="H3" s="285"/>
      <c r="I3" s="146"/>
    </row>
    <row r="4" spans="1:9" x14ac:dyDescent="0.25">
      <c r="A4" s="145"/>
      <c r="B4" s="245">
        <f>D4</f>
        <v>0</v>
      </c>
      <c r="C4" s="245"/>
      <c r="D4" s="282"/>
      <c r="E4" s="282"/>
      <c r="F4" s="282"/>
      <c r="G4" s="282"/>
      <c r="H4" s="282"/>
      <c r="I4" s="146"/>
    </row>
    <row r="5" spans="1:9" x14ac:dyDescent="0.25">
      <c r="A5" s="145"/>
      <c r="B5" s="245"/>
      <c r="C5" s="245"/>
      <c r="D5" s="240"/>
      <c r="E5" s="240"/>
      <c r="F5" s="240"/>
      <c r="G5" s="240"/>
      <c r="H5" s="240"/>
      <c r="I5" s="146"/>
    </row>
    <row r="6" spans="1:9" x14ac:dyDescent="0.25">
      <c r="A6" s="145"/>
      <c r="B6" s="245"/>
      <c r="C6" s="245"/>
      <c r="D6" s="285" t="s">
        <v>942</v>
      </c>
      <c r="E6" s="285"/>
      <c r="F6" s="285"/>
      <c r="G6" s="285"/>
      <c r="H6" s="285"/>
      <c r="I6" s="146"/>
    </row>
    <row r="7" spans="1:9" x14ac:dyDescent="0.25">
      <c r="A7" s="145"/>
      <c r="B7" s="245" t="str">
        <f>D7</f>
        <v>Hi everybody</v>
      </c>
      <c r="C7" s="245"/>
      <c r="D7" s="282" t="s">
        <v>1099</v>
      </c>
      <c r="E7" s="282"/>
      <c r="F7" s="282"/>
      <c r="G7" s="282"/>
      <c r="H7" s="282"/>
      <c r="I7" s="146"/>
    </row>
    <row r="8" spans="1:9" x14ac:dyDescent="0.25">
      <c r="A8" s="145"/>
      <c r="B8" s="245"/>
      <c r="C8" s="245"/>
      <c r="D8" s="240"/>
      <c r="E8" s="240"/>
      <c r="F8" s="249"/>
      <c r="G8" s="240"/>
      <c r="H8" s="240"/>
      <c r="I8" s="146"/>
    </row>
    <row r="9" spans="1:9" x14ac:dyDescent="0.25">
      <c r="A9" s="145"/>
      <c r="B9" s="245"/>
      <c r="C9" s="245"/>
      <c r="D9" s="285" t="s">
        <v>943</v>
      </c>
      <c r="E9" s="285"/>
      <c r="F9" s="285"/>
      <c r="G9" s="285"/>
      <c r="H9" s="285"/>
      <c r="I9" s="146"/>
    </row>
    <row r="10" spans="1:9" ht="45" x14ac:dyDescent="0.25">
      <c r="A10" s="145"/>
      <c r="B10" s="245" t="str">
        <f>D10</f>
        <v>1.
2.
3.</v>
      </c>
      <c r="C10" s="245"/>
      <c r="D10" s="282" t="s">
        <v>944</v>
      </c>
      <c r="E10" s="282"/>
      <c r="F10" s="282"/>
      <c r="G10" s="282"/>
      <c r="H10" s="282"/>
      <c r="I10" s="146"/>
    </row>
    <row r="11" spans="1:9" x14ac:dyDescent="0.25">
      <c r="A11" s="145"/>
      <c r="B11" s="245"/>
      <c r="C11" s="245"/>
      <c r="D11" s="240"/>
      <c r="E11" s="240"/>
      <c r="F11" s="240"/>
      <c r="G11" s="240"/>
      <c r="H11" s="240"/>
      <c r="I11" s="146"/>
    </row>
    <row r="12" spans="1:9" x14ac:dyDescent="0.25">
      <c r="A12" s="145"/>
      <c r="B12" s="245"/>
      <c r="C12" s="245"/>
      <c r="D12" s="285" t="s">
        <v>945</v>
      </c>
      <c r="E12" s="285"/>
      <c r="F12" s="285"/>
      <c r="G12" s="285"/>
      <c r="H12" s="285"/>
      <c r="I12" s="146"/>
    </row>
    <row r="13" spans="1:9" ht="45" x14ac:dyDescent="0.25">
      <c r="A13" s="145"/>
      <c r="B13" s="245" t="str">
        <f>D13</f>
        <v>1.
2.
3.</v>
      </c>
      <c r="C13" s="245"/>
      <c r="D13" s="282" t="s">
        <v>944</v>
      </c>
      <c r="E13" s="282"/>
      <c r="F13" s="282"/>
      <c r="G13" s="282"/>
      <c r="H13" s="282"/>
      <c r="I13" s="146"/>
    </row>
    <row r="14" spans="1:9" x14ac:dyDescent="0.25">
      <c r="A14" s="145"/>
      <c r="B14" s="245"/>
      <c r="C14" s="245"/>
      <c r="D14" s="240"/>
      <c r="E14" s="240"/>
      <c r="F14" s="240"/>
      <c r="G14" s="240"/>
      <c r="H14" s="240"/>
      <c r="I14" s="146"/>
    </row>
    <row r="15" spans="1:9" x14ac:dyDescent="0.25">
      <c r="A15" s="145"/>
      <c r="B15" s="245"/>
      <c r="C15" s="245"/>
      <c r="D15" s="285" t="s">
        <v>946</v>
      </c>
      <c r="E15" s="285"/>
      <c r="F15" s="285"/>
      <c r="G15" s="285"/>
      <c r="H15" s="285"/>
      <c r="I15" s="146"/>
    </row>
    <row r="16" spans="1:9" ht="45" x14ac:dyDescent="0.25">
      <c r="A16" s="145"/>
      <c r="B16" s="245" t="str">
        <f>D16</f>
        <v>1.
2.
3.</v>
      </c>
      <c r="C16" s="245"/>
      <c r="D16" s="282" t="s">
        <v>944</v>
      </c>
      <c r="E16" s="282"/>
      <c r="F16" s="282"/>
      <c r="G16" s="282"/>
      <c r="H16" s="282"/>
      <c r="I16" s="146"/>
    </row>
    <row r="17" spans="1:12" x14ac:dyDescent="0.25">
      <c r="A17" s="145"/>
      <c r="B17" s="245"/>
      <c r="C17" s="245"/>
      <c r="D17" s="240"/>
      <c r="E17" s="240"/>
      <c r="F17" s="240"/>
      <c r="G17" s="240"/>
      <c r="H17" s="240"/>
      <c r="I17" s="146"/>
    </row>
    <row r="18" spans="1:12" x14ac:dyDescent="0.25">
      <c r="A18" s="145"/>
      <c r="B18" s="245"/>
      <c r="C18" s="245"/>
      <c r="D18" s="285" t="s">
        <v>951</v>
      </c>
      <c r="E18" s="285"/>
      <c r="F18" s="285"/>
      <c r="G18" s="285"/>
      <c r="H18" s="285"/>
      <c r="I18" s="146"/>
    </row>
    <row r="19" spans="1:12" ht="45" x14ac:dyDescent="0.25">
      <c r="A19" s="145"/>
      <c r="B19" s="245" t="str">
        <f>D19</f>
        <v>1.
2.
3.</v>
      </c>
      <c r="C19" s="245"/>
      <c r="D19" s="282" t="s">
        <v>944</v>
      </c>
      <c r="E19" s="282"/>
      <c r="F19" s="282"/>
      <c r="G19" s="282"/>
      <c r="H19" s="282"/>
      <c r="I19" s="146"/>
    </row>
    <row r="20" spans="1:12" x14ac:dyDescent="0.25">
      <c r="A20" s="145"/>
      <c r="B20" s="245"/>
      <c r="C20" s="245"/>
      <c r="D20" s="240"/>
      <c r="E20" s="240"/>
      <c r="F20" s="240"/>
      <c r="G20" s="240"/>
      <c r="H20" s="240"/>
      <c r="I20" s="146"/>
    </row>
    <row r="21" spans="1:12" x14ac:dyDescent="0.25">
      <c r="A21" s="145"/>
      <c r="B21" s="245"/>
      <c r="C21" s="245"/>
      <c r="D21" s="285" t="s">
        <v>947</v>
      </c>
      <c r="E21" s="285"/>
      <c r="F21" s="285"/>
      <c r="G21" s="285"/>
      <c r="H21" s="285"/>
      <c r="I21" s="146"/>
    </row>
    <row r="22" spans="1:12" x14ac:dyDescent="0.25">
      <c r="A22" s="145"/>
      <c r="B22" s="245">
        <f>D22</f>
        <v>0</v>
      </c>
      <c r="C22" s="245"/>
      <c r="D22" s="282"/>
      <c r="E22" s="282"/>
      <c r="F22" s="282"/>
      <c r="G22" s="282"/>
      <c r="H22" s="282"/>
      <c r="I22" s="146"/>
    </row>
    <row r="23" spans="1:12" x14ac:dyDescent="0.25">
      <c r="A23" s="145"/>
      <c r="B23" s="245"/>
      <c r="C23" s="245"/>
      <c r="D23" s="240"/>
      <c r="E23" s="240"/>
      <c r="F23" s="240"/>
      <c r="G23" s="240"/>
      <c r="H23" s="240"/>
      <c r="I23" s="146"/>
    </row>
    <row r="24" spans="1:12" x14ac:dyDescent="0.25">
      <c r="A24" s="145"/>
      <c r="B24" s="245"/>
      <c r="C24" s="245"/>
      <c r="D24" s="285" t="s">
        <v>953</v>
      </c>
      <c r="E24" s="285"/>
      <c r="F24" s="285"/>
      <c r="G24" s="285"/>
      <c r="H24" s="285"/>
      <c r="I24" s="146"/>
    </row>
    <row r="25" spans="1:12" x14ac:dyDescent="0.25">
      <c r="A25" s="145"/>
      <c r="B25" s="245">
        <f>D25</f>
        <v>0</v>
      </c>
      <c r="C25" s="245"/>
      <c r="D25" s="282"/>
      <c r="E25" s="282"/>
      <c r="F25" s="282"/>
      <c r="G25" s="282"/>
      <c r="H25" s="282"/>
      <c r="I25" s="146"/>
      <c r="K25" s="242"/>
      <c r="L25" s="242"/>
    </row>
    <row r="26" spans="1:12" x14ac:dyDescent="0.25">
      <c r="A26" s="145"/>
      <c r="B26" s="245"/>
      <c r="C26" s="245"/>
      <c r="D26" s="240"/>
      <c r="E26" s="240"/>
      <c r="F26" s="240"/>
      <c r="G26" s="240"/>
      <c r="H26" s="240"/>
      <c r="I26" s="146"/>
    </row>
    <row r="27" spans="1:12" x14ac:dyDescent="0.25">
      <c r="A27" s="145"/>
      <c r="B27" s="245"/>
      <c r="C27" s="245"/>
      <c r="D27" s="285" t="s">
        <v>948</v>
      </c>
      <c r="E27" s="285"/>
      <c r="F27" s="285"/>
      <c r="G27" s="285"/>
      <c r="H27" s="285"/>
      <c r="I27" s="146"/>
    </row>
    <row r="28" spans="1:12" ht="45" x14ac:dyDescent="0.25">
      <c r="A28" s="145"/>
      <c r="B28" s="245" t="str">
        <f>D28</f>
        <v>1.
2.
3.</v>
      </c>
      <c r="C28" s="245"/>
      <c r="D28" s="282" t="s">
        <v>944</v>
      </c>
      <c r="E28" s="282"/>
      <c r="F28" s="282"/>
      <c r="G28" s="282"/>
      <c r="H28" s="282"/>
      <c r="I28" s="146"/>
    </row>
    <row r="29" spans="1:12" x14ac:dyDescent="0.25">
      <c r="A29" s="145"/>
      <c r="B29" s="245"/>
      <c r="C29" s="245"/>
      <c r="D29" s="240"/>
      <c r="E29" s="240"/>
      <c r="F29" s="240"/>
      <c r="G29" s="240"/>
      <c r="H29" s="240"/>
      <c r="I29" s="146"/>
    </row>
    <row r="30" spans="1:12" x14ac:dyDescent="0.25">
      <c r="A30" s="145"/>
      <c r="B30" s="245"/>
      <c r="C30" s="245"/>
      <c r="D30" s="285" t="s">
        <v>949</v>
      </c>
      <c r="E30" s="285"/>
      <c r="F30" s="285"/>
      <c r="G30" s="285"/>
      <c r="H30" s="285"/>
      <c r="I30" s="146"/>
    </row>
    <row r="31" spans="1:12" ht="45" x14ac:dyDescent="0.25">
      <c r="A31" s="145"/>
      <c r="B31" s="245" t="str">
        <f>D31</f>
        <v>1.
2.
3.</v>
      </c>
      <c r="C31" s="245"/>
      <c r="D31" s="282" t="s">
        <v>944</v>
      </c>
      <c r="E31" s="282"/>
      <c r="F31" s="282"/>
      <c r="G31" s="282"/>
      <c r="H31" s="282"/>
      <c r="I31" s="146"/>
    </row>
    <row r="32" spans="1:12" x14ac:dyDescent="0.25">
      <c r="A32" s="145"/>
      <c r="B32" s="244"/>
      <c r="C32" s="244"/>
      <c r="D32" s="146"/>
      <c r="E32" s="146"/>
      <c r="F32" s="146"/>
      <c r="G32" s="146"/>
      <c r="H32" s="146"/>
      <c r="I32" s="146"/>
    </row>
    <row r="33" spans="1:9" ht="30" x14ac:dyDescent="0.25">
      <c r="A33" s="145"/>
      <c r="B33" s="244"/>
      <c r="C33" s="244"/>
      <c r="D33" s="252" t="s">
        <v>960</v>
      </c>
      <c r="E33" s="252"/>
      <c r="F33" s="252" t="s">
        <v>961</v>
      </c>
      <c r="G33" s="283" t="s">
        <v>962</v>
      </c>
      <c r="H33" s="283"/>
      <c r="I33" s="146"/>
    </row>
    <row r="34" spans="1:9" x14ac:dyDescent="0.25">
      <c r="A34" s="145"/>
      <c r="B34" s="244"/>
      <c r="C34" s="244"/>
      <c r="D34" s="287" t="str">
        <f>IF(CGName1="", "", CGName1)</f>
        <v/>
      </c>
      <c r="E34" s="287"/>
      <c r="F34" s="253"/>
      <c r="G34" s="286" t="s">
        <v>964</v>
      </c>
      <c r="H34" s="286"/>
      <c r="I34" s="146"/>
    </row>
    <row r="35" spans="1:9" x14ac:dyDescent="0.25">
      <c r="A35" s="145"/>
      <c r="B35" s="244"/>
      <c r="C35" s="244"/>
      <c r="D35" s="287" t="str">
        <f>IF(CGName2="", "", CGName2)</f>
        <v/>
      </c>
      <c r="E35" s="287"/>
      <c r="F35" s="253"/>
      <c r="G35" s="286" t="s">
        <v>964</v>
      </c>
      <c r="H35" s="286"/>
      <c r="I35" s="146"/>
    </row>
    <row r="36" spans="1:9" x14ac:dyDescent="0.25">
      <c r="A36" s="145"/>
      <c r="B36" s="244"/>
      <c r="C36" s="244"/>
      <c r="D36" s="287" t="str">
        <f>IF(CGName3="", "", CGName3)</f>
        <v/>
      </c>
      <c r="E36" s="287"/>
      <c r="F36" s="253"/>
      <c r="G36" s="286" t="s">
        <v>964</v>
      </c>
      <c r="H36" s="286"/>
      <c r="I36" s="146"/>
    </row>
    <row r="37" spans="1:9" x14ac:dyDescent="0.25">
      <c r="A37" s="145"/>
      <c r="B37" s="244"/>
      <c r="C37" s="244"/>
      <c r="D37" s="287" t="str">
        <f>IF(CGName4="", "", CGName4)</f>
        <v/>
      </c>
      <c r="E37" s="287"/>
      <c r="F37" s="253"/>
      <c r="G37" s="286" t="s">
        <v>964</v>
      </c>
      <c r="H37" s="286"/>
      <c r="I37" s="146"/>
    </row>
    <row r="38" spans="1:9" x14ac:dyDescent="0.25">
      <c r="A38" s="145"/>
      <c r="B38" s="244"/>
      <c r="C38" s="244"/>
      <c r="D38" s="146"/>
      <c r="E38" s="146"/>
      <c r="F38" s="146"/>
      <c r="G38" s="146"/>
      <c r="H38" s="146"/>
      <c r="I38" s="146"/>
    </row>
    <row r="39" spans="1:9" x14ac:dyDescent="0.25">
      <c r="A39" s="145"/>
      <c r="B39" s="244"/>
      <c r="C39" s="244"/>
      <c r="D39" s="283" t="s">
        <v>1097</v>
      </c>
      <c r="E39" s="283"/>
      <c r="F39" s="283"/>
      <c r="G39" s="284" t="s">
        <v>964</v>
      </c>
      <c r="H39" s="284"/>
      <c r="I39" s="146"/>
    </row>
    <row r="40" spans="1:9" x14ac:dyDescent="0.25">
      <c r="A40" s="145"/>
      <c r="B40" s="246"/>
      <c r="C40" s="246"/>
      <c r="D40" s="251" t="s">
        <v>977</v>
      </c>
      <c r="E40" s="288" t="s">
        <v>63</v>
      </c>
      <c r="F40" s="288"/>
      <c r="G40" s="288"/>
      <c r="H40" s="251" t="s">
        <v>976</v>
      </c>
      <c r="I40" s="146"/>
    </row>
    <row r="41" spans="1:9" x14ac:dyDescent="0.25">
      <c r="A41" s="145"/>
      <c r="B41" s="246"/>
      <c r="C41" s="255" t="str">
        <f>catrange(ActionSteps1)</f>
        <v/>
      </c>
      <c r="D41" s="256" t="str">
        <f>IF(IntGoal1="", "", IntGoal1)</f>
        <v/>
      </c>
      <c r="E41" s="289" t="str">
        <f>catrange(ActionSteps1)</f>
        <v/>
      </c>
      <c r="F41" s="289"/>
      <c r="G41" s="289"/>
      <c r="H41" s="254" t="s">
        <v>971</v>
      </c>
      <c r="I41" s="146"/>
    </row>
    <row r="42" spans="1:9" x14ac:dyDescent="0.25">
      <c r="A42" s="145"/>
      <c r="B42" s="246"/>
      <c r="C42" s="255" t="str">
        <f>catrange(ActionSteps2)</f>
        <v/>
      </c>
      <c r="D42" s="256" t="str">
        <f>IF(IntGoal2="", "", IntGoal2)</f>
        <v/>
      </c>
      <c r="E42" s="289" t="str">
        <f>catrange(ActionSteps2)</f>
        <v/>
      </c>
      <c r="F42" s="289"/>
      <c r="G42" s="289"/>
      <c r="H42" s="254" t="s">
        <v>971</v>
      </c>
      <c r="I42" s="146"/>
    </row>
    <row r="43" spans="1:9" x14ac:dyDescent="0.25">
      <c r="A43" s="145"/>
      <c r="B43" s="246"/>
      <c r="C43" s="255" t="str">
        <f>catrange(ActionSteps3)</f>
        <v/>
      </c>
      <c r="D43" s="256" t="str">
        <f>IF(IntGoal3="", "", IntGoal3)</f>
        <v/>
      </c>
      <c r="E43" s="289" t="str">
        <f>catrange(ActionSteps3)</f>
        <v/>
      </c>
      <c r="F43" s="289"/>
      <c r="G43" s="289"/>
      <c r="H43" s="254" t="s">
        <v>971</v>
      </c>
      <c r="I43" s="146"/>
    </row>
    <row r="44" spans="1:9" x14ac:dyDescent="0.25">
      <c r="A44" s="145"/>
      <c r="B44" s="246"/>
      <c r="C44" s="255" t="str">
        <f>catrange(ActionSteps4)</f>
        <v/>
      </c>
      <c r="D44" s="256" t="str">
        <f>IF(IntGoal4="", "", IntGoal4)</f>
        <v/>
      </c>
      <c r="E44" s="289" t="str">
        <f>catrange(ActionSteps4)</f>
        <v/>
      </c>
      <c r="F44" s="289"/>
      <c r="G44" s="289"/>
      <c r="H44" s="254" t="s">
        <v>971</v>
      </c>
      <c r="I44" s="146"/>
    </row>
    <row r="45" spans="1:9" x14ac:dyDescent="0.25">
      <c r="A45" s="145"/>
      <c r="B45" s="246"/>
      <c r="C45" s="255" t="str">
        <f>catrange(ActionSteps5)</f>
        <v/>
      </c>
      <c r="D45" s="256" t="str">
        <f>IF(IntGoal5="", "", IntGoal5)</f>
        <v/>
      </c>
      <c r="E45" s="289" t="str">
        <f>catrange(ActionSteps5)</f>
        <v/>
      </c>
      <c r="F45" s="289"/>
      <c r="G45" s="289"/>
      <c r="H45" s="254" t="s">
        <v>971</v>
      </c>
      <c r="I45" s="146"/>
    </row>
    <row r="46" spans="1:9" x14ac:dyDescent="0.25">
      <c r="A46" s="145"/>
      <c r="B46" s="246"/>
      <c r="C46" s="255" t="str">
        <f>catrange(ActionSteps6)</f>
        <v/>
      </c>
      <c r="D46" s="256" t="str">
        <f>IF(IntGoal6="", "", IntGoal6)</f>
        <v/>
      </c>
      <c r="E46" s="289" t="str">
        <f>catrange(ActionSteps6)</f>
        <v/>
      </c>
      <c r="F46" s="289"/>
      <c r="G46" s="289"/>
      <c r="H46" s="254" t="s">
        <v>971</v>
      </c>
      <c r="I46" s="146"/>
    </row>
    <row r="47" spans="1:9" x14ac:dyDescent="0.25">
      <c r="A47" s="145"/>
      <c r="B47" s="246"/>
      <c r="C47" s="255" t="str">
        <f>catrange(ActionSteps7)</f>
        <v/>
      </c>
      <c r="D47" s="256" t="str">
        <f>IF(IntGoal7="", "", IntGoal7)</f>
        <v/>
      </c>
      <c r="E47" s="289" t="str">
        <f>catrange(ActionSteps7)</f>
        <v/>
      </c>
      <c r="F47" s="289"/>
      <c r="G47" s="289"/>
      <c r="H47" s="254" t="s">
        <v>971</v>
      </c>
      <c r="I47" s="146"/>
    </row>
    <row r="48" spans="1:9" x14ac:dyDescent="0.25">
      <c r="A48" s="145"/>
      <c r="B48" s="246"/>
      <c r="C48" s="255" t="str">
        <f>catrange(ActionSteps8)</f>
        <v/>
      </c>
      <c r="D48" s="256" t="str">
        <f>IF(IntGoal8="", "", IntGoal8)</f>
        <v/>
      </c>
      <c r="E48" s="289" t="str">
        <f>catrange(ActionSteps8)</f>
        <v/>
      </c>
      <c r="F48" s="289"/>
      <c r="G48" s="289"/>
      <c r="H48" s="254" t="s">
        <v>971</v>
      </c>
      <c r="I48" s="146"/>
    </row>
    <row r="49" spans="1:9" x14ac:dyDescent="0.25">
      <c r="A49" s="145"/>
      <c r="B49" s="246"/>
      <c r="C49" s="255" t="str">
        <f>catrange(ActionSteps9)</f>
        <v/>
      </c>
      <c r="D49" s="256" t="str">
        <f>IF(IntGoal9="", "", IntGoal9)</f>
        <v/>
      </c>
      <c r="E49" s="289" t="str">
        <f>catrange(ActionSteps9)</f>
        <v/>
      </c>
      <c r="F49" s="289"/>
      <c r="G49" s="289"/>
      <c r="H49" s="254" t="s">
        <v>971</v>
      </c>
      <c r="I49" s="146"/>
    </row>
    <row r="50" spans="1:9" x14ac:dyDescent="0.25">
      <c r="A50" s="145"/>
      <c r="B50" s="244"/>
      <c r="C50" s="244"/>
      <c r="D50" s="146"/>
      <c r="E50" s="146"/>
      <c r="F50" s="146"/>
      <c r="G50" s="146"/>
      <c r="H50" s="146"/>
      <c r="I50" s="146"/>
    </row>
    <row r="51" spans="1:9" x14ac:dyDescent="0.25">
      <c r="A51" s="140"/>
      <c r="B51" s="246"/>
      <c r="C51" s="246"/>
      <c r="D51" s="236"/>
      <c r="E51" s="236"/>
      <c r="F51" s="236"/>
      <c r="G51" s="236"/>
      <c r="H51" s="236"/>
      <c r="I51" s="140"/>
    </row>
    <row r="52" spans="1:9" x14ac:dyDescent="0.25">
      <c r="A52" s="140"/>
      <c r="B52" s="246"/>
      <c r="C52" s="246"/>
      <c r="D52" s="236"/>
      <c r="E52" s="236"/>
      <c r="F52" s="236"/>
      <c r="G52" s="236"/>
      <c r="H52" s="236"/>
      <c r="I52" s="140"/>
    </row>
    <row r="53" spans="1:9" x14ac:dyDescent="0.25">
      <c r="A53" s="140"/>
      <c r="B53" s="246"/>
      <c r="C53" s="246"/>
      <c r="D53" s="236"/>
      <c r="E53" s="236"/>
      <c r="F53" s="236"/>
      <c r="G53" s="236"/>
      <c r="H53" s="236"/>
      <c r="I53" s="140"/>
    </row>
    <row r="54" spans="1:9" x14ac:dyDescent="0.25">
      <c r="A54" s="140"/>
      <c r="B54" s="246"/>
      <c r="C54" s="246"/>
      <c r="D54" s="236"/>
      <c r="E54" s="236"/>
      <c r="F54" s="236"/>
      <c r="G54" s="236"/>
      <c r="H54" s="236"/>
      <c r="I54" s="140"/>
    </row>
    <row r="55" spans="1:9" x14ac:dyDescent="0.25">
      <c r="A55" s="140"/>
      <c r="B55" s="246"/>
      <c r="C55" s="246"/>
      <c r="D55" s="236"/>
      <c r="E55" s="236"/>
      <c r="F55" s="236"/>
      <c r="G55" s="236"/>
      <c r="H55" s="236"/>
      <c r="I55" s="140"/>
    </row>
    <row r="56" spans="1:9" x14ac:dyDescent="0.25">
      <c r="A56" s="140"/>
      <c r="B56" s="246"/>
      <c r="C56" s="246"/>
      <c r="D56" s="236"/>
      <c r="E56" s="236"/>
      <c r="F56" s="236"/>
      <c r="G56" s="236"/>
      <c r="H56" s="236"/>
      <c r="I56" s="140"/>
    </row>
    <row r="57" spans="1:9" x14ac:dyDescent="0.25">
      <c r="A57" s="140"/>
      <c r="B57" s="246"/>
      <c r="C57" s="246"/>
      <c r="D57" s="236"/>
      <c r="E57" s="236"/>
      <c r="F57" s="236"/>
      <c r="G57" s="236"/>
      <c r="H57" s="236"/>
      <c r="I57" s="140"/>
    </row>
    <row r="58" spans="1:9" x14ac:dyDescent="0.25">
      <c r="A58" s="140"/>
      <c r="B58" s="246"/>
      <c r="C58" s="246"/>
      <c r="D58" s="236"/>
      <c r="E58" s="236"/>
      <c r="F58" s="236"/>
      <c r="G58" s="236"/>
      <c r="H58" s="236"/>
      <c r="I58" s="140"/>
    </row>
    <row r="59" spans="1:9" x14ac:dyDescent="0.25">
      <c r="A59" s="140"/>
      <c r="B59" s="246"/>
      <c r="C59" s="246"/>
      <c r="D59" s="236"/>
      <c r="E59" s="236"/>
      <c r="F59" s="236"/>
      <c r="G59" s="236"/>
      <c r="H59" s="236"/>
      <c r="I59" s="140"/>
    </row>
    <row r="60" spans="1:9" x14ac:dyDescent="0.25">
      <c r="A60" s="140"/>
      <c r="B60" s="246"/>
      <c r="C60" s="246"/>
      <c r="D60" s="236"/>
      <c r="E60" s="236"/>
      <c r="F60" s="236"/>
      <c r="G60" s="236"/>
      <c r="H60" s="236"/>
      <c r="I60" s="140"/>
    </row>
    <row r="61" spans="1:9" x14ac:dyDescent="0.25">
      <c r="A61" s="140"/>
      <c r="B61" s="246"/>
      <c r="C61" s="246"/>
      <c r="D61" s="236"/>
      <c r="E61" s="236"/>
      <c r="F61" s="236"/>
      <c r="G61" s="236"/>
      <c r="H61" s="236"/>
      <c r="I61" s="140"/>
    </row>
    <row r="62" spans="1:9" x14ac:dyDescent="0.25">
      <c r="A62" s="140"/>
      <c r="B62" s="246"/>
      <c r="C62" s="246"/>
      <c r="D62" s="236"/>
      <c r="E62" s="236"/>
      <c r="F62" s="236"/>
      <c r="G62" s="236"/>
      <c r="H62" s="236"/>
      <c r="I62" s="140"/>
    </row>
    <row r="63" spans="1:9" x14ac:dyDescent="0.25">
      <c r="A63" s="140"/>
      <c r="B63" s="246"/>
      <c r="C63" s="246"/>
      <c r="D63" s="236"/>
      <c r="E63" s="236"/>
      <c r="F63" s="236"/>
      <c r="G63" s="236"/>
      <c r="H63" s="236"/>
      <c r="I63" s="140"/>
    </row>
    <row r="64" spans="1:9" x14ac:dyDescent="0.25">
      <c r="A64" s="140"/>
      <c r="B64" s="246"/>
      <c r="C64" s="246"/>
      <c r="D64" s="236"/>
      <c r="E64" s="236"/>
      <c r="F64" s="236"/>
      <c r="G64" s="236"/>
      <c r="H64" s="236"/>
      <c r="I64" s="140"/>
    </row>
    <row r="65" spans="1:9" x14ac:dyDescent="0.25">
      <c r="A65" s="140"/>
      <c r="B65" s="246"/>
      <c r="C65" s="246"/>
      <c r="D65" s="236"/>
      <c r="E65" s="236"/>
      <c r="F65" s="236"/>
      <c r="G65" s="236"/>
      <c r="H65" s="236"/>
      <c r="I65" s="140"/>
    </row>
    <row r="66" spans="1:9" x14ac:dyDescent="0.25">
      <c r="A66" s="140"/>
      <c r="B66" s="246"/>
      <c r="C66" s="246"/>
      <c r="D66" s="236"/>
      <c r="E66" s="236"/>
      <c r="F66" s="236"/>
      <c r="G66" s="236"/>
      <c r="H66" s="236"/>
      <c r="I66" s="140"/>
    </row>
    <row r="67" spans="1:9" x14ac:dyDescent="0.25">
      <c r="A67" s="140"/>
      <c r="B67" s="246"/>
      <c r="C67" s="246"/>
      <c r="D67" s="236"/>
      <c r="E67" s="236"/>
      <c r="F67" s="236"/>
      <c r="G67" s="236"/>
      <c r="H67" s="236"/>
      <c r="I67" s="140"/>
    </row>
    <row r="68" spans="1:9" x14ac:dyDescent="0.25">
      <c r="A68" s="140"/>
      <c r="B68" s="246"/>
      <c r="C68" s="246"/>
      <c r="D68" s="236"/>
      <c r="E68" s="236"/>
      <c r="F68" s="236"/>
      <c r="G68" s="236"/>
      <c r="H68" s="236"/>
      <c r="I68" s="140"/>
    </row>
    <row r="69" spans="1:9" x14ac:dyDescent="0.25">
      <c r="A69" s="140"/>
      <c r="B69" s="246"/>
      <c r="C69" s="246"/>
      <c r="D69" s="236"/>
      <c r="E69" s="236"/>
      <c r="F69" s="236"/>
      <c r="G69" s="236"/>
      <c r="H69" s="236"/>
      <c r="I69" s="140"/>
    </row>
    <row r="70" spans="1:9" x14ac:dyDescent="0.25">
      <c r="A70" s="140"/>
      <c r="B70" s="246"/>
      <c r="C70" s="246"/>
      <c r="D70" s="236"/>
      <c r="E70" s="236"/>
      <c r="F70" s="236"/>
      <c r="G70" s="236"/>
      <c r="H70" s="236"/>
      <c r="I70" s="140"/>
    </row>
    <row r="71" spans="1:9" x14ac:dyDescent="0.25">
      <c r="A71" s="140"/>
      <c r="B71" s="246"/>
      <c r="C71" s="246"/>
      <c r="D71" s="236"/>
      <c r="E71" s="236"/>
      <c r="F71" s="236"/>
      <c r="G71" s="236"/>
      <c r="H71" s="236"/>
      <c r="I71" s="140"/>
    </row>
    <row r="72" spans="1:9" x14ac:dyDescent="0.25">
      <c r="A72" s="140"/>
      <c r="B72" s="246"/>
      <c r="C72" s="246"/>
      <c r="D72" s="236"/>
      <c r="E72" s="236"/>
      <c r="F72" s="236"/>
      <c r="G72" s="236"/>
      <c r="H72" s="236"/>
      <c r="I72" s="140"/>
    </row>
    <row r="73" spans="1:9" x14ac:dyDescent="0.25">
      <c r="A73" s="140"/>
      <c r="B73" s="246"/>
      <c r="C73" s="246"/>
      <c r="D73" s="236"/>
      <c r="E73" s="236"/>
      <c r="F73" s="236"/>
      <c r="G73" s="236"/>
      <c r="H73" s="236"/>
      <c r="I73" s="140"/>
    </row>
    <row r="74" spans="1:9" x14ac:dyDescent="0.25">
      <c r="A74" s="140"/>
      <c r="B74" s="246"/>
      <c r="C74" s="246"/>
      <c r="D74" s="236"/>
      <c r="E74" s="236"/>
      <c r="F74" s="236"/>
      <c r="G74" s="236"/>
      <c r="H74" s="236"/>
      <c r="I74" s="140"/>
    </row>
    <row r="75" spans="1:9" x14ac:dyDescent="0.25">
      <c r="A75" s="140"/>
      <c r="B75" s="246"/>
      <c r="C75" s="246"/>
      <c r="D75" s="236"/>
      <c r="E75" s="236"/>
      <c r="F75" s="236"/>
      <c r="G75" s="236"/>
      <c r="H75" s="236"/>
      <c r="I75" s="140"/>
    </row>
    <row r="76" spans="1:9" x14ac:dyDescent="0.25">
      <c r="A76" s="140"/>
      <c r="B76" s="246"/>
      <c r="C76" s="246"/>
      <c r="D76" s="236"/>
      <c r="E76" s="236"/>
      <c r="F76" s="236"/>
      <c r="G76" s="236"/>
      <c r="H76" s="236"/>
      <c r="I76" s="140"/>
    </row>
    <row r="77" spans="1:9" x14ac:dyDescent="0.25">
      <c r="A77" s="140"/>
      <c r="B77" s="246"/>
      <c r="C77" s="246"/>
      <c r="D77" s="236"/>
      <c r="E77" s="236"/>
      <c r="F77" s="236"/>
      <c r="G77" s="236"/>
      <c r="H77" s="236"/>
      <c r="I77" s="140"/>
    </row>
    <row r="78" spans="1:9" x14ac:dyDescent="0.25">
      <c r="A78" s="140"/>
      <c r="B78" s="246"/>
      <c r="C78" s="246"/>
      <c r="D78" s="236"/>
      <c r="E78" s="236"/>
      <c r="F78" s="236"/>
      <c r="G78" s="236"/>
      <c r="H78" s="236"/>
      <c r="I78" s="140"/>
    </row>
    <row r="79" spans="1:9" x14ac:dyDescent="0.25">
      <c r="A79" s="140"/>
      <c r="B79" s="246"/>
      <c r="C79" s="246"/>
      <c r="D79" s="236"/>
      <c r="E79" s="236"/>
      <c r="F79" s="236"/>
      <c r="G79" s="236"/>
      <c r="H79" s="236"/>
      <c r="I79" s="140"/>
    </row>
    <row r="80" spans="1:9" x14ac:dyDescent="0.25">
      <c r="A80" s="140"/>
      <c r="B80" s="246"/>
      <c r="C80" s="246"/>
      <c r="D80" s="236"/>
      <c r="E80" s="236"/>
      <c r="F80" s="236"/>
      <c r="G80" s="236"/>
      <c r="H80" s="236"/>
      <c r="I80" s="140"/>
    </row>
    <row r="81" spans="1:9" x14ac:dyDescent="0.25">
      <c r="A81" s="140"/>
      <c r="B81" s="246"/>
      <c r="C81" s="246"/>
      <c r="D81" s="236"/>
      <c r="E81" s="236"/>
      <c r="F81" s="236"/>
      <c r="G81" s="236"/>
      <c r="H81" s="236"/>
      <c r="I81" s="140"/>
    </row>
    <row r="82" spans="1:9" x14ac:dyDescent="0.25">
      <c r="A82" s="140"/>
      <c r="B82" s="246"/>
      <c r="C82" s="246"/>
      <c r="D82" s="236"/>
      <c r="E82" s="236"/>
      <c r="F82" s="236"/>
      <c r="G82" s="236"/>
      <c r="H82" s="236"/>
      <c r="I82" s="140"/>
    </row>
    <row r="83" spans="1:9" x14ac:dyDescent="0.25">
      <c r="A83" s="140"/>
      <c r="B83" s="246"/>
      <c r="C83" s="246"/>
      <c r="D83" s="236"/>
      <c r="E83" s="236"/>
      <c r="F83" s="236"/>
      <c r="G83" s="236"/>
      <c r="H83" s="236"/>
      <c r="I83" s="140"/>
    </row>
    <row r="84" spans="1:9" x14ac:dyDescent="0.25">
      <c r="A84" s="140"/>
      <c r="B84" s="246"/>
      <c r="C84" s="246"/>
      <c r="D84" s="236"/>
      <c r="E84" s="236"/>
      <c r="F84" s="236"/>
      <c r="G84" s="236"/>
      <c r="H84" s="236"/>
      <c r="I84" s="140"/>
    </row>
    <row r="85" spans="1:9" x14ac:dyDescent="0.25">
      <c r="A85" s="140"/>
      <c r="B85" s="246"/>
      <c r="C85" s="246"/>
      <c r="D85" s="236"/>
      <c r="E85" s="236"/>
      <c r="F85" s="236"/>
      <c r="G85" s="236"/>
      <c r="H85" s="236"/>
      <c r="I85" s="140"/>
    </row>
    <row r="86" spans="1:9" x14ac:dyDescent="0.25">
      <c r="A86" s="140"/>
      <c r="B86" s="246"/>
      <c r="C86" s="246"/>
      <c r="D86" s="236"/>
      <c r="E86" s="236"/>
      <c r="F86" s="236"/>
      <c r="G86" s="236"/>
      <c r="H86" s="236"/>
      <c r="I86" s="140"/>
    </row>
    <row r="87" spans="1:9" x14ac:dyDescent="0.25">
      <c r="A87" s="140"/>
      <c r="B87" s="246"/>
      <c r="C87" s="246"/>
      <c r="D87" s="236"/>
      <c r="E87" s="236"/>
      <c r="F87" s="236"/>
      <c r="G87" s="236"/>
      <c r="H87" s="236"/>
      <c r="I87" s="140"/>
    </row>
    <row r="88" spans="1:9" x14ac:dyDescent="0.25">
      <c r="A88" s="140"/>
      <c r="B88" s="246"/>
      <c r="C88" s="246"/>
      <c r="D88" s="236"/>
      <c r="E88" s="236"/>
      <c r="F88" s="236"/>
      <c r="G88" s="236"/>
      <c r="H88" s="236"/>
      <c r="I88" s="140"/>
    </row>
    <row r="89" spans="1:9" x14ac:dyDescent="0.25">
      <c r="A89" s="140"/>
      <c r="B89" s="246"/>
      <c r="C89" s="246"/>
      <c r="D89" s="236"/>
      <c r="E89" s="236"/>
      <c r="F89" s="236"/>
      <c r="G89" s="236"/>
      <c r="H89" s="236"/>
      <c r="I89" s="140"/>
    </row>
    <row r="90" spans="1:9" x14ac:dyDescent="0.25">
      <c r="A90" s="140"/>
      <c r="B90" s="246"/>
      <c r="C90" s="246"/>
      <c r="D90" s="236"/>
      <c r="E90" s="236"/>
      <c r="F90" s="236"/>
      <c r="G90" s="236"/>
      <c r="H90" s="236"/>
      <c r="I90" s="140"/>
    </row>
    <row r="91" spans="1:9" x14ac:dyDescent="0.25">
      <c r="A91" s="140"/>
      <c r="B91" s="246"/>
      <c r="C91" s="246"/>
      <c r="D91" s="236"/>
      <c r="E91" s="236"/>
      <c r="F91" s="236"/>
      <c r="G91" s="236"/>
      <c r="H91" s="236"/>
      <c r="I91" s="140"/>
    </row>
    <row r="92" spans="1:9" x14ac:dyDescent="0.25">
      <c r="A92" s="140"/>
      <c r="B92" s="246"/>
      <c r="C92" s="246"/>
      <c r="D92" s="236"/>
      <c r="E92" s="236"/>
      <c r="F92" s="236"/>
      <c r="G92" s="236"/>
      <c r="H92" s="236"/>
      <c r="I92" s="140"/>
    </row>
    <row r="93" spans="1:9" x14ac:dyDescent="0.25">
      <c r="A93" s="140"/>
      <c r="B93" s="246"/>
      <c r="C93" s="246"/>
      <c r="D93" s="236"/>
      <c r="E93" s="236"/>
      <c r="F93" s="236"/>
      <c r="G93" s="236"/>
      <c r="H93" s="236"/>
      <c r="I93" s="140"/>
    </row>
    <row r="94" spans="1:9" x14ac:dyDescent="0.25">
      <c r="A94" s="140"/>
      <c r="B94" s="246"/>
      <c r="C94" s="246"/>
      <c r="D94" s="236"/>
      <c r="E94" s="236"/>
      <c r="F94" s="236"/>
      <c r="G94" s="236"/>
      <c r="H94" s="236"/>
      <c r="I94" s="140"/>
    </row>
    <row r="95" spans="1:9" x14ac:dyDescent="0.25">
      <c r="A95" s="140"/>
      <c r="B95" s="246"/>
      <c r="C95" s="246"/>
      <c r="D95" s="236"/>
      <c r="E95" s="236"/>
      <c r="F95" s="236"/>
      <c r="G95" s="236"/>
      <c r="H95" s="236"/>
      <c r="I95" s="140"/>
    </row>
    <row r="96" spans="1:9" x14ac:dyDescent="0.25">
      <c r="A96" s="140"/>
      <c r="B96" s="246"/>
      <c r="C96" s="246"/>
      <c r="D96" s="236"/>
      <c r="E96" s="236"/>
      <c r="F96" s="236"/>
      <c r="G96" s="236"/>
      <c r="H96" s="236"/>
      <c r="I96" s="140"/>
    </row>
    <row r="97" spans="1:9" x14ac:dyDescent="0.25">
      <c r="A97" s="140"/>
      <c r="B97" s="246"/>
      <c r="C97" s="246"/>
      <c r="D97" s="236"/>
      <c r="E97" s="236"/>
      <c r="F97" s="236"/>
      <c r="G97" s="236"/>
      <c r="H97" s="236"/>
      <c r="I97" s="140"/>
    </row>
    <row r="98" spans="1:9" x14ac:dyDescent="0.25">
      <c r="A98" s="140"/>
      <c r="B98" s="246"/>
      <c r="C98" s="246"/>
      <c r="D98" s="236"/>
      <c r="E98" s="236"/>
      <c r="F98" s="236"/>
      <c r="G98" s="236"/>
      <c r="H98" s="236"/>
      <c r="I98" s="140"/>
    </row>
    <row r="99" spans="1:9" x14ac:dyDescent="0.25">
      <c r="A99" s="140"/>
      <c r="B99" s="246"/>
      <c r="C99" s="246"/>
      <c r="D99" s="236"/>
      <c r="E99" s="236"/>
      <c r="F99" s="236"/>
      <c r="G99" s="236"/>
      <c r="H99" s="236"/>
      <c r="I99" s="140"/>
    </row>
    <row r="100" spans="1:9" x14ac:dyDescent="0.25">
      <c r="A100" s="140"/>
      <c r="B100" s="246"/>
      <c r="C100" s="246"/>
      <c r="D100" s="236"/>
      <c r="E100" s="236"/>
      <c r="F100" s="236"/>
      <c r="G100" s="236"/>
      <c r="H100" s="236"/>
      <c r="I100" s="140"/>
    </row>
    <row r="101" spans="1:9" x14ac:dyDescent="0.25">
      <c r="A101" s="140"/>
      <c r="B101" s="246"/>
      <c r="C101" s="246"/>
      <c r="D101" s="236"/>
      <c r="E101" s="236"/>
      <c r="F101" s="236"/>
      <c r="G101" s="236"/>
      <c r="H101" s="236"/>
      <c r="I101" s="140"/>
    </row>
    <row r="102" spans="1:9" x14ac:dyDescent="0.25">
      <c r="A102" s="140"/>
      <c r="B102" s="246"/>
      <c r="C102" s="246"/>
      <c r="D102" s="236"/>
      <c r="E102" s="236"/>
      <c r="F102" s="236"/>
      <c r="G102" s="236"/>
      <c r="H102" s="236"/>
      <c r="I102" s="140"/>
    </row>
    <row r="103" spans="1:9" x14ac:dyDescent="0.25">
      <c r="A103" s="140"/>
      <c r="B103" s="246"/>
      <c r="C103" s="246"/>
      <c r="D103" s="236"/>
      <c r="E103" s="236"/>
      <c r="F103" s="236"/>
      <c r="G103" s="236"/>
      <c r="H103" s="236"/>
      <c r="I103" s="140"/>
    </row>
    <row r="104" spans="1:9" x14ac:dyDescent="0.25">
      <c r="A104" s="140"/>
      <c r="B104" s="246"/>
      <c r="C104" s="246"/>
      <c r="D104" s="236"/>
      <c r="E104" s="236"/>
      <c r="F104" s="236"/>
      <c r="G104" s="236"/>
      <c r="H104" s="236"/>
      <c r="I104" s="140"/>
    </row>
    <row r="105" spans="1:9" x14ac:dyDescent="0.25">
      <c r="A105" s="140"/>
      <c r="B105" s="246"/>
      <c r="C105" s="246"/>
      <c r="D105" s="236"/>
      <c r="E105" s="236"/>
      <c r="F105" s="236"/>
      <c r="G105" s="236"/>
      <c r="H105" s="236"/>
      <c r="I105" s="140"/>
    </row>
    <row r="106" spans="1:9" x14ac:dyDescent="0.25">
      <c r="A106" s="140"/>
      <c r="B106" s="246"/>
      <c r="C106" s="246"/>
      <c r="D106" s="236"/>
      <c r="E106" s="236"/>
      <c r="F106" s="236"/>
      <c r="G106" s="236"/>
      <c r="H106" s="236"/>
      <c r="I106" s="140"/>
    </row>
    <row r="107" spans="1:9" x14ac:dyDescent="0.25">
      <c r="A107" s="140"/>
      <c r="B107" s="246"/>
      <c r="C107" s="246"/>
      <c r="D107" s="236"/>
      <c r="E107" s="236"/>
      <c r="F107" s="236"/>
      <c r="G107" s="236"/>
      <c r="H107" s="236"/>
      <c r="I107" s="140"/>
    </row>
    <row r="108" spans="1:9" x14ac:dyDescent="0.25">
      <c r="A108" s="140"/>
      <c r="B108" s="246"/>
      <c r="C108" s="246"/>
      <c r="D108" s="236"/>
      <c r="E108" s="236"/>
      <c r="F108" s="236"/>
      <c r="G108" s="236"/>
      <c r="H108" s="236"/>
      <c r="I108" s="140"/>
    </row>
    <row r="109" spans="1:9" x14ac:dyDescent="0.25">
      <c r="A109" s="140"/>
      <c r="B109" s="246"/>
      <c r="C109" s="246"/>
      <c r="D109" s="236"/>
      <c r="E109" s="236"/>
      <c r="F109" s="236"/>
      <c r="G109" s="236"/>
      <c r="H109" s="236"/>
      <c r="I109" s="140"/>
    </row>
    <row r="110" spans="1:9" x14ac:dyDescent="0.25">
      <c r="A110" s="140"/>
      <c r="B110" s="246"/>
      <c r="C110" s="246"/>
      <c r="D110" s="236"/>
      <c r="E110" s="236"/>
      <c r="F110" s="236"/>
      <c r="G110" s="236"/>
      <c r="H110" s="236"/>
      <c r="I110" s="140"/>
    </row>
    <row r="111" spans="1:9" x14ac:dyDescent="0.25">
      <c r="A111" s="140"/>
      <c r="B111" s="246"/>
      <c r="C111" s="246"/>
      <c r="D111" s="236"/>
      <c r="E111" s="236"/>
      <c r="F111" s="236"/>
      <c r="G111" s="236"/>
      <c r="H111" s="236"/>
      <c r="I111" s="140"/>
    </row>
    <row r="112" spans="1:9" x14ac:dyDescent="0.25">
      <c r="A112" s="140"/>
      <c r="B112" s="246"/>
      <c r="C112" s="246"/>
      <c r="D112" s="236"/>
      <c r="E112" s="236"/>
      <c r="F112" s="236"/>
      <c r="G112" s="236"/>
      <c r="H112" s="236"/>
      <c r="I112" s="140"/>
    </row>
    <row r="113" spans="1:9" x14ac:dyDescent="0.25">
      <c r="A113" s="140"/>
      <c r="B113" s="246"/>
      <c r="C113" s="246"/>
      <c r="D113" s="236"/>
      <c r="E113" s="236"/>
      <c r="F113" s="236"/>
      <c r="G113" s="236"/>
      <c r="H113" s="236"/>
      <c r="I113" s="140"/>
    </row>
    <row r="114" spans="1:9" x14ac:dyDescent="0.25">
      <c r="A114" s="140"/>
      <c r="B114" s="246"/>
      <c r="C114" s="246"/>
      <c r="D114" s="236"/>
      <c r="E114" s="236"/>
      <c r="F114" s="236"/>
      <c r="G114" s="236"/>
      <c r="H114" s="236"/>
      <c r="I114" s="140"/>
    </row>
    <row r="115" spans="1:9" x14ac:dyDescent="0.25">
      <c r="A115" s="140"/>
      <c r="B115" s="246"/>
      <c r="C115" s="246"/>
      <c r="D115" s="236"/>
      <c r="E115" s="236"/>
      <c r="F115" s="236"/>
      <c r="G115" s="236"/>
      <c r="H115" s="236"/>
      <c r="I115" s="140"/>
    </row>
    <row r="116" spans="1:9" x14ac:dyDescent="0.25">
      <c r="A116" s="140"/>
      <c r="B116" s="246"/>
      <c r="C116" s="246"/>
      <c r="D116" s="236"/>
      <c r="E116" s="236"/>
      <c r="F116" s="236"/>
      <c r="G116" s="236"/>
      <c r="H116" s="236"/>
      <c r="I116" s="140"/>
    </row>
    <row r="117" spans="1:9" x14ac:dyDescent="0.25">
      <c r="A117" s="140"/>
      <c r="B117" s="246"/>
      <c r="C117" s="246"/>
      <c r="D117" s="236"/>
      <c r="E117" s="236"/>
      <c r="F117" s="236"/>
      <c r="G117" s="236"/>
      <c r="H117" s="236"/>
      <c r="I117" s="140"/>
    </row>
    <row r="118" spans="1:9" x14ac:dyDescent="0.25">
      <c r="A118" s="140"/>
      <c r="B118" s="246"/>
      <c r="C118" s="246"/>
      <c r="D118" s="236"/>
      <c r="E118" s="236"/>
      <c r="F118" s="236"/>
      <c r="G118" s="236"/>
      <c r="H118" s="236"/>
      <c r="I118" s="140"/>
    </row>
    <row r="119" spans="1:9" x14ac:dyDescent="0.25">
      <c r="A119" s="140"/>
      <c r="B119" s="246"/>
      <c r="C119" s="246"/>
      <c r="D119" s="236"/>
      <c r="E119" s="236"/>
      <c r="F119" s="236"/>
      <c r="G119" s="236"/>
      <c r="H119" s="236"/>
      <c r="I119" s="140"/>
    </row>
    <row r="120" spans="1:9" x14ac:dyDescent="0.25">
      <c r="A120" s="140"/>
      <c r="B120" s="246"/>
      <c r="C120" s="246"/>
      <c r="D120" s="236"/>
      <c r="E120" s="236"/>
      <c r="F120" s="236"/>
      <c r="G120" s="236"/>
      <c r="H120" s="236"/>
      <c r="I120" s="140"/>
    </row>
    <row r="121" spans="1:9" x14ac:dyDescent="0.25">
      <c r="A121" s="140"/>
      <c r="B121" s="246"/>
      <c r="C121" s="246"/>
      <c r="D121" s="236"/>
      <c r="E121" s="236"/>
      <c r="F121" s="236"/>
      <c r="G121" s="236"/>
      <c r="H121" s="236"/>
      <c r="I121" s="140"/>
    </row>
    <row r="122" spans="1:9" x14ac:dyDescent="0.25">
      <c r="A122" s="140"/>
      <c r="B122" s="246"/>
      <c r="C122" s="246"/>
      <c r="D122" s="236"/>
      <c r="E122" s="236"/>
      <c r="F122" s="236"/>
      <c r="G122" s="236"/>
      <c r="H122" s="236"/>
      <c r="I122" s="140"/>
    </row>
    <row r="123" spans="1:9" x14ac:dyDescent="0.25">
      <c r="A123" s="140"/>
      <c r="B123" s="246"/>
      <c r="C123" s="246"/>
      <c r="D123" s="236"/>
      <c r="E123" s="236"/>
      <c r="F123" s="236"/>
      <c r="G123" s="236"/>
      <c r="H123" s="236"/>
      <c r="I123" s="140"/>
    </row>
    <row r="124" spans="1:9" x14ac:dyDescent="0.25">
      <c r="A124" s="140"/>
      <c r="B124" s="246"/>
      <c r="C124" s="246"/>
      <c r="D124" s="236"/>
      <c r="E124" s="236"/>
      <c r="F124" s="236"/>
      <c r="G124" s="236"/>
      <c r="H124" s="236"/>
      <c r="I124" s="140"/>
    </row>
    <row r="125" spans="1:9" x14ac:dyDescent="0.25">
      <c r="A125" s="140"/>
      <c r="B125" s="246"/>
      <c r="C125" s="246"/>
      <c r="D125" s="236"/>
      <c r="E125" s="236"/>
      <c r="F125" s="236"/>
      <c r="G125" s="236"/>
      <c r="H125" s="236"/>
      <c r="I125" s="140"/>
    </row>
    <row r="126" spans="1:9" x14ac:dyDescent="0.25">
      <c r="A126" s="140"/>
      <c r="B126" s="246"/>
      <c r="C126" s="246"/>
      <c r="D126" s="236"/>
      <c r="E126" s="236"/>
      <c r="F126" s="236"/>
      <c r="G126" s="236"/>
      <c r="H126" s="236"/>
      <c r="I126" s="140"/>
    </row>
    <row r="127" spans="1:9" x14ac:dyDescent="0.25">
      <c r="A127" s="140"/>
      <c r="B127" s="246"/>
      <c r="C127" s="246"/>
      <c r="D127" s="236"/>
      <c r="E127" s="236"/>
      <c r="F127" s="236"/>
      <c r="G127" s="236"/>
      <c r="H127" s="236"/>
      <c r="I127" s="140"/>
    </row>
    <row r="128" spans="1:9" x14ac:dyDescent="0.25">
      <c r="A128" s="140"/>
      <c r="B128" s="246"/>
      <c r="C128" s="246"/>
      <c r="D128" s="236"/>
      <c r="E128" s="236"/>
      <c r="F128" s="236"/>
      <c r="G128" s="236"/>
      <c r="H128" s="236"/>
      <c r="I128" s="140"/>
    </row>
    <row r="129" spans="1:9" x14ac:dyDescent="0.25">
      <c r="A129" s="140"/>
      <c r="B129" s="246"/>
      <c r="C129" s="246"/>
      <c r="D129" s="236"/>
      <c r="E129" s="236"/>
      <c r="F129" s="236"/>
      <c r="G129" s="236"/>
      <c r="H129" s="236"/>
      <c r="I129" s="140"/>
    </row>
    <row r="130" spans="1:9" x14ac:dyDescent="0.25">
      <c r="A130" s="140"/>
      <c r="B130" s="246"/>
      <c r="C130" s="246"/>
      <c r="D130" s="236"/>
      <c r="E130" s="236"/>
      <c r="F130" s="236"/>
      <c r="G130" s="236"/>
      <c r="H130" s="236"/>
      <c r="I130" s="140"/>
    </row>
    <row r="131" spans="1:9" x14ac:dyDescent="0.25">
      <c r="A131" s="140"/>
      <c r="B131" s="246"/>
      <c r="C131" s="246"/>
      <c r="D131" s="236"/>
      <c r="E131" s="236"/>
      <c r="F131" s="236"/>
      <c r="G131" s="236"/>
      <c r="H131" s="236"/>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moveWithCells="1" sizeWithCells="1">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workbookViewId="0">
      <selection activeCell="E58" sqref="E58"/>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979</v>
      </c>
      <c r="D1" s="16" t="s">
        <v>94</v>
      </c>
      <c r="E1" s="16" t="s">
        <v>95</v>
      </c>
      <c r="F1" s="16" t="s">
        <v>96</v>
      </c>
      <c r="G1" s="16" t="s">
        <v>687</v>
      </c>
      <c r="H1" s="16" t="s">
        <v>938</v>
      </c>
      <c r="I1" s="16" t="s">
        <v>939</v>
      </c>
      <c r="J1" s="16" t="s">
        <v>963</v>
      </c>
      <c r="K1" s="16" t="s">
        <v>970</v>
      </c>
      <c r="M1" s="16" t="s">
        <v>162</v>
      </c>
      <c r="N1" s="16" t="s">
        <v>51</v>
      </c>
      <c r="O1" s="16" t="s">
        <v>56</v>
      </c>
      <c r="Q1" s="5" t="s">
        <v>55</v>
      </c>
      <c r="S1" t="s">
        <v>171</v>
      </c>
    </row>
    <row r="2" spans="1:21" x14ac:dyDescent="0.25">
      <c r="A2" t="s">
        <v>864</v>
      </c>
      <c r="B2" t="s">
        <v>874</v>
      </c>
      <c r="C2" t="s">
        <v>980</v>
      </c>
      <c r="D2">
        <v>0</v>
      </c>
      <c r="E2" t="s">
        <v>48</v>
      </c>
      <c r="F2" t="s">
        <v>97</v>
      </c>
      <c r="G2" t="s">
        <v>686</v>
      </c>
      <c r="H2" t="s">
        <v>686</v>
      </c>
      <c r="I2" t="s">
        <v>686</v>
      </c>
      <c r="J2" t="s">
        <v>964</v>
      </c>
      <c r="K2" t="s">
        <v>971</v>
      </c>
      <c r="M2" t="s">
        <v>167</v>
      </c>
      <c r="N2" t="s">
        <v>2</v>
      </c>
      <c r="O2">
        <f t="array" ref="O2">MAX(IF(ItemDom=M2, DomItemNum, 0))</f>
        <v>0</v>
      </c>
      <c r="Q2" s="1">
        <f>COUNTA(M:M)-1</f>
        <v>6</v>
      </c>
      <c r="S2" s="16" t="s">
        <v>172</v>
      </c>
      <c r="T2" s="16" t="s">
        <v>0</v>
      </c>
      <c r="U2" s="16" t="s">
        <v>173</v>
      </c>
    </row>
    <row r="3" spans="1:21" x14ac:dyDescent="0.25">
      <c r="A3" t="s">
        <v>865</v>
      </c>
      <c r="B3" t="s">
        <v>875</v>
      </c>
      <c r="C3" t="s">
        <v>981</v>
      </c>
      <c r="D3">
        <v>1</v>
      </c>
      <c r="E3" t="s">
        <v>49</v>
      </c>
      <c r="F3" t="s">
        <v>98</v>
      </c>
      <c r="G3" t="s">
        <v>307</v>
      </c>
      <c r="H3" t="s">
        <v>307</v>
      </c>
      <c r="I3" t="s">
        <v>308</v>
      </c>
      <c r="J3" t="s">
        <v>965</v>
      </c>
      <c r="K3" t="s">
        <v>972</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982</v>
      </c>
      <c r="D4">
        <v>2</v>
      </c>
      <c r="F4" t="s">
        <v>99</v>
      </c>
      <c r="G4" t="s">
        <v>308</v>
      </c>
      <c r="J4" t="s">
        <v>966</v>
      </c>
      <c r="K4" t="s">
        <v>973</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983</v>
      </c>
      <c r="D5">
        <v>3</v>
      </c>
      <c r="F5" t="s">
        <v>100</v>
      </c>
      <c r="J5" t="s">
        <v>967</v>
      </c>
      <c r="K5" t="s">
        <v>974</v>
      </c>
      <c r="M5" t="s">
        <v>169</v>
      </c>
      <c r="N5" t="s">
        <v>25</v>
      </c>
      <c r="O5">
        <f t="array" ref="O5">MAX(IF(ItemDom=M5, DomItemNum, 0))</f>
        <v>0</v>
      </c>
      <c r="S5" t="s">
        <v>134</v>
      </c>
      <c r="T5" t="str">
        <f t="shared" si="0"/>
        <v/>
      </c>
      <c r="U5" t="str">
        <f t="shared" si="1"/>
        <v/>
      </c>
    </row>
    <row r="6" spans="1:21" x14ac:dyDescent="0.25">
      <c r="A6" t="s">
        <v>868</v>
      </c>
      <c r="B6" t="s">
        <v>878</v>
      </c>
      <c r="C6" t="s">
        <v>984</v>
      </c>
      <c r="F6" t="s">
        <v>101</v>
      </c>
      <c r="J6" t="s">
        <v>968</v>
      </c>
      <c r="K6" t="s">
        <v>975</v>
      </c>
      <c r="M6" t="s">
        <v>166</v>
      </c>
      <c r="N6" t="s">
        <v>32</v>
      </c>
      <c r="O6">
        <f t="array" ref="O6">MAX(IF(ItemDom=M6, DomItemNum, 0))</f>
        <v>0</v>
      </c>
      <c r="S6" t="s">
        <v>135</v>
      </c>
      <c r="T6" t="e">
        <f t="shared" si="0"/>
        <v>#N/A</v>
      </c>
      <c r="U6" t="str">
        <f t="shared" si="1"/>
        <v/>
      </c>
    </row>
    <row r="7" spans="1:21" x14ac:dyDescent="0.25">
      <c r="A7" t="s">
        <v>869</v>
      </c>
      <c r="B7" t="s">
        <v>879</v>
      </c>
      <c r="C7" t="s">
        <v>985</v>
      </c>
      <c r="J7" t="s">
        <v>969</v>
      </c>
      <c r="M7" t="s">
        <v>170</v>
      </c>
      <c r="N7" t="s">
        <v>149</v>
      </c>
      <c r="O7">
        <f t="array" ref="O7">MAX(IF(ItemDom=M7, DomItemNum, 0))</f>
        <v>0</v>
      </c>
      <c r="S7" t="s">
        <v>136</v>
      </c>
      <c r="T7" t="e">
        <f t="shared" si="0"/>
        <v>#N/A</v>
      </c>
      <c r="U7" t="str">
        <f t="shared" si="1"/>
        <v/>
      </c>
    </row>
    <row r="8" spans="1:21" x14ac:dyDescent="0.25">
      <c r="A8" t="s">
        <v>870</v>
      </c>
      <c r="B8" t="s">
        <v>880</v>
      </c>
      <c r="C8" t="s">
        <v>986</v>
      </c>
      <c r="J8" t="s">
        <v>1098</v>
      </c>
      <c r="S8" t="s">
        <v>137</v>
      </c>
      <c r="T8" t="e">
        <f t="shared" si="0"/>
        <v>#N/A</v>
      </c>
      <c r="U8" t="str">
        <f t="shared" si="1"/>
        <v/>
      </c>
    </row>
    <row r="9" spans="1:21" x14ac:dyDescent="0.25">
      <c r="A9" t="s">
        <v>871</v>
      </c>
      <c r="B9" t="s">
        <v>881</v>
      </c>
      <c r="C9" t="s">
        <v>987</v>
      </c>
      <c r="S9" t="s">
        <v>138</v>
      </c>
      <c r="T9" t="e">
        <f t="shared" si="0"/>
        <v>#N/A</v>
      </c>
      <c r="U9" t="str">
        <f t="shared" si="1"/>
        <v/>
      </c>
    </row>
    <row r="10" spans="1:21" x14ac:dyDescent="0.25">
      <c r="A10" t="s">
        <v>872</v>
      </c>
      <c r="B10" t="s">
        <v>882</v>
      </c>
      <c r="C10" t="s">
        <v>988</v>
      </c>
      <c r="F10" s="16">
        <f t="array" ref="F10">MAX(IF(ItemNum=MAX(ItemNum), ROW(ItemNum), 0))</f>
        <v>209</v>
      </c>
      <c r="G10" t="s">
        <v>262</v>
      </c>
      <c r="S10" t="s">
        <v>139</v>
      </c>
      <c r="T10" t="e">
        <f t="shared" si="0"/>
        <v>#N/A</v>
      </c>
      <c r="U10" t="str">
        <f t="shared" si="1"/>
        <v/>
      </c>
    </row>
    <row r="11" spans="1:21" x14ac:dyDescent="0.25">
      <c r="B11" t="s">
        <v>883</v>
      </c>
      <c r="C11" t="s">
        <v>989</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990</v>
      </c>
      <c r="S12" t="s">
        <v>141</v>
      </c>
      <c r="T12" t="e">
        <f t="shared" si="0"/>
        <v>#N/A</v>
      </c>
      <c r="U12" t="str">
        <f t="shared" si="1"/>
        <v/>
      </c>
    </row>
    <row r="13" spans="1:21" x14ac:dyDescent="0.25">
      <c r="B13" t="s">
        <v>885</v>
      </c>
      <c r="C13" t="s">
        <v>991</v>
      </c>
      <c r="S13" t="s">
        <v>142</v>
      </c>
      <c r="T13" t="e">
        <f t="shared" si="0"/>
        <v>#N/A</v>
      </c>
      <c r="U13" t="str">
        <f t="shared" si="1"/>
        <v/>
      </c>
    </row>
    <row r="14" spans="1:21" x14ac:dyDescent="0.25">
      <c r="B14" t="s">
        <v>886</v>
      </c>
      <c r="C14" t="s">
        <v>992</v>
      </c>
      <c r="S14" t="s">
        <v>143</v>
      </c>
      <c r="T14" t="e">
        <f t="shared" si="0"/>
        <v>#N/A</v>
      </c>
      <c r="U14" t="str">
        <f t="shared" si="1"/>
        <v/>
      </c>
    </row>
    <row r="15" spans="1:21" x14ac:dyDescent="0.25">
      <c r="B15" t="s">
        <v>887</v>
      </c>
      <c r="C15" t="s">
        <v>993</v>
      </c>
      <c r="S15" t="s">
        <v>144</v>
      </c>
      <c r="T15" t="e">
        <f t="shared" si="0"/>
        <v>#N/A</v>
      </c>
      <c r="U15" t="str">
        <f t="shared" si="1"/>
        <v/>
      </c>
    </row>
    <row r="16" spans="1:21" x14ac:dyDescent="0.25">
      <c r="B16" t="s">
        <v>888</v>
      </c>
      <c r="C16" t="s">
        <v>994</v>
      </c>
    </row>
    <row r="17" spans="2:3" x14ac:dyDescent="0.25">
      <c r="B17" t="s">
        <v>889</v>
      </c>
      <c r="C17" t="s">
        <v>995</v>
      </c>
    </row>
    <row r="18" spans="2:3" x14ac:dyDescent="0.25">
      <c r="B18" t="s">
        <v>890</v>
      </c>
      <c r="C18" t="s">
        <v>996</v>
      </c>
    </row>
    <row r="19" spans="2:3" x14ac:dyDescent="0.25">
      <c r="B19" t="s">
        <v>891</v>
      </c>
      <c r="C19" t="s">
        <v>997</v>
      </c>
    </row>
    <row r="20" spans="2:3" x14ac:dyDescent="0.25">
      <c r="B20" t="s">
        <v>892</v>
      </c>
      <c r="C20" t="s">
        <v>998</v>
      </c>
    </row>
    <row r="21" spans="2:3" x14ac:dyDescent="0.25">
      <c r="B21" t="s">
        <v>893</v>
      </c>
      <c r="C21" t="s">
        <v>999</v>
      </c>
    </row>
    <row r="22" spans="2:3" x14ac:dyDescent="0.25">
      <c r="B22" t="s">
        <v>894</v>
      </c>
      <c r="C22" t="s">
        <v>1000</v>
      </c>
    </row>
    <row r="23" spans="2:3" x14ac:dyDescent="0.25">
      <c r="B23" t="s">
        <v>895</v>
      </c>
      <c r="C23" t="s">
        <v>1001</v>
      </c>
    </row>
    <row r="24" spans="2:3" x14ac:dyDescent="0.25">
      <c r="B24" t="s">
        <v>896</v>
      </c>
      <c r="C24" t="s">
        <v>1002</v>
      </c>
    </row>
    <row r="25" spans="2:3" x14ac:dyDescent="0.25">
      <c r="B25" t="s">
        <v>897</v>
      </c>
      <c r="C25" t="s">
        <v>1003</v>
      </c>
    </row>
    <row r="26" spans="2:3" x14ac:dyDescent="0.25">
      <c r="B26" t="s">
        <v>898</v>
      </c>
      <c r="C26" t="s">
        <v>1004</v>
      </c>
    </row>
    <row r="27" spans="2:3" x14ac:dyDescent="0.25">
      <c r="B27" t="s">
        <v>899</v>
      </c>
      <c r="C27" t="s">
        <v>1005</v>
      </c>
    </row>
    <row r="28" spans="2:3" x14ac:dyDescent="0.25">
      <c r="B28" t="s">
        <v>900</v>
      </c>
      <c r="C28" t="s">
        <v>1006</v>
      </c>
    </row>
    <row r="29" spans="2:3" ht="15.75" customHeight="1" x14ac:dyDescent="0.25">
      <c r="B29" t="s">
        <v>901</v>
      </c>
      <c r="C29" t="s">
        <v>1007</v>
      </c>
    </row>
    <row r="30" spans="2:3" x14ac:dyDescent="0.25">
      <c r="B30" t="s">
        <v>902</v>
      </c>
      <c r="C30" t="s">
        <v>1008</v>
      </c>
    </row>
    <row r="31" spans="2:3" x14ac:dyDescent="0.25">
      <c r="B31" t="s">
        <v>903</v>
      </c>
      <c r="C31" t="s">
        <v>1009</v>
      </c>
    </row>
    <row r="32" spans="2:3" x14ac:dyDescent="0.25">
      <c r="B32" t="s">
        <v>904</v>
      </c>
      <c r="C32" t="s">
        <v>1010</v>
      </c>
    </row>
    <row r="33" spans="2:3" x14ac:dyDescent="0.25">
      <c r="B33" t="s">
        <v>905</v>
      </c>
      <c r="C33" t="s">
        <v>1011</v>
      </c>
    </row>
    <row r="34" spans="2:3" x14ac:dyDescent="0.25">
      <c r="B34" t="s">
        <v>906</v>
      </c>
      <c r="C34" t="s">
        <v>1095</v>
      </c>
    </row>
    <row r="35" spans="2:3" x14ac:dyDescent="0.25">
      <c r="B35" t="s">
        <v>907</v>
      </c>
      <c r="C35" t="s">
        <v>1012</v>
      </c>
    </row>
    <row r="36" spans="2:3" x14ac:dyDescent="0.25">
      <c r="B36" t="s">
        <v>908</v>
      </c>
      <c r="C36" t="s">
        <v>1013</v>
      </c>
    </row>
    <row r="37" spans="2:3" x14ac:dyDescent="0.25">
      <c r="B37" t="s">
        <v>909</v>
      </c>
      <c r="C37" t="s">
        <v>1014</v>
      </c>
    </row>
    <row r="38" spans="2:3" x14ac:dyDescent="0.25">
      <c r="B38" t="s">
        <v>910</v>
      </c>
      <c r="C38" t="s">
        <v>1015</v>
      </c>
    </row>
    <row r="39" spans="2:3" x14ac:dyDescent="0.25">
      <c r="B39" t="s">
        <v>911</v>
      </c>
      <c r="C39" t="s">
        <v>1016</v>
      </c>
    </row>
    <row r="40" spans="2:3" x14ac:dyDescent="0.25">
      <c r="B40" t="s">
        <v>912</v>
      </c>
      <c r="C40" t="s">
        <v>1017</v>
      </c>
    </row>
    <row r="41" spans="2:3" x14ac:dyDescent="0.25">
      <c r="B41" t="s">
        <v>913</v>
      </c>
      <c r="C41" t="s">
        <v>1018</v>
      </c>
    </row>
    <row r="42" spans="2:3" x14ac:dyDescent="0.25">
      <c r="B42" t="s">
        <v>914</v>
      </c>
      <c r="C42" t="s">
        <v>1019</v>
      </c>
    </row>
    <row r="43" spans="2:3" x14ac:dyDescent="0.25">
      <c r="B43" t="s">
        <v>915</v>
      </c>
      <c r="C43" t="s">
        <v>1020</v>
      </c>
    </row>
    <row r="44" spans="2:3" x14ac:dyDescent="0.25">
      <c r="B44" t="s">
        <v>916</v>
      </c>
      <c r="C44" t="s">
        <v>1021</v>
      </c>
    </row>
    <row r="45" spans="2:3" x14ac:dyDescent="0.25">
      <c r="B45" t="s">
        <v>917</v>
      </c>
      <c r="C45" t="s">
        <v>1022</v>
      </c>
    </row>
    <row r="46" spans="2:3" ht="15.75" customHeight="1" x14ac:dyDescent="0.25">
      <c r="B46" t="s">
        <v>918</v>
      </c>
      <c r="C46" t="s">
        <v>1023</v>
      </c>
    </row>
    <row r="47" spans="2:3" x14ac:dyDescent="0.25">
      <c r="B47" t="s">
        <v>919</v>
      </c>
      <c r="C47" t="s">
        <v>1024</v>
      </c>
    </row>
    <row r="48" spans="2:3" x14ac:dyDescent="0.25">
      <c r="B48" t="s">
        <v>920</v>
      </c>
      <c r="C48" t="s">
        <v>1025</v>
      </c>
    </row>
    <row r="49" spans="2:3" x14ac:dyDescent="0.25">
      <c r="B49" t="s">
        <v>921</v>
      </c>
      <c r="C49" t="s">
        <v>1093</v>
      </c>
    </row>
    <row r="50" spans="2:3" x14ac:dyDescent="0.25">
      <c r="B50" t="s">
        <v>922</v>
      </c>
      <c r="C50" t="s">
        <v>1026</v>
      </c>
    </row>
    <row r="51" spans="2:3" x14ac:dyDescent="0.25">
      <c r="C51" t="s">
        <v>1027</v>
      </c>
    </row>
    <row r="52" spans="2:3" x14ac:dyDescent="0.25">
      <c r="C52" t="s">
        <v>1028</v>
      </c>
    </row>
    <row r="53" spans="2:3" x14ac:dyDescent="0.25">
      <c r="C53" t="s">
        <v>1029</v>
      </c>
    </row>
    <row r="54" spans="2:3" x14ac:dyDescent="0.25">
      <c r="C54" t="s">
        <v>1030</v>
      </c>
    </row>
    <row r="55" spans="2:3" x14ac:dyDescent="0.25">
      <c r="C55" t="s">
        <v>1031</v>
      </c>
    </row>
    <row r="56" spans="2:3" x14ac:dyDescent="0.25">
      <c r="C56" t="s">
        <v>1032</v>
      </c>
    </row>
    <row r="57" spans="2:3" x14ac:dyDescent="0.25">
      <c r="C57" t="s">
        <v>1033</v>
      </c>
    </row>
    <row r="58" spans="2:3" x14ac:dyDescent="0.25">
      <c r="C58" t="s">
        <v>1034</v>
      </c>
    </row>
    <row r="59" spans="2:3" x14ac:dyDescent="0.25">
      <c r="C59" t="s">
        <v>1035</v>
      </c>
    </row>
    <row r="60" spans="2:3" x14ac:dyDescent="0.25">
      <c r="C60" t="s">
        <v>1036</v>
      </c>
    </row>
    <row r="61" spans="2:3" x14ac:dyDescent="0.25">
      <c r="C61" t="s">
        <v>1037</v>
      </c>
    </row>
    <row r="62" spans="2:3" x14ac:dyDescent="0.25">
      <c r="C62" t="s">
        <v>1100</v>
      </c>
    </row>
    <row r="63" spans="2:3" x14ac:dyDescent="0.25">
      <c r="C63" t="s">
        <v>1038</v>
      </c>
    </row>
    <row r="64" spans="2:3" x14ac:dyDescent="0.25">
      <c r="C64" t="s">
        <v>1094</v>
      </c>
    </row>
    <row r="65" spans="3:3" x14ac:dyDescent="0.25">
      <c r="C65" t="s">
        <v>1039</v>
      </c>
    </row>
    <row r="66" spans="3:3" x14ac:dyDescent="0.25">
      <c r="C66" t="s">
        <v>1040</v>
      </c>
    </row>
    <row r="67" spans="3:3" x14ac:dyDescent="0.25">
      <c r="C67" t="s">
        <v>1041</v>
      </c>
    </row>
    <row r="68" spans="3:3" x14ac:dyDescent="0.25">
      <c r="C68" t="s">
        <v>1042</v>
      </c>
    </row>
    <row r="69" spans="3:3" x14ac:dyDescent="0.25">
      <c r="C69" t="s">
        <v>1043</v>
      </c>
    </row>
    <row r="70" spans="3:3" x14ac:dyDescent="0.25">
      <c r="C70" t="s">
        <v>1044</v>
      </c>
    </row>
    <row r="71" spans="3:3" x14ac:dyDescent="0.25">
      <c r="C71" t="s">
        <v>1045</v>
      </c>
    </row>
    <row r="72" spans="3:3" x14ac:dyDescent="0.25">
      <c r="C72" t="s">
        <v>1046</v>
      </c>
    </row>
    <row r="73" spans="3:3" x14ac:dyDescent="0.25">
      <c r="C73" t="s">
        <v>1091</v>
      </c>
    </row>
    <row r="74" spans="3:3" x14ac:dyDescent="0.25">
      <c r="C74" t="s">
        <v>978</v>
      </c>
    </row>
    <row r="75" spans="3:3" x14ac:dyDescent="0.25">
      <c r="C75" t="s">
        <v>1047</v>
      </c>
    </row>
    <row r="76" spans="3:3" x14ac:dyDescent="0.25">
      <c r="C76" t="s">
        <v>1048</v>
      </c>
    </row>
    <row r="77" spans="3:3" x14ac:dyDescent="0.25">
      <c r="C77" t="s">
        <v>1049</v>
      </c>
    </row>
    <row r="78" spans="3:3" x14ac:dyDescent="0.25">
      <c r="C78" t="s">
        <v>1050</v>
      </c>
    </row>
    <row r="79" spans="3:3" x14ac:dyDescent="0.25">
      <c r="C79" t="s">
        <v>1051</v>
      </c>
    </row>
    <row r="80" spans="3:3" x14ac:dyDescent="0.25">
      <c r="C80" t="s">
        <v>1052</v>
      </c>
    </row>
    <row r="81" spans="3:3" x14ac:dyDescent="0.25">
      <c r="C81" t="s">
        <v>1053</v>
      </c>
    </row>
    <row r="82" spans="3:3" x14ac:dyDescent="0.25">
      <c r="C82" t="s">
        <v>1054</v>
      </c>
    </row>
    <row r="83" spans="3:3" x14ac:dyDescent="0.25">
      <c r="C83" t="s">
        <v>1055</v>
      </c>
    </row>
    <row r="84" spans="3:3" x14ac:dyDescent="0.25">
      <c r="C84" t="s">
        <v>1056</v>
      </c>
    </row>
    <row r="85" spans="3:3" x14ac:dyDescent="0.25">
      <c r="C85" t="s">
        <v>1057</v>
      </c>
    </row>
    <row r="86" spans="3:3" x14ac:dyDescent="0.25">
      <c r="C86" t="s">
        <v>1058</v>
      </c>
    </row>
    <row r="87" spans="3:3" x14ac:dyDescent="0.25">
      <c r="C87" t="s">
        <v>1059</v>
      </c>
    </row>
    <row r="88" spans="3:3" x14ac:dyDescent="0.25">
      <c r="C88" t="s">
        <v>1060</v>
      </c>
    </row>
    <row r="89" spans="3:3" x14ac:dyDescent="0.25">
      <c r="C89" t="s">
        <v>1061</v>
      </c>
    </row>
    <row r="90" spans="3:3" x14ac:dyDescent="0.25">
      <c r="C90" t="s">
        <v>1062</v>
      </c>
    </row>
    <row r="91" spans="3:3" x14ac:dyDescent="0.25">
      <c r="C91" t="s">
        <v>1063</v>
      </c>
    </row>
    <row r="92" spans="3:3" x14ac:dyDescent="0.25">
      <c r="C92" t="s">
        <v>1064</v>
      </c>
    </row>
    <row r="93" spans="3:3" x14ac:dyDescent="0.25">
      <c r="C93" t="s">
        <v>1065</v>
      </c>
    </row>
    <row r="94" spans="3:3" x14ac:dyDescent="0.25">
      <c r="C94" t="s">
        <v>1066</v>
      </c>
    </row>
    <row r="95" spans="3:3" x14ac:dyDescent="0.25">
      <c r="C95" t="s">
        <v>1067</v>
      </c>
    </row>
    <row r="96" spans="3:3" x14ac:dyDescent="0.25">
      <c r="C96" t="s">
        <v>1068</v>
      </c>
    </row>
    <row r="97" spans="3:3" x14ac:dyDescent="0.25">
      <c r="C97" t="s">
        <v>1069</v>
      </c>
    </row>
    <row r="98" spans="3:3" x14ac:dyDescent="0.25">
      <c r="C98" t="s">
        <v>1070</v>
      </c>
    </row>
    <row r="99" spans="3:3" x14ac:dyDescent="0.25">
      <c r="C99" t="s">
        <v>1071</v>
      </c>
    </row>
    <row r="100" spans="3:3" x14ac:dyDescent="0.25">
      <c r="C100" t="s">
        <v>1072</v>
      </c>
    </row>
    <row r="101" spans="3:3" x14ac:dyDescent="0.25">
      <c r="C101" t="s">
        <v>1073</v>
      </c>
    </row>
    <row r="102" spans="3:3" x14ac:dyDescent="0.25">
      <c r="C102" t="s">
        <v>1074</v>
      </c>
    </row>
    <row r="103" spans="3:3" x14ac:dyDescent="0.25">
      <c r="C103" t="s">
        <v>1075</v>
      </c>
    </row>
    <row r="104" spans="3:3" x14ac:dyDescent="0.25">
      <c r="C104" t="s">
        <v>1076</v>
      </c>
    </row>
    <row r="105" spans="3:3" x14ac:dyDescent="0.25">
      <c r="C105" t="s">
        <v>1077</v>
      </c>
    </row>
    <row r="106" spans="3:3" x14ac:dyDescent="0.25">
      <c r="C106" t="s">
        <v>1078</v>
      </c>
    </row>
    <row r="107" spans="3:3" x14ac:dyDescent="0.25">
      <c r="C107" t="s">
        <v>1079</v>
      </c>
    </row>
    <row r="108" spans="3:3" x14ac:dyDescent="0.25">
      <c r="C108" t="s">
        <v>1080</v>
      </c>
    </row>
    <row r="109" spans="3:3" x14ac:dyDescent="0.25">
      <c r="C109" t="s">
        <v>1092</v>
      </c>
    </row>
    <row r="110" spans="3:3" x14ac:dyDescent="0.25">
      <c r="C110" t="s">
        <v>1081</v>
      </c>
    </row>
    <row r="111" spans="3:3" x14ac:dyDescent="0.25">
      <c r="C111" t="s">
        <v>1082</v>
      </c>
    </row>
    <row r="112" spans="3:3" x14ac:dyDescent="0.25">
      <c r="C112" t="s">
        <v>1083</v>
      </c>
    </row>
    <row r="113" spans="3:3" x14ac:dyDescent="0.25">
      <c r="C113" t="s">
        <v>1084</v>
      </c>
    </row>
    <row r="114" spans="3:3" x14ac:dyDescent="0.25">
      <c r="C114" t="s">
        <v>1085</v>
      </c>
    </row>
    <row r="115" spans="3:3" x14ac:dyDescent="0.25">
      <c r="C115" t="s">
        <v>1086</v>
      </c>
    </row>
    <row r="116" spans="3:3" x14ac:dyDescent="0.25">
      <c r="C116" t="s">
        <v>1087</v>
      </c>
    </row>
    <row r="117" spans="3:3" x14ac:dyDescent="0.25">
      <c r="C117" t="s">
        <v>1096</v>
      </c>
    </row>
    <row r="118" spans="3:3" x14ac:dyDescent="0.25">
      <c r="C118" t="s">
        <v>1088</v>
      </c>
    </row>
    <row r="119" spans="3:3" x14ac:dyDescent="0.25">
      <c r="C119" t="s">
        <v>1089</v>
      </c>
    </row>
    <row r="120" spans="3:3" x14ac:dyDescent="0.25">
      <c r="C120" t="s">
        <v>1090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2</vt:i4>
      </vt:variant>
      <vt:variant>
        <vt:lpstr>Named Ranges</vt:lpstr>
      </vt:variant>
      <vt:variant>
        <vt:i4>138</vt:i4>
      </vt:variant>
    </vt:vector>
  </HeadingPairs>
  <TitlesOfParts>
    <vt:vector size="154"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Chart1</vt:lpstr>
      <vt:lpstr>Chart2</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2018-06-15T21:24:59Z</cp:lastPrinted>
  <dcterms:created xsi:type="dcterms:W3CDTF">2017-09-29T17:34:34Z</dcterms:created>
  <dcterms:modified xsi:type="dcterms:W3CDTF">2018-10-12T16:01:18Z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