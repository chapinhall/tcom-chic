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chartsheets/sheet1.xml" ContentType="application/vnd.openxmlformats-officedocument.spreadsheetml.chartsheet+xml"/>
  <Override PartName="/xl/chartsheets/sheet2.xml" ContentType="application/vnd.openxmlformats-officedocument.spreadsheetml.chartsheet+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5.xml" ContentType="application/vnd.openxmlformats-officedocument.drawing+xml"/>
  <Override PartName="/xl/ctrlProps/ctrlProp25.xml" ContentType="application/vnd.ms-excel.controlproperties+xml"/>
  <Override PartName="/xl/drawings/drawing6.xml" ContentType="application/vnd.openxmlformats-officedocument.drawing+xml"/>
  <Override PartName="/xl/ctrlProps/ctrlProp26.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trlProps/ctrlProp27.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ctrlProps/ctrlProp28.xml" ContentType="application/vnd.ms-excel.controlproperti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10.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11.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GitHub\tcom-chic\LITE-r\WACA_Interface_Tutorial\"/>
    </mc:Choice>
  </mc:AlternateContent>
  <bookViews>
    <workbookView xWindow="0" yWindow="0" windowWidth="14370" windowHeight="4110" tabRatio="770" firstSheet="2" activeTab="2"/>
  </bookViews>
  <sheets>
    <sheet name="Chart1" sheetId="25" state="hidden" r:id="rId1"/>
    <sheet name="Chart2" sheetId="26" state="hidden" r:id="rId2"/>
    <sheet name="Face Sheet" sheetId="16" r:id="rId3"/>
    <sheet name="Assessments" sheetId="2" r:id="rId4"/>
    <sheet name="Export Long" sheetId="9" state="hidden" r:id="rId5"/>
    <sheet name="Export Data" sheetId="7" state="hidden" r:id="rId6"/>
    <sheet name="Data Tables" sheetId="5" state="hidden" r:id="rId7"/>
    <sheet name="Summary Sheet" sheetId="15" r:id="rId8"/>
    <sheet name="Report Data" sheetId="19" state="hidden" r:id="rId9"/>
    <sheet name="Family Reports" sheetId="20" r:id="rId10"/>
    <sheet name="Caregiver Reports" sheetId="21" r:id="rId11"/>
    <sheet name="Child Reports" sheetId="22" r:id="rId12"/>
    <sheet name="Plan for Change" sheetId="6" r:id="rId13"/>
    <sheet name="Additional Treatment Targets" sheetId="23" r:id="rId14"/>
    <sheet name="End of Intervention Report" sheetId="24" r:id="rId15"/>
    <sheet name="Meta" sheetId="3" state="hidden" r:id="rId16"/>
  </sheets>
  <functionGroups builtInGroupCount="18"/>
  <definedNames>
    <definedName name="_xlnm._FilterDatabase" localSheetId="15"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IActionNeeds">Assessments!$L:$L</definedName>
    <definedName name="IdentifiedNeeds" localSheetId="13">'Additional Treatment Targets'!$G$4:$G$5</definedName>
    <definedName name="IdentifiedNeeds">'Plan for Change'!$Q$4:$Q$5</definedName>
    <definedName name="IdentifiedStrengthsToBuild" localSheetId="13">'Additional Treatment Targets'!$I$4:$I$5</definedName>
    <definedName name="IdentifiedStrengthsToBuild">'Plan for Change'!$S$4:$S$5</definedName>
    <definedName name="IdentifiedUsefulStrengths" localSheetId="13">'Additional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3">'Additional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3">'Additional Treatment Targets'!$A$1:$F$10</definedName>
    <definedName name="_xlnm.Print_Area" localSheetId="3">Assessments!$A$1:$AR$210</definedName>
    <definedName name="_xlnm.Print_Area" localSheetId="14">'End of Intervention Report'!$A$1:$I$32</definedName>
    <definedName name="_xlnm.Print_Area" localSheetId="2">'Face Sheet'!$A$1:$F$30</definedName>
    <definedName name="_xlnm.Print_Area" localSheetId="12">'Plan for Change'!$C$1:$P$11</definedName>
    <definedName name="_xlnm.Print_Area" localSheetId="7">'Summary Sheet'!$A$1:$F$26</definedName>
    <definedName name="_xlnm.Print_Titles" localSheetId="3">Assessments!$13:$14</definedName>
    <definedName name="SB_Q">'Data Tables'!$T:$T</definedName>
    <definedName name="SB_Q_Ix">'Data Tables'!$Q:$Q</definedName>
    <definedName name="SBList">Assessments!$O:$O</definedName>
    <definedName name="serviceType">'Face Sheet'!$C$2</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Meta!$C$2:$C$121</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13" i="2" l="1"/>
  <c r="AJ13" i="2"/>
  <c r="AF13" i="2"/>
  <c r="D41" i="24"/>
  <c r="T15" i="3" l="1"/>
  <c r="U15" i="3" s="1"/>
  <c r="T14" i="3"/>
  <c r="U14" i="3" s="1"/>
  <c r="F951" i="5" s="1"/>
  <c r="T13" i="3"/>
  <c r="U13" i="3" s="1"/>
  <c r="F825" i="5" s="1"/>
  <c r="T12" i="3"/>
  <c r="U12" i="3" s="1"/>
  <c r="T11" i="3"/>
  <c r="U11" i="3" s="1"/>
  <c r="F720" i="5" s="1"/>
  <c r="F11" i="3"/>
  <c r="C3" i="15" s="1"/>
  <c r="T10" i="3"/>
  <c r="U10" i="3" s="1"/>
  <c r="F579" i="5" s="1"/>
  <c r="T9" i="3"/>
  <c r="U9" i="3" s="1"/>
  <c r="F559" i="5" s="1"/>
  <c r="T8" i="3"/>
  <c r="U8" i="3" s="1"/>
  <c r="F472" i="5" s="1"/>
  <c r="T7" i="3"/>
  <c r="U7" i="3" s="1"/>
  <c r="F398" i="5" s="1"/>
  <c r="T6" i="3"/>
  <c r="U6" i="3" s="1"/>
  <c r="F321" i="5" s="1"/>
  <c r="Q2" i="3"/>
  <c r="D49" i="24"/>
  <c r="D48" i="24"/>
  <c r="D47" i="24"/>
  <c r="D46" i="24"/>
  <c r="D45" i="24"/>
  <c r="D44" i="24"/>
  <c r="D43" i="24"/>
  <c r="D42"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c r="B3" i="23" a="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T107" i="19"/>
  <c r="S107" i="19"/>
  <c r="T106" i="19"/>
  <c r="S106" i="19"/>
  <c r="T105" i="19"/>
  <c r="S105" i="19"/>
  <c r="T104" i="19"/>
  <c r="S104" i="19"/>
  <c r="T103" i="19"/>
  <c r="S103" i="19"/>
  <c r="T102" i="19"/>
  <c r="S102" i="19"/>
  <c r="T101" i="19"/>
  <c r="S101" i="19"/>
  <c r="T100" i="19"/>
  <c r="S100" i="19"/>
  <c r="T99" i="19"/>
  <c r="S99" i="19"/>
  <c r="T98" i="19"/>
  <c r="S98" i="19"/>
  <c r="T97" i="19"/>
  <c r="S97" i="19"/>
  <c r="T96" i="19"/>
  <c r="S96" i="19"/>
  <c r="T95" i="19"/>
  <c r="S95" i="19"/>
  <c r="T94" i="19"/>
  <c r="S94" i="19"/>
  <c r="T93" i="19"/>
  <c r="X92" i="19"/>
  <c r="W92" i="19"/>
  <c r="V92" i="19"/>
  <c r="R91" i="19"/>
  <c r="T89" i="19"/>
  <c r="S89" i="19"/>
  <c r="T88" i="19"/>
  <c r="S88" i="19"/>
  <c r="T87" i="19"/>
  <c r="S87" i="19"/>
  <c r="T86" i="19"/>
  <c r="S86" i="19"/>
  <c r="T85" i="19"/>
  <c r="S85" i="19"/>
  <c r="T84" i="19"/>
  <c r="S84" i="19"/>
  <c r="T83" i="19"/>
  <c r="S83" i="19"/>
  <c r="T82" i="19"/>
  <c r="S82" i="19"/>
  <c r="T81" i="19"/>
  <c r="S81" i="19"/>
  <c r="T80" i="19"/>
  <c r="S80" i="19"/>
  <c r="T79" i="19"/>
  <c r="S79" i="19"/>
  <c r="T78" i="19"/>
  <c r="S78" i="19"/>
  <c r="T77" i="19"/>
  <c r="S77" i="19"/>
  <c r="T76" i="19"/>
  <c r="S76" i="19"/>
  <c r="T75" i="19"/>
  <c r="X74" i="19"/>
  <c r="W74" i="19"/>
  <c r="V74" i="19"/>
  <c r="R73" i="19"/>
  <c r="T71" i="19"/>
  <c r="S71" i="19"/>
  <c r="T70" i="19"/>
  <c r="S70" i="19"/>
  <c r="T69" i="19"/>
  <c r="S69" i="19"/>
  <c r="T68" i="19"/>
  <c r="S68" i="19"/>
  <c r="T67" i="19"/>
  <c r="S67" i="19"/>
  <c r="L67" i="19"/>
  <c r="K67" i="19"/>
  <c r="T66" i="19"/>
  <c r="S66" i="19"/>
  <c r="L66" i="19"/>
  <c r="K66" i="19"/>
  <c r="T65" i="19"/>
  <c r="S65" i="19"/>
  <c r="L65" i="19"/>
  <c r="K65" i="19"/>
  <c r="T64" i="19"/>
  <c r="S64" i="19"/>
  <c r="L64" i="19"/>
  <c r="K64" i="19"/>
  <c r="T63" i="19"/>
  <c r="S63" i="19"/>
  <c r="L63" i="19"/>
  <c r="K63" i="19"/>
  <c r="T62" i="19"/>
  <c r="S62" i="19"/>
  <c r="L62" i="19"/>
  <c r="K62" i="19"/>
  <c r="T61" i="19"/>
  <c r="S61" i="19"/>
  <c r="L61" i="19"/>
  <c r="K61" i="19"/>
  <c r="T60" i="19"/>
  <c r="S60" i="19"/>
  <c r="L60" i="19"/>
  <c r="K60" i="19"/>
  <c r="T59" i="19"/>
  <c r="S59" i="19"/>
  <c r="L59" i="19"/>
  <c r="K59" i="19"/>
  <c r="T58" i="19"/>
  <c r="S58" i="19"/>
  <c r="L58" i="19"/>
  <c r="K58" i="19"/>
  <c r="T57" i="19"/>
  <c r="L57" i="19"/>
  <c r="K57" i="19"/>
  <c r="X56" i="19"/>
  <c r="W56" i="19"/>
  <c r="V56" i="19"/>
  <c r="L56" i="19"/>
  <c r="K56" i="19"/>
  <c r="R55" i="19"/>
  <c r="L55" i="19"/>
  <c r="K55" i="19"/>
  <c r="L54" i="19"/>
  <c r="T53" i="19"/>
  <c r="S53" i="19"/>
  <c r="P53" i="19"/>
  <c r="O53" i="19"/>
  <c r="N53" i="19"/>
  <c r="T52" i="19"/>
  <c r="S52" i="19"/>
  <c r="J52" i="19"/>
  <c r="T51" i="19"/>
  <c r="S51" i="19"/>
  <c r="T50" i="19"/>
  <c r="S50" i="19"/>
  <c r="L50" i="19"/>
  <c r="K50" i="19"/>
  <c r="T49" i="19"/>
  <c r="S49" i="19"/>
  <c r="L49" i="19"/>
  <c r="K49" i="19"/>
  <c r="T48" i="19"/>
  <c r="S48" i="19"/>
  <c r="L48" i="19"/>
  <c r="K48" i="19"/>
  <c r="T47" i="19"/>
  <c r="S47" i="19"/>
  <c r="L47" i="19"/>
  <c r="K47" i="19"/>
  <c r="T46" i="19"/>
  <c r="S46" i="19"/>
  <c r="L46" i="19"/>
  <c r="K46" i="19"/>
  <c r="T45" i="19"/>
  <c r="S45" i="19"/>
  <c r="L45" i="19"/>
  <c r="K45" i="19"/>
  <c r="T44" i="19"/>
  <c r="S44" i="19"/>
  <c r="L44" i="19"/>
  <c r="K44" i="19"/>
  <c r="T43" i="19"/>
  <c r="S43" i="19"/>
  <c r="L43" i="19"/>
  <c r="K43" i="19"/>
  <c r="T42" i="19"/>
  <c r="S42" i="19"/>
  <c r="L42" i="19"/>
  <c r="K42" i="19"/>
  <c r="T41" i="19"/>
  <c r="S41" i="19"/>
  <c r="L41" i="19"/>
  <c r="K41" i="19"/>
  <c r="T40" i="19"/>
  <c r="S40" i="19"/>
  <c r="L40" i="19"/>
  <c r="K40" i="19"/>
  <c r="T39" i="19"/>
  <c r="L39" i="19"/>
  <c r="K39" i="19"/>
  <c r="X38" i="19"/>
  <c r="W38" i="19"/>
  <c r="V38" i="19"/>
  <c r="L38" i="19"/>
  <c r="K38" i="19"/>
  <c r="R37" i="19"/>
  <c r="L37" i="19"/>
  <c r="P36" i="19"/>
  <c r="O36" i="19"/>
  <c r="N36" i="19"/>
  <c r="T35" i="19"/>
  <c r="S35" i="19"/>
  <c r="J35" i="19"/>
  <c r="T34" i="19"/>
  <c r="S34" i="19"/>
  <c r="T33" i="19"/>
  <c r="S33" i="19"/>
  <c r="L33" i="19"/>
  <c r="K33" i="19"/>
  <c r="T32" i="19"/>
  <c r="S32" i="19"/>
  <c r="L32" i="19"/>
  <c r="K32" i="19"/>
  <c r="T31" i="19"/>
  <c r="S31" i="19"/>
  <c r="L31" i="19"/>
  <c r="K31" i="19"/>
  <c r="T30" i="19"/>
  <c r="S30" i="19"/>
  <c r="L30" i="19"/>
  <c r="K30" i="19"/>
  <c r="T29" i="19"/>
  <c r="S29" i="19"/>
  <c r="L29" i="19"/>
  <c r="K29" i="19"/>
  <c r="T28" i="19"/>
  <c r="S28" i="19"/>
  <c r="L28" i="19"/>
  <c r="K28" i="19"/>
  <c r="T27" i="19"/>
  <c r="S27" i="19"/>
  <c r="L27" i="19"/>
  <c r="K27" i="19"/>
  <c r="T26" i="19"/>
  <c r="S26" i="19"/>
  <c r="L26" i="19"/>
  <c r="K26" i="19"/>
  <c r="T25" i="19"/>
  <c r="S25" i="19"/>
  <c r="L25" i="19"/>
  <c r="K25" i="19"/>
  <c r="T24" i="19"/>
  <c r="S24" i="19"/>
  <c r="L24" i="19"/>
  <c r="K24" i="19"/>
  <c r="T23" i="19"/>
  <c r="S23" i="19"/>
  <c r="L23" i="19"/>
  <c r="K23" i="19"/>
  <c r="D23" i="19"/>
  <c r="C23" i="19"/>
  <c r="T22" i="19"/>
  <c r="S22" i="19"/>
  <c r="L22" i="19"/>
  <c r="K22" i="19"/>
  <c r="D22" i="19"/>
  <c r="C22" i="19"/>
  <c r="T21" i="19"/>
  <c r="L21" i="19"/>
  <c r="K21" i="19"/>
  <c r="D21" i="19"/>
  <c r="C21" i="19"/>
  <c r="X20" i="19"/>
  <c r="W20" i="19"/>
  <c r="V20" i="19"/>
  <c r="L20" i="19"/>
  <c r="D20" i="19"/>
  <c r="C20" i="19"/>
  <c r="R19" i="19"/>
  <c r="P19" i="19"/>
  <c r="O19" i="19"/>
  <c r="N19" i="19"/>
  <c r="D19" i="19"/>
  <c r="C19" i="19"/>
  <c r="J18" i="19"/>
  <c r="D18" i="19"/>
  <c r="C18" i="19"/>
  <c r="T17" i="19"/>
  <c r="S17" i="19"/>
  <c r="D17" i="19"/>
  <c r="C17" i="19"/>
  <c r="T16" i="19"/>
  <c r="S16" i="19"/>
  <c r="L16" i="19"/>
  <c r="K16" i="19"/>
  <c r="D16" i="19"/>
  <c r="T15" i="19"/>
  <c r="S15" i="19"/>
  <c r="L15" i="19"/>
  <c r="K15" i="19"/>
  <c r="H15" i="19"/>
  <c r="G15" i="19"/>
  <c r="F15" i="19"/>
  <c r="T14" i="19"/>
  <c r="S14" i="19"/>
  <c r="L14" i="19"/>
  <c r="K14" i="19"/>
  <c r="T13" i="19"/>
  <c r="S13" i="19"/>
  <c r="L13" i="19"/>
  <c r="K13" i="19"/>
  <c r="T12" i="19"/>
  <c r="S12" i="19"/>
  <c r="L12" i="19"/>
  <c r="K12" i="19"/>
  <c r="D12" i="19"/>
  <c r="C12" i="19"/>
  <c r="T11" i="19"/>
  <c r="S11" i="19"/>
  <c r="L11" i="19"/>
  <c r="K11" i="19"/>
  <c r="D11" i="19"/>
  <c r="C11" i="19"/>
  <c r="T10" i="19"/>
  <c r="S10" i="19"/>
  <c r="L10" i="19"/>
  <c r="K10" i="19"/>
  <c r="D10" i="19"/>
  <c r="C10" i="19"/>
  <c r="T9" i="19"/>
  <c r="S9" i="19"/>
  <c r="L9" i="19"/>
  <c r="K9" i="19"/>
  <c r="D9" i="19"/>
  <c r="C9" i="19"/>
  <c r="T8" i="19"/>
  <c r="S8" i="19"/>
  <c r="L8" i="19"/>
  <c r="K8" i="19"/>
  <c r="D8" i="19"/>
  <c r="C8" i="19"/>
  <c r="T7" i="19"/>
  <c r="S7" i="19"/>
  <c r="L7" i="19"/>
  <c r="K7" i="19"/>
  <c r="D7" i="19"/>
  <c r="C7" i="19"/>
  <c r="T6" i="19"/>
  <c r="S6" i="19"/>
  <c r="L6" i="19"/>
  <c r="K6" i="19"/>
  <c r="D6" i="19"/>
  <c r="C6" i="19"/>
  <c r="T5" i="19"/>
  <c r="S5" i="19"/>
  <c r="L5" i="19"/>
  <c r="K5" i="19"/>
  <c r="D5" i="19"/>
  <c r="C5" i="19"/>
  <c r="T4" i="19"/>
  <c r="S4" i="19"/>
  <c r="L4" i="19"/>
  <c r="K4" i="19"/>
  <c r="D4" i="19"/>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F1017" i="5"/>
  <c r="K1016" i="5"/>
  <c r="L1016" i="5" s="1"/>
  <c r="F1016" i="5"/>
  <c r="K1015" i="5"/>
  <c r="L1015" i="5" s="1"/>
  <c r="F1015" i="5"/>
  <c r="K1014" i="5"/>
  <c r="L1014" i="5" s="1"/>
  <c r="F1014" i="5"/>
  <c r="K1013" i="5"/>
  <c r="L1013" i="5" s="1"/>
  <c r="F1013" i="5"/>
  <c r="K1012" i="5"/>
  <c r="L1012" i="5" s="1"/>
  <c r="F1012" i="5"/>
  <c r="K1011" i="5"/>
  <c r="L1011" i="5" s="1"/>
  <c r="F1011" i="5"/>
  <c r="K1010" i="5"/>
  <c r="L1010" i="5" s="1"/>
  <c r="F1010" i="5"/>
  <c r="K1009" i="5"/>
  <c r="L1009" i="5" s="1"/>
  <c r="F1009" i="5"/>
  <c r="K1008" i="5"/>
  <c r="L1008" i="5" s="1"/>
  <c r="F1008" i="5"/>
  <c r="K1007" i="5"/>
  <c r="L1007" i="5" s="1"/>
  <c r="F1007" i="5"/>
  <c r="K1006" i="5"/>
  <c r="L1006" i="5" s="1"/>
  <c r="F1006" i="5"/>
  <c r="K1005" i="5"/>
  <c r="L1005" i="5" s="1"/>
  <c r="F1005" i="5"/>
  <c r="K1004" i="5"/>
  <c r="L1004" i="5" s="1"/>
  <c r="F1004" i="5"/>
  <c r="K1003" i="5"/>
  <c r="L1003" i="5" s="1"/>
  <c r="F1003" i="5"/>
  <c r="K1002" i="5"/>
  <c r="L1002" i="5" s="1"/>
  <c r="F1002" i="5"/>
  <c r="K1001" i="5"/>
  <c r="L1001" i="5" s="1"/>
  <c r="F1001" i="5"/>
  <c r="K1000" i="5"/>
  <c r="L1000" i="5" s="1"/>
  <c r="F1000" i="5"/>
  <c r="K999" i="5"/>
  <c r="L999" i="5" s="1"/>
  <c r="F999" i="5"/>
  <c r="K998" i="5"/>
  <c r="L998" i="5" s="1"/>
  <c r="F998" i="5"/>
  <c r="K997" i="5"/>
  <c r="L997" i="5" s="1"/>
  <c r="F997" i="5"/>
  <c r="K996" i="5"/>
  <c r="L996" i="5" s="1"/>
  <c r="F996" i="5"/>
  <c r="K995" i="5"/>
  <c r="L995" i="5" s="1"/>
  <c r="F995" i="5"/>
  <c r="K994" i="5"/>
  <c r="L994" i="5" s="1"/>
  <c r="F994" i="5"/>
  <c r="K993" i="5"/>
  <c r="L993" i="5" s="1"/>
  <c r="F993" i="5"/>
  <c r="K992" i="5"/>
  <c r="L992" i="5" s="1"/>
  <c r="F992" i="5"/>
  <c r="K991" i="5"/>
  <c r="L991" i="5" s="1"/>
  <c r="F991" i="5"/>
  <c r="K990" i="5"/>
  <c r="L990" i="5" s="1"/>
  <c r="F990" i="5"/>
  <c r="K989" i="5"/>
  <c r="L989" i="5" s="1"/>
  <c r="F989" i="5"/>
  <c r="K988" i="5"/>
  <c r="L988" i="5" s="1"/>
  <c r="F988" i="5"/>
  <c r="K987" i="5"/>
  <c r="L987" i="5" s="1"/>
  <c r="F987" i="5"/>
  <c r="K986" i="5"/>
  <c r="L986" i="5" s="1"/>
  <c r="F986" i="5"/>
  <c r="K985" i="5"/>
  <c r="L985" i="5" s="1"/>
  <c r="F985" i="5"/>
  <c r="K984" i="5"/>
  <c r="L984" i="5" s="1"/>
  <c r="F984" i="5"/>
  <c r="K983" i="5"/>
  <c r="L983" i="5" s="1"/>
  <c r="K982" i="5"/>
  <c r="L982" i="5" s="1"/>
  <c r="K981" i="5"/>
  <c r="L981" i="5" s="1"/>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K721" i="5"/>
  <c r="L721" i="5" s="1"/>
  <c r="K720" i="5"/>
  <c r="L720" i="5" s="1"/>
  <c r="K719" i="5"/>
  <c r="L719" i="5" s="1"/>
  <c r="K718" i="5"/>
  <c r="L718" i="5" s="1"/>
  <c r="F718" i="5"/>
  <c r="K717" i="5"/>
  <c r="L717" i="5" s="1"/>
  <c r="K716" i="5"/>
  <c r="L716" i="5" s="1"/>
  <c r="K715" i="5"/>
  <c r="L715" i="5" s="1"/>
  <c r="K714" i="5"/>
  <c r="L714" i="5" s="1"/>
  <c r="F714" i="5"/>
  <c r="K713" i="5"/>
  <c r="L713" i="5" s="1"/>
  <c r="F713" i="5"/>
  <c r="K712" i="5"/>
  <c r="L712" i="5" s="1"/>
  <c r="K711" i="5"/>
  <c r="L711" i="5" s="1"/>
  <c r="K710" i="5"/>
  <c r="L710" i="5" s="1"/>
  <c r="K709" i="5"/>
  <c r="L709" i="5" s="1"/>
  <c r="K708" i="5"/>
  <c r="L708" i="5" s="1"/>
  <c r="K707" i="5"/>
  <c r="L707" i="5" s="1"/>
  <c r="K706" i="5"/>
  <c r="L706" i="5" s="1"/>
  <c r="K705" i="5"/>
  <c r="L705" i="5" s="1"/>
  <c r="K704" i="5"/>
  <c r="L704" i="5" s="1"/>
  <c r="K703" i="5"/>
  <c r="L703" i="5" s="1"/>
  <c r="K702" i="5"/>
  <c r="L702" i="5" s="1"/>
  <c r="K701" i="5"/>
  <c r="L701" i="5" s="1"/>
  <c r="K700" i="5"/>
  <c r="L700" i="5" s="1"/>
  <c r="K699" i="5"/>
  <c r="L699" i="5" s="1"/>
  <c r="K698" i="5"/>
  <c r="L698" i="5" s="1"/>
  <c r="F698" i="5"/>
  <c r="K697" i="5"/>
  <c r="L697" i="5" s="1"/>
  <c r="F697" i="5"/>
  <c r="K696" i="5"/>
  <c r="L696" i="5" s="1"/>
  <c r="K695" i="5"/>
  <c r="L695" i="5" s="1"/>
  <c r="K694" i="5"/>
  <c r="L694" i="5" s="1"/>
  <c r="K693" i="5"/>
  <c r="L693" i="5" s="1"/>
  <c r="F693" i="5"/>
  <c r="K692" i="5"/>
  <c r="L692" i="5" s="1"/>
  <c r="K691" i="5"/>
  <c r="L691" i="5" s="1"/>
  <c r="K690" i="5"/>
  <c r="L690" i="5" s="1"/>
  <c r="K689" i="5"/>
  <c r="L689" i="5" s="1"/>
  <c r="K688" i="5"/>
  <c r="L688" i="5" s="1"/>
  <c r="K687" i="5"/>
  <c r="L687" i="5" s="1"/>
  <c r="K686" i="5"/>
  <c r="L686" i="5" s="1"/>
  <c r="F686" i="5"/>
  <c r="K685" i="5"/>
  <c r="L685" i="5" s="1"/>
  <c r="K684" i="5"/>
  <c r="L684" i="5" s="1"/>
  <c r="K683" i="5"/>
  <c r="L683" i="5" s="1"/>
  <c r="K682" i="5"/>
  <c r="L682" i="5" s="1"/>
  <c r="F682" i="5"/>
  <c r="K681" i="5"/>
  <c r="L681" i="5" s="1"/>
  <c r="F681" i="5"/>
  <c r="K680" i="5"/>
  <c r="L680" i="5" s="1"/>
  <c r="K679" i="5"/>
  <c r="L679" i="5" s="1"/>
  <c r="K678" i="5"/>
  <c r="L678" i="5" s="1"/>
  <c r="K677" i="5"/>
  <c r="L677" i="5" s="1"/>
  <c r="K676" i="5"/>
  <c r="L676" i="5" s="1"/>
  <c r="K675" i="5"/>
  <c r="L675" i="5" s="1"/>
  <c r="K674" i="5"/>
  <c r="L674" i="5" s="1"/>
  <c r="K673" i="5"/>
  <c r="L673" i="5" s="1"/>
  <c r="K672" i="5"/>
  <c r="L672" i="5" s="1"/>
  <c r="K671" i="5"/>
  <c r="L671" i="5" s="1"/>
  <c r="K670" i="5"/>
  <c r="L670" i="5" s="1"/>
  <c r="K669" i="5"/>
  <c r="L669" i="5" s="1"/>
  <c r="K668" i="5"/>
  <c r="L668" i="5" s="1"/>
  <c r="K667" i="5"/>
  <c r="L667" i="5" s="1"/>
  <c r="K666" i="5"/>
  <c r="L666" i="5" s="1"/>
  <c r="F666" i="5"/>
  <c r="K665" i="5"/>
  <c r="L665" i="5" s="1"/>
  <c r="F665" i="5"/>
  <c r="K664" i="5"/>
  <c r="L664" i="5" s="1"/>
  <c r="K663" i="5"/>
  <c r="L663" i="5" s="1"/>
  <c r="K662" i="5"/>
  <c r="L662" i="5" s="1"/>
  <c r="K661" i="5"/>
  <c r="L661" i="5" s="1"/>
  <c r="F661" i="5"/>
  <c r="K660" i="5"/>
  <c r="L660" i="5" s="1"/>
  <c r="K659" i="5"/>
  <c r="L659" i="5" s="1"/>
  <c r="K658" i="5"/>
  <c r="L658" i="5" s="1"/>
  <c r="K657" i="5"/>
  <c r="L657" i="5" s="1"/>
  <c r="K656" i="5"/>
  <c r="L656" i="5" s="1"/>
  <c r="K655" i="5"/>
  <c r="L655" i="5" s="1"/>
  <c r="K654" i="5"/>
  <c r="L654" i="5" s="1"/>
  <c r="F654" i="5"/>
  <c r="K653" i="5"/>
  <c r="L653" i="5" s="1"/>
  <c r="K652" i="5"/>
  <c r="L652" i="5" s="1"/>
  <c r="K651" i="5"/>
  <c r="L651" i="5" s="1"/>
  <c r="K650" i="5"/>
  <c r="L650" i="5" s="1"/>
  <c r="F650" i="5"/>
  <c r="K649" i="5"/>
  <c r="L649" i="5" s="1"/>
  <c r="F649" i="5"/>
  <c r="K648" i="5"/>
  <c r="L648" i="5" s="1"/>
  <c r="K647" i="5"/>
  <c r="L647" i="5" s="1"/>
  <c r="K646" i="5"/>
  <c r="L646" i="5" s="1"/>
  <c r="K645" i="5"/>
  <c r="L645" i="5" s="1"/>
  <c r="F645" i="5"/>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K468" i="5"/>
  <c r="L468" i="5" s="1"/>
  <c r="K467" i="5"/>
  <c r="L467" i="5" s="1"/>
  <c r="K466" i="5"/>
  <c r="L466" i="5" s="1"/>
  <c r="K465" i="5"/>
  <c r="L465" i="5" s="1"/>
  <c r="K464" i="5"/>
  <c r="L464" i="5" s="1"/>
  <c r="K463" i="5"/>
  <c r="L463" i="5" s="1"/>
  <c r="K462" i="5"/>
  <c r="L462" i="5" s="1"/>
  <c r="K461" i="5"/>
  <c r="L461" i="5" s="1"/>
  <c r="K460" i="5"/>
  <c r="L460" i="5" s="1"/>
  <c r="K459" i="5"/>
  <c r="L459" i="5" s="1"/>
  <c r="K458" i="5"/>
  <c r="L458" i="5" s="1"/>
  <c r="K457" i="5"/>
  <c r="L457" i="5" s="1"/>
  <c r="K456" i="5"/>
  <c r="L456" i="5" s="1"/>
  <c r="F456" i="5"/>
  <c r="K455" i="5"/>
  <c r="L455" i="5" s="1"/>
  <c r="K454" i="5"/>
  <c r="L454" i="5" s="1"/>
  <c r="K453" i="5"/>
  <c r="L453" i="5" s="1"/>
  <c r="K452" i="5"/>
  <c r="L452" i="5" s="1"/>
  <c r="K451" i="5"/>
  <c r="L451" i="5" s="1"/>
  <c r="K450" i="5"/>
  <c r="L450" i="5" s="1"/>
  <c r="K449" i="5"/>
  <c r="L449" i="5" s="1"/>
  <c r="K448" i="5"/>
  <c r="L448" i="5" s="1"/>
  <c r="K447" i="5"/>
  <c r="L447" i="5" s="1"/>
  <c r="K446" i="5"/>
  <c r="L446" i="5" s="1"/>
  <c r="K445" i="5"/>
  <c r="L445" i="5" s="1"/>
  <c r="K444" i="5"/>
  <c r="L444" i="5" s="1"/>
  <c r="K443" i="5"/>
  <c r="L443" i="5" s="1"/>
  <c r="K442" i="5"/>
  <c r="L442" i="5" s="1"/>
  <c r="K441" i="5"/>
  <c r="L441" i="5" s="1"/>
  <c r="K440" i="5"/>
  <c r="L440" i="5" s="1"/>
  <c r="K439" i="5"/>
  <c r="L439" i="5" s="1"/>
  <c r="K438" i="5"/>
  <c r="L438" i="5" s="1"/>
  <c r="K437" i="5"/>
  <c r="L437" i="5" s="1"/>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K424" i="5"/>
  <c r="L424" i="5" s="1"/>
  <c r="K423" i="5"/>
  <c r="L423" i="5" s="1"/>
  <c r="K422" i="5"/>
  <c r="L422" i="5" s="1"/>
  <c r="K421" i="5"/>
  <c r="L421" i="5" s="1"/>
  <c r="K420" i="5"/>
  <c r="L420" i="5" s="1"/>
  <c r="K419" i="5"/>
  <c r="L419" i="5" s="1"/>
  <c r="K418" i="5"/>
  <c r="L418" i="5" s="1"/>
  <c r="K417" i="5"/>
  <c r="L417" i="5" s="1"/>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H4" i="5" s="1"/>
  <c r="BL3" i="5"/>
  <c r="AY3" i="5"/>
  <c r="AL3" i="5"/>
  <c r="G10" i="9"/>
  <c r="D10" i="9"/>
  <c r="K9" i="9"/>
  <c r="J9" i="9"/>
  <c r="I9" i="9"/>
  <c r="K8" i="9"/>
  <c r="J8" i="9"/>
  <c r="I8" i="9"/>
  <c r="K7" i="9"/>
  <c r="J7" i="9"/>
  <c r="I7" i="9"/>
  <c r="K6" i="9"/>
  <c r="J6" i="9"/>
  <c r="I6" i="9"/>
  <c r="K5" i="9"/>
  <c r="J5" i="9"/>
  <c r="I5" i="9"/>
  <c r="K4" i="9"/>
  <c r="J4" i="9"/>
  <c r="I4" i="9"/>
  <c r="K3" i="9"/>
  <c r="J3" i="9"/>
  <c r="I3" i="9"/>
  <c r="K2" i="9"/>
  <c r="J2" i="9"/>
  <c r="I2" i="9"/>
  <c r="K1" i="9"/>
  <c r="J1" i="9"/>
  <c r="J192" i="2"/>
  <c r="G192" i="2"/>
  <c r="G193" i="2" s="1"/>
  <c r="G195" i="2" s="1"/>
  <c r="G196" i="2" s="1"/>
  <c r="G197" i="2" s="1"/>
  <c r="G198" i="2" s="1"/>
  <c r="G199" i="2" s="1"/>
  <c r="G200" i="2" s="1"/>
  <c r="G201" i="2" s="1"/>
  <c r="G202" i="2" s="1"/>
  <c r="G203" i="2" s="1"/>
  <c r="G204" i="2" s="1"/>
  <c r="G205" i="2" s="1"/>
  <c r="G206" i="2" s="1"/>
  <c r="G207" i="2" s="1"/>
  <c r="G208" i="2" s="1"/>
  <c r="G209" i="2" s="1"/>
  <c r="J174" i="2"/>
  <c r="G174" i="2"/>
  <c r="G175" i="2" s="1"/>
  <c r="G177" i="2" s="1"/>
  <c r="G178" i="2" s="1"/>
  <c r="G179" i="2" s="1"/>
  <c r="G180" i="2" s="1"/>
  <c r="G181" i="2" s="1"/>
  <c r="G182" i="2" s="1"/>
  <c r="G183" i="2" s="1"/>
  <c r="G184" i="2" s="1"/>
  <c r="G185" i="2" s="1"/>
  <c r="G186" i="2" s="1"/>
  <c r="G187" i="2" s="1"/>
  <c r="G188" i="2" s="1"/>
  <c r="G189" i="2" s="1"/>
  <c r="G190" i="2" s="1"/>
  <c r="G191" i="2" s="1"/>
  <c r="J156" i="2"/>
  <c r="G156" i="2"/>
  <c r="G157" i="2" s="1"/>
  <c r="G159" i="2" s="1"/>
  <c r="G160" i="2" s="1"/>
  <c r="G161" i="2" s="1"/>
  <c r="G162" i="2" s="1"/>
  <c r="G163" i="2" s="1"/>
  <c r="G164" i="2" s="1"/>
  <c r="G165" i="2" s="1"/>
  <c r="G166" i="2" s="1"/>
  <c r="G167" i="2" s="1"/>
  <c r="G168" i="2" s="1"/>
  <c r="G169" i="2" s="1"/>
  <c r="G170" i="2" s="1"/>
  <c r="G171" i="2" s="1"/>
  <c r="G172" i="2" s="1"/>
  <c r="G173" i="2" s="1"/>
  <c r="J138" i="2"/>
  <c r="G138" i="2"/>
  <c r="G139" i="2" s="1"/>
  <c r="G141" i="2" s="1"/>
  <c r="G142" i="2" s="1"/>
  <c r="G143" i="2" s="1"/>
  <c r="G144" i="2" s="1"/>
  <c r="G145" i="2" s="1"/>
  <c r="G146" i="2" s="1"/>
  <c r="G147" i="2" s="1"/>
  <c r="G148" i="2" s="1"/>
  <c r="G149" i="2" s="1"/>
  <c r="G150" i="2" s="1"/>
  <c r="G151" i="2" s="1"/>
  <c r="G152" i="2" s="1"/>
  <c r="G153" i="2" s="1"/>
  <c r="G154" i="2" s="1"/>
  <c r="G155" i="2" s="1"/>
  <c r="J120" i="2"/>
  <c r="J121" i="2" s="1"/>
  <c r="G120" i="2"/>
  <c r="G121" i="2" s="1"/>
  <c r="G123" i="2" s="1"/>
  <c r="G124" i="2" s="1"/>
  <c r="G125" i="2" s="1"/>
  <c r="G126" i="2" s="1"/>
  <c r="G127" i="2" s="1"/>
  <c r="G128" i="2" s="1"/>
  <c r="G129" i="2" s="1"/>
  <c r="G130" i="2" s="1"/>
  <c r="G131" i="2" s="1"/>
  <c r="G132" i="2" s="1"/>
  <c r="G133" i="2" s="1"/>
  <c r="G134" i="2" s="1"/>
  <c r="G135" i="2" s="1"/>
  <c r="G136" i="2" s="1"/>
  <c r="G137" i="2" s="1"/>
  <c r="J102" i="2"/>
  <c r="J103" i="2" s="1"/>
  <c r="J104" i="2" s="1"/>
  <c r="G102" i="2"/>
  <c r="G103" i="2" s="1"/>
  <c r="G105" i="2" s="1"/>
  <c r="G106" i="2" s="1"/>
  <c r="G107" i="2" s="1"/>
  <c r="G108" i="2" s="1"/>
  <c r="G109" i="2" s="1"/>
  <c r="G110" i="2" s="1"/>
  <c r="G111" i="2" s="1"/>
  <c r="G112" i="2" s="1"/>
  <c r="G113" i="2" s="1"/>
  <c r="G114" i="2" s="1"/>
  <c r="G115" i="2" s="1"/>
  <c r="G116" i="2" s="1"/>
  <c r="G117" i="2" s="1"/>
  <c r="G118" i="2" s="1"/>
  <c r="G119" i="2" s="1"/>
  <c r="J86" i="2"/>
  <c r="J87" i="2" s="1"/>
  <c r="G86" i="2"/>
  <c r="J70" i="2"/>
  <c r="J71" i="2" s="1"/>
  <c r="I71" i="2" s="1"/>
  <c r="G70" i="2"/>
  <c r="J54" i="2"/>
  <c r="I54" i="2" s="1"/>
  <c r="H54" i="2" s="1"/>
  <c r="G54" i="2"/>
  <c r="AA39" i="2"/>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AA38" i="2"/>
  <c r="J38" i="2"/>
  <c r="I38" i="2" s="1"/>
  <c r="H38" i="2" s="1"/>
  <c r="G38" i="2"/>
  <c r="AA37" i="2"/>
  <c r="AA36" i="2"/>
  <c r="AA35" i="2"/>
  <c r="AA34" i="2"/>
  <c r="AA33" i="2"/>
  <c r="AA32" i="2"/>
  <c r="AA31" i="2"/>
  <c r="AA30" i="2"/>
  <c r="AA29" i="2"/>
  <c r="J29" i="2"/>
  <c r="J30" i="2" s="1"/>
  <c r="G29" i="2"/>
  <c r="AA28" i="2"/>
  <c r="AA27" i="2"/>
  <c r="AA26" i="2"/>
  <c r="AA25" i="2"/>
  <c r="AA24" i="2"/>
  <c r="AA23" i="2"/>
  <c r="AA22" i="2"/>
  <c r="AA21" i="2"/>
  <c r="AA20" i="2"/>
  <c r="S20" i="2"/>
  <c r="Q20" i="2"/>
  <c r="P20" i="2"/>
  <c r="AA19" i="2"/>
  <c r="J18" i="2"/>
  <c r="J19" i="2" s="1"/>
  <c r="I19" i="2" s="1"/>
  <c r="G18" i="2"/>
  <c r="G19" i="2" s="1"/>
  <c r="AR15" i="2"/>
  <c r="AQ15" i="2"/>
  <c r="AP15" i="2"/>
  <c r="AN15" i="2"/>
  <c r="T5" i="3" s="1"/>
  <c r="U5" i="3" s="1"/>
  <c r="F238" i="5" s="1"/>
  <c r="AM15" i="2"/>
  <c r="AL15" i="2"/>
  <c r="AJ15" i="2"/>
  <c r="T4" i="3" s="1"/>
  <c r="U4" i="3" s="1"/>
  <c r="AI15" i="2"/>
  <c r="AH15" i="2"/>
  <c r="AF15" i="2"/>
  <c r="M11" i="2"/>
  <c r="S5" i="2"/>
  <c r="RL10" i="7" s="1"/>
  <c r="H17" i="16"/>
  <c r="H15" i="16"/>
  <c r="K17" i="2"/>
  <c r="E42" i="24"/>
  <c r="E44" i="24"/>
  <c r="E41" i="24"/>
  <c r="C47" i="24"/>
  <c r="E48" i="24"/>
  <c r="C43" i="24"/>
  <c r="C41" i="24"/>
  <c r="C42" i="24"/>
  <c r="E47" i="24"/>
  <c r="C45" i="24"/>
  <c r="C48" i="24"/>
  <c r="C46" i="24"/>
  <c r="E46" i="24"/>
  <c r="C44" i="24"/>
  <c r="E43" i="24"/>
  <c r="E45" i="24"/>
  <c r="E49" i="24"/>
  <c r="C49" i="24"/>
  <c r="F563" i="5" l="1"/>
  <c r="F670" i="5"/>
  <c r="F677" i="5"/>
  <c r="F702" i="5"/>
  <c r="F709" i="5"/>
  <c r="F494" i="5"/>
  <c r="F646" i="5"/>
  <c r="F657" i="5"/>
  <c r="F662" i="5"/>
  <c r="F673" i="5"/>
  <c r="F678" i="5"/>
  <c r="F689" i="5"/>
  <c r="F694" i="5"/>
  <c r="F705" i="5"/>
  <c r="F710" i="5"/>
  <c r="F721" i="5"/>
  <c r="F530" i="5"/>
  <c r="F653" i="5"/>
  <c r="F658" i="5"/>
  <c r="F669" i="5"/>
  <c r="F674" i="5"/>
  <c r="F685" i="5"/>
  <c r="F690" i="5"/>
  <c r="F701" i="5"/>
  <c r="F706" i="5"/>
  <c r="F717" i="5"/>
  <c r="F722" i="5"/>
  <c r="F514" i="5"/>
  <c r="F506" i="5"/>
  <c r="F538" i="5"/>
  <c r="F522" i="5"/>
  <c r="F547" i="5"/>
  <c r="F486" i="5"/>
  <c r="F510" i="5"/>
  <c r="F526" i="5"/>
  <c r="F502" i="5"/>
  <c r="F518" i="5"/>
  <c r="F534" i="5"/>
  <c r="F555" i="5"/>
  <c r="F488" i="5"/>
  <c r="F504" i="5"/>
  <c r="F512" i="5"/>
  <c r="F520" i="5"/>
  <c r="F528" i="5"/>
  <c r="F536" i="5"/>
  <c r="F545" i="5"/>
  <c r="F561" i="5"/>
  <c r="F496" i="5"/>
  <c r="F508" i="5"/>
  <c r="F516" i="5"/>
  <c r="F524" i="5"/>
  <c r="F532" i="5"/>
  <c r="F540" i="5"/>
  <c r="F553" i="5"/>
  <c r="AA105" i="2"/>
  <c r="AA106" i="2" s="1"/>
  <c r="AA107" i="2" s="1"/>
  <c r="AA108" i="2" s="1"/>
  <c r="AA109" i="2" s="1"/>
  <c r="AA110" i="2" s="1"/>
  <c r="AA111" i="2" s="1"/>
  <c r="AA112" i="2" s="1"/>
  <c r="AA113" i="2" s="1"/>
  <c r="AA114" i="2" s="1"/>
  <c r="AA115" i="2" s="1"/>
  <c r="AA116" i="2" s="1"/>
  <c r="AA117" i="2" s="1"/>
  <c r="AA118" i="2" s="1"/>
  <c r="AA119" i="2" s="1"/>
  <c r="AA120" i="2" s="1"/>
  <c r="AA121" i="2" s="1"/>
  <c r="AA104" i="2"/>
  <c r="G4" i="7"/>
  <c r="F885" i="5"/>
  <c r="F887" i="5"/>
  <c r="F448" i="5"/>
  <c r="F246" i="5"/>
  <c r="F278" i="5"/>
  <c r="F340" i="5"/>
  <c r="F310" i="5"/>
  <c r="F647" i="5"/>
  <c r="F651" i="5"/>
  <c r="F655" i="5"/>
  <c r="F659" i="5"/>
  <c r="F663" i="5"/>
  <c r="F667" i="5"/>
  <c r="F671" i="5"/>
  <c r="F675" i="5"/>
  <c r="F679" i="5"/>
  <c r="F683" i="5"/>
  <c r="F687" i="5"/>
  <c r="F691" i="5"/>
  <c r="F695" i="5"/>
  <c r="F699" i="5"/>
  <c r="F703" i="5"/>
  <c r="F707" i="5"/>
  <c r="F711" i="5"/>
  <c r="F715" i="5"/>
  <c r="F719" i="5"/>
  <c r="F723" i="5"/>
  <c r="F644" i="5"/>
  <c r="F648" i="5"/>
  <c r="F652" i="5"/>
  <c r="F656" i="5"/>
  <c r="F660" i="5"/>
  <c r="F664" i="5"/>
  <c r="F668" i="5"/>
  <c r="F672" i="5"/>
  <c r="F676" i="5"/>
  <c r="F680" i="5"/>
  <c r="F684" i="5"/>
  <c r="F688" i="5"/>
  <c r="F692" i="5"/>
  <c r="F696" i="5"/>
  <c r="F700" i="5"/>
  <c r="F704" i="5"/>
  <c r="F708" i="5"/>
  <c r="F712" i="5"/>
  <c r="F716" i="5"/>
  <c r="F286" i="5"/>
  <c r="F262" i="5"/>
  <c r="F593" i="5"/>
  <c r="F254" i="5"/>
  <c r="F318" i="5"/>
  <c r="F294" i="5"/>
  <c r="F270" i="5"/>
  <c r="F302" i="5"/>
  <c r="F252" i="5"/>
  <c r="F268" i="5"/>
  <c r="F284" i="5"/>
  <c r="F300" i="5"/>
  <c r="F316" i="5"/>
  <c r="F250" i="5"/>
  <c r="F258" i="5"/>
  <c r="F266" i="5"/>
  <c r="F274" i="5"/>
  <c r="F282" i="5"/>
  <c r="F290" i="5"/>
  <c r="F298" i="5"/>
  <c r="F306" i="5"/>
  <c r="F314" i="5"/>
  <c r="F322" i="5"/>
  <c r="F372" i="5"/>
  <c r="F571" i="5"/>
  <c r="F857" i="5"/>
  <c r="F244" i="5"/>
  <c r="F260" i="5"/>
  <c r="F276" i="5"/>
  <c r="F292" i="5"/>
  <c r="F308" i="5"/>
  <c r="F248" i="5"/>
  <c r="F256" i="5"/>
  <c r="F264" i="5"/>
  <c r="F272" i="5"/>
  <c r="F280" i="5"/>
  <c r="F288" i="5"/>
  <c r="F296" i="5"/>
  <c r="F304" i="5"/>
  <c r="F312" i="5"/>
  <c r="F320" i="5"/>
  <c r="F245" i="5"/>
  <c r="F247" i="5"/>
  <c r="F251" i="5"/>
  <c r="F255" i="5"/>
  <c r="F259" i="5"/>
  <c r="F263" i="5"/>
  <c r="F267" i="5"/>
  <c r="F271" i="5"/>
  <c r="F273" i="5"/>
  <c r="F277" i="5"/>
  <c r="F281" i="5"/>
  <c r="F285" i="5"/>
  <c r="F289" i="5"/>
  <c r="F293" i="5"/>
  <c r="F297" i="5"/>
  <c r="F299" i="5"/>
  <c r="F303" i="5"/>
  <c r="F307" i="5"/>
  <c r="F311" i="5"/>
  <c r="F315" i="5"/>
  <c r="F319" i="5"/>
  <c r="F323" i="5"/>
  <c r="F873" i="5"/>
  <c r="F249" i="5"/>
  <c r="F253" i="5"/>
  <c r="F257" i="5"/>
  <c r="F261" i="5"/>
  <c r="F265" i="5"/>
  <c r="F269" i="5"/>
  <c r="F275" i="5"/>
  <c r="F279" i="5"/>
  <c r="F283" i="5"/>
  <c r="F287" i="5"/>
  <c r="F291" i="5"/>
  <c r="F295" i="5"/>
  <c r="F301" i="5"/>
  <c r="F305" i="5"/>
  <c r="F309" i="5"/>
  <c r="F313" i="5"/>
  <c r="F317" i="5"/>
  <c r="F324" i="5"/>
  <c r="F356" i="5"/>
  <c r="F388" i="5"/>
  <c r="F464" i="5"/>
  <c r="F605" i="5"/>
  <c r="F348" i="5"/>
  <c r="F380" i="5"/>
  <c r="F332" i="5"/>
  <c r="F364" i="5"/>
  <c r="F396" i="5"/>
  <c r="F480" i="5"/>
  <c r="F599" i="5"/>
  <c r="F625" i="5"/>
  <c r="F330" i="5"/>
  <c r="F346" i="5"/>
  <c r="F362" i="5"/>
  <c r="F338" i="5"/>
  <c r="F354" i="5"/>
  <c r="F336" i="5"/>
  <c r="F368" i="5"/>
  <c r="F376" i="5"/>
  <c r="F400" i="5"/>
  <c r="F809" i="5"/>
  <c r="F370" i="5"/>
  <c r="F378" i="5"/>
  <c r="F386" i="5"/>
  <c r="F394" i="5"/>
  <c r="F402" i="5"/>
  <c r="F328" i="5"/>
  <c r="F344" i="5"/>
  <c r="F352" i="5"/>
  <c r="F360" i="5"/>
  <c r="F384" i="5"/>
  <c r="F392" i="5"/>
  <c r="F326" i="5"/>
  <c r="F334" i="5"/>
  <c r="F342" i="5"/>
  <c r="F350" i="5"/>
  <c r="F358" i="5"/>
  <c r="F366" i="5"/>
  <c r="F374" i="5"/>
  <c r="F382" i="5"/>
  <c r="F390" i="5"/>
  <c r="F124" i="5"/>
  <c r="F156" i="5"/>
  <c r="F130" i="5"/>
  <c r="F104" i="5"/>
  <c r="F98" i="5"/>
  <c r="F90" i="5"/>
  <c r="F476" i="5"/>
  <c r="F468" i="5"/>
  <c r="F460" i="5"/>
  <c r="F452" i="5"/>
  <c r="F444" i="5"/>
  <c r="F470" i="5"/>
  <c r="F441" i="5"/>
  <c r="F437" i="5"/>
  <c r="F433" i="5"/>
  <c r="F429" i="5"/>
  <c r="F425" i="5"/>
  <c r="F421" i="5"/>
  <c r="F417" i="5"/>
  <c r="F413" i="5"/>
  <c r="F409" i="5"/>
  <c r="F405" i="5"/>
  <c r="F482" i="5"/>
  <c r="F474" i="5"/>
  <c r="F466" i="5"/>
  <c r="F458" i="5"/>
  <c r="F450" i="5"/>
  <c r="F442" i="5"/>
  <c r="F440" i="5"/>
  <c r="F438" i="5"/>
  <c r="F436" i="5"/>
  <c r="F434" i="5"/>
  <c r="F432" i="5"/>
  <c r="F430" i="5"/>
  <c r="F428" i="5"/>
  <c r="F426" i="5"/>
  <c r="F424" i="5"/>
  <c r="F422" i="5"/>
  <c r="F420" i="5"/>
  <c r="F418" i="5"/>
  <c r="F416" i="5"/>
  <c r="F414" i="5"/>
  <c r="F412" i="5"/>
  <c r="F410" i="5"/>
  <c r="F408" i="5"/>
  <c r="F406" i="5"/>
  <c r="F404" i="5"/>
  <c r="F478" i="5"/>
  <c r="F462" i="5"/>
  <c r="F454" i="5"/>
  <c r="F446" i="5"/>
  <c r="F439" i="5"/>
  <c r="F435" i="5"/>
  <c r="F431" i="5"/>
  <c r="F427" i="5"/>
  <c r="F423" i="5"/>
  <c r="F419" i="5"/>
  <c r="F415" i="5"/>
  <c r="F411" i="5"/>
  <c r="F407" i="5"/>
  <c r="F640" i="5"/>
  <c r="F642" i="5"/>
  <c r="F636" i="5"/>
  <c r="F630" i="5"/>
  <c r="F621" i="5"/>
  <c r="F615" i="5"/>
  <c r="F609" i="5"/>
  <c r="F589" i="5"/>
  <c r="F583" i="5"/>
  <c r="F575" i="5"/>
  <c r="F567" i="5"/>
  <c r="F617" i="5"/>
  <c r="F597" i="5"/>
  <c r="F585" i="5"/>
  <c r="F577" i="5"/>
  <c r="F634" i="5"/>
  <c r="F613" i="5"/>
  <c r="F607" i="5"/>
  <c r="F601" i="5"/>
  <c r="F581" i="5"/>
  <c r="F573" i="5"/>
  <c r="F565" i="5"/>
  <c r="F638" i="5"/>
  <c r="F623" i="5"/>
  <c r="F591" i="5"/>
  <c r="F569" i="5"/>
  <c r="F882" i="5"/>
  <c r="F881" i="5"/>
  <c r="F865" i="5"/>
  <c r="F841" i="5"/>
  <c r="F817" i="5"/>
  <c r="F879" i="5"/>
  <c r="F863" i="5"/>
  <c r="F839" i="5"/>
  <c r="F815" i="5"/>
  <c r="F871" i="5"/>
  <c r="F855" i="5"/>
  <c r="F823" i="5"/>
  <c r="F807" i="5"/>
  <c r="F162" i="5"/>
  <c r="F136" i="5"/>
  <c r="FX6" i="7"/>
  <c r="F490" i="5"/>
  <c r="F498" i="5"/>
  <c r="F503" i="5"/>
  <c r="F505" i="5"/>
  <c r="F507" i="5"/>
  <c r="F509" i="5"/>
  <c r="F511" i="5"/>
  <c r="F513" i="5"/>
  <c r="F515" i="5"/>
  <c r="F517" i="5"/>
  <c r="F519" i="5"/>
  <c r="F521" i="5"/>
  <c r="F523" i="5"/>
  <c r="F525" i="5"/>
  <c r="F527" i="5"/>
  <c r="F529" i="5"/>
  <c r="F531" i="5"/>
  <c r="F533" i="5"/>
  <c r="F535" i="5"/>
  <c r="F537" i="5"/>
  <c r="F539" i="5"/>
  <c r="F541" i="5"/>
  <c r="F549" i="5"/>
  <c r="F557" i="5"/>
  <c r="F484" i="5"/>
  <c r="F492" i="5"/>
  <c r="F500" i="5"/>
  <c r="F543" i="5"/>
  <c r="F551" i="5"/>
  <c r="F884" i="5"/>
  <c r="F886" i="5"/>
  <c r="F163" i="5"/>
  <c r="F158" i="5"/>
  <c r="F150" i="5"/>
  <c r="F142" i="5"/>
  <c r="F134" i="5"/>
  <c r="F126" i="5"/>
  <c r="F118" i="5"/>
  <c r="F110" i="5"/>
  <c r="F102" i="5"/>
  <c r="DA5" i="7"/>
  <c r="PM6" i="7"/>
  <c r="F88" i="5"/>
  <c r="F154" i="5"/>
  <c r="F160" i="5"/>
  <c r="F167" i="5"/>
  <c r="F173" i="5"/>
  <c r="F179" i="5"/>
  <c r="F185" i="5"/>
  <c r="F191" i="5"/>
  <c r="F197" i="5"/>
  <c r="F199" i="5"/>
  <c r="F203" i="5"/>
  <c r="F220" i="5"/>
  <c r="F86" i="5"/>
  <c r="F94" i="5"/>
  <c r="F108" i="5"/>
  <c r="F146" i="5"/>
  <c r="F210" i="5"/>
  <c r="F218" i="5"/>
  <c r="F226" i="5"/>
  <c r="F242" i="5"/>
  <c r="C2" i="7"/>
  <c r="QG5" i="7"/>
  <c r="OM14" i="7"/>
  <c r="F84" i="5"/>
  <c r="F92" i="5"/>
  <c r="F100" i="5"/>
  <c r="F106" i="5"/>
  <c r="F112" i="5"/>
  <c r="F132" i="5"/>
  <c r="F138" i="5"/>
  <c r="F144" i="5"/>
  <c r="F164" i="5"/>
  <c r="F166" i="5"/>
  <c r="F168" i="5"/>
  <c r="F170" i="5"/>
  <c r="F172" i="5"/>
  <c r="F174" i="5"/>
  <c r="F176" i="5"/>
  <c r="F178" i="5"/>
  <c r="F180" i="5"/>
  <c r="F182" i="5"/>
  <c r="F184" i="5"/>
  <c r="F186" i="5"/>
  <c r="F188" i="5"/>
  <c r="F190" i="5"/>
  <c r="F192" i="5"/>
  <c r="F194" i="5"/>
  <c r="F196" i="5"/>
  <c r="F198" i="5"/>
  <c r="F200" i="5"/>
  <c r="F202" i="5"/>
  <c r="F204" i="5"/>
  <c r="F206" i="5"/>
  <c r="F208" i="5"/>
  <c r="F216" i="5"/>
  <c r="F224" i="5"/>
  <c r="F232" i="5"/>
  <c r="F240" i="5"/>
  <c r="F403" i="5"/>
  <c r="F401" i="5"/>
  <c r="F399" i="5"/>
  <c r="F397" i="5"/>
  <c r="F395" i="5"/>
  <c r="F393" i="5"/>
  <c r="F391" i="5"/>
  <c r="F389" i="5"/>
  <c r="F387" i="5"/>
  <c r="F385" i="5"/>
  <c r="F383" i="5"/>
  <c r="F381" i="5"/>
  <c r="F379" i="5"/>
  <c r="F377" i="5"/>
  <c r="F375" i="5"/>
  <c r="F373" i="5"/>
  <c r="F371" i="5"/>
  <c r="F369" i="5"/>
  <c r="F367" i="5"/>
  <c r="F365" i="5"/>
  <c r="F363" i="5"/>
  <c r="F361" i="5"/>
  <c r="F359" i="5"/>
  <c r="F357" i="5"/>
  <c r="F355" i="5"/>
  <c r="F353" i="5"/>
  <c r="F351" i="5"/>
  <c r="F349" i="5"/>
  <c r="F347" i="5"/>
  <c r="F345" i="5"/>
  <c r="F343" i="5"/>
  <c r="F341" i="5"/>
  <c r="F339" i="5"/>
  <c r="F337" i="5"/>
  <c r="F335" i="5"/>
  <c r="F333" i="5"/>
  <c r="F331" i="5"/>
  <c r="F329" i="5"/>
  <c r="F327" i="5"/>
  <c r="F325" i="5"/>
  <c r="F214" i="5"/>
  <c r="F222" i="5"/>
  <c r="F230" i="5"/>
  <c r="F243" i="5"/>
  <c r="F241" i="5"/>
  <c r="F239" i="5"/>
  <c r="F237" i="5"/>
  <c r="F235" i="5"/>
  <c r="F233" i="5"/>
  <c r="F231" i="5"/>
  <c r="F229" i="5"/>
  <c r="F227" i="5"/>
  <c r="F225" i="5"/>
  <c r="F223" i="5"/>
  <c r="F221" i="5"/>
  <c r="F219" i="5"/>
  <c r="F217" i="5"/>
  <c r="F215" i="5"/>
  <c r="F213" i="5"/>
  <c r="F211" i="5"/>
  <c r="F209" i="5"/>
  <c r="F207" i="5"/>
  <c r="F96" i="5"/>
  <c r="F116" i="5"/>
  <c r="F128" i="5"/>
  <c r="F165" i="5"/>
  <c r="F171" i="5"/>
  <c r="F177" i="5"/>
  <c r="F183" i="5"/>
  <c r="F189" i="5"/>
  <c r="F195" i="5"/>
  <c r="F201" i="5"/>
  <c r="F205" i="5"/>
  <c r="F228" i="5"/>
  <c r="F122" i="5"/>
  <c r="F148" i="5"/>
  <c r="F169" i="5"/>
  <c r="F175" i="5"/>
  <c r="F181" i="5"/>
  <c r="F187" i="5"/>
  <c r="F193" i="5"/>
  <c r="F212" i="5"/>
  <c r="F236" i="5"/>
  <c r="M12" i="2"/>
  <c r="JO5" i="7"/>
  <c r="LA8" i="7"/>
  <c r="F114" i="5"/>
  <c r="F120" i="5"/>
  <c r="F140" i="5"/>
  <c r="F152" i="5"/>
  <c r="F234" i="5"/>
  <c r="F587" i="5"/>
  <c r="F595" i="5"/>
  <c r="F603" i="5"/>
  <c r="F611" i="5"/>
  <c r="F619" i="5"/>
  <c r="F627" i="5"/>
  <c r="F632" i="5"/>
  <c r="F805" i="5"/>
  <c r="F813" i="5"/>
  <c r="F821" i="5"/>
  <c r="F833" i="5"/>
  <c r="F849" i="5"/>
  <c r="F861" i="5"/>
  <c r="F869" i="5"/>
  <c r="F877" i="5"/>
  <c r="F811" i="5"/>
  <c r="F819" i="5"/>
  <c r="F831" i="5"/>
  <c r="F847" i="5"/>
  <c r="F859" i="5"/>
  <c r="F867" i="5"/>
  <c r="F875" i="5"/>
  <c r="F883" i="5"/>
  <c r="GI5" i="7"/>
  <c r="BL6" i="7"/>
  <c r="MR7" i="7"/>
  <c r="F87" i="5"/>
  <c r="F91" i="5"/>
  <c r="F95" i="5"/>
  <c r="F99" i="5"/>
  <c r="F103" i="5"/>
  <c r="F107" i="5"/>
  <c r="F113" i="5"/>
  <c r="F117" i="5"/>
  <c r="F121" i="5"/>
  <c r="F125" i="5"/>
  <c r="F129" i="5"/>
  <c r="F133" i="5"/>
  <c r="F137" i="5"/>
  <c r="F141" i="5"/>
  <c r="F145" i="5"/>
  <c r="F149" i="5"/>
  <c r="F153" i="5"/>
  <c r="F157" i="5"/>
  <c r="F161" i="5"/>
  <c r="F483" i="5"/>
  <c r="F481" i="5"/>
  <c r="F479" i="5"/>
  <c r="F477" i="5"/>
  <c r="F475" i="5"/>
  <c r="F473" i="5"/>
  <c r="F471" i="5"/>
  <c r="F469" i="5"/>
  <c r="F467" i="5"/>
  <c r="F465" i="5"/>
  <c r="F463" i="5"/>
  <c r="F461" i="5"/>
  <c r="F459" i="5"/>
  <c r="F457" i="5"/>
  <c r="F455" i="5"/>
  <c r="F453" i="5"/>
  <c r="F451" i="5"/>
  <c r="F449" i="5"/>
  <c r="F447" i="5"/>
  <c r="F445" i="5"/>
  <c r="F443" i="5"/>
  <c r="F628" i="5"/>
  <c r="F626" i="5"/>
  <c r="F624" i="5"/>
  <c r="F622" i="5"/>
  <c r="F620" i="5"/>
  <c r="F618" i="5"/>
  <c r="F616" i="5"/>
  <c r="F614" i="5"/>
  <c r="F612" i="5"/>
  <c r="F610" i="5"/>
  <c r="F608" i="5"/>
  <c r="F606" i="5"/>
  <c r="F604" i="5"/>
  <c r="F602" i="5"/>
  <c r="F600" i="5"/>
  <c r="F598" i="5"/>
  <c r="F596" i="5"/>
  <c r="F594" i="5"/>
  <c r="F592" i="5"/>
  <c r="F590" i="5"/>
  <c r="F588" i="5"/>
  <c r="F586" i="5"/>
  <c r="F643" i="5"/>
  <c r="F641" i="5"/>
  <c r="F639" i="5"/>
  <c r="F637" i="5"/>
  <c r="F635" i="5"/>
  <c r="F633" i="5"/>
  <c r="F631" i="5"/>
  <c r="F629" i="5"/>
  <c r="F584" i="5"/>
  <c r="F582" i="5"/>
  <c r="F580" i="5"/>
  <c r="F578" i="5"/>
  <c r="F576" i="5"/>
  <c r="F574" i="5"/>
  <c r="F572" i="5"/>
  <c r="F570" i="5"/>
  <c r="F568" i="5"/>
  <c r="F566" i="5"/>
  <c r="F564" i="5"/>
  <c r="F85" i="5"/>
  <c r="F89" i="5"/>
  <c r="F93" i="5"/>
  <c r="F97" i="5"/>
  <c r="F101" i="5"/>
  <c r="F105" i="5"/>
  <c r="F109" i="5"/>
  <c r="F111" i="5"/>
  <c r="F115" i="5"/>
  <c r="F119" i="5"/>
  <c r="F123" i="5"/>
  <c r="F127" i="5"/>
  <c r="F131" i="5"/>
  <c r="F135" i="5"/>
  <c r="F139" i="5"/>
  <c r="F143" i="5"/>
  <c r="F147" i="5"/>
  <c r="F151" i="5"/>
  <c r="F155" i="5"/>
  <c r="F159" i="5"/>
  <c r="S5" i="7"/>
  <c r="MW5" i="7"/>
  <c r="KF6" i="7"/>
  <c r="EI10" i="7"/>
  <c r="F501" i="5"/>
  <c r="F499" i="5"/>
  <c r="F497" i="5"/>
  <c r="F495" i="5"/>
  <c r="F493" i="5"/>
  <c r="F491" i="5"/>
  <c r="F489" i="5"/>
  <c r="F487" i="5"/>
  <c r="F485" i="5"/>
  <c r="F562" i="5"/>
  <c r="F560" i="5"/>
  <c r="F558" i="5"/>
  <c r="F556" i="5"/>
  <c r="F554" i="5"/>
  <c r="F552" i="5"/>
  <c r="F550" i="5"/>
  <c r="F548" i="5"/>
  <c r="F546" i="5"/>
  <c r="F544" i="5"/>
  <c r="F542" i="5"/>
  <c r="F829" i="5"/>
  <c r="F837" i="5"/>
  <c r="F845" i="5"/>
  <c r="F853" i="5"/>
  <c r="F804" i="5"/>
  <c r="F806" i="5"/>
  <c r="F808" i="5"/>
  <c r="F810" i="5"/>
  <c r="F812" i="5"/>
  <c r="F814" i="5"/>
  <c r="F816" i="5"/>
  <c r="F818" i="5"/>
  <c r="F820" i="5"/>
  <c r="F822" i="5"/>
  <c r="F827" i="5"/>
  <c r="F835" i="5"/>
  <c r="F843" i="5"/>
  <c r="F851" i="5"/>
  <c r="F856" i="5"/>
  <c r="F858" i="5"/>
  <c r="F860" i="5"/>
  <c r="F862" i="5"/>
  <c r="F864" i="5"/>
  <c r="F866" i="5"/>
  <c r="F868" i="5"/>
  <c r="F870" i="5"/>
  <c r="F872" i="5"/>
  <c r="F874" i="5"/>
  <c r="F876" i="5"/>
  <c r="F878" i="5"/>
  <c r="F880" i="5"/>
  <c r="J10" i="9"/>
  <c r="E3" i="7"/>
  <c r="AO5" i="7"/>
  <c r="DW5" i="7"/>
  <c r="HC5" i="7"/>
  <c r="KK5" i="7"/>
  <c r="NS5" i="7"/>
  <c r="RK5" i="7"/>
  <c r="CP6" i="7"/>
  <c r="GX6" i="7"/>
  <c r="LH6" i="7"/>
  <c r="O7" i="7"/>
  <c r="RC7" i="7"/>
  <c r="PV8" i="7"/>
  <c r="SB14" i="7"/>
  <c r="RX14" i="7"/>
  <c r="RT14" i="7"/>
  <c r="RP14" i="7"/>
  <c r="RL14" i="7"/>
  <c r="RH14" i="7"/>
  <c r="RD14" i="7"/>
  <c r="QZ14" i="7"/>
  <c r="QV14" i="7"/>
  <c r="QR14" i="7"/>
  <c r="QN14" i="7"/>
  <c r="QJ14" i="7"/>
  <c r="QF14" i="7"/>
  <c r="QB14" i="7"/>
  <c r="PX14" i="7"/>
  <c r="PT14" i="7"/>
  <c r="PP14" i="7"/>
  <c r="PL14" i="7"/>
  <c r="PH14" i="7"/>
  <c r="PD14" i="7"/>
  <c r="OZ14" i="7"/>
  <c r="OV14" i="7"/>
  <c r="OR14" i="7"/>
  <c r="ON14" i="7"/>
  <c r="OJ14" i="7"/>
  <c r="OF14" i="7"/>
  <c r="OB14" i="7"/>
  <c r="NX14" i="7"/>
  <c r="NT14" i="7"/>
  <c r="NP14" i="7"/>
  <c r="NL14" i="7"/>
  <c r="NH14" i="7"/>
  <c r="ND14" i="7"/>
  <c r="MZ14" i="7"/>
  <c r="MV14" i="7"/>
  <c r="MR14" i="7"/>
  <c r="MN14" i="7"/>
  <c r="MJ14" i="7"/>
  <c r="MF14" i="7"/>
  <c r="MB14" i="7"/>
  <c r="LX14" i="7"/>
  <c r="LT14" i="7"/>
  <c r="LP14" i="7"/>
  <c r="LL14" i="7"/>
  <c r="LH14" i="7"/>
  <c r="LD14" i="7"/>
  <c r="KZ14" i="7"/>
  <c r="KV14" i="7"/>
  <c r="KR14" i="7"/>
  <c r="KN14" i="7"/>
  <c r="KJ14" i="7"/>
  <c r="KF14" i="7"/>
  <c r="KB14" i="7"/>
  <c r="JX14" i="7"/>
  <c r="JT14" i="7"/>
  <c r="JP14" i="7"/>
  <c r="JL14" i="7"/>
  <c r="JH14" i="7"/>
  <c r="JD14" i="7"/>
  <c r="IZ14" i="7"/>
  <c r="IV14" i="7"/>
  <c r="IR14" i="7"/>
  <c r="IN14" i="7"/>
  <c r="IJ14" i="7"/>
  <c r="IF14" i="7"/>
  <c r="IB14" i="7"/>
  <c r="HX14" i="7"/>
  <c r="HT14" i="7"/>
  <c r="HP14" i="7"/>
  <c r="HL14" i="7"/>
  <c r="HH14" i="7"/>
  <c r="HD14" i="7"/>
  <c r="GZ14" i="7"/>
  <c r="GV14" i="7"/>
  <c r="GR14" i="7"/>
  <c r="GN14" i="7"/>
  <c r="GJ14" i="7"/>
  <c r="GF14" i="7"/>
  <c r="GB14" i="7"/>
  <c r="FX14" i="7"/>
  <c r="FT14" i="7"/>
  <c r="FP14" i="7"/>
  <c r="FL14" i="7"/>
  <c r="FH14" i="7"/>
  <c r="FD14" i="7"/>
  <c r="EZ14" i="7"/>
  <c r="SC14" i="7"/>
  <c r="RW14" i="7"/>
  <c r="RR14" i="7"/>
  <c r="RM14" i="7"/>
  <c r="RG14" i="7"/>
  <c r="RB14" i="7"/>
  <c r="QW14" i="7"/>
  <c r="QQ14" i="7"/>
  <c r="QL14" i="7"/>
  <c r="QG14" i="7"/>
  <c r="QA14" i="7"/>
  <c r="PV14" i="7"/>
  <c r="PQ14" i="7"/>
  <c r="PK14" i="7"/>
  <c r="PF14" i="7"/>
  <c r="PA14" i="7"/>
  <c r="OU14" i="7"/>
  <c r="OP14" i="7"/>
  <c r="OK14" i="7"/>
  <c r="OE14" i="7"/>
  <c r="NZ14" i="7"/>
  <c r="NU14" i="7"/>
  <c r="NO14" i="7"/>
  <c r="NJ14" i="7"/>
  <c r="NE14" i="7"/>
  <c r="MY14" i="7"/>
  <c r="MT14" i="7"/>
  <c r="MO14" i="7"/>
  <c r="MI14" i="7"/>
  <c r="MD14" i="7"/>
  <c r="LY14" i="7"/>
  <c r="LS14" i="7"/>
  <c r="LN14" i="7"/>
  <c r="LI14" i="7"/>
  <c r="LC14" i="7"/>
  <c r="KX14" i="7"/>
  <c r="KS14" i="7"/>
  <c r="KM14" i="7"/>
  <c r="KH14" i="7"/>
  <c r="KC14" i="7"/>
  <c r="JW14" i="7"/>
  <c r="JR14" i="7"/>
  <c r="JM14" i="7"/>
  <c r="JG14" i="7"/>
  <c r="JB14" i="7"/>
  <c r="IW14" i="7"/>
  <c r="IQ14" i="7"/>
  <c r="IL14" i="7"/>
  <c r="IG14" i="7"/>
  <c r="IA14" i="7"/>
  <c r="HV14" i="7"/>
  <c r="HQ14" i="7"/>
  <c r="HK14" i="7"/>
  <c r="HF14" i="7"/>
  <c r="HA14" i="7"/>
  <c r="GU14" i="7"/>
  <c r="GP14" i="7"/>
  <c r="GK14" i="7"/>
  <c r="GE14" i="7"/>
  <c r="FZ14" i="7"/>
  <c r="FU14" i="7"/>
  <c r="FO14" i="7"/>
  <c r="FJ14" i="7"/>
  <c r="FE14" i="7"/>
  <c r="EY14" i="7"/>
  <c r="EU14" i="7"/>
  <c r="EQ14" i="7"/>
  <c r="EM14" i="7"/>
  <c r="EI14" i="7"/>
  <c r="EE14" i="7"/>
  <c r="EA14" i="7"/>
  <c r="DW14" i="7"/>
  <c r="DS14" i="7"/>
  <c r="DO14" i="7"/>
  <c r="DK14" i="7"/>
  <c r="DG14" i="7"/>
  <c r="DC14" i="7"/>
  <c r="CY14" i="7"/>
  <c r="CU14" i="7"/>
  <c r="CQ14" i="7"/>
  <c r="CM14" i="7"/>
  <c r="CI14" i="7"/>
  <c r="CE14" i="7"/>
  <c r="CA14" i="7"/>
  <c r="BW14" i="7"/>
  <c r="BS14" i="7"/>
  <c r="BO14" i="7"/>
  <c r="BK14" i="7"/>
  <c r="BG14" i="7"/>
  <c r="BC14" i="7"/>
  <c r="AY14" i="7"/>
  <c r="AU14" i="7"/>
  <c r="AQ14" i="7"/>
  <c r="AM14" i="7"/>
  <c r="AI14" i="7"/>
  <c r="AE14" i="7"/>
  <c r="AA14" i="7"/>
  <c r="W14" i="7"/>
  <c r="S14" i="7"/>
  <c r="O14" i="7"/>
  <c r="K14" i="7"/>
  <c r="G14" i="7"/>
  <c r="C14" i="7"/>
  <c r="SD13" i="7"/>
  <c r="RZ13" i="7"/>
  <c r="RV13" i="7"/>
  <c r="RR13" i="7"/>
  <c r="RN13" i="7"/>
  <c r="RJ13" i="7"/>
  <c r="RF13" i="7"/>
  <c r="RB13" i="7"/>
  <c r="QX13" i="7"/>
  <c r="QT13" i="7"/>
  <c r="QP13" i="7"/>
  <c r="QL13" i="7"/>
  <c r="QH13" i="7"/>
  <c r="QD13" i="7"/>
  <c r="PZ13" i="7"/>
  <c r="PV13" i="7"/>
  <c r="PR13" i="7"/>
  <c r="PN13" i="7"/>
  <c r="PJ13" i="7"/>
  <c r="PF13" i="7"/>
  <c r="PB13" i="7"/>
  <c r="OX13" i="7"/>
  <c r="OT13" i="7"/>
  <c r="OP13" i="7"/>
  <c r="OL13" i="7"/>
  <c r="OH13" i="7"/>
  <c r="OD13" i="7"/>
  <c r="NZ13" i="7"/>
  <c r="NV13" i="7"/>
  <c r="NR13" i="7"/>
  <c r="NN13" i="7"/>
  <c r="NJ13" i="7"/>
  <c r="NF13" i="7"/>
  <c r="NB13" i="7"/>
  <c r="MX13" i="7"/>
  <c r="MT13" i="7"/>
  <c r="MP13" i="7"/>
  <c r="ML13" i="7"/>
  <c r="MH13" i="7"/>
  <c r="MD13" i="7"/>
  <c r="LZ13" i="7"/>
  <c r="LV13" i="7"/>
  <c r="LR13" i="7"/>
  <c r="LN13" i="7"/>
  <c r="LJ13" i="7"/>
  <c r="LF13" i="7"/>
  <c r="LB13" i="7"/>
  <c r="KX13" i="7"/>
  <c r="KT13" i="7"/>
  <c r="KP13" i="7"/>
  <c r="KL13" i="7"/>
  <c r="KH13" i="7"/>
  <c r="KD13" i="7"/>
  <c r="JZ13" i="7"/>
  <c r="JV13" i="7"/>
  <c r="JR13" i="7"/>
  <c r="JN13" i="7"/>
  <c r="JJ13" i="7"/>
  <c r="JF13" i="7"/>
  <c r="JB13" i="7"/>
  <c r="IX13" i="7"/>
  <c r="IT13" i="7"/>
  <c r="IP13" i="7"/>
  <c r="IL13" i="7"/>
  <c r="IH13" i="7"/>
  <c r="ID13" i="7"/>
  <c r="HZ13" i="7"/>
  <c r="HV13" i="7"/>
  <c r="HR13" i="7"/>
  <c r="HN13" i="7"/>
  <c r="HJ13" i="7"/>
  <c r="HF13" i="7"/>
  <c r="HB13" i="7"/>
  <c r="GX13" i="7"/>
  <c r="GT13" i="7"/>
  <c r="GP13" i="7"/>
  <c r="GL13" i="7"/>
  <c r="GH13" i="7"/>
  <c r="GD13" i="7"/>
  <c r="FZ13" i="7"/>
  <c r="FV13" i="7"/>
  <c r="FR13" i="7"/>
  <c r="FN13" i="7"/>
  <c r="FJ13" i="7"/>
  <c r="FF13" i="7"/>
  <c r="FB13" i="7"/>
  <c r="EX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SE14" i="7"/>
  <c r="RY14" i="7"/>
  <c r="RQ14" i="7"/>
  <c r="RJ14" i="7"/>
  <c r="RC14" i="7"/>
  <c r="QU14" i="7"/>
  <c r="QO14" i="7"/>
  <c r="QH14" i="7"/>
  <c r="PZ14" i="7"/>
  <c r="PS14" i="7"/>
  <c r="PM14" i="7"/>
  <c r="PE14" i="7"/>
  <c r="OX14" i="7"/>
  <c r="OQ14" i="7"/>
  <c r="OI14" i="7"/>
  <c r="OC14" i="7"/>
  <c r="NV14" i="7"/>
  <c r="NN14" i="7"/>
  <c r="NG14" i="7"/>
  <c r="NA14" i="7"/>
  <c r="MS14" i="7"/>
  <c r="ML14" i="7"/>
  <c r="ME14" i="7"/>
  <c r="LW14" i="7"/>
  <c r="LQ14" i="7"/>
  <c r="LJ14" i="7"/>
  <c r="LB14" i="7"/>
  <c r="KU14" i="7"/>
  <c r="KO14" i="7"/>
  <c r="KG14" i="7"/>
  <c r="JZ14" i="7"/>
  <c r="JS14" i="7"/>
  <c r="JK14" i="7"/>
  <c r="JE14" i="7"/>
  <c r="IX14" i="7"/>
  <c r="IP14" i="7"/>
  <c r="II14" i="7"/>
  <c r="IC14" i="7"/>
  <c r="HU14" i="7"/>
  <c r="HN14" i="7"/>
  <c r="HG14" i="7"/>
  <c r="GY14" i="7"/>
  <c r="GS14" i="7"/>
  <c r="GL14" i="7"/>
  <c r="GD14" i="7"/>
  <c r="FW14" i="7"/>
  <c r="FQ14" i="7"/>
  <c r="FI14" i="7"/>
  <c r="FB14" i="7"/>
  <c r="EV14" i="7"/>
  <c r="EP14" i="7"/>
  <c r="EK14" i="7"/>
  <c r="EF14" i="7"/>
  <c r="DZ14" i="7"/>
  <c r="DU14" i="7"/>
  <c r="DP14" i="7"/>
  <c r="DJ14" i="7"/>
  <c r="DE14" i="7"/>
  <c r="CZ14" i="7"/>
  <c r="CT14" i="7"/>
  <c r="CO14" i="7"/>
  <c r="CJ14" i="7"/>
  <c r="CD14" i="7"/>
  <c r="BY14" i="7"/>
  <c r="BT14" i="7"/>
  <c r="BN14" i="7"/>
  <c r="BI14" i="7"/>
  <c r="BD14" i="7"/>
  <c r="AX14" i="7"/>
  <c r="AS14" i="7"/>
  <c r="AN14" i="7"/>
  <c r="AH14" i="7"/>
  <c r="AC14" i="7"/>
  <c r="X14" i="7"/>
  <c r="R14" i="7"/>
  <c r="M14" i="7"/>
  <c r="H14" i="7"/>
  <c r="B14" i="7"/>
  <c r="SB13" i="7"/>
  <c r="RW13" i="7"/>
  <c r="RQ13" i="7"/>
  <c r="RL13" i="7"/>
  <c r="RG13" i="7"/>
  <c r="RA13" i="7"/>
  <c r="QV13" i="7"/>
  <c r="QQ13" i="7"/>
  <c r="QK13" i="7"/>
  <c r="QF13" i="7"/>
  <c r="QA13" i="7"/>
  <c r="PU13" i="7"/>
  <c r="PP13" i="7"/>
  <c r="PK13" i="7"/>
  <c r="PE13" i="7"/>
  <c r="OZ13" i="7"/>
  <c r="OU13" i="7"/>
  <c r="OO13" i="7"/>
  <c r="OJ13" i="7"/>
  <c r="OE13" i="7"/>
  <c r="NY13" i="7"/>
  <c r="NT13" i="7"/>
  <c r="NO13" i="7"/>
  <c r="NI13" i="7"/>
  <c r="ND13" i="7"/>
  <c r="MY13" i="7"/>
  <c r="MS13" i="7"/>
  <c r="MN13" i="7"/>
  <c r="MI13" i="7"/>
  <c r="MC13" i="7"/>
  <c r="LX13" i="7"/>
  <c r="LS13" i="7"/>
  <c r="LM13" i="7"/>
  <c r="LH13" i="7"/>
  <c r="LC13" i="7"/>
  <c r="KW13" i="7"/>
  <c r="KR13" i="7"/>
  <c r="KM13" i="7"/>
  <c r="KG13" i="7"/>
  <c r="KB13" i="7"/>
  <c r="JW13" i="7"/>
  <c r="JQ13" i="7"/>
  <c r="JL13" i="7"/>
  <c r="JG13" i="7"/>
  <c r="JA13" i="7"/>
  <c r="IV13" i="7"/>
  <c r="IQ13" i="7"/>
  <c r="IK13" i="7"/>
  <c r="IF13" i="7"/>
  <c r="IA13" i="7"/>
  <c r="HU13" i="7"/>
  <c r="HP13" i="7"/>
  <c r="HK13" i="7"/>
  <c r="HE13" i="7"/>
  <c r="GZ13" i="7"/>
  <c r="GU13" i="7"/>
  <c r="GO13" i="7"/>
  <c r="GJ13" i="7"/>
  <c r="GE13" i="7"/>
  <c r="FY13" i="7"/>
  <c r="FT13" i="7"/>
  <c r="FO13" i="7"/>
  <c r="FI13" i="7"/>
  <c r="FD13" i="7"/>
  <c r="EY13" i="7"/>
  <c r="ES13" i="7"/>
  <c r="EN13" i="7"/>
  <c r="EI13" i="7"/>
  <c r="EC13" i="7"/>
  <c r="DX13" i="7"/>
  <c r="DS13" i="7"/>
  <c r="DM13" i="7"/>
  <c r="DH13" i="7"/>
  <c r="DC13" i="7"/>
  <c r="CW13" i="7"/>
  <c r="CR13" i="7"/>
  <c r="CM13" i="7"/>
  <c r="CG13" i="7"/>
  <c r="CB13" i="7"/>
  <c r="BW13" i="7"/>
  <c r="BQ13" i="7"/>
  <c r="BL13" i="7"/>
  <c r="BG13" i="7"/>
  <c r="BA13" i="7"/>
  <c r="AV13" i="7"/>
  <c r="AQ13" i="7"/>
  <c r="AK13" i="7"/>
  <c r="AF13" i="7"/>
  <c r="AA13" i="7"/>
  <c r="U13" i="7"/>
  <c r="P13" i="7"/>
  <c r="K13" i="7"/>
  <c r="E13" i="7"/>
  <c r="SE12" i="7"/>
  <c r="RZ12" i="7"/>
  <c r="RT12" i="7"/>
  <c r="RO12" i="7"/>
  <c r="RJ12" i="7"/>
  <c r="RD12" i="7"/>
  <c r="QY12" i="7"/>
  <c r="QT12" i="7"/>
  <c r="QN12" i="7"/>
  <c r="QI12" i="7"/>
  <c r="QD12" i="7"/>
  <c r="PX12" i="7"/>
  <c r="PS12" i="7"/>
  <c r="PN12" i="7"/>
  <c r="PH12" i="7"/>
  <c r="PC12" i="7"/>
  <c r="OX12" i="7"/>
  <c r="OR12" i="7"/>
  <c r="OM12" i="7"/>
  <c r="OH12" i="7"/>
  <c r="OB12" i="7"/>
  <c r="NW12" i="7"/>
  <c r="NR12" i="7"/>
  <c r="NL12" i="7"/>
  <c r="NG12" i="7"/>
  <c r="NB12" i="7"/>
  <c r="MV12" i="7"/>
  <c r="MQ12" i="7"/>
  <c r="ML12" i="7"/>
  <c r="MF12" i="7"/>
  <c r="MA12" i="7"/>
  <c r="LV12" i="7"/>
  <c r="LP12" i="7"/>
  <c r="LK12" i="7"/>
  <c r="LF12" i="7"/>
  <c r="KZ12" i="7"/>
  <c r="KU12" i="7"/>
  <c r="KP12" i="7"/>
  <c r="KJ12" i="7"/>
  <c r="KE12" i="7"/>
  <c r="JZ12" i="7"/>
  <c r="JT12" i="7"/>
  <c r="JO12" i="7"/>
  <c r="JJ12" i="7"/>
  <c r="JD12" i="7"/>
  <c r="IY12" i="7"/>
  <c r="IT12" i="7"/>
  <c r="IN12" i="7"/>
  <c r="II12" i="7"/>
  <c r="ID12" i="7"/>
  <c r="HX12" i="7"/>
  <c r="HS12" i="7"/>
  <c r="HN12" i="7"/>
  <c r="HH12" i="7"/>
  <c r="HC12" i="7"/>
  <c r="GX12" i="7"/>
  <c r="GR12" i="7"/>
  <c r="GM12" i="7"/>
  <c r="GH12" i="7"/>
  <c r="GB12" i="7"/>
  <c r="FW12" i="7"/>
  <c r="FR12" i="7"/>
  <c r="FL12" i="7"/>
  <c r="FG12" i="7"/>
  <c r="FB12" i="7"/>
  <c r="EV12" i="7"/>
  <c r="EQ12" i="7"/>
  <c r="EL12" i="7"/>
  <c r="EF12" i="7"/>
  <c r="EA12" i="7"/>
  <c r="DV12" i="7"/>
  <c r="DP12" i="7"/>
  <c r="DK12" i="7"/>
  <c r="DF12" i="7"/>
  <c r="CZ12" i="7"/>
  <c r="CU12" i="7"/>
  <c r="CQ12" i="7"/>
  <c r="CM12" i="7"/>
  <c r="CI12" i="7"/>
  <c r="CE12" i="7"/>
  <c r="CA12" i="7"/>
  <c r="BW12" i="7"/>
  <c r="BS12" i="7"/>
  <c r="BO12" i="7"/>
  <c r="BK12" i="7"/>
  <c r="BG12" i="7"/>
  <c r="BC12" i="7"/>
  <c r="AY12" i="7"/>
  <c r="AU12" i="7"/>
  <c r="AQ12" i="7"/>
  <c r="AM12" i="7"/>
  <c r="AI12" i="7"/>
  <c r="AE12" i="7"/>
  <c r="AA12" i="7"/>
  <c r="W12" i="7"/>
  <c r="S12" i="7"/>
  <c r="O12" i="7"/>
  <c r="K12" i="7"/>
  <c r="G12" i="7"/>
  <c r="C12" i="7"/>
  <c r="SD11" i="7"/>
  <c r="RZ11" i="7"/>
  <c r="RV11" i="7"/>
  <c r="RR11" i="7"/>
  <c r="RN11" i="7"/>
  <c r="RJ11" i="7"/>
  <c r="RF11" i="7"/>
  <c r="RB11" i="7"/>
  <c r="QX11" i="7"/>
  <c r="QT11" i="7"/>
  <c r="QP11" i="7"/>
  <c r="QL11" i="7"/>
  <c r="QH11" i="7"/>
  <c r="QD11" i="7"/>
  <c r="PZ11" i="7"/>
  <c r="PV11" i="7"/>
  <c r="PR11" i="7"/>
  <c r="PN11" i="7"/>
  <c r="PJ11" i="7"/>
  <c r="PF11" i="7"/>
  <c r="PB11" i="7"/>
  <c r="OX11" i="7"/>
  <c r="OT11" i="7"/>
  <c r="OP11" i="7"/>
  <c r="OL11" i="7"/>
  <c r="OH11" i="7"/>
  <c r="OD11" i="7"/>
  <c r="NZ11" i="7"/>
  <c r="NV11" i="7"/>
  <c r="NR11" i="7"/>
  <c r="NN11" i="7"/>
  <c r="NJ11" i="7"/>
  <c r="NF11" i="7"/>
  <c r="NB11" i="7"/>
  <c r="MX11" i="7"/>
  <c r="MT11" i="7"/>
  <c r="MP11" i="7"/>
  <c r="ML11" i="7"/>
  <c r="MH11" i="7"/>
  <c r="MD11" i="7"/>
  <c r="LZ11" i="7"/>
  <c r="LV11" i="7"/>
  <c r="LR11" i="7"/>
  <c r="LN11" i="7"/>
  <c r="LJ11" i="7"/>
  <c r="LF11" i="7"/>
  <c r="LB11" i="7"/>
  <c r="KX11" i="7"/>
  <c r="KT11" i="7"/>
  <c r="KP11" i="7"/>
  <c r="KL11" i="7"/>
  <c r="KH11" i="7"/>
  <c r="KD11" i="7"/>
  <c r="JZ11" i="7"/>
  <c r="JV11" i="7"/>
  <c r="JR11" i="7"/>
  <c r="JN11" i="7"/>
  <c r="JJ11" i="7"/>
  <c r="JF11" i="7"/>
  <c r="JB11" i="7"/>
  <c r="IX11" i="7"/>
  <c r="IT11" i="7"/>
  <c r="IP11" i="7"/>
  <c r="IL11" i="7"/>
  <c r="IH11" i="7"/>
  <c r="ID11" i="7"/>
  <c r="HZ11" i="7"/>
  <c r="HV11" i="7"/>
  <c r="HR11" i="7"/>
  <c r="HN11" i="7"/>
  <c r="HJ11" i="7"/>
  <c r="HF11" i="7"/>
  <c r="HB11" i="7"/>
  <c r="GX11" i="7"/>
  <c r="GT11" i="7"/>
  <c r="GP11" i="7"/>
  <c r="GL11" i="7"/>
  <c r="GH11" i="7"/>
  <c r="GD11" i="7"/>
  <c r="FZ11" i="7"/>
  <c r="FV11" i="7"/>
  <c r="FR11" i="7"/>
  <c r="FN11" i="7"/>
  <c r="FJ11" i="7"/>
  <c r="FF11" i="7"/>
  <c r="FB11" i="7"/>
  <c r="EX11" i="7"/>
  <c r="ET11" i="7"/>
  <c r="EP11" i="7"/>
  <c r="EL11" i="7"/>
  <c r="EH11" i="7"/>
  <c r="ED11" i="7"/>
  <c r="DZ11" i="7"/>
  <c r="DV11" i="7"/>
  <c r="DR11" i="7"/>
  <c r="DN11" i="7"/>
  <c r="DJ11" i="7"/>
  <c r="DF11" i="7"/>
  <c r="DB11" i="7"/>
  <c r="CX11" i="7"/>
  <c r="CT11" i="7"/>
  <c r="CP11" i="7"/>
  <c r="CL11" i="7"/>
  <c r="CH11" i="7"/>
  <c r="CD11" i="7"/>
  <c r="BZ11" i="7"/>
  <c r="BV11" i="7"/>
  <c r="BR11" i="7"/>
  <c r="BN11" i="7"/>
  <c r="BJ11" i="7"/>
  <c r="BF11" i="7"/>
  <c r="BB11" i="7"/>
  <c r="AX11" i="7"/>
  <c r="AT11" i="7"/>
  <c r="AP11" i="7"/>
  <c r="AL11" i="7"/>
  <c r="AH11" i="7"/>
  <c r="AD11" i="7"/>
  <c r="Z11" i="7"/>
  <c r="V11" i="7"/>
  <c r="R11" i="7"/>
  <c r="N11" i="7"/>
  <c r="J11" i="7"/>
  <c r="F11" i="7"/>
  <c r="B11" i="7"/>
  <c r="SC10" i="7"/>
  <c r="RY10" i="7"/>
  <c r="RU10" i="7"/>
  <c r="RQ10" i="7"/>
  <c r="RM10" i="7"/>
  <c r="RI10" i="7"/>
  <c r="RE10" i="7"/>
  <c r="RA10" i="7"/>
  <c r="QW10" i="7"/>
  <c r="QS10" i="7"/>
  <c r="QO10" i="7"/>
  <c r="QK10" i="7"/>
  <c r="QG10" i="7"/>
  <c r="QC10" i="7"/>
  <c r="PY10" i="7"/>
  <c r="PU10" i="7"/>
  <c r="PQ10" i="7"/>
  <c r="PM10" i="7"/>
  <c r="PI10" i="7"/>
  <c r="PE10" i="7"/>
  <c r="PA10" i="7"/>
  <c r="OW10" i="7"/>
  <c r="OS10" i="7"/>
  <c r="OO10" i="7"/>
  <c r="OK10" i="7"/>
  <c r="OG10" i="7"/>
  <c r="OC10" i="7"/>
  <c r="NY10" i="7"/>
  <c r="NU10" i="7"/>
  <c r="NQ10" i="7"/>
  <c r="NM10" i="7"/>
  <c r="NI10" i="7"/>
  <c r="NE10" i="7"/>
  <c r="NA10" i="7"/>
  <c r="MW10" i="7"/>
  <c r="MS10" i="7"/>
  <c r="MO10" i="7"/>
  <c r="MK10" i="7"/>
  <c r="MG10" i="7"/>
  <c r="MC10" i="7"/>
  <c r="LY10" i="7"/>
  <c r="LU10" i="7"/>
  <c r="LQ10" i="7"/>
  <c r="LM10" i="7"/>
  <c r="LI10" i="7"/>
  <c r="LE10" i="7"/>
  <c r="LA10" i="7"/>
  <c r="KW10" i="7"/>
  <c r="KS10" i="7"/>
  <c r="KO10" i="7"/>
  <c r="KK10" i="7"/>
  <c r="KG10" i="7"/>
  <c r="KC10" i="7"/>
  <c r="JY10" i="7"/>
  <c r="JU10" i="7"/>
  <c r="JQ10" i="7"/>
  <c r="JM10" i="7"/>
  <c r="JI10" i="7"/>
  <c r="JE10" i="7"/>
  <c r="JA10" i="7"/>
  <c r="IW10" i="7"/>
  <c r="IS10" i="7"/>
  <c r="IO10" i="7"/>
  <c r="IK10" i="7"/>
  <c r="IG10" i="7"/>
  <c r="IC10" i="7"/>
  <c r="HY10" i="7"/>
  <c r="HU10" i="7"/>
  <c r="HQ10" i="7"/>
  <c r="HM10" i="7"/>
  <c r="HI10" i="7"/>
  <c r="HE10" i="7"/>
  <c r="HA10" i="7"/>
  <c r="GW10" i="7"/>
  <c r="GS10" i="7"/>
  <c r="GO10" i="7"/>
  <c r="GK10" i="7"/>
  <c r="GG10" i="7"/>
  <c r="GC10" i="7"/>
  <c r="FY10" i="7"/>
  <c r="FU10" i="7"/>
  <c r="FQ10" i="7"/>
  <c r="FM10" i="7"/>
  <c r="FI10" i="7"/>
  <c r="FE10" i="7"/>
  <c r="FA10" i="7"/>
  <c r="EW10" i="7"/>
  <c r="ES10" i="7"/>
  <c r="EO10" i="7"/>
  <c r="EK10" i="7"/>
  <c r="EG10" i="7"/>
  <c r="EC10" i="7"/>
  <c r="DY10" i="7"/>
  <c r="DU10" i="7"/>
  <c r="DQ10" i="7"/>
  <c r="DM10" i="7"/>
  <c r="DI10" i="7"/>
  <c r="DE10" i="7"/>
  <c r="DA10" i="7"/>
  <c r="CW10" i="7"/>
  <c r="CS10" i="7"/>
  <c r="CO10" i="7"/>
  <c r="CK10" i="7"/>
  <c r="CG10" i="7"/>
  <c r="CC10" i="7"/>
  <c r="BY10" i="7"/>
  <c r="BU10" i="7"/>
  <c r="BQ10" i="7"/>
  <c r="BM10" i="7"/>
  <c r="BI10" i="7"/>
  <c r="BE10" i="7"/>
  <c r="BA10" i="7"/>
  <c r="AW10" i="7"/>
  <c r="AS10" i="7"/>
  <c r="AO10" i="7"/>
  <c r="AK10" i="7"/>
  <c r="AG10" i="7"/>
  <c r="AC10" i="7"/>
  <c r="Y10" i="7"/>
  <c r="U10" i="7"/>
  <c r="Q10" i="7"/>
  <c r="M10" i="7"/>
  <c r="I10" i="7"/>
  <c r="E10" i="7"/>
  <c r="A10" i="7"/>
  <c r="SB9" i="7"/>
  <c r="RX9" i="7"/>
  <c r="RT9" i="7"/>
  <c r="RP9" i="7"/>
  <c r="RL9" i="7"/>
  <c r="RH9" i="7"/>
  <c r="RD9" i="7"/>
  <c r="QZ9" i="7"/>
  <c r="QV9" i="7"/>
  <c r="QR9" i="7"/>
  <c r="QN9" i="7"/>
  <c r="QJ9" i="7"/>
  <c r="QF9" i="7"/>
  <c r="QB9" i="7"/>
  <c r="PX9" i="7"/>
  <c r="PT9" i="7"/>
  <c r="PP9" i="7"/>
  <c r="PL9" i="7"/>
  <c r="PH9" i="7"/>
  <c r="PD9" i="7"/>
  <c r="OZ9" i="7"/>
  <c r="OV9" i="7"/>
  <c r="OR9" i="7"/>
  <c r="ON9" i="7"/>
  <c r="OJ9" i="7"/>
  <c r="OF9" i="7"/>
  <c r="OB9" i="7"/>
  <c r="NX9" i="7"/>
  <c r="NT9" i="7"/>
  <c r="NP9" i="7"/>
  <c r="NL9" i="7"/>
  <c r="NH9" i="7"/>
  <c r="ND9" i="7"/>
  <c r="MZ9" i="7"/>
  <c r="MV9" i="7"/>
  <c r="MR9" i="7"/>
  <c r="MN9" i="7"/>
  <c r="MJ9" i="7"/>
  <c r="MF9" i="7"/>
  <c r="MB9" i="7"/>
  <c r="LX9" i="7"/>
  <c r="LT9" i="7"/>
  <c r="LP9" i="7"/>
  <c r="LL9" i="7"/>
  <c r="LH9" i="7"/>
  <c r="LD9" i="7"/>
  <c r="KZ9" i="7"/>
  <c r="KV9" i="7"/>
  <c r="KR9" i="7"/>
  <c r="KN9" i="7"/>
  <c r="KJ9" i="7"/>
  <c r="KF9" i="7"/>
  <c r="KB9" i="7"/>
  <c r="JX9" i="7"/>
  <c r="JT9" i="7"/>
  <c r="JP9" i="7"/>
  <c r="JL9" i="7"/>
  <c r="JH9" i="7"/>
  <c r="JD9" i="7"/>
  <c r="IZ9" i="7"/>
  <c r="IV9" i="7"/>
  <c r="IR9" i="7"/>
  <c r="IN9" i="7"/>
  <c r="IJ9" i="7"/>
  <c r="IF9" i="7"/>
  <c r="IB9" i="7"/>
  <c r="HX9" i="7"/>
  <c r="HT9" i="7"/>
  <c r="HP9" i="7"/>
  <c r="HL9" i="7"/>
  <c r="HH9" i="7"/>
  <c r="HD9" i="7"/>
  <c r="GZ9" i="7"/>
  <c r="GV9" i="7"/>
  <c r="GR9" i="7"/>
  <c r="GN9" i="7"/>
  <c r="GJ9" i="7"/>
  <c r="GF9" i="7"/>
  <c r="GB9" i="7"/>
  <c r="FX9" i="7"/>
  <c r="FT9" i="7"/>
  <c r="FP9" i="7"/>
  <c r="FL9" i="7"/>
  <c r="FH9" i="7"/>
  <c r="FD9" i="7"/>
  <c r="EZ9" i="7"/>
  <c r="EV9" i="7"/>
  <c r="ER9" i="7"/>
  <c r="EN9" i="7"/>
  <c r="EJ9" i="7"/>
  <c r="EF9" i="7"/>
  <c r="EB9" i="7"/>
  <c r="DX9" i="7"/>
  <c r="DT9" i="7"/>
  <c r="DP9" i="7"/>
  <c r="DL9" i="7"/>
  <c r="DH9" i="7"/>
  <c r="DD9" i="7"/>
  <c r="CZ9" i="7"/>
  <c r="CV9" i="7"/>
  <c r="CR9" i="7"/>
  <c r="CN9" i="7"/>
  <c r="CJ9" i="7"/>
  <c r="CF9" i="7"/>
  <c r="CB9" i="7"/>
  <c r="BX9" i="7"/>
  <c r="BT9" i="7"/>
  <c r="BP9" i="7"/>
  <c r="BL9" i="7"/>
  <c r="BH9" i="7"/>
  <c r="BD9" i="7"/>
  <c r="AZ9" i="7"/>
  <c r="AV9" i="7"/>
  <c r="AR9" i="7"/>
  <c r="AN9" i="7"/>
  <c r="AJ9" i="7"/>
  <c r="AF9" i="7"/>
  <c r="AB9" i="7"/>
  <c r="X9" i="7"/>
  <c r="T9" i="7"/>
  <c r="P9" i="7"/>
  <c r="L9" i="7"/>
  <c r="H9" i="7"/>
  <c r="D9" i="7"/>
  <c r="SE8" i="7"/>
  <c r="SA8" i="7"/>
  <c r="RW8" i="7"/>
  <c r="RS8" i="7"/>
  <c r="RO8" i="7"/>
  <c r="RK8" i="7"/>
  <c r="RG8" i="7"/>
  <c r="RC8" i="7"/>
  <c r="QY8" i="7"/>
  <c r="QU8" i="7"/>
  <c r="QQ8" i="7"/>
  <c r="QM8" i="7"/>
  <c r="QI8" i="7"/>
  <c r="QE8" i="7"/>
  <c r="QA8" i="7"/>
  <c r="PW8" i="7"/>
  <c r="PS8" i="7"/>
  <c r="PO8" i="7"/>
  <c r="PK8" i="7"/>
  <c r="PG8" i="7"/>
  <c r="PC8" i="7"/>
  <c r="OY8" i="7"/>
  <c r="OU8" i="7"/>
  <c r="OQ8" i="7"/>
  <c r="OM8" i="7"/>
  <c r="OI8" i="7"/>
  <c r="OE8" i="7"/>
  <c r="OA8" i="7"/>
  <c r="NW8" i="7"/>
  <c r="SD14" i="7"/>
  <c r="RV14" i="7"/>
  <c r="RO14" i="7"/>
  <c r="RI14" i="7"/>
  <c r="RA14" i="7"/>
  <c r="QT14" i="7"/>
  <c r="QM14" i="7"/>
  <c r="QE14" i="7"/>
  <c r="PY14" i="7"/>
  <c r="PR14" i="7"/>
  <c r="PJ14" i="7"/>
  <c r="PC14" i="7"/>
  <c r="OW14" i="7"/>
  <c r="OO14" i="7"/>
  <c r="OH14" i="7"/>
  <c r="OA14" i="7"/>
  <c r="NS14" i="7"/>
  <c r="NM14" i="7"/>
  <c r="NF14" i="7"/>
  <c r="MX14" i="7"/>
  <c r="MQ14" i="7"/>
  <c r="MK14" i="7"/>
  <c r="MC14" i="7"/>
  <c r="LV14" i="7"/>
  <c r="LO14" i="7"/>
  <c r="LG14" i="7"/>
  <c r="LA14" i="7"/>
  <c r="KT14" i="7"/>
  <c r="KL14" i="7"/>
  <c r="KE14" i="7"/>
  <c r="JY14" i="7"/>
  <c r="JQ14" i="7"/>
  <c r="JJ14" i="7"/>
  <c r="JC14" i="7"/>
  <c r="IU14" i="7"/>
  <c r="IO14" i="7"/>
  <c r="IH14" i="7"/>
  <c r="HZ14" i="7"/>
  <c r="HS14" i="7"/>
  <c r="HM14" i="7"/>
  <c r="HE14" i="7"/>
  <c r="GX14" i="7"/>
  <c r="GQ14" i="7"/>
  <c r="GI14" i="7"/>
  <c r="GC14" i="7"/>
  <c r="FV14" i="7"/>
  <c r="FN14" i="7"/>
  <c r="FG14" i="7"/>
  <c r="FA14" i="7"/>
  <c r="ET14" i="7"/>
  <c r="EO14" i="7"/>
  <c r="EJ14" i="7"/>
  <c r="ED14" i="7"/>
  <c r="DY14" i="7"/>
  <c r="DT14" i="7"/>
  <c r="DN14" i="7"/>
  <c r="DI14" i="7"/>
  <c r="DD14" i="7"/>
  <c r="CX14" i="7"/>
  <c r="CS14" i="7"/>
  <c r="CN14" i="7"/>
  <c r="CH14" i="7"/>
  <c r="CC14" i="7"/>
  <c r="BX14" i="7"/>
  <c r="BR14" i="7"/>
  <c r="BM14" i="7"/>
  <c r="BH14" i="7"/>
  <c r="BB14" i="7"/>
  <c r="AW14" i="7"/>
  <c r="AR14" i="7"/>
  <c r="AL14" i="7"/>
  <c r="AG14" i="7"/>
  <c r="AB14" i="7"/>
  <c r="V14" i="7"/>
  <c r="Q14" i="7"/>
  <c r="L14" i="7"/>
  <c r="F14" i="7"/>
  <c r="A14" i="7"/>
  <c r="RZ14" i="7"/>
  <c r="RK14" i="7"/>
  <c r="QX14" i="7"/>
  <c r="QI14" i="7"/>
  <c r="PU14" i="7"/>
  <c r="PG14" i="7"/>
  <c r="OS14" i="7"/>
  <c r="OD14" i="7"/>
  <c r="NQ14" i="7"/>
  <c r="NB14" i="7"/>
  <c r="MM14" i="7"/>
  <c r="LZ14" i="7"/>
  <c r="LK14" i="7"/>
  <c r="KW14" i="7"/>
  <c r="KI14" i="7"/>
  <c r="JU14" i="7"/>
  <c r="JF14" i="7"/>
  <c r="IS14" i="7"/>
  <c r="ID14" i="7"/>
  <c r="HO14" i="7"/>
  <c r="HB14" i="7"/>
  <c r="GM14" i="7"/>
  <c r="FY14" i="7"/>
  <c r="FK14" i="7"/>
  <c r="EW14" i="7"/>
  <c r="EL14" i="7"/>
  <c r="EB14" i="7"/>
  <c r="DQ14" i="7"/>
  <c r="DF14" i="7"/>
  <c r="CV14" i="7"/>
  <c r="CK14" i="7"/>
  <c r="BZ14" i="7"/>
  <c r="BP14" i="7"/>
  <c r="BE14" i="7"/>
  <c r="AT14" i="7"/>
  <c r="AJ14" i="7"/>
  <c r="Y14" i="7"/>
  <c r="N14" i="7"/>
  <c r="D14" i="7"/>
  <c r="RY13" i="7"/>
  <c r="RS13" i="7"/>
  <c r="RK13" i="7"/>
  <c r="RD13" i="7"/>
  <c r="QW13" i="7"/>
  <c r="QO13" i="7"/>
  <c r="QI13" i="7"/>
  <c r="QB13" i="7"/>
  <c r="PT13" i="7"/>
  <c r="PM13" i="7"/>
  <c r="PG13" i="7"/>
  <c r="OY13" i="7"/>
  <c r="OR13" i="7"/>
  <c r="OK13" i="7"/>
  <c r="OC13" i="7"/>
  <c r="NW13" i="7"/>
  <c r="NP13" i="7"/>
  <c r="NH13" i="7"/>
  <c r="NA13" i="7"/>
  <c r="MU13" i="7"/>
  <c r="MM13" i="7"/>
  <c r="MF13" i="7"/>
  <c r="LY13" i="7"/>
  <c r="LQ13" i="7"/>
  <c r="LK13" i="7"/>
  <c r="LD13" i="7"/>
  <c r="KV13" i="7"/>
  <c r="KO13" i="7"/>
  <c r="KI13" i="7"/>
  <c r="KA13" i="7"/>
  <c r="JT13" i="7"/>
  <c r="JM13" i="7"/>
  <c r="JE13" i="7"/>
  <c r="IY13" i="7"/>
  <c r="IR13" i="7"/>
  <c r="IJ13" i="7"/>
  <c r="IC13" i="7"/>
  <c r="HW13" i="7"/>
  <c r="HO13" i="7"/>
  <c r="HH13" i="7"/>
  <c r="HA13" i="7"/>
  <c r="GS13" i="7"/>
  <c r="GM13" i="7"/>
  <c r="RS14" i="7"/>
  <c r="QY14" i="7"/>
  <c r="QD14" i="7"/>
  <c r="PN14" i="7"/>
  <c r="OT14" i="7"/>
  <c r="NY14" i="7"/>
  <c r="NI14" i="7"/>
  <c r="MP14" i="7"/>
  <c r="LU14" i="7"/>
  <c r="LE14" i="7"/>
  <c r="KK14" i="7"/>
  <c r="JO14" i="7"/>
  <c r="IY14" i="7"/>
  <c r="IE14" i="7"/>
  <c r="HJ14" i="7"/>
  <c r="GT14" i="7"/>
  <c r="GA14" i="7"/>
  <c r="FF14" i="7"/>
  <c r="ER14" i="7"/>
  <c r="EC14" i="7"/>
  <c r="DM14" i="7"/>
  <c r="DA14" i="7"/>
  <c r="CL14" i="7"/>
  <c r="BV14" i="7"/>
  <c r="BJ14" i="7"/>
  <c r="AV14" i="7"/>
  <c r="AF14" i="7"/>
  <c r="T14" i="7"/>
  <c r="E14" i="7"/>
  <c r="RX13" i="7"/>
  <c r="RO13" i="7"/>
  <c r="RE13" i="7"/>
  <c r="QU13" i="7"/>
  <c r="QM13" i="7"/>
  <c r="QC13" i="7"/>
  <c r="PS13" i="7"/>
  <c r="PI13" i="7"/>
  <c r="PA13" i="7"/>
  <c r="OQ13" i="7"/>
  <c r="OG13" i="7"/>
  <c r="NX13" i="7"/>
  <c r="NM13" i="7"/>
  <c r="NE13" i="7"/>
  <c r="MV13" i="7"/>
  <c r="MK13" i="7"/>
  <c r="MB13" i="7"/>
  <c r="LT13" i="7"/>
  <c r="LI13" i="7"/>
  <c r="KZ13" i="7"/>
  <c r="KQ13" i="7"/>
  <c r="KF13" i="7"/>
  <c r="JX13" i="7"/>
  <c r="JO13" i="7"/>
  <c r="JD13" i="7"/>
  <c r="IU13" i="7"/>
  <c r="IM13" i="7"/>
  <c r="IB13" i="7"/>
  <c r="HS13" i="7"/>
  <c r="HI13" i="7"/>
  <c r="GY13" i="7"/>
  <c r="GQ13" i="7"/>
  <c r="GG13" i="7"/>
  <c r="GA13" i="7"/>
  <c r="FS13" i="7"/>
  <c r="FL13" i="7"/>
  <c r="FE13" i="7"/>
  <c r="EW13" i="7"/>
  <c r="EQ13" i="7"/>
  <c r="EJ13" i="7"/>
  <c r="EB13" i="7"/>
  <c r="DU13" i="7"/>
  <c r="DO13" i="7"/>
  <c r="DG13" i="7"/>
  <c r="CZ13" i="7"/>
  <c r="CS13" i="7"/>
  <c r="CK13" i="7"/>
  <c r="CE13" i="7"/>
  <c r="BX13" i="7"/>
  <c r="BP13" i="7"/>
  <c r="BI13" i="7"/>
  <c r="BC13" i="7"/>
  <c r="AU13" i="7"/>
  <c r="AN13" i="7"/>
  <c r="AG13" i="7"/>
  <c r="Y13" i="7"/>
  <c r="S13" i="7"/>
  <c r="L13" i="7"/>
  <c r="D13" i="7"/>
  <c r="SB12" i="7"/>
  <c r="RV12" i="7"/>
  <c r="RN12" i="7"/>
  <c r="RG12" i="7"/>
  <c r="QZ12" i="7"/>
  <c r="QR12" i="7"/>
  <c r="QL12" i="7"/>
  <c r="QE12" i="7"/>
  <c r="SA14" i="7"/>
  <c r="RF14" i="7"/>
  <c r="QP14" i="7"/>
  <c r="PW14" i="7"/>
  <c r="PB14" i="7"/>
  <c r="OL14" i="7"/>
  <c r="NR14" i="7"/>
  <c r="MW14" i="7"/>
  <c r="MG14" i="7"/>
  <c r="LM14" i="7"/>
  <c r="KQ14" i="7"/>
  <c r="KA14" i="7"/>
  <c r="JI14" i="7"/>
  <c r="IM14" i="7"/>
  <c r="HW14" i="7"/>
  <c r="HC14" i="7"/>
  <c r="GH14" i="7"/>
  <c r="FR14" i="7"/>
  <c r="EX14" i="7"/>
  <c r="EH14" i="7"/>
  <c r="DV14" i="7"/>
  <c r="DH14" i="7"/>
  <c r="CR14" i="7"/>
  <c r="CF14" i="7"/>
  <c r="BQ14" i="7"/>
  <c r="BA14" i="7"/>
  <c r="AO14" i="7"/>
  <c r="Z14" i="7"/>
  <c r="J14" i="7"/>
  <c r="SC13" i="7"/>
  <c r="RT13" i="7"/>
  <c r="RI13" i="7"/>
  <c r="QZ13" i="7"/>
  <c r="QR13" i="7"/>
  <c r="QG13" i="7"/>
  <c r="PX13" i="7"/>
  <c r="PO13" i="7"/>
  <c r="PD13" i="7"/>
  <c r="OV13" i="7"/>
  <c r="OM13" i="7"/>
  <c r="OB13" i="7"/>
  <c r="NS13" i="7"/>
  <c r="NK13" i="7"/>
  <c r="MZ13" i="7"/>
  <c r="MQ13" i="7"/>
  <c r="MG13" i="7"/>
  <c r="LW13" i="7"/>
  <c r="LO13" i="7"/>
  <c r="LE13" i="7"/>
  <c r="KU13" i="7"/>
  <c r="KK13" i="7"/>
  <c r="KC13" i="7"/>
  <c r="JS13" i="7"/>
  <c r="JI13" i="7"/>
  <c r="IZ13" i="7"/>
  <c r="IO13" i="7"/>
  <c r="IG13" i="7"/>
  <c r="HX13" i="7"/>
  <c r="HM13" i="7"/>
  <c r="HD13" i="7"/>
  <c r="GV13" i="7"/>
  <c r="GK13" i="7"/>
  <c r="GC13" i="7"/>
  <c r="FW13" i="7"/>
  <c r="FP13" i="7"/>
  <c r="FH13" i="7"/>
  <c r="FA13" i="7"/>
  <c r="EU13" i="7"/>
  <c r="EM13" i="7"/>
  <c r="EF13" i="7"/>
  <c r="DY13" i="7"/>
  <c r="DQ13" i="7"/>
  <c r="DK13" i="7"/>
  <c r="DD13" i="7"/>
  <c r="CV13" i="7"/>
  <c r="CO13" i="7"/>
  <c r="CI13" i="7"/>
  <c r="CA13" i="7"/>
  <c r="BT13" i="7"/>
  <c r="BM13" i="7"/>
  <c r="BE13" i="7"/>
  <c r="AY13" i="7"/>
  <c r="AR13" i="7"/>
  <c r="AJ13" i="7"/>
  <c r="AC13" i="7"/>
  <c r="W13" i="7"/>
  <c r="O13" i="7"/>
  <c r="H13" i="7"/>
  <c r="A13" i="7"/>
  <c r="RX12" i="7"/>
  <c r="RR12" i="7"/>
  <c r="RK12" i="7"/>
  <c r="RC12" i="7"/>
  <c r="QV12" i="7"/>
  <c r="QP12" i="7"/>
  <c r="QH12" i="7"/>
  <c r="QA12" i="7"/>
  <c r="PT12" i="7"/>
  <c r="PL12" i="7"/>
  <c r="PF12" i="7"/>
  <c r="OY12" i="7"/>
  <c r="OQ12" i="7"/>
  <c r="OJ12" i="7"/>
  <c r="OD12" i="7"/>
  <c r="NV12" i="7"/>
  <c r="NO12" i="7"/>
  <c r="NH12" i="7"/>
  <c r="MZ12" i="7"/>
  <c r="MT12" i="7"/>
  <c r="MM12" i="7"/>
  <c r="ME12" i="7"/>
  <c r="LX12" i="7"/>
  <c r="LR12" i="7"/>
  <c r="LJ12" i="7"/>
  <c r="LC12" i="7"/>
  <c r="KV12" i="7"/>
  <c r="KN12" i="7"/>
  <c r="KH12" i="7"/>
  <c r="KA12" i="7"/>
  <c r="JS12" i="7"/>
  <c r="JL12" i="7"/>
  <c r="JF12" i="7"/>
  <c r="IX12" i="7"/>
  <c r="IQ12" i="7"/>
  <c r="IJ12" i="7"/>
  <c r="IB12" i="7"/>
  <c r="HV12" i="7"/>
  <c r="HO12" i="7"/>
  <c r="HG12" i="7"/>
  <c r="GZ12" i="7"/>
  <c r="GT12" i="7"/>
  <c r="GL12" i="7"/>
  <c r="GE12" i="7"/>
  <c r="FX12" i="7"/>
  <c r="FP12" i="7"/>
  <c r="FJ12" i="7"/>
  <c r="FC12" i="7"/>
  <c r="EU12" i="7"/>
  <c r="EN12" i="7"/>
  <c r="EH12" i="7"/>
  <c r="DZ12" i="7"/>
  <c r="DS12" i="7"/>
  <c r="DL12" i="7"/>
  <c r="DD12" i="7"/>
  <c r="CX12" i="7"/>
  <c r="CR12" i="7"/>
  <c r="CL12" i="7"/>
  <c r="CG12" i="7"/>
  <c r="CB12" i="7"/>
  <c r="BV12" i="7"/>
  <c r="BQ12" i="7"/>
  <c r="BL12" i="7"/>
  <c r="BF12" i="7"/>
  <c r="BA12" i="7"/>
  <c r="AV12" i="7"/>
  <c r="AP12" i="7"/>
  <c r="AK12" i="7"/>
  <c r="AF12" i="7"/>
  <c r="Z12" i="7"/>
  <c r="U12" i="7"/>
  <c r="P12" i="7"/>
  <c r="J12" i="7"/>
  <c r="E12" i="7"/>
  <c r="SE11" i="7"/>
  <c r="RY11" i="7"/>
  <c r="RT11" i="7"/>
  <c r="RO11" i="7"/>
  <c r="RU14" i="7"/>
  <c r="QK14" i="7"/>
  <c r="OY14" i="7"/>
  <c r="NK14" i="7"/>
  <c r="MA14" i="7"/>
  <c r="KP14" i="7"/>
  <c r="JA14" i="7"/>
  <c r="HR14" i="7"/>
  <c r="GG14" i="7"/>
  <c r="ES14" i="7"/>
  <c r="DR14" i="7"/>
  <c r="CP14" i="7"/>
  <c r="BL14" i="7"/>
  <c r="AK14" i="7"/>
  <c r="I14" i="7"/>
  <c r="RP13" i="7"/>
  <c r="QY13" i="7"/>
  <c r="QE13" i="7"/>
  <c r="PL13" i="7"/>
  <c r="OS13" i="7"/>
  <c r="OA13" i="7"/>
  <c r="NG13" i="7"/>
  <c r="MO13" i="7"/>
  <c r="LU13" i="7"/>
  <c r="LA13" i="7"/>
  <c r="KJ13" i="7"/>
  <c r="JP13" i="7"/>
  <c r="IW13" i="7"/>
  <c r="IE13" i="7"/>
  <c r="HL13" i="7"/>
  <c r="GR13" i="7"/>
  <c r="GB13" i="7"/>
  <c r="FM13" i="7"/>
  <c r="EZ13" i="7"/>
  <c r="EK13" i="7"/>
  <c r="DW13" i="7"/>
  <c r="DI13" i="7"/>
  <c r="CU13" i="7"/>
  <c r="CF13" i="7"/>
  <c r="BS13" i="7"/>
  <c r="BD13" i="7"/>
  <c r="AO13" i="7"/>
  <c r="AB13" i="7"/>
  <c r="M13" i="7"/>
  <c r="SD12" i="7"/>
  <c r="RP12" i="7"/>
  <c r="RB12" i="7"/>
  <c r="QM12" i="7"/>
  <c r="PZ12" i="7"/>
  <c r="PP12" i="7"/>
  <c r="PG12" i="7"/>
  <c r="OV12" i="7"/>
  <c r="ON12" i="7"/>
  <c r="OE12" i="7"/>
  <c r="NT12" i="7"/>
  <c r="NK12" i="7"/>
  <c r="NC12" i="7"/>
  <c r="MR12" i="7"/>
  <c r="MI12" i="7"/>
  <c r="LZ12" i="7"/>
  <c r="LO12" i="7"/>
  <c r="LG12" i="7"/>
  <c r="KX12" i="7"/>
  <c r="KM12" i="7"/>
  <c r="KD12" i="7"/>
  <c r="JV12" i="7"/>
  <c r="JK12" i="7"/>
  <c r="JB12" i="7"/>
  <c r="IR12" i="7"/>
  <c r="IH12" i="7"/>
  <c r="HZ12" i="7"/>
  <c r="HP12" i="7"/>
  <c r="HF12" i="7"/>
  <c r="GV12" i="7"/>
  <c r="GN12" i="7"/>
  <c r="GD12" i="7"/>
  <c r="FT12" i="7"/>
  <c r="FK12" i="7"/>
  <c r="EZ12" i="7"/>
  <c r="ER12" i="7"/>
  <c r="EI12" i="7"/>
  <c r="DX12" i="7"/>
  <c r="DO12" i="7"/>
  <c r="DG12" i="7"/>
  <c r="CV12" i="7"/>
  <c r="CO12" i="7"/>
  <c r="CH12" i="7"/>
  <c r="BZ12" i="7"/>
  <c r="BT12" i="7"/>
  <c r="BM12" i="7"/>
  <c r="BE12" i="7"/>
  <c r="AX12" i="7"/>
  <c r="AR12" i="7"/>
  <c r="AJ12" i="7"/>
  <c r="AC12" i="7"/>
  <c r="V12" i="7"/>
  <c r="N12" i="7"/>
  <c r="H12" i="7"/>
  <c r="A12" i="7"/>
  <c r="RX11" i="7"/>
  <c r="RQ11" i="7"/>
  <c r="RK11" i="7"/>
  <c r="RE11" i="7"/>
  <c r="QZ11" i="7"/>
  <c r="QU11" i="7"/>
  <c r="QO11" i="7"/>
  <c r="QJ11" i="7"/>
  <c r="QE11" i="7"/>
  <c r="PY11" i="7"/>
  <c r="PT11" i="7"/>
  <c r="PO11" i="7"/>
  <c r="PI11" i="7"/>
  <c r="PD11" i="7"/>
  <c r="OY11" i="7"/>
  <c r="OS11" i="7"/>
  <c r="ON11" i="7"/>
  <c r="OI11" i="7"/>
  <c r="OC11" i="7"/>
  <c r="NX11" i="7"/>
  <c r="NS11" i="7"/>
  <c r="NM11" i="7"/>
  <c r="NH11" i="7"/>
  <c r="NC11" i="7"/>
  <c r="MW11" i="7"/>
  <c r="MR11" i="7"/>
  <c r="MM11" i="7"/>
  <c r="MG11" i="7"/>
  <c r="MB11" i="7"/>
  <c r="LW11" i="7"/>
  <c r="LQ11" i="7"/>
  <c r="LL11" i="7"/>
  <c r="LG11" i="7"/>
  <c r="LA11" i="7"/>
  <c r="KV11" i="7"/>
  <c r="KQ11" i="7"/>
  <c r="KK11" i="7"/>
  <c r="KF11" i="7"/>
  <c r="KA11" i="7"/>
  <c r="JU11" i="7"/>
  <c r="JP11" i="7"/>
  <c r="JK11" i="7"/>
  <c r="JE11" i="7"/>
  <c r="IZ11" i="7"/>
  <c r="IU11" i="7"/>
  <c r="IO11" i="7"/>
  <c r="IJ11" i="7"/>
  <c r="IE11" i="7"/>
  <c r="HY11" i="7"/>
  <c r="HT11" i="7"/>
  <c r="HO11" i="7"/>
  <c r="HI11" i="7"/>
  <c r="HD11" i="7"/>
  <c r="GY11" i="7"/>
  <c r="GS11" i="7"/>
  <c r="GN11" i="7"/>
  <c r="GI11" i="7"/>
  <c r="GC11" i="7"/>
  <c r="FX11" i="7"/>
  <c r="FS11" i="7"/>
  <c r="FM11" i="7"/>
  <c r="FH11" i="7"/>
  <c r="FC11" i="7"/>
  <c r="EW11" i="7"/>
  <c r="ER11" i="7"/>
  <c r="EM11" i="7"/>
  <c r="EG11" i="7"/>
  <c r="EB11" i="7"/>
  <c r="DW11" i="7"/>
  <c r="DQ11" i="7"/>
  <c r="DL11" i="7"/>
  <c r="DG11" i="7"/>
  <c r="DA11" i="7"/>
  <c r="CV11" i="7"/>
  <c r="CQ11" i="7"/>
  <c r="CK11" i="7"/>
  <c r="CF11" i="7"/>
  <c r="CA11" i="7"/>
  <c r="BU11" i="7"/>
  <c r="BP11" i="7"/>
  <c r="BK11" i="7"/>
  <c r="BE11" i="7"/>
  <c r="AZ11" i="7"/>
  <c r="AU11" i="7"/>
  <c r="AO11" i="7"/>
  <c r="AJ11" i="7"/>
  <c r="AE11" i="7"/>
  <c r="Y11" i="7"/>
  <c r="T11" i="7"/>
  <c r="O11" i="7"/>
  <c r="I11" i="7"/>
  <c r="D11" i="7"/>
  <c r="SD10" i="7"/>
  <c r="RX10" i="7"/>
  <c r="RS10" i="7"/>
  <c r="RN10" i="7"/>
  <c r="RH10" i="7"/>
  <c r="RC10" i="7"/>
  <c r="QX10" i="7"/>
  <c r="QR10" i="7"/>
  <c r="QM10" i="7"/>
  <c r="QH10" i="7"/>
  <c r="QB10" i="7"/>
  <c r="PW10" i="7"/>
  <c r="PR10" i="7"/>
  <c r="PL10" i="7"/>
  <c r="PG10" i="7"/>
  <c r="PB10" i="7"/>
  <c r="OV10" i="7"/>
  <c r="OQ10" i="7"/>
  <c r="OL10" i="7"/>
  <c r="OF10" i="7"/>
  <c r="OA10" i="7"/>
  <c r="NV10" i="7"/>
  <c r="NP10" i="7"/>
  <c r="NK10" i="7"/>
  <c r="NF10" i="7"/>
  <c r="MZ10" i="7"/>
  <c r="MU10" i="7"/>
  <c r="MP10" i="7"/>
  <c r="MJ10" i="7"/>
  <c r="ME10" i="7"/>
  <c r="LZ10" i="7"/>
  <c r="LT10" i="7"/>
  <c r="LO10" i="7"/>
  <c r="LJ10" i="7"/>
  <c r="LD10" i="7"/>
  <c r="KY10" i="7"/>
  <c r="KT10" i="7"/>
  <c r="KN10" i="7"/>
  <c r="KI10" i="7"/>
  <c r="KD10" i="7"/>
  <c r="JX10" i="7"/>
  <c r="JS10" i="7"/>
  <c r="JN10" i="7"/>
  <c r="JH10" i="7"/>
  <c r="JC10" i="7"/>
  <c r="IX10" i="7"/>
  <c r="IR10" i="7"/>
  <c r="IM10" i="7"/>
  <c r="IH10" i="7"/>
  <c r="IB10" i="7"/>
  <c r="HW10" i="7"/>
  <c r="HR10" i="7"/>
  <c r="HL10" i="7"/>
  <c r="HG10" i="7"/>
  <c r="HB10" i="7"/>
  <c r="GV10" i="7"/>
  <c r="GQ10" i="7"/>
  <c r="GL10" i="7"/>
  <c r="GF10" i="7"/>
  <c r="GA10" i="7"/>
  <c r="FV10" i="7"/>
  <c r="FP10" i="7"/>
  <c r="FK10" i="7"/>
  <c r="FF10" i="7"/>
  <c r="EZ10" i="7"/>
  <c r="EU10" i="7"/>
  <c r="EP10" i="7"/>
  <c r="EJ10" i="7"/>
  <c r="EE10" i="7"/>
  <c r="DZ10" i="7"/>
  <c r="DT10" i="7"/>
  <c r="DO10" i="7"/>
  <c r="DJ10" i="7"/>
  <c r="DD10" i="7"/>
  <c r="CY10" i="7"/>
  <c r="CT10" i="7"/>
  <c r="CN10" i="7"/>
  <c r="CI10" i="7"/>
  <c r="CD10" i="7"/>
  <c r="BX10" i="7"/>
  <c r="BS10" i="7"/>
  <c r="BN10" i="7"/>
  <c r="BH10" i="7"/>
  <c r="BC10" i="7"/>
  <c r="AX10" i="7"/>
  <c r="AR10" i="7"/>
  <c r="AM10" i="7"/>
  <c r="AH10" i="7"/>
  <c r="AB10" i="7"/>
  <c r="W10" i="7"/>
  <c r="R10" i="7"/>
  <c r="L10" i="7"/>
  <c r="G10" i="7"/>
  <c r="B10" i="7"/>
  <c r="SA9" i="7"/>
  <c r="RV9" i="7"/>
  <c r="RQ9" i="7"/>
  <c r="RK9" i="7"/>
  <c r="RF9" i="7"/>
  <c r="RA9" i="7"/>
  <c r="QU9" i="7"/>
  <c r="QP9" i="7"/>
  <c r="QK9" i="7"/>
  <c r="QE9" i="7"/>
  <c r="PZ9" i="7"/>
  <c r="PU9" i="7"/>
  <c r="PO9" i="7"/>
  <c r="PJ9" i="7"/>
  <c r="PE9" i="7"/>
  <c r="OY9" i="7"/>
  <c r="OT9" i="7"/>
  <c r="OO9" i="7"/>
  <c r="OI9" i="7"/>
  <c r="OD9" i="7"/>
  <c r="NY9" i="7"/>
  <c r="NS9" i="7"/>
  <c r="NN9" i="7"/>
  <c r="NI9" i="7"/>
  <c r="NC9" i="7"/>
  <c r="MX9" i="7"/>
  <c r="MS9" i="7"/>
  <c r="MM9" i="7"/>
  <c r="MH9" i="7"/>
  <c r="MC9" i="7"/>
  <c r="LW9" i="7"/>
  <c r="LR9" i="7"/>
  <c r="LM9" i="7"/>
  <c r="LG9" i="7"/>
  <c r="LB9" i="7"/>
  <c r="KW9" i="7"/>
  <c r="KQ9" i="7"/>
  <c r="KL9" i="7"/>
  <c r="KG9" i="7"/>
  <c r="KA9" i="7"/>
  <c r="JV9" i="7"/>
  <c r="JQ9" i="7"/>
  <c r="JK9" i="7"/>
  <c r="JF9" i="7"/>
  <c r="JA9" i="7"/>
  <c r="IU9" i="7"/>
  <c r="IP9" i="7"/>
  <c r="IK9" i="7"/>
  <c r="IE9" i="7"/>
  <c r="HZ9" i="7"/>
  <c r="HU9" i="7"/>
  <c r="HO9" i="7"/>
  <c r="HJ9" i="7"/>
  <c r="HE9" i="7"/>
  <c r="GY9" i="7"/>
  <c r="GT9" i="7"/>
  <c r="GO9" i="7"/>
  <c r="GI9" i="7"/>
  <c r="GD9" i="7"/>
  <c r="FY9" i="7"/>
  <c r="FS9" i="7"/>
  <c r="FN9" i="7"/>
  <c r="FI9" i="7"/>
  <c r="FC9" i="7"/>
  <c r="EX9" i="7"/>
  <c r="ES9" i="7"/>
  <c r="EM9" i="7"/>
  <c r="EH9" i="7"/>
  <c r="EC9" i="7"/>
  <c r="DW9" i="7"/>
  <c r="DR9" i="7"/>
  <c r="DM9" i="7"/>
  <c r="DG9" i="7"/>
  <c r="DB9" i="7"/>
  <c r="CW9" i="7"/>
  <c r="CQ9" i="7"/>
  <c r="CL9" i="7"/>
  <c r="CG9" i="7"/>
  <c r="CA9" i="7"/>
  <c r="BV9" i="7"/>
  <c r="BQ9" i="7"/>
  <c r="BK9" i="7"/>
  <c r="BF9" i="7"/>
  <c r="BA9" i="7"/>
  <c r="AU9" i="7"/>
  <c r="AP9" i="7"/>
  <c r="AK9" i="7"/>
  <c r="AE9" i="7"/>
  <c r="Z9" i="7"/>
  <c r="U9" i="7"/>
  <c r="O9" i="7"/>
  <c r="J9" i="7"/>
  <c r="E9" i="7"/>
  <c r="SD8" i="7"/>
  <c r="RY8" i="7"/>
  <c r="RT8" i="7"/>
  <c r="RN8" i="7"/>
  <c r="RI8" i="7"/>
  <c r="RD8" i="7"/>
  <c r="QX8" i="7"/>
  <c r="QS8" i="7"/>
  <c r="QN8" i="7"/>
  <c r="QH8" i="7"/>
  <c r="QC8" i="7"/>
  <c r="PX8" i="7"/>
  <c r="PR8" i="7"/>
  <c r="PM8" i="7"/>
  <c r="PH8" i="7"/>
  <c r="PB8" i="7"/>
  <c r="OW8" i="7"/>
  <c r="OR8" i="7"/>
  <c r="OL8" i="7"/>
  <c r="OG8" i="7"/>
  <c r="OB8" i="7"/>
  <c r="NV8" i="7"/>
  <c r="NR8" i="7"/>
  <c r="NN8" i="7"/>
  <c r="NJ8" i="7"/>
  <c r="NF8" i="7"/>
  <c r="NB8" i="7"/>
  <c r="MX8" i="7"/>
  <c r="MT8" i="7"/>
  <c r="MP8" i="7"/>
  <c r="ML8" i="7"/>
  <c r="MH8" i="7"/>
  <c r="MD8" i="7"/>
  <c r="LZ8" i="7"/>
  <c r="LV8" i="7"/>
  <c r="LR8" i="7"/>
  <c r="LN8" i="7"/>
  <c r="LJ8" i="7"/>
  <c r="LF8" i="7"/>
  <c r="LB8" i="7"/>
  <c r="KX8" i="7"/>
  <c r="KT8" i="7"/>
  <c r="KP8" i="7"/>
  <c r="KL8" i="7"/>
  <c r="KH8" i="7"/>
  <c r="KD8" i="7"/>
  <c r="JZ8" i="7"/>
  <c r="JV8" i="7"/>
  <c r="JR8" i="7"/>
  <c r="JN8" i="7"/>
  <c r="JJ8" i="7"/>
  <c r="JF8" i="7"/>
  <c r="JB8" i="7"/>
  <c r="IX8" i="7"/>
  <c r="IT8" i="7"/>
  <c r="IP8" i="7"/>
  <c r="IL8" i="7"/>
  <c r="IH8" i="7"/>
  <c r="ID8" i="7"/>
  <c r="HZ8" i="7"/>
  <c r="HV8" i="7"/>
  <c r="HR8" i="7"/>
  <c r="HN8" i="7"/>
  <c r="HJ8" i="7"/>
  <c r="HF8" i="7"/>
  <c r="HB8" i="7"/>
  <c r="GX8" i="7"/>
  <c r="GT8" i="7"/>
  <c r="GP8" i="7"/>
  <c r="GL8" i="7"/>
  <c r="GH8" i="7"/>
  <c r="GD8" i="7"/>
  <c r="FZ8" i="7"/>
  <c r="FV8" i="7"/>
  <c r="FR8" i="7"/>
  <c r="FN8" i="7"/>
  <c r="FJ8" i="7"/>
  <c r="FF8" i="7"/>
  <c r="FB8" i="7"/>
  <c r="EX8" i="7"/>
  <c r="ET8" i="7"/>
  <c r="EP8" i="7"/>
  <c r="EL8" i="7"/>
  <c r="EH8" i="7"/>
  <c r="ED8" i="7"/>
  <c r="DZ8" i="7"/>
  <c r="DV8" i="7"/>
  <c r="DR8" i="7"/>
  <c r="DN8" i="7"/>
  <c r="DJ8" i="7"/>
  <c r="DF8" i="7"/>
  <c r="DB8" i="7"/>
  <c r="CX8" i="7"/>
  <c r="CT8" i="7"/>
  <c r="CP8" i="7"/>
  <c r="CL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RE14" i="7"/>
  <c r="PO14" i="7"/>
  <c r="OG14" i="7"/>
  <c r="MU14" i="7"/>
  <c r="LF14" i="7"/>
  <c r="JV14" i="7"/>
  <c r="IK14" i="7"/>
  <c r="GW14" i="7"/>
  <c r="FM14" i="7"/>
  <c r="EG14" i="7"/>
  <c r="DB14" i="7"/>
  <c r="CB14" i="7"/>
  <c r="AZ14" i="7"/>
  <c r="U14" i="7"/>
  <c r="SA13" i="7"/>
  <c r="RH13" i="7"/>
  <c r="QN13" i="7"/>
  <c r="PW13" i="7"/>
  <c r="PC13" i="7"/>
  <c r="OI13" i="7"/>
  <c r="NQ13" i="7"/>
  <c r="MW13" i="7"/>
  <c r="ME13" i="7"/>
  <c r="LL13" i="7"/>
  <c r="KS13" i="7"/>
  <c r="JY13" i="7"/>
  <c r="JH13" i="7"/>
  <c r="IN13" i="7"/>
  <c r="HT13" i="7"/>
  <c r="HC13" i="7"/>
  <c r="GI13" i="7"/>
  <c r="FU13" i="7"/>
  <c r="FG13" i="7"/>
  <c r="ER13" i="7"/>
  <c r="EE13" i="7"/>
  <c r="DP13" i="7"/>
  <c r="DA13" i="7"/>
  <c r="CN13" i="7"/>
  <c r="BY13" i="7"/>
  <c r="BK13" i="7"/>
  <c r="AW13" i="7"/>
  <c r="AI13" i="7"/>
  <c r="T13" i="7"/>
  <c r="G13" i="7"/>
  <c r="RW12" i="7"/>
  <c r="RH12" i="7"/>
  <c r="QU12" i="7"/>
  <c r="QF12" i="7"/>
  <c r="PV12" i="7"/>
  <c r="PK12" i="7"/>
  <c r="PB12" i="7"/>
  <c r="OT12" i="7"/>
  <c r="OI12" i="7"/>
  <c r="NZ12" i="7"/>
  <c r="NP12" i="7"/>
  <c r="NF12" i="7"/>
  <c r="MX12" i="7"/>
  <c r="MN12" i="7"/>
  <c r="MD12" i="7"/>
  <c r="LT12" i="7"/>
  <c r="LL12" i="7"/>
  <c r="LB12" i="7"/>
  <c r="KR12" i="7"/>
  <c r="KI12" i="7"/>
  <c r="JX12" i="7"/>
  <c r="JP12" i="7"/>
  <c r="JG12" i="7"/>
  <c r="IV12" i="7"/>
  <c r="IM12" i="7"/>
  <c r="IE12" i="7"/>
  <c r="HT12" i="7"/>
  <c r="HK12" i="7"/>
  <c r="HB12" i="7"/>
  <c r="GQ12" i="7"/>
  <c r="GI12" i="7"/>
  <c r="FZ12" i="7"/>
  <c r="FO12" i="7"/>
  <c r="FF12" i="7"/>
  <c r="EX12" i="7"/>
  <c r="EM12" i="7"/>
  <c r="ED12" i="7"/>
  <c r="DT12" i="7"/>
  <c r="DJ12" i="7"/>
  <c r="DB12" i="7"/>
  <c r="CS12" i="7"/>
  <c r="CK12" i="7"/>
  <c r="CD12" i="7"/>
  <c r="BX12" i="7"/>
  <c r="BP12" i="7"/>
  <c r="BI12" i="7"/>
  <c r="BB12" i="7"/>
  <c r="AT12" i="7"/>
  <c r="AN12" i="7"/>
  <c r="AG12" i="7"/>
  <c r="Y12" i="7"/>
  <c r="R12" i="7"/>
  <c r="L12" i="7"/>
  <c r="D12" i="7"/>
  <c r="SB11" i="7"/>
  <c r="RU11" i="7"/>
  <c r="RM11" i="7"/>
  <c r="RH11" i="7"/>
  <c r="RC11" i="7"/>
  <c r="QW11" i="7"/>
  <c r="QR11" i="7"/>
  <c r="QM11" i="7"/>
  <c r="QG11" i="7"/>
  <c r="QB11" i="7"/>
  <c r="PW11" i="7"/>
  <c r="PQ11" i="7"/>
  <c r="PL11" i="7"/>
  <c r="PG11" i="7"/>
  <c r="PA11" i="7"/>
  <c r="OV11" i="7"/>
  <c r="OQ11" i="7"/>
  <c r="OK11" i="7"/>
  <c r="OF11" i="7"/>
  <c r="OA11" i="7"/>
  <c r="NU11" i="7"/>
  <c r="NP11" i="7"/>
  <c r="NK11" i="7"/>
  <c r="NE11" i="7"/>
  <c r="MZ11" i="7"/>
  <c r="MU11" i="7"/>
  <c r="MO11" i="7"/>
  <c r="MJ11" i="7"/>
  <c r="ME11" i="7"/>
  <c r="LY11" i="7"/>
  <c r="LT11" i="7"/>
  <c r="LO11" i="7"/>
  <c r="LI11" i="7"/>
  <c r="LD11" i="7"/>
  <c r="KY11" i="7"/>
  <c r="KS11" i="7"/>
  <c r="KN11" i="7"/>
  <c r="KI11" i="7"/>
  <c r="KC11" i="7"/>
  <c r="JX11" i="7"/>
  <c r="JS11" i="7"/>
  <c r="JM11" i="7"/>
  <c r="JH11" i="7"/>
  <c r="JC11" i="7"/>
  <c r="IW11" i="7"/>
  <c r="IR11" i="7"/>
  <c r="IM11" i="7"/>
  <c r="IG11" i="7"/>
  <c r="IB11" i="7"/>
  <c r="HW11" i="7"/>
  <c r="HQ11" i="7"/>
  <c r="HL11" i="7"/>
  <c r="HG11" i="7"/>
  <c r="HA11" i="7"/>
  <c r="GV11" i="7"/>
  <c r="GQ11" i="7"/>
  <c r="GK11" i="7"/>
  <c r="GF11" i="7"/>
  <c r="GA11" i="7"/>
  <c r="FU11" i="7"/>
  <c r="FP11" i="7"/>
  <c r="FK11" i="7"/>
  <c r="FE11" i="7"/>
  <c r="EZ11" i="7"/>
  <c r="EU11" i="7"/>
  <c r="EO11" i="7"/>
  <c r="EJ11" i="7"/>
  <c r="EE11" i="7"/>
  <c r="DY11" i="7"/>
  <c r="DT11" i="7"/>
  <c r="DO11" i="7"/>
  <c r="DI11" i="7"/>
  <c r="DD11" i="7"/>
  <c r="CY11" i="7"/>
  <c r="CS11" i="7"/>
  <c r="CN11" i="7"/>
  <c r="CI11" i="7"/>
  <c r="CC11" i="7"/>
  <c r="BX11" i="7"/>
  <c r="BS11" i="7"/>
  <c r="BM11" i="7"/>
  <c r="BH11" i="7"/>
  <c r="BC11" i="7"/>
  <c r="AW11" i="7"/>
  <c r="AR11" i="7"/>
  <c r="AM11" i="7"/>
  <c r="AG11" i="7"/>
  <c r="AB11" i="7"/>
  <c r="W11" i="7"/>
  <c r="Q11" i="7"/>
  <c r="L11" i="7"/>
  <c r="G11" i="7"/>
  <c r="A11" i="7"/>
  <c r="SA10" i="7"/>
  <c r="RV10" i="7"/>
  <c r="RP10" i="7"/>
  <c r="RK10" i="7"/>
  <c r="RF10" i="7"/>
  <c r="QZ10" i="7"/>
  <c r="QU10" i="7"/>
  <c r="QP10" i="7"/>
  <c r="QJ10" i="7"/>
  <c r="QE10" i="7"/>
  <c r="PZ10" i="7"/>
  <c r="PT10" i="7"/>
  <c r="PO10" i="7"/>
  <c r="PJ10" i="7"/>
  <c r="PD10" i="7"/>
  <c r="OY10" i="7"/>
  <c r="OT10" i="7"/>
  <c r="ON10" i="7"/>
  <c r="OI10" i="7"/>
  <c r="OD10" i="7"/>
  <c r="NX10" i="7"/>
  <c r="NS10" i="7"/>
  <c r="NN10" i="7"/>
  <c r="NH10" i="7"/>
  <c r="NC10" i="7"/>
  <c r="MX10" i="7"/>
  <c r="MR10" i="7"/>
  <c r="MM10" i="7"/>
  <c r="MH10" i="7"/>
  <c r="MB10" i="7"/>
  <c r="LW10" i="7"/>
  <c r="LR10" i="7"/>
  <c r="LL10" i="7"/>
  <c r="LG10" i="7"/>
  <c r="LB10" i="7"/>
  <c r="KV10" i="7"/>
  <c r="KQ10" i="7"/>
  <c r="KL10" i="7"/>
  <c r="KF10" i="7"/>
  <c r="KA10" i="7"/>
  <c r="JV10" i="7"/>
  <c r="JP10" i="7"/>
  <c r="JK10" i="7"/>
  <c r="JF10" i="7"/>
  <c r="IZ10" i="7"/>
  <c r="IU10" i="7"/>
  <c r="IP10" i="7"/>
  <c r="IJ10" i="7"/>
  <c r="IE10" i="7"/>
  <c r="HZ10" i="7"/>
  <c r="HT10" i="7"/>
  <c r="HO10" i="7"/>
  <c r="HJ10" i="7"/>
  <c r="HD10" i="7"/>
  <c r="GY10" i="7"/>
  <c r="GT10" i="7"/>
  <c r="GN10" i="7"/>
  <c r="GI10" i="7"/>
  <c r="GD10" i="7"/>
  <c r="FX10" i="7"/>
  <c r="FS10" i="7"/>
  <c r="FN10" i="7"/>
  <c r="FH10" i="7"/>
  <c r="FC10" i="7"/>
  <c r="EX10" i="7"/>
  <c r="ER10" i="7"/>
  <c r="EM10" i="7"/>
  <c r="EH10" i="7"/>
  <c r="EB10" i="7"/>
  <c r="DW10" i="7"/>
  <c r="DR10" i="7"/>
  <c r="DL10" i="7"/>
  <c r="DG10" i="7"/>
  <c r="DB10" i="7"/>
  <c r="CV10" i="7"/>
  <c r="CQ10" i="7"/>
  <c r="CL10" i="7"/>
  <c r="CF10" i="7"/>
  <c r="CA10" i="7"/>
  <c r="BV10" i="7"/>
  <c r="BP10" i="7"/>
  <c r="BK10" i="7"/>
  <c r="BF10" i="7"/>
  <c r="AZ10" i="7"/>
  <c r="AU10" i="7"/>
  <c r="AP10" i="7"/>
  <c r="AJ10" i="7"/>
  <c r="AE10" i="7"/>
  <c r="Z10" i="7"/>
  <c r="T10" i="7"/>
  <c r="O10" i="7"/>
  <c r="J10" i="7"/>
  <c r="D10" i="7"/>
  <c r="SD9" i="7"/>
  <c r="RY9" i="7"/>
  <c r="RS9" i="7"/>
  <c r="RN9" i="7"/>
  <c r="RI9" i="7"/>
  <c r="RC9" i="7"/>
  <c r="QX9" i="7"/>
  <c r="QS9" i="7"/>
  <c r="QM9" i="7"/>
  <c r="QH9" i="7"/>
  <c r="QC9" i="7"/>
  <c r="PW9" i="7"/>
  <c r="PR9" i="7"/>
  <c r="PM9" i="7"/>
  <c r="PG9" i="7"/>
  <c r="PB9" i="7"/>
  <c r="OW9" i="7"/>
  <c r="OQ9" i="7"/>
  <c r="OL9" i="7"/>
  <c r="OG9" i="7"/>
  <c r="OA9" i="7"/>
  <c r="NV9" i="7"/>
  <c r="NQ9" i="7"/>
  <c r="NK9" i="7"/>
  <c r="NF9" i="7"/>
  <c r="NA9" i="7"/>
  <c r="MU9" i="7"/>
  <c r="MP9" i="7"/>
  <c r="MK9" i="7"/>
  <c r="ME9" i="7"/>
  <c r="LZ9" i="7"/>
  <c r="LU9" i="7"/>
  <c r="LO9" i="7"/>
  <c r="LJ9" i="7"/>
  <c r="LE9" i="7"/>
  <c r="KY9" i="7"/>
  <c r="KT9" i="7"/>
  <c r="KO9" i="7"/>
  <c r="KI9" i="7"/>
  <c r="KD9" i="7"/>
  <c r="JY9" i="7"/>
  <c r="JS9" i="7"/>
  <c r="JN9" i="7"/>
  <c r="JI9" i="7"/>
  <c r="JC9" i="7"/>
  <c r="IX9" i="7"/>
  <c r="IS9" i="7"/>
  <c r="IM9" i="7"/>
  <c r="IH9" i="7"/>
  <c r="IC9" i="7"/>
  <c r="HW9" i="7"/>
  <c r="HR9" i="7"/>
  <c r="HM9" i="7"/>
  <c r="HG9" i="7"/>
  <c r="HB9" i="7"/>
  <c r="GW9" i="7"/>
  <c r="GQ9" i="7"/>
  <c r="PI14" i="7"/>
  <c r="MH14" i="7"/>
  <c r="JN14" i="7"/>
  <c r="GO14" i="7"/>
  <c r="DX14" i="7"/>
  <c r="BU14" i="7"/>
  <c r="P14" i="7"/>
  <c r="RC13" i="7"/>
  <c r="PQ13" i="7"/>
  <c r="OF13" i="7"/>
  <c r="MR13" i="7"/>
  <c r="LG13" i="7"/>
  <c r="JU13" i="7"/>
  <c r="II13" i="7"/>
  <c r="GW13" i="7"/>
  <c r="FQ13" i="7"/>
  <c r="EO13" i="7"/>
  <c r="DL13" i="7"/>
  <c r="CJ13" i="7"/>
  <c r="BH13" i="7"/>
  <c r="AE13" i="7"/>
  <c r="C13" i="7"/>
  <c r="RF12" i="7"/>
  <c r="QB12" i="7"/>
  <c r="PJ12" i="7"/>
  <c r="OP12" i="7"/>
  <c r="NX12" i="7"/>
  <c r="ND12" i="7"/>
  <c r="MJ12" i="7"/>
  <c r="LS12" i="7"/>
  <c r="KY12" i="7"/>
  <c r="KF12" i="7"/>
  <c r="JN12" i="7"/>
  <c r="IU12" i="7"/>
  <c r="IA12" i="7"/>
  <c r="HJ12" i="7"/>
  <c r="GP12" i="7"/>
  <c r="FV12" i="7"/>
  <c r="FD12" i="7"/>
  <c r="EJ12" i="7"/>
  <c r="DR12" i="7"/>
  <c r="CY12" i="7"/>
  <c r="CJ12" i="7"/>
  <c r="BU12" i="7"/>
  <c r="BH12" i="7"/>
  <c r="AS12" i="7"/>
  <c r="AD12" i="7"/>
  <c r="Q12" i="7"/>
  <c r="B12" i="7"/>
  <c r="RS11" i="7"/>
  <c r="RG11" i="7"/>
  <c r="QV11" i="7"/>
  <c r="QK11" i="7"/>
  <c r="QA11" i="7"/>
  <c r="PP11" i="7"/>
  <c r="PE11" i="7"/>
  <c r="OU11" i="7"/>
  <c r="OJ11" i="7"/>
  <c r="NY11" i="7"/>
  <c r="NO11" i="7"/>
  <c r="ND11" i="7"/>
  <c r="MS11" i="7"/>
  <c r="MI11" i="7"/>
  <c r="LX11" i="7"/>
  <c r="LM11" i="7"/>
  <c r="LC11" i="7"/>
  <c r="KR11" i="7"/>
  <c r="KG11" i="7"/>
  <c r="JW11" i="7"/>
  <c r="JL11" i="7"/>
  <c r="JA11" i="7"/>
  <c r="IQ11" i="7"/>
  <c r="IF11" i="7"/>
  <c r="HU11" i="7"/>
  <c r="HK11" i="7"/>
  <c r="GZ11" i="7"/>
  <c r="GO11" i="7"/>
  <c r="GE11" i="7"/>
  <c r="FT11" i="7"/>
  <c r="FI11" i="7"/>
  <c r="EY11" i="7"/>
  <c r="EN11" i="7"/>
  <c r="EC11" i="7"/>
  <c r="DS11" i="7"/>
  <c r="DH11" i="7"/>
  <c r="CW11" i="7"/>
  <c r="CM11" i="7"/>
  <c r="CB11" i="7"/>
  <c r="BQ11" i="7"/>
  <c r="BG11" i="7"/>
  <c r="AV11" i="7"/>
  <c r="AK11" i="7"/>
  <c r="AA11" i="7"/>
  <c r="P11" i="7"/>
  <c r="E11" i="7"/>
  <c r="RZ10" i="7"/>
  <c r="RO10" i="7"/>
  <c r="RD10" i="7"/>
  <c r="QT10" i="7"/>
  <c r="QI10" i="7"/>
  <c r="PX10" i="7"/>
  <c r="PN10" i="7"/>
  <c r="PC10" i="7"/>
  <c r="OR10" i="7"/>
  <c r="OH10" i="7"/>
  <c r="NW10" i="7"/>
  <c r="NL10" i="7"/>
  <c r="NB10" i="7"/>
  <c r="MQ10" i="7"/>
  <c r="MF10" i="7"/>
  <c r="LV10" i="7"/>
  <c r="LK10" i="7"/>
  <c r="KZ10" i="7"/>
  <c r="KP10" i="7"/>
  <c r="KE10" i="7"/>
  <c r="JT10" i="7"/>
  <c r="JJ10" i="7"/>
  <c r="IY10" i="7"/>
  <c r="IN10" i="7"/>
  <c r="ID10" i="7"/>
  <c r="HS10" i="7"/>
  <c r="HH10" i="7"/>
  <c r="GX10" i="7"/>
  <c r="GM10" i="7"/>
  <c r="GB10" i="7"/>
  <c r="FR10" i="7"/>
  <c r="FG10" i="7"/>
  <c r="EV10" i="7"/>
  <c r="EL10" i="7"/>
  <c r="EA10" i="7"/>
  <c r="DP10" i="7"/>
  <c r="DF10" i="7"/>
  <c r="CU10" i="7"/>
  <c r="CJ10" i="7"/>
  <c r="BZ10" i="7"/>
  <c r="BO10" i="7"/>
  <c r="BD10" i="7"/>
  <c r="AT10" i="7"/>
  <c r="AI10" i="7"/>
  <c r="X10" i="7"/>
  <c r="N10" i="7"/>
  <c r="C10" i="7"/>
  <c r="RW9" i="7"/>
  <c r="RM9" i="7"/>
  <c r="RB9" i="7"/>
  <c r="QQ9" i="7"/>
  <c r="QG9" i="7"/>
  <c r="PV9" i="7"/>
  <c r="PK9" i="7"/>
  <c r="PA9" i="7"/>
  <c r="OP9" i="7"/>
  <c r="OE9" i="7"/>
  <c r="NU9" i="7"/>
  <c r="NJ9" i="7"/>
  <c r="MY9" i="7"/>
  <c r="MO9" i="7"/>
  <c r="MD9" i="7"/>
  <c r="LS9" i="7"/>
  <c r="LI9" i="7"/>
  <c r="KX9" i="7"/>
  <c r="KM9" i="7"/>
  <c r="KC9" i="7"/>
  <c r="JR9" i="7"/>
  <c r="JG9" i="7"/>
  <c r="IW9" i="7"/>
  <c r="IL9" i="7"/>
  <c r="IA9" i="7"/>
  <c r="HQ9" i="7"/>
  <c r="HF9" i="7"/>
  <c r="GU9" i="7"/>
  <c r="GL9" i="7"/>
  <c r="GE9" i="7"/>
  <c r="FW9" i="7"/>
  <c r="FQ9" i="7"/>
  <c r="FJ9" i="7"/>
  <c r="FB9" i="7"/>
  <c r="EU9" i="7"/>
  <c r="EO9" i="7"/>
  <c r="EG9" i="7"/>
  <c r="DZ9" i="7"/>
  <c r="DS9" i="7"/>
  <c r="DK9" i="7"/>
  <c r="DE9" i="7"/>
  <c r="CX9" i="7"/>
  <c r="CP9" i="7"/>
  <c r="CI9" i="7"/>
  <c r="CC9" i="7"/>
  <c r="BU9" i="7"/>
  <c r="BN9" i="7"/>
  <c r="BG9" i="7"/>
  <c r="AY9" i="7"/>
  <c r="AS9" i="7"/>
  <c r="AL9" i="7"/>
  <c r="AD9" i="7"/>
  <c r="W9" i="7"/>
  <c r="Q9" i="7"/>
  <c r="I9" i="7"/>
  <c r="B9" i="7"/>
  <c r="RZ8" i="7"/>
  <c r="RR8" i="7"/>
  <c r="RL8" i="7"/>
  <c r="RE8" i="7"/>
  <c r="QW8" i="7"/>
  <c r="QP8" i="7"/>
  <c r="QJ8" i="7"/>
  <c r="QB8" i="7"/>
  <c r="PU8" i="7"/>
  <c r="PN8" i="7"/>
  <c r="PF8" i="7"/>
  <c r="OZ8" i="7"/>
  <c r="OS8" i="7"/>
  <c r="OK8" i="7"/>
  <c r="OD8" i="7"/>
  <c r="NX8" i="7"/>
  <c r="NQ8" i="7"/>
  <c r="NL8" i="7"/>
  <c r="NG8" i="7"/>
  <c r="NA8" i="7"/>
  <c r="MV8" i="7"/>
  <c r="MQ8" i="7"/>
  <c r="MK8" i="7"/>
  <c r="MF8" i="7"/>
  <c r="MA8" i="7"/>
  <c r="LU8" i="7"/>
  <c r="LP8" i="7"/>
  <c r="LK8" i="7"/>
  <c r="LE8" i="7"/>
  <c r="KZ8" i="7"/>
  <c r="KU8" i="7"/>
  <c r="KO8" i="7"/>
  <c r="KJ8" i="7"/>
  <c r="KE8" i="7"/>
  <c r="JY8" i="7"/>
  <c r="JT8" i="7"/>
  <c r="JO8" i="7"/>
  <c r="JI8" i="7"/>
  <c r="JD8" i="7"/>
  <c r="IY8" i="7"/>
  <c r="IS8" i="7"/>
  <c r="IN8" i="7"/>
  <c r="II8" i="7"/>
  <c r="IC8" i="7"/>
  <c r="HX8" i="7"/>
  <c r="HS8" i="7"/>
  <c r="HM8" i="7"/>
  <c r="HH8" i="7"/>
  <c r="HC8" i="7"/>
  <c r="GW8" i="7"/>
  <c r="GR8" i="7"/>
  <c r="GM8" i="7"/>
  <c r="GG8" i="7"/>
  <c r="GB8" i="7"/>
  <c r="FW8" i="7"/>
  <c r="FQ8" i="7"/>
  <c r="FL8" i="7"/>
  <c r="FG8" i="7"/>
  <c r="FA8" i="7"/>
  <c r="EV8" i="7"/>
  <c r="EQ8" i="7"/>
  <c r="EK8" i="7"/>
  <c r="EF8" i="7"/>
  <c r="EA8" i="7"/>
  <c r="DU8" i="7"/>
  <c r="DP8" i="7"/>
  <c r="DK8" i="7"/>
  <c r="DE8" i="7"/>
  <c r="CZ8" i="7"/>
  <c r="CU8" i="7"/>
  <c r="CO8" i="7"/>
  <c r="CJ8" i="7"/>
  <c r="CE8" i="7"/>
  <c r="BY8" i="7"/>
  <c r="BT8" i="7"/>
  <c r="BO8" i="7"/>
  <c r="BI8" i="7"/>
  <c r="BD8" i="7"/>
  <c r="AY8" i="7"/>
  <c r="AS8" i="7"/>
  <c r="AN8" i="7"/>
  <c r="AI8" i="7"/>
  <c r="AC8" i="7"/>
  <c r="X8" i="7"/>
  <c r="S8" i="7"/>
  <c r="M8" i="7"/>
  <c r="H8" i="7"/>
  <c r="C8" i="7"/>
  <c r="SB7" i="7"/>
  <c r="RW7" i="7"/>
  <c r="RR7" i="7"/>
  <c r="RL7" i="7"/>
  <c r="RG7" i="7"/>
  <c r="RB7" i="7"/>
  <c r="QV7" i="7"/>
  <c r="QQ7" i="7"/>
  <c r="QL7" i="7"/>
  <c r="QF7" i="7"/>
  <c r="QA7" i="7"/>
  <c r="PV7" i="7"/>
  <c r="PP7" i="7"/>
  <c r="PK7" i="7"/>
  <c r="PF7" i="7"/>
  <c r="OZ7" i="7"/>
  <c r="OU7" i="7"/>
  <c r="OP7" i="7"/>
  <c r="OJ7" i="7"/>
  <c r="OE7" i="7"/>
  <c r="NZ7" i="7"/>
  <c r="NT7" i="7"/>
  <c r="NO7" i="7"/>
  <c r="NJ7" i="7"/>
  <c r="ND7" i="7"/>
  <c r="MY7" i="7"/>
  <c r="MT7" i="7"/>
  <c r="MN7" i="7"/>
  <c r="MI7" i="7"/>
  <c r="MD7" i="7"/>
  <c r="LX7" i="7"/>
  <c r="LS7" i="7"/>
  <c r="LN7" i="7"/>
  <c r="LH7" i="7"/>
  <c r="LC7" i="7"/>
  <c r="KX7" i="7"/>
  <c r="KR7" i="7"/>
  <c r="KM7" i="7"/>
  <c r="KH7" i="7"/>
  <c r="KB7" i="7"/>
  <c r="JW7" i="7"/>
  <c r="JR7" i="7"/>
  <c r="JL7" i="7"/>
  <c r="JG7" i="7"/>
  <c r="JB7" i="7"/>
  <c r="IV7" i="7"/>
  <c r="IQ7" i="7"/>
  <c r="IL7" i="7"/>
  <c r="IF7" i="7"/>
  <c r="IA7" i="7"/>
  <c r="HV7" i="7"/>
  <c r="HP7" i="7"/>
  <c r="HK7" i="7"/>
  <c r="HF7" i="7"/>
  <c r="GZ7" i="7"/>
  <c r="GU7" i="7"/>
  <c r="GP7" i="7"/>
  <c r="GJ7" i="7"/>
  <c r="GE7" i="7"/>
  <c r="FZ7" i="7"/>
  <c r="FT7" i="7"/>
  <c r="FO7" i="7"/>
  <c r="FJ7" i="7"/>
  <c r="FD7" i="7"/>
  <c r="EY7" i="7"/>
  <c r="ET7" i="7"/>
  <c r="EN7" i="7"/>
  <c r="EI7" i="7"/>
  <c r="ED7" i="7"/>
  <c r="DX7" i="7"/>
  <c r="DS7" i="7"/>
  <c r="DN7" i="7"/>
  <c r="DH7" i="7"/>
  <c r="DC7" i="7"/>
  <c r="CX7" i="7"/>
  <c r="CR7" i="7"/>
  <c r="CM7" i="7"/>
  <c r="CH7" i="7"/>
  <c r="CB7" i="7"/>
  <c r="BW7" i="7"/>
  <c r="BR7" i="7"/>
  <c r="BL7" i="7"/>
  <c r="BG7" i="7"/>
  <c r="BB7" i="7"/>
  <c r="AV7" i="7"/>
  <c r="AQ7" i="7"/>
  <c r="AL7" i="7"/>
  <c r="AF7" i="7"/>
  <c r="AA7" i="7"/>
  <c r="V7" i="7"/>
  <c r="P7" i="7"/>
  <c r="K7" i="7"/>
  <c r="F7" i="7"/>
  <c r="SE6" i="7"/>
  <c r="RZ6" i="7"/>
  <c r="RU6" i="7"/>
  <c r="RO6" i="7"/>
  <c r="RJ6" i="7"/>
  <c r="RE6" i="7"/>
  <c r="QY6" i="7"/>
  <c r="QT6" i="7"/>
  <c r="QO6" i="7"/>
  <c r="QI6" i="7"/>
  <c r="QD6" i="7"/>
  <c r="PY6" i="7"/>
  <c r="PS6" i="7"/>
  <c r="PN6" i="7"/>
  <c r="PI6" i="7"/>
  <c r="PC6" i="7"/>
  <c r="OX6" i="7"/>
  <c r="OS6" i="7"/>
  <c r="OM6" i="7"/>
  <c r="OH6" i="7"/>
  <c r="OC6" i="7"/>
  <c r="NW6" i="7"/>
  <c r="NR6" i="7"/>
  <c r="NM6" i="7"/>
  <c r="NG6" i="7"/>
  <c r="NB6" i="7"/>
  <c r="MW6" i="7"/>
  <c r="MQ6" i="7"/>
  <c r="ML6" i="7"/>
  <c r="MG6" i="7"/>
  <c r="MA6" i="7"/>
  <c r="LW6" i="7"/>
  <c r="LS6" i="7"/>
  <c r="LO6" i="7"/>
  <c r="LK6" i="7"/>
  <c r="LG6" i="7"/>
  <c r="LC6" i="7"/>
  <c r="KY6" i="7"/>
  <c r="KU6" i="7"/>
  <c r="KQ6" i="7"/>
  <c r="KM6" i="7"/>
  <c r="KI6" i="7"/>
  <c r="KE6" i="7"/>
  <c r="KA6" i="7"/>
  <c r="JW6" i="7"/>
  <c r="JS6" i="7"/>
  <c r="JO6" i="7"/>
  <c r="JK6" i="7"/>
  <c r="JG6" i="7"/>
  <c r="JC6" i="7"/>
  <c r="IY6" i="7"/>
  <c r="IU6" i="7"/>
  <c r="IQ6" i="7"/>
  <c r="IM6" i="7"/>
  <c r="II6" i="7"/>
  <c r="IE6" i="7"/>
  <c r="IA6" i="7"/>
  <c r="HW6" i="7"/>
  <c r="HS6" i="7"/>
  <c r="HO6" i="7"/>
  <c r="HK6" i="7"/>
  <c r="HG6" i="7"/>
  <c r="HC6" i="7"/>
  <c r="GY6" i="7"/>
  <c r="GU6" i="7"/>
  <c r="GQ6" i="7"/>
  <c r="GM6" i="7"/>
  <c r="GI6" i="7"/>
  <c r="GE6" i="7"/>
  <c r="GA6" i="7"/>
  <c r="FW6" i="7"/>
  <c r="FS6" i="7"/>
  <c r="FO6" i="7"/>
  <c r="FK6" i="7"/>
  <c r="FG6" i="7"/>
  <c r="FC6" i="7"/>
  <c r="EY6" i="7"/>
  <c r="EU6" i="7"/>
  <c r="EQ6" i="7"/>
  <c r="EM6" i="7"/>
  <c r="EI6" i="7"/>
  <c r="EE6" i="7"/>
  <c r="EA6" i="7"/>
  <c r="DW6" i="7"/>
  <c r="DS6" i="7"/>
  <c r="DO6" i="7"/>
  <c r="DK6" i="7"/>
  <c r="DG6" i="7"/>
  <c r="DC6" i="7"/>
  <c r="CY6" i="7"/>
  <c r="CU6" i="7"/>
  <c r="CQ6" i="7"/>
  <c r="CM6" i="7"/>
  <c r="CI6" i="7"/>
  <c r="CE6" i="7"/>
  <c r="CA6" i="7"/>
  <c r="BW6" i="7"/>
  <c r="BS6" i="7"/>
  <c r="BO6" i="7"/>
  <c r="BK6" i="7"/>
  <c r="BG6" i="7"/>
  <c r="BC6" i="7"/>
  <c r="AY6" i="7"/>
  <c r="AU6" i="7"/>
  <c r="AQ6" i="7"/>
  <c r="AM6" i="7"/>
  <c r="AI6" i="7"/>
  <c r="AE6" i="7"/>
  <c r="AA6" i="7"/>
  <c r="W6" i="7"/>
  <c r="S6" i="7"/>
  <c r="O6" i="7"/>
  <c r="K6" i="7"/>
  <c r="G6" i="7"/>
  <c r="C6" i="7"/>
  <c r="SD5" i="7"/>
  <c r="RZ5" i="7"/>
  <c r="RV5" i="7"/>
  <c r="RR5" i="7"/>
  <c r="RN5" i="7"/>
  <c r="RJ5" i="7"/>
  <c r="RF5" i="7"/>
  <c r="RB5" i="7"/>
  <c r="QX5" i="7"/>
  <c r="QT5" i="7"/>
  <c r="QP5" i="7"/>
  <c r="QL5" i="7"/>
  <c r="QH5" i="7"/>
  <c r="QD5" i="7"/>
  <c r="PZ5" i="7"/>
  <c r="PV5" i="7"/>
  <c r="PR5" i="7"/>
  <c r="PN5" i="7"/>
  <c r="PJ5" i="7"/>
  <c r="PF5" i="7"/>
  <c r="PB5" i="7"/>
  <c r="OX5" i="7"/>
  <c r="OT5" i="7"/>
  <c r="OP5" i="7"/>
  <c r="OL5" i="7"/>
  <c r="OH5" i="7"/>
  <c r="OD5" i="7"/>
  <c r="NZ5" i="7"/>
  <c r="NV5" i="7"/>
  <c r="NR5" i="7"/>
  <c r="NN5" i="7"/>
  <c r="NJ5" i="7"/>
  <c r="NF5" i="7"/>
  <c r="NB5" i="7"/>
  <c r="MX5" i="7"/>
  <c r="MT5" i="7"/>
  <c r="MP5" i="7"/>
  <c r="ML5" i="7"/>
  <c r="MH5" i="7"/>
  <c r="MD5" i="7"/>
  <c r="LZ5" i="7"/>
  <c r="LV5" i="7"/>
  <c r="LR5" i="7"/>
  <c r="LN5" i="7"/>
  <c r="LJ5" i="7"/>
  <c r="LF5" i="7"/>
  <c r="LB5" i="7"/>
  <c r="KX5" i="7"/>
  <c r="KT5" i="7"/>
  <c r="KP5" i="7"/>
  <c r="KL5" i="7"/>
  <c r="KH5" i="7"/>
  <c r="KD5" i="7"/>
  <c r="JZ5" i="7"/>
  <c r="JV5" i="7"/>
  <c r="JR5" i="7"/>
  <c r="JN5" i="7"/>
  <c r="JJ5" i="7"/>
  <c r="JF5" i="7"/>
  <c r="JB5" i="7"/>
  <c r="IX5" i="7"/>
  <c r="IT5" i="7"/>
  <c r="IP5" i="7"/>
  <c r="IL5" i="7"/>
  <c r="IH5" i="7"/>
  <c r="ID5" i="7"/>
  <c r="HZ5" i="7"/>
  <c r="HV5" i="7"/>
  <c r="HR5" i="7"/>
  <c r="HN5" i="7"/>
  <c r="HJ5" i="7"/>
  <c r="HF5" i="7"/>
  <c r="HB5" i="7"/>
  <c r="GX5" i="7"/>
  <c r="GT5" i="7"/>
  <c r="GP5" i="7"/>
  <c r="GL5" i="7"/>
  <c r="GH5" i="7"/>
  <c r="GD5" i="7"/>
  <c r="FZ5" i="7"/>
  <c r="FV5" i="7"/>
  <c r="FR5" i="7"/>
  <c r="FN5" i="7"/>
  <c r="FJ5" i="7"/>
  <c r="FF5" i="7"/>
  <c r="FB5" i="7"/>
  <c r="EX5" i="7"/>
  <c r="ET5" i="7"/>
  <c r="EP5" i="7"/>
  <c r="EL5" i="7"/>
  <c r="EH5" i="7"/>
  <c r="ED5" i="7"/>
  <c r="DZ5" i="7"/>
  <c r="DV5" i="7"/>
  <c r="DR5" i="7"/>
  <c r="DN5" i="7"/>
  <c r="DJ5" i="7"/>
  <c r="DF5" i="7"/>
  <c r="DB5" i="7"/>
  <c r="CX5" i="7"/>
  <c r="CT5" i="7"/>
  <c r="CP5" i="7"/>
  <c r="CL5" i="7"/>
  <c r="CH5" i="7"/>
  <c r="CD5" i="7"/>
  <c r="BZ5" i="7"/>
  <c r="BV5" i="7"/>
  <c r="BR5" i="7"/>
  <c r="BN5" i="7"/>
  <c r="BJ5" i="7"/>
  <c r="BF5" i="7"/>
  <c r="BB5" i="7"/>
  <c r="AX5" i="7"/>
  <c r="AT5" i="7"/>
  <c r="AP5" i="7"/>
  <c r="AL5" i="7"/>
  <c r="AH5" i="7"/>
  <c r="AD5" i="7"/>
  <c r="Z5" i="7"/>
  <c r="V5" i="7"/>
  <c r="R5" i="7"/>
  <c r="N5" i="7"/>
  <c r="J5" i="7"/>
  <c r="F5" i="7"/>
  <c r="B5" i="7"/>
  <c r="QS14" i="7"/>
  <c r="NW14" i="7"/>
  <c r="KY14" i="7"/>
  <c r="HY14" i="7"/>
  <c r="FC14" i="7"/>
  <c r="CW14" i="7"/>
  <c r="AP14" i="7"/>
  <c r="RU13" i="7"/>
  <c r="QJ13" i="7"/>
  <c r="OW13" i="7"/>
  <c r="NL13" i="7"/>
  <c r="MA13" i="7"/>
  <c r="KN13" i="7"/>
  <c r="JC13" i="7"/>
  <c r="HQ13" i="7"/>
  <c r="GF13" i="7"/>
  <c r="FC13" i="7"/>
  <c r="EA13" i="7"/>
  <c r="CY13" i="7"/>
  <c r="BU13" i="7"/>
  <c r="AS13" i="7"/>
  <c r="Q13" i="7"/>
  <c r="RS12" i="7"/>
  <c r="QQ12" i="7"/>
  <c r="PR12" i="7"/>
  <c r="OZ12" i="7"/>
  <c r="OF12" i="7"/>
  <c r="NN12" i="7"/>
  <c r="MU12" i="7"/>
  <c r="MB12" i="7"/>
  <c r="LH12" i="7"/>
  <c r="KQ12" i="7"/>
  <c r="JW12" i="7"/>
  <c r="JC12" i="7"/>
  <c r="IL12" i="7"/>
  <c r="HR12" i="7"/>
  <c r="GY12" i="7"/>
  <c r="GF12" i="7"/>
  <c r="FN12" i="7"/>
  <c r="ET12" i="7"/>
  <c r="EB12" i="7"/>
  <c r="DH12" i="7"/>
  <c r="CP12" i="7"/>
  <c r="CC12" i="7"/>
  <c r="BN12" i="7"/>
  <c r="AZ12" i="7"/>
  <c r="AL12" i="7"/>
  <c r="X12" i="7"/>
  <c r="I12" i="7"/>
  <c r="SA11" i="7"/>
  <c r="RL11" i="7"/>
  <c r="RA11" i="7"/>
  <c r="QQ11" i="7"/>
  <c r="QF11" i="7"/>
  <c r="PU11" i="7"/>
  <c r="PK11" i="7"/>
  <c r="OZ11" i="7"/>
  <c r="OO11" i="7"/>
  <c r="OE11" i="7"/>
  <c r="NT11" i="7"/>
  <c r="NI11" i="7"/>
  <c r="MY11" i="7"/>
  <c r="MN11" i="7"/>
  <c r="MC11" i="7"/>
  <c r="LS11" i="7"/>
  <c r="LH11" i="7"/>
  <c r="KW11" i="7"/>
  <c r="KM11" i="7"/>
  <c r="KB11" i="7"/>
  <c r="JQ11" i="7"/>
  <c r="JG11" i="7"/>
  <c r="IV11" i="7"/>
  <c r="IK11" i="7"/>
  <c r="IA11" i="7"/>
  <c r="HP11" i="7"/>
  <c r="HE11" i="7"/>
  <c r="GU11" i="7"/>
  <c r="GJ11" i="7"/>
  <c r="FY11" i="7"/>
  <c r="FO11" i="7"/>
  <c r="FD11" i="7"/>
  <c r="ES11" i="7"/>
  <c r="EI11" i="7"/>
  <c r="DX11" i="7"/>
  <c r="DM11" i="7"/>
  <c r="DC11" i="7"/>
  <c r="CR11" i="7"/>
  <c r="CG11" i="7"/>
  <c r="BW11" i="7"/>
  <c r="BL11" i="7"/>
  <c r="BA11" i="7"/>
  <c r="AQ11" i="7"/>
  <c r="AF11" i="7"/>
  <c r="U11" i="7"/>
  <c r="K11" i="7"/>
  <c r="SE10" i="7"/>
  <c r="RT10" i="7"/>
  <c r="RJ10" i="7"/>
  <c r="QY10" i="7"/>
  <c r="QN10" i="7"/>
  <c r="QD10" i="7"/>
  <c r="PS10" i="7"/>
  <c r="PH10" i="7"/>
  <c r="OX10" i="7"/>
  <c r="OM10" i="7"/>
  <c r="OB10" i="7"/>
  <c r="NR10" i="7"/>
  <c r="NG10" i="7"/>
  <c r="MV10" i="7"/>
  <c r="ML10" i="7"/>
  <c r="MA10" i="7"/>
  <c r="LP10" i="7"/>
  <c r="LF10" i="7"/>
  <c r="KU10" i="7"/>
  <c r="KJ10" i="7"/>
  <c r="JZ10" i="7"/>
  <c r="JO10" i="7"/>
  <c r="JD10" i="7"/>
  <c r="IT10" i="7"/>
  <c r="II10" i="7"/>
  <c r="HX10" i="7"/>
  <c r="HN10" i="7"/>
  <c r="HC10" i="7"/>
  <c r="GR10" i="7"/>
  <c r="GH10" i="7"/>
  <c r="FW10" i="7"/>
  <c r="FL10" i="7"/>
  <c r="FB10" i="7"/>
  <c r="EQ10" i="7"/>
  <c r="EF10" i="7"/>
  <c r="DV10" i="7"/>
  <c r="DK10" i="7"/>
  <c r="CZ10" i="7"/>
  <c r="CP10" i="7"/>
  <c r="CE10" i="7"/>
  <c r="BT10" i="7"/>
  <c r="BJ10" i="7"/>
  <c r="AY10" i="7"/>
  <c r="AN10" i="7"/>
  <c r="AD10" i="7"/>
  <c r="S10" i="7"/>
  <c r="H10" i="7"/>
  <c r="SC9" i="7"/>
  <c r="RR9" i="7"/>
  <c r="RG9" i="7"/>
  <c r="QW9" i="7"/>
  <c r="QL9" i="7"/>
  <c r="QA9" i="7"/>
  <c r="PQ9" i="7"/>
  <c r="PF9" i="7"/>
  <c r="OU9" i="7"/>
  <c r="OK9" i="7"/>
  <c r="NZ9" i="7"/>
  <c r="NO9" i="7"/>
  <c r="NE9" i="7"/>
  <c r="MT9" i="7"/>
  <c r="MI9" i="7"/>
  <c r="LY9" i="7"/>
  <c r="LN9" i="7"/>
  <c r="LC9" i="7"/>
  <c r="KS9" i="7"/>
  <c r="KH9" i="7"/>
  <c r="JW9" i="7"/>
  <c r="JM9" i="7"/>
  <c r="JB9" i="7"/>
  <c r="IQ9" i="7"/>
  <c r="IG9" i="7"/>
  <c r="HV9" i="7"/>
  <c r="HK9" i="7"/>
  <c r="HA9" i="7"/>
  <c r="GP9" i="7"/>
  <c r="GH9" i="7"/>
  <c r="GA9" i="7"/>
  <c r="FU9" i="7"/>
  <c r="FM9" i="7"/>
  <c r="FF9" i="7"/>
  <c r="EY9" i="7"/>
  <c r="EQ9" i="7"/>
  <c r="EK9" i="7"/>
  <c r="ED9" i="7"/>
  <c r="DV9" i="7"/>
  <c r="DO9" i="7"/>
  <c r="DI9" i="7"/>
  <c r="DA9" i="7"/>
  <c r="CT9" i="7"/>
  <c r="CM9" i="7"/>
  <c r="CE9" i="7"/>
  <c r="BY9" i="7"/>
  <c r="BR9" i="7"/>
  <c r="BJ9" i="7"/>
  <c r="BC9" i="7"/>
  <c r="AW9" i="7"/>
  <c r="AO9" i="7"/>
  <c r="AH9" i="7"/>
  <c r="AA9" i="7"/>
  <c r="S9" i="7"/>
  <c r="M9" i="7"/>
  <c r="F9" i="7"/>
  <c r="SC8" i="7"/>
  <c r="RV8" i="7"/>
  <c r="RP8" i="7"/>
  <c r="RH8" i="7"/>
  <c r="RA8" i="7"/>
  <c r="QT8" i="7"/>
  <c r="QL8" i="7"/>
  <c r="QF8" i="7"/>
  <c r="PY8" i="7"/>
  <c r="PQ8" i="7"/>
  <c r="PJ8" i="7"/>
  <c r="PD8" i="7"/>
  <c r="OV8" i="7"/>
  <c r="OO8" i="7"/>
  <c r="OH8" i="7"/>
  <c r="NZ8" i="7"/>
  <c r="NT8" i="7"/>
  <c r="NO8" i="7"/>
  <c r="NI8" i="7"/>
  <c r="ND8" i="7"/>
  <c r="MY8" i="7"/>
  <c r="MS8" i="7"/>
  <c r="MN8" i="7"/>
  <c r="MI8" i="7"/>
  <c r="MC8" i="7"/>
  <c r="LX8" i="7"/>
  <c r="LS8" i="7"/>
  <c r="LM8" i="7"/>
  <c r="LH8" i="7"/>
  <c r="LC8" i="7"/>
  <c r="KW8" i="7"/>
  <c r="KR8" i="7"/>
  <c r="KM8" i="7"/>
  <c r="KG8" i="7"/>
  <c r="KB8" i="7"/>
  <c r="JW8" i="7"/>
  <c r="JQ8" i="7"/>
  <c r="JL8" i="7"/>
  <c r="JG8" i="7"/>
  <c r="JA8" i="7"/>
  <c r="IV8" i="7"/>
  <c r="IQ8" i="7"/>
  <c r="IK8" i="7"/>
  <c r="IF8" i="7"/>
  <c r="IA8" i="7"/>
  <c r="HU8" i="7"/>
  <c r="HP8" i="7"/>
  <c r="HK8" i="7"/>
  <c r="HE8" i="7"/>
  <c r="GZ8" i="7"/>
  <c r="GU8" i="7"/>
  <c r="GO8" i="7"/>
  <c r="GJ8" i="7"/>
  <c r="GE8" i="7"/>
  <c r="FY8" i="7"/>
  <c r="FT8" i="7"/>
  <c r="FO8" i="7"/>
  <c r="FI8" i="7"/>
  <c r="FD8" i="7"/>
  <c r="EY8" i="7"/>
  <c r="ES8" i="7"/>
  <c r="EN8" i="7"/>
  <c r="EI8" i="7"/>
  <c r="EC8" i="7"/>
  <c r="DX8" i="7"/>
  <c r="DS8" i="7"/>
  <c r="DM8" i="7"/>
  <c r="DH8" i="7"/>
  <c r="DC8" i="7"/>
  <c r="CW8" i="7"/>
  <c r="CR8" i="7"/>
  <c r="CM8" i="7"/>
  <c r="CG8" i="7"/>
  <c r="CB8" i="7"/>
  <c r="BW8" i="7"/>
  <c r="BQ8" i="7"/>
  <c r="BL8" i="7"/>
  <c r="BG8" i="7"/>
  <c r="BA8" i="7"/>
  <c r="AV8" i="7"/>
  <c r="AQ8" i="7"/>
  <c r="AK8" i="7"/>
  <c r="AF8" i="7"/>
  <c r="AA8" i="7"/>
  <c r="U8" i="7"/>
  <c r="P8" i="7"/>
  <c r="K8" i="7"/>
  <c r="E8" i="7"/>
  <c r="SE7" i="7"/>
  <c r="RZ7" i="7"/>
  <c r="RT7" i="7"/>
  <c r="RO7" i="7"/>
  <c r="RJ7" i="7"/>
  <c r="RD7" i="7"/>
  <c r="QY7" i="7"/>
  <c r="QT7" i="7"/>
  <c r="QN7" i="7"/>
  <c r="QI7" i="7"/>
  <c r="QD7" i="7"/>
  <c r="PX7" i="7"/>
  <c r="PS7" i="7"/>
  <c r="PN7" i="7"/>
  <c r="PH7" i="7"/>
  <c r="PC7" i="7"/>
  <c r="OX7" i="7"/>
  <c r="OR7" i="7"/>
  <c r="OM7" i="7"/>
  <c r="OH7" i="7"/>
  <c r="OB7" i="7"/>
  <c r="NW7" i="7"/>
  <c r="NR7" i="7"/>
  <c r="NL7" i="7"/>
  <c r="NG7" i="7"/>
  <c r="NB7" i="7"/>
  <c r="MV7" i="7"/>
  <c r="MQ7" i="7"/>
  <c r="ML7" i="7"/>
  <c r="MF7" i="7"/>
  <c r="MA7" i="7"/>
  <c r="LV7" i="7"/>
  <c r="LP7" i="7"/>
  <c r="LK7" i="7"/>
  <c r="LF7" i="7"/>
  <c r="KZ7" i="7"/>
  <c r="KU7" i="7"/>
  <c r="KP7" i="7"/>
  <c r="KJ7" i="7"/>
  <c r="KE7" i="7"/>
  <c r="JZ7" i="7"/>
  <c r="JT7" i="7"/>
  <c r="JO7" i="7"/>
  <c r="JJ7" i="7"/>
  <c r="JD7" i="7"/>
  <c r="IY7" i="7"/>
  <c r="IT7" i="7"/>
  <c r="IN7" i="7"/>
  <c r="II7" i="7"/>
  <c r="ID7" i="7"/>
  <c r="HX7" i="7"/>
  <c r="HS7" i="7"/>
  <c r="HN7" i="7"/>
  <c r="HH7" i="7"/>
  <c r="HC7" i="7"/>
  <c r="GX7" i="7"/>
  <c r="GR7" i="7"/>
  <c r="GM7" i="7"/>
  <c r="GH7" i="7"/>
  <c r="GB7" i="7"/>
  <c r="FW7" i="7"/>
  <c r="FR7" i="7"/>
  <c r="FL7" i="7"/>
  <c r="FG7" i="7"/>
  <c r="FB7" i="7"/>
  <c r="EV7" i="7"/>
  <c r="EQ7" i="7"/>
  <c r="EL7" i="7"/>
  <c r="EF7" i="7"/>
  <c r="EA7" i="7"/>
  <c r="DV7" i="7"/>
  <c r="DP7" i="7"/>
  <c r="DK7" i="7"/>
  <c r="DF7" i="7"/>
  <c r="CZ7" i="7"/>
  <c r="CU7" i="7"/>
  <c r="CP7" i="7"/>
  <c r="CJ7" i="7"/>
  <c r="CE7" i="7"/>
  <c r="BZ7" i="7"/>
  <c r="BT7" i="7"/>
  <c r="BO7" i="7"/>
  <c r="BJ7" i="7"/>
  <c r="BD7" i="7"/>
  <c r="AY7" i="7"/>
  <c r="AT7" i="7"/>
  <c r="AN7" i="7"/>
  <c r="AI7" i="7"/>
  <c r="AD7" i="7"/>
  <c r="X7" i="7"/>
  <c r="S7" i="7"/>
  <c r="N7" i="7"/>
  <c r="H7" i="7"/>
  <c r="C7" i="7"/>
  <c r="SC6" i="7"/>
  <c r="RW6" i="7"/>
  <c r="RR6" i="7"/>
  <c r="RM6" i="7"/>
  <c r="RG6" i="7"/>
  <c r="RB6" i="7"/>
  <c r="QW6" i="7"/>
  <c r="QQ6" i="7"/>
  <c r="QL6" i="7"/>
  <c r="QG6" i="7"/>
  <c r="QA6" i="7"/>
  <c r="PV6" i="7"/>
  <c r="PQ6" i="7"/>
  <c r="PK6" i="7"/>
  <c r="PF6" i="7"/>
  <c r="PA6" i="7"/>
  <c r="OU6" i="7"/>
  <c r="OP6" i="7"/>
  <c r="OK6" i="7"/>
  <c r="OE6" i="7"/>
  <c r="NZ6" i="7"/>
  <c r="NU6" i="7"/>
  <c r="NO6" i="7"/>
  <c r="NJ6" i="7"/>
  <c r="NE6" i="7"/>
  <c r="MY6" i="7"/>
  <c r="MT6" i="7"/>
  <c r="MO6" i="7"/>
  <c r="MI6" i="7"/>
  <c r="MD6" i="7"/>
  <c r="LY6" i="7"/>
  <c r="LU6" i="7"/>
  <c r="LQ6" i="7"/>
  <c r="LM6" i="7"/>
  <c r="LI6" i="7"/>
  <c r="LE6" i="7"/>
  <c r="LA6" i="7"/>
  <c r="KW6" i="7"/>
  <c r="KS6" i="7"/>
  <c r="KO6" i="7"/>
  <c r="KK6" i="7"/>
  <c r="KG6" i="7"/>
  <c r="KC6" i="7"/>
  <c r="JY6" i="7"/>
  <c r="JU6" i="7"/>
  <c r="JQ6" i="7"/>
  <c r="JM6" i="7"/>
  <c r="JI6" i="7"/>
  <c r="JE6" i="7"/>
  <c r="JA6" i="7"/>
  <c r="IW6" i="7"/>
  <c r="IS6" i="7"/>
  <c r="IO6" i="7"/>
  <c r="IK6" i="7"/>
  <c r="IG6" i="7"/>
  <c r="IC6" i="7"/>
  <c r="HY6" i="7"/>
  <c r="HU6" i="7"/>
  <c r="HQ6" i="7"/>
  <c r="HM6" i="7"/>
  <c r="HI6" i="7"/>
  <c r="HE6" i="7"/>
  <c r="HA6" i="7"/>
  <c r="GW6" i="7"/>
  <c r="GS6" i="7"/>
  <c r="GO6" i="7"/>
  <c r="GK6" i="7"/>
  <c r="GG6" i="7"/>
  <c r="GC6" i="7"/>
  <c r="FY6" i="7"/>
  <c r="FU6" i="7"/>
  <c r="FQ6" i="7"/>
  <c r="FM6" i="7"/>
  <c r="FI6" i="7"/>
  <c r="FE6" i="7"/>
  <c r="FA6" i="7"/>
  <c r="EW6" i="7"/>
  <c r="ES6" i="7"/>
  <c r="EO6" i="7"/>
  <c r="EK6" i="7"/>
  <c r="EG6" i="7"/>
  <c r="EC6" i="7"/>
  <c r="DY6" i="7"/>
  <c r="DU6" i="7"/>
  <c r="DQ6" i="7"/>
  <c r="DM6" i="7"/>
  <c r="DI6" i="7"/>
  <c r="DE6" i="7"/>
  <c r="DA6" i="7"/>
  <c r="CW6" i="7"/>
  <c r="CS6" i="7"/>
  <c r="CO6" i="7"/>
  <c r="CK6" i="7"/>
  <c r="CG6" i="7"/>
  <c r="CC6" i="7"/>
  <c r="BY6" i="7"/>
  <c r="BU6" i="7"/>
  <c r="BQ6" i="7"/>
  <c r="BM6" i="7"/>
  <c r="BI6" i="7"/>
  <c r="BE6" i="7"/>
  <c r="BA6" i="7"/>
  <c r="AW6" i="7"/>
  <c r="AS6" i="7"/>
  <c r="AO6" i="7"/>
  <c r="AK6" i="7"/>
  <c r="AG6" i="7"/>
  <c r="AC6" i="7"/>
  <c r="Y6" i="7"/>
  <c r="U6" i="7"/>
  <c r="Q6" i="7"/>
  <c r="M6" i="7"/>
  <c r="I6" i="7"/>
  <c r="E6" i="7"/>
  <c r="A6" i="7"/>
  <c r="SB5" i="7"/>
  <c r="RX5" i="7"/>
  <c r="RT5" i="7"/>
  <c r="RP5" i="7"/>
  <c r="RL5" i="7"/>
  <c r="RH5" i="7"/>
  <c r="RD5" i="7"/>
  <c r="QZ5" i="7"/>
  <c r="QV5" i="7"/>
  <c r="QR5" i="7"/>
  <c r="QN5" i="7"/>
  <c r="QJ5" i="7"/>
  <c r="QF5" i="7"/>
  <c r="QB5" i="7"/>
  <c r="PX5" i="7"/>
  <c r="PT5" i="7"/>
  <c r="PP5" i="7"/>
  <c r="PL5" i="7"/>
  <c r="PH5" i="7"/>
  <c r="PD5" i="7"/>
  <c r="OZ5" i="7"/>
  <c r="OV5" i="7"/>
  <c r="OR5" i="7"/>
  <c r="ON5" i="7"/>
  <c r="OJ5" i="7"/>
  <c r="OF5" i="7"/>
  <c r="OB5" i="7"/>
  <c r="NX5" i="7"/>
  <c r="NT5" i="7"/>
  <c r="NP5" i="7"/>
  <c r="NL5" i="7"/>
  <c r="NH5" i="7"/>
  <c r="ND5" i="7"/>
  <c r="MZ5" i="7"/>
  <c r="MV5" i="7"/>
  <c r="MR5" i="7"/>
  <c r="MN5" i="7"/>
  <c r="MJ5" i="7"/>
  <c r="MF5" i="7"/>
  <c r="MB5" i="7"/>
  <c r="LX5" i="7"/>
  <c r="LT5" i="7"/>
  <c r="LP5" i="7"/>
  <c r="LL5" i="7"/>
  <c r="LH5" i="7"/>
  <c r="LD5" i="7"/>
  <c r="KZ5" i="7"/>
  <c r="KV5" i="7"/>
  <c r="KR5" i="7"/>
  <c r="KN5" i="7"/>
  <c r="KJ5" i="7"/>
  <c r="KF5" i="7"/>
  <c r="KB5" i="7"/>
  <c r="JX5" i="7"/>
  <c r="JT5" i="7"/>
  <c r="JP5" i="7"/>
  <c r="JL5" i="7"/>
  <c r="JH5" i="7"/>
  <c r="JD5" i="7"/>
  <c r="IZ5" i="7"/>
  <c r="IV5" i="7"/>
  <c r="IR5" i="7"/>
  <c r="IN5" i="7"/>
  <c r="IJ5" i="7"/>
  <c r="IF5" i="7"/>
  <c r="IB5" i="7"/>
  <c r="HX5" i="7"/>
  <c r="HT5" i="7"/>
  <c r="HP5" i="7"/>
  <c r="HL5" i="7"/>
  <c r="HH5" i="7"/>
  <c r="HD5" i="7"/>
  <c r="GZ5" i="7"/>
  <c r="GV5" i="7"/>
  <c r="GR5" i="7"/>
  <c r="GN5" i="7"/>
  <c r="GJ5" i="7"/>
  <c r="GF5" i="7"/>
  <c r="GB5" i="7"/>
  <c r="FX5" i="7"/>
  <c r="FT5" i="7"/>
  <c r="FP5" i="7"/>
  <c r="FL5" i="7"/>
  <c r="FH5" i="7"/>
  <c r="FD5" i="7"/>
  <c r="EZ5" i="7"/>
  <c r="EV5" i="7"/>
  <c r="ER5" i="7"/>
  <c r="EN5" i="7"/>
  <c r="EJ5" i="7"/>
  <c r="EF5" i="7"/>
  <c r="EB5" i="7"/>
  <c r="DX5" i="7"/>
  <c r="DT5" i="7"/>
  <c r="DP5" i="7"/>
  <c r="DL5" i="7"/>
  <c r="DH5" i="7"/>
  <c r="DD5" i="7"/>
  <c r="CZ5" i="7"/>
  <c r="CV5" i="7"/>
  <c r="CR5" i="7"/>
  <c r="CN5" i="7"/>
  <c r="CJ5" i="7"/>
  <c r="CF5" i="7"/>
  <c r="CB5" i="7"/>
  <c r="BX5" i="7"/>
  <c r="BT5" i="7"/>
  <c r="BP5" i="7"/>
  <c r="BL5" i="7"/>
  <c r="BH5" i="7"/>
  <c r="BD5" i="7"/>
  <c r="AZ5" i="7"/>
  <c r="AV5" i="7"/>
  <c r="AR5" i="7"/>
  <c r="AN5" i="7"/>
  <c r="AJ5" i="7"/>
  <c r="AF5" i="7"/>
  <c r="AB5" i="7"/>
  <c r="X5" i="7"/>
  <c r="T5" i="7"/>
  <c r="P5" i="7"/>
  <c r="L5" i="7"/>
  <c r="H5" i="7"/>
  <c r="D5" i="7"/>
  <c r="RN14" i="7"/>
  <c r="LR14" i="7"/>
  <c r="FS14" i="7"/>
  <c r="BF14" i="7"/>
  <c r="QS13" i="7"/>
  <c r="NU13" i="7"/>
  <c r="KY13" i="7"/>
  <c r="HY13" i="7"/>
  <c r="FK13" i="7"/>
  <c r="DE13" i="7"/>
  <c r="AZ13" i="7"/>
  <c r="SA12" i="7"/>
  <c r="PW12" i="7"/>
  <c r="OL12" i="7"/>
  <c r="MY12" i="7"/>
  <c r="LN12" i="7"/>
  <c r="KB12" i="7"/>
  <c r="IP12" i="7"/>
  <c r="HD12" i="7"/>
  <c r="FS12" i="7"/>
  <c r="EE12" i="7"/>
  <c r="CT12" i="7"/>
  <c r="BR12" i="7"/>
  <c r="AO12" i="7"/>
  <c r="M12" i="7"/>
  <c r="RP11" i="7"/>
  <c r="QS11" i="7"/>
  <c r="PX11" i="7"/>
  <c r="PC11" i="7"/>
  <c r="OG11" i="7"/>
  <c r="NL11" i="7"/>
  <c r="MQ11" i="7"/>
  <c r="LU11" i="7"/>
  <c r="KZ11" i="7"/>
  <c r="KE11" i="7"/>
  <c r="JI11" i="7"/>
  <c r="IN11" i="7"/>
  <c r="HS11" i="7"/>
  <c r="GW11" i="7"/>
  <c r="GB11" i="7"/>
  <c r="FG11" i="7"/>
  <c r="EK11" i="7"/>
  <c r="DP11" i="7"/>
  <c r="CU11" i="7"/>
  <c r="BY11" i="7"/>
  <c r="BD11" i="7"/>
  <c r="AI11" i="7"/>
  <c r="M11" i="7"/>
  <c r="RW10" i="7"/>
  <c r="RB10" i="7"/>
  <c r="QF10" i="7"/>
  <c r="PK10" i="7"/>
  <c r="OP10" i="7"/>
  <c r="NT10" i="7"/>
  <c r="MY10" i="7"/>
  <c r="MD10" i="7"/>
  <c r="LH10" i="7"/>
  <c r="KM10" i="7"/>
  <c r="JR10" i="7"/>
  <c r="IV10" i="7"/>
  <c r="IA10" i="7"/>
  <c r="HF10" i="7"/>
  <c r="GJ10" i="7"/>
  <c r="FO10" i="7"/>
  <c r="ET10" i="7"/>
  <c r="DX10" i="7"/>
  <c r="DC10" i="7"/>
  <c r="CH10" i="7"/>
  <c r="BL10" i="7"/>
  <c r="AQ10" i="7"/>
  <c r="V10" i="7"/>
  <c r="SE9" i="7"/>
  <c r="RJ9" i="7"/>
  <c r="QO9" i="7"/>
  <c r="PS9" i="7"/>
  <c r="OX9" i="7"/>
  <c r="OC9" i="7"/>
  <c r="NG9" i="7"/>
  <c r="ML9" i="7"/>
  <c r="LQ9" i="7"/>
  <c r="KU9" i="7"/>
  <c r="JZ9" i="7"/>
  <c r="JE9" i="7"/>
  <c r="II9" i="7"/>
  <c r="HN9" i="7"/>
  <c r="GS9" i="7"/>
  <c r="GC9" i="7"/>
  <c r="FO9" i="7"/>
  <c r="FA9" i="7"/>
  <c r="EL9" i="7"/>
  <c r="DY9" i="7"/>
  <c r="DJ9" i="7"/>
  <c r="CU9" i="7"/>
  <c r="CH9" i="7"/>
  <c r="BS9" i="7"/>
  <c r="BE9" i="7"/>
  <c r="AQ9" i="7"/>
  <c r="AC9" i="7"/>
  <c r="N9" i="7"/>
  <c r="A9" i="7"/>
  <c r="RQ8" i="7"/>
  <c r="RB8" i="7"/>
  <c r="QO8" i="7"/>
  <c r="PZ8" i="7"/>
  <c r="PL8" i="7"/>
  <c r="OX8" i="7"/>
  <c r="OJ8" i="7"/>
  <c r="NU8" i="7"/>
  <c r="NK8" i="7"/>
  <c r="MZ8" i="7"/>
  <c r="MO8" i="7"/>
  <c r="ME8" i="7"/>
  <c r="LT8" i="7"/>
  <c r="LI8" i="7"/>
  <c r="KY8" i="7"/>
  <c r="KN8" i="7"/>
  <c r="KC8" i="7"/>
  <c r="JS8" i="7"/>
  <c r="JH8" i="7"/>
  <c r="IW8" i="7"/>
  <c r="IM8" i="7"/>
  <c r="IB8" i="7"/>
  <c r="HQ8" i="7"/>
  <c r="HG8" i="7"/>
  <c r="GV8" i="7"/>
  <c r="GK8" i="7"/>
  <c r="GA8" i="7"/>
  <c r="FP8" i="7"/>
  <c r="FE8" i="7"/>
  <c r="EU8" i="7"/>
  <c r="EJ8" i="7"/>
  <c r="DY8" i="7"/>
  <c r="DO8" i="7"/>
  <c r="DD8" i="7"/>
  <c r="CS8" i="7"/>
  <c r="CI8" i="7"/>
  <c r="BX8" i="7"/>
  <c r="BM8" i="7"/>
  <c r="BC8" i="7"/>
  <c r="AR8" i="7"/>
  <c r="AG8" i="7"/>
  <c r="W8" i="7"/>
  <c r="L8" i="7"/>
  <c r="A8" i="7"/>
  <c r="RV7" i="7"/>
  <c r="RK7" i="7"/>
  <c r="QZ7" i="7"/>
  <c r="QP7" i="7"/>
  <c r="QE7" i="7"/>
  <c r="PT7" i="7"/>
  <c r="PJ7" i="7"/>
  <c r="OY7" i="7"/>
  <c r="ON7" i="7"/>
  <c r="OD7" i="7"/>
  <c r="NS7" i="7"/>
  <c r="NH7" i="7"/>
  <c r="MX7" i="7"/>
  <c r="MM7" i="7"/>
  <c r="MB7" i="7"/>
  <c r="LR7" i="7"/>
  <c r="LG7" i="7"/>
  <c r="KV7" i="7"/>
  <c r="KL7" i="7"/>
  <c r="KA7" i="7"/>
  <c r="JP7" i="7"/>
  <c r="JF7" i="7"/>
  <c r="IU7" i="7"/>
  <c r="IJ7" i="7"/>
  <c r="HZ7" i="7"/>
  <c r="HO7" i="7"/>
  <c r="HD7" i="7"/>
  <c r="GT7" i="7"/>
  <c r="GI7" i="7"/>
  <c r="FX7" i="7"/>
  <c r="FN7" i="7"/>
  <c r="FC7" i="7"/>
  <c r="ER7" i="7"/>
  <c r="EH7" i="7"/>
  <c r="DW7" i="7"/>
  <c r="DL7" i="7"/>
  <c r="DB7" i="7"/>
  <c r="CQ7" i="7"/>
  <c r="CF7" i="7"/>
  <c r="BV7" i="7"/>
  <c r="BK7" i="7"/>
  <c r="AZ7" i="7"/>
  <c r="AP7" i="7"/>
  <c r="AE7" i="7"/>
  <c r="T7" i="7"/>
  <c r="J7" i="7"/>
  <c r="SD6" i="7"/>
  <c r="RS6" i="7"/>
  <c r="RI6" i="7"/>
  <c r="QX6" i="7"/>
  <c r="QM6" i="7"/>
  <c r="QC6" i="7"/>
  <c r="PR6" i="7"/>
  <c r="PG6" i="7"/>
  <c r="OW6" i="7"/>
  <c r="OL6" i="7"/>
  <c r="OA6" i="7"/>
  <c r="NQ6" i="7"/>
  <c r="NF6" i="7"/>
  <c r="MU6" i="7"/>
  <c r="MK6" i="7"/>
  <c r="LZ6" i="7"/>
  <c r="LR6" i="7"/>
  <c r="LJ6" i="7"/>
  <c r="LB6" i="7"/>
  <c r="KT6" i="7"/>
  <c r="KL6" i="7"/>
  <c r="KD6" i="7"/>
  <c r="JV6" i="7"/>
  <c r="JN6" i="7"/>
  <c r="JF6" i="7"/>
  <c r="IX6" i="7"/>
  <c r="IP6" i="7"/>
  <c r="IH6" i="7"/>
  <c r="HZ6" i="7"/>
  <c r="HR6" i="7"/>
  <c r="HJ6" i="7"/>
  <c r="HB6" i="7"/>
  <c r="GT6" i="7"/>
  <c r="GL6" i="7"/>
  <c r="GD6" i="7"/>
  <c r="FV6" i="7"/>
  <c r="FN6" i="7"/>
  <c r="FF6" i="7"/>
  <c r="EX6" i="7"/>
  <c r="EP6" i="7"/>
  <c r="EH6" i="7"/>
  <c r="DZ6" i="7"/>
  <c r="DR6" i="7"/>
  <c r="DJ6" i="7"/>
  <c r="DB6" i="7"/>
  <c r="CT6" i="7"/>
  <c r="CL6" i="7"/>
  <c r="CD6" i="7"/>
  <c r="BV6" i="7"/>
  <c r="BN6" i="7"/>
  <c r="BF6" i="7"/>
  <c r="AX6" i="7"/>
  <c r="AP6" i="7"/>
  <c r="AH6" i="7"/>
  <c r="Z6" i="7"/>
  <c r="R6" i="7"/>
  <c r="J6" i="7"/>
  <c r="B6" i="7"/>
  <c r="RY5" i="7"/>
  <c r="RQ5" i="7"/>
  <c r="RI5" i="7"/>
  <c r="RA5" i="7"/>
  <c r="QS5" i="7"/>
  <c r="QK5" i="7"/>
  <c r="QC5" i="7"/>
  <c r="PU5" i="7"/>
  <c r="PM5" i="7"/>
  <c r="PE5" i="7"/>
  <c r="OW5" i="7"/>
  <c r="OO5" i="7"/>
  <c r="OG5" i="7"/>
  <c r="NY5" i="7"/>
  <c r="NQ5" i="7"/>
  <c r="NI5" i="7"/>
  <c r="NA5" i="7"/>
  <c r="MS5" i="7"/>
  <c r="MK5" i="7"/>
  <c r="MC5" i="7"/>
  <c r="LU5" i="7"/>
  <c r="LM5" i="7"/>
  <c r="LE5" i="7"/>
  <c r="KW5" i="7"/>
  <c r="KO5" i="7"/>
  <c r="KG5" i="7"/>
  <c r="JY5" i="7"/>
  <c r="JQ5" i="7"/>
  <c r="JI5" i="7"/>
  <c r="JA5" i="7"/>
  <c r="IS5" i="7"/>
  <c r="IK5" i="7"/>
  <c r="IC5" i="7"/>
  <c r="HU5" i="7"/>
  <c r="HM5" i="7"/>
  <c r="HE5" i="7"/>
  <c r="GW5" i="7"/>
  <c r="GO5" i="7"/>
  <c r="GG5" i="7"/>
  <c r="FY5" i="7"/>
  <c r="FQ5" i="7"/>
  <c r="FI5" i="7"/>
  <c r="FA5" i="7"/>
  <c r="ES5" i="7"/>
  <c r="EK5" i="7"/>
  <c r="EC5" i="7"/>
  <c r="DU5" i="7"/>
  <c r="DM5" i="7"/>
  <c r="DE5" i="7"/>
  <c r="CW5" i="7"/>
  <c r="CO5" i="7"/>
  <c r="CG5" i="7"/>
  <c r="BY5" i="7"/>
  <c r="BQ5" i="7"/>
  <c r="BI5" i="7"/>
  <c r="BA5" i="7"/>
  <c r="AS5" i="7"/>
  <c r="AK5" i="7"/>
  <c r="AC5" i="7"/>
  <c r="U5" i="7"/>
  <c r="M5" i="7"/>
  <c r="E5" i="7"/>
  <c r="D4" i="7"/>
  <c r="G3" i="7"/>
  <c r="C3" i="7"/>
  <c r="F2" i="7"/>
  <c r="B2" i="7"/>
  <c r="QC14" i="7"/>
  <c r="KD14" i="7"/>
  <c r="EN14" i="7"/>
  <c r="AD14" i="7"/>
  <c r="PY13" i="7"/>
  <c r="NC13" i="7"/>
  <c r="KE13" i="7"/>
  <c r="HG13" i="7"/>
  <c r="EV13" i="7"/>
  <c r="CQ13" i="7"/>
  <c r="AM13" i="7"/>
  <c r="RL12" i="7"/>
  <c r="PO12" i="7"/>
  <c r="OA12" i="7"/>
  <c r="MP12" i="7"/>
  <c r="LD12" i="7"/>
  <c r="JR12" i="7"/>
  <c r="IF12" i="7"/>
  <c r="GU12" i="7"/>
  <c r="FH12" i="7"/>
  <c r="DW12" i="7"/>
  <c r="CN12" i="7"/>
  <c r="BJ12" i="7"/>
  <c r="AH12" i="7"/>
  <c r="F12" i="7"/>
  <c r="RI11" i="7"/>
  <c r="QN11" i="7"/>
  <c r="PS11" i="7"/>
  <c r="OW11" i="7"/>
  <c r="OB11" i="7"/>
  <c r="NG11" i="7"/>
  <c r="MK11" i="7"/>
  <c r="LP11" i="7"/>
  <c r="KU11" i="7"/>
  <c r="JY11" i="7"/>
  <c r="JD11" i="7"/>
  <c r="II11" i="7"/>
  <c r="HM11" i="7"/>
  <c r="GR11" i="7"/>
  <c r="FW11" i="7"/>
  <c r="FA11" i="7"/>
  <c r="EF11" i="7"/>
  <c r="DK11" i="7"/>
  <c r="CO11" i="7"/>
  <c r="BT11" i="7"/>
  <c r="AY11" i="7"/>
  <c r="AC11" i="7"/>
  <c r="H11" i="7"/>
  <c r="RR10" i="7"/>
  <c r="QV10" i="7"/>
  <c r="QA10" i="7"/>
  <c r="PF10" i="7"/>
  <c r="OJ10" i="7"/>
  <c r="NO10" i="7"/>
  <c r="MT10" i="7"/>
  <c r="LX10" i="7"/>
  <c r="LC10" i="7"/>
  <c r="KH10" i="7"/>
  <c r="JL10" i="7"/>
  <c r="IQ10" i="7"/>
  <c r="HV10" i="7"/>
  <c r="GZ10" i="7"/>
  <c r="GE10" i="7"/>
  <c r="FJ10" i="7"/>
  <c r="EN10" i="7"/>
  <c r="DS10" i="7"/>
  <c r="CX10" i="7"/>
  <c r="CB10" i="7"/>
  <c r="BG10" i="7"/>
  <c r="AL10" i="7"/>
  <c r="P10" i="7"/>
  <c r="RZ9" i="7"/>
  <c r="RE9" i="7"/>
  <c r="QI9" i="7"/>
  <c r="PN9" i="7"/>
  <c r="OS9" i="7"/>
  <c r="NW9" i="7"/>
  <c r="NB9" i="7"/>
  <c r="MG9" i="7"/>
  <c r="LK9" i="7"/>
  <c r="KP9" i="7"/>
  <c r="JU9" i="7"/>
  <c r="IY9" i="7"/>
  <c r="ID9" i="7"/>
  <c r="HI9" i="7"/>
  <c r="NC14" i="7"/>
  <c r="CG14" i="7"/>
  <c r="ON13" i="7"/>
  <c r="IS13" i="7"/>
  <c r="DT13" i="7"/>
  <c r="I13" i="7"/>
  <c r="OU12" i="7"/>
  <c r="LW12" i="7"/>
  <c r="IZ12" i="7"/>
  <c r="GA12" i="7"/>
  <c r="DC12" i="7"/>
  <c r="AW12" i="7"/>
  <c r="RW11" i="7"/>
  <c r="QC11" i="7"/>
  <c r="OM11" i="7"/>
  <c r="MV11" i="7"/>
  <c r="LE11" i="7"/>
  <c r="JO11" i="7"/>
  <c r="HX11" i="7"/>
  <c r="GG11" i="7"/>
  <c r="EQ11" i="7"/>
  <c r="CZ11" i="7"/>
  <c r="BI11" i="7"/>
  <c r="S11" i="7"/>
  <c r="RG10" i="7"/>
  <c r="PP10" i="7"/>
  <c r="NZ10" i="7"/>
  <c r="MI10" i="7"/>
  <c r="KR10" i="7"/>
  <c r="JB10" i="7"/>
  <c r="HK10" i="7"/>
  <c r="FT10" i="7"/>
  <c r="ED10" i="7"/>
  <c r="CM10" i="7"/>
  <c r="AV10" i="7"/>
  <c r="F10" i="7"/>
  <c r="QT9" i="7"/>
  <c r="PC9" i="7"/>
  <c r="NM9" i="7"/>
  <c r="LV9" i="7"/>
  <c r="KE9" i="7"/>
  <c r="IO9" i="7"/>
  <c r="GX9" i="7"/>
  <c r="FZ9" i="7"/>
  <c r="FG9" i="7"/>
  <c r="EP9" i="7"/>
  <c r="DU9" i="7"/>
  <c r="DC9" i="7"/>
  <c r="CK9" i="7"/>
  <c r="BO9" i="7"/>
  <c r="AX9" i="7"/>
  <c r="AG9" i="7"/>
  <c r="K9" i="7"/>
  <c r="RX8" i="7"/>
  <c r="RF8" i="7"/>
  <c r="QK8" i="7"/>
  <c r="PT8" i="7"/>
  <c r="PA8" i="7"/>
  <c r="OF8" i="7"/>
  <c r="NP8" i="7"/>
  <c r="NC8" i="7"/>
  <c r="MM8" i="7"/>
  <c r="LY8" i="7"/>
  <c r="LL8" i="7"/>
  <c r="KV8" i="7"/>
  <c r="KI8" i="7"/>
  <c r="JU8" i="7"/>
  <c r="JE8" i="7"/>
  <c r="IR8" i="7"/>
  <c r="IE8" i="7"/>
  <c r="HO8" i="7"/>
  <c r="HA8" i="7"/>
  <c r="GN8" i="7"/>
  <c r="FX8" i="7"/>
  <c r="FK8" i="7"/>
  <c r="EW8" i="7"/>
  <c r="EG8" i="7"/>
  <c r="DT8" i="7"/>
  <c r="DG8" i="7"/>
  <c r="CQ8" i="7"/>
  <c r="CC8" i="7"/>
  <c r="BP8" i="7"/>
  <c r="AZ8" i="7"/>
  <c r="AM8" i="7"/>
  <c r="Y8" i="7"/>
  <c r="I8" i="7"/>
  <c r="SA7" i="7"/>
  <c r="RN7" i="7"/>
  <c r="QX7" i="7"/>
  <c r="QJ7" i="7"/>
  <c r="PW7" i="7"/>
  <c r="PG7" i="7"/>
  <c r="OT7" i="7"/>
  <c r="OF7" i="7"/>
  <c r="NP7" i="7"/>
  <c r="NC7" i="7"/>
  <c r="MP7" i="7"/>
  <c r="LZ7" i="7"/>
  <c r="LL7" i="7"/>
  <c r="KY7" i="7"/>
  <c r="KI7" i="7"/>
  <c r="JV7" i="7"/>
  <c r="JH7" i="7"/>
  <c r="IR7" i="7"/>
  <c r="IE7" i="7"/>
  <c r="HR7" i="7"/>
  <c r="HB7" i="7"/>
  <c r="GN7" i="7"/>
  <c r="GA7" i="7"/>
  <c r="FK7" i="7"/>
  <c r="EX7" i="7"/>
  <c r="EJ7" i="7"/>
  <c r="DT7" i="7"/>
  <c r="DG7" i="7"/>
  <c r="CT7" i="7"/>
  <c r="CD7" i="7"/>
  <c r="BP7" i="7"/>
  <c r="BC7" i="7"/>
  <c r="AM7" i="7"/>
  <c r="Z7" i="7"/>
  <c r="L7" i="7"/>
  <c r="SA6" i="7"/>
  <c r="RN6" i="7"/>
  <c r="RA6" i="7"/>
  <c r="QK6" i="7"/>
  <c r="IT14" i="7"/>
  <c r="SE13" i="7"/>
  <c r="MJ13" i="7"/>
  <c r="GN13" i="7"/>
  <c r="CC13" i="7"/>
  <c r="QX12" i="7"/>
  <c r="NS12" i="7"/>
  <c r="KT12" i="7"/>
  <c r="HW12" i="7"/>
  <c r="EY12" i="7"/>
  <c r="CF12" i="7"/>
  <c r="AB12" i="7"/>
  <c r="RD11" i="7"/>
  <c r="PM11" i="7"/>
  <c r="NW11" i="7"/>
  <c r="MF11" i="7"/>
  <c r="KO11" i="7"/>
  <c r="IY11" i="7"/>
  <c r="HH11" i="7"/>
  <c r="FQ11" i="7"/>
  <c r="EA11" i="7"/>
  <c r="CJ11" i="7"/>
  <c r="AS11" i="7"/>
  <c r="C11" i="7"/>
  <c r="QQ10" i="7"/>
  <c r="OZ10" i="7"/>
  <c r="NJ10" i="7"/>
  <c r="LS10" i="7"/>
  <c r="KB10" i="7"/>
  <c r="IL10" i="7"/>
  <c r="GU10" i="7"/>
  <c r="FD10" i="7"/>
  <c r="DN10" i="7"/>
  <c r="BW10" i="7"/>
  <c r="AF10" i="7"/>
  <c r="RU9" i="7"/>
  <c r="QD9" i="7"/>
  <c r="OM9" i="7"/>
  <c r="MW9" i="7"/>
  <c r="LF9" i="7"/>
  <c r="JO9" i="7"/>
  <c r="HY9" i="7"/>
  <c r="GM9" i="7"/>
  <c r="FV9" i="7"/>
  <c r="FE9" i="7"/>
  <c r="EI9" i="7"/>
  <c r="DQ9" i="7"/>
  <c r="CY9" i="7"/>
  <c r="CD9" i="7"/>
  <c r="BM9" i="7"/>
  <c r="AT9" i="7"/>
  <c r="Y9" i="7"/>
  <c r="G9" i="7"/>
  <c r="RU8" i="7"/>
  <c r="QZ8" i="7"/>
  <c r="QG8" i="7"/>
  <c r="PP8" i="7"/>
  <c r="OT8" i="7"/>
  <c r="OC8" i="7"/>
  <c r="NM8" i="7"/>
  <c r="MW8" i="7"/>
  <c r="MJ8" i="7"/>
  <c r="LW8" i="7"/>
  <c r="LG8" i="7"/>
  <c r="KS8" i="7"/>
  <c r="KF8" i="7"/>
  <c r="JP8" i="7"/>
  <c r="JC8" i="7"/>
  <c r="IO8" i="7"/>
  <c r="HY8" i="7"/>
  <c r="HL8" i="7"/>
  <c r="GY8" i="7"/>
  <c r="GI8" i="7"/>
  <c r="FU8" i="7"/>
  <c r="FH8" i="7"/>
  <c r="ER8" i="7"/>
  <c r="EE8" i="7"/>
  <c r="DQ8" i="7"/>
  <c r="DA8" i="7"/>
  <c r="CN8" i="7"/>
  <c r="CA8" i="7"/>
  <c r="BK8" i="7"/>
  <c r="AW8" i="7"/>
  <c r="AJ8" i="7"/>
  <c r="T8" i="7"/>
  <c r="G8" i="7"/>
  <c r="RX7" i="7"/>
  <c r="RH7" i="7"/>
  <c r="QU7" i="7"/>
  <c r="QH7" i="7"/>
  <c r="PR7" i="7"/>
  <c r="PD7" i="7"/>
  <c r="OQ7" i="7"/>
  <c r="OA7" i="7"/>
  <c r="NN7" i="7"/>
  <c r="MZ7" i="7"/>
  <c r="MJ7" i="7"/>
  <c r="LW7" i="7"/>
  <c r="LJ7" i="7"/>
  <c r="KT7" i="7"/>
  <c r="KF7" i="7"/>
  <c r="JS7" i="7"/>
  <c r="JC7" i="7"/>
  <c r="IP7" i="7"/>
  <c r="IB7" i="7"/>
  <c r="HL7" i="7"/>
  <c r="GY7" i="7"/>
  <c r="GL7" i="7"/>
  <c r="FV7" i="7"/>
  <c r="FH7" i="7"/>
  <c r="EU7" i="7"/>
  <c r="EE7" i="7"/>
  <c r="DR7" i="7"/>
  <c r="DD7" i="7"/>
  <c r="CN7" i="7"/>
  <c r="CA7" i="7"/>
  <c r="BN7" i="7"/>
  <c r="AX7" i="7"/>
  <c r="AJ7" i="7"/>
  <c r="W7" i="7"/>
  <c r="G7" i="7"/>
  <c r="RY6" i="7"/>
  <c r="RK6" i="7"/>
  <c r="QU6" i="7"/>
  <c r="QH6" i="7"/>
  <c r="PU6" i="7"/>
  <c r="PE6" i="7"/>
  <c r="OQ6" i="7"/>
  <c r="OD6" i="7"/>
  <c r="NN6" i="7"/>
  <c r="NA6" i="7"/>
  <c r="MM6" i="7"/>
  <c r="LX6" i="7"/>
  <c r="LN6" i="7"/>
  <c r="LD6" i="7"/>
  <c r="KR6" i="7"/>
  <c r="KH6" i="7"/>
  <c r="JX6" i="7"/>
  <c r="JL6" i="7"/>
  <c r="JB6" i="7"/>
  <c r="IR6" i="7"/>
  <c r="IF6" i="7"/>
  <c r="HV6" i="7"/>
  <c r="HL6" i="7"/>
  <c r="GZ6" i="7"/>
  <c r="GP6" i="7"/>
  <c r="GF6" i="7"/>
  <c r="FT6" i="7"/>
  <c r="FJ6" i="7"/>
  <c r="EZ6" i="7"/>
  <c r="EN6" i="7"/>
  <c r="ED6" i="7"/>
  <c r="DT6" i="7"/>
  <c r="DH6" i="7"/>
  <c r="CX6" i="7"/>
  <c r="CN6" i="7"/>
  <c r="CB6" i="7"/>
  <c r="BR6" i="7"/>
  <c r="BH6" i="7"/>
  <c r="AV6" i="7"/>
  <c r="AL6" i="7"/>
  <c r="AB6" i="7"/>
  <c r="P6" i="7"/>
  <c r="F6" i="7"/>
  <c r="SA5" i="7"/>
  <c r="RO5" i="7"/>
  <c r="RE5" i="7"/>
  <c r="QU5" i="7"/>
  <c r="QI5" i="7"/>
  <c r="PY5" i="7"/>
  <c r="HI14" i="7"/>
  <c r="RM13" i="7"/>
  <c r="LP13" i="7"/>
  <c r="FX13" i="7"/>
  <c r="BO13" i="7"/>
  <c r="QJ12" i="7"/>
  <c r="NJ12" i="7"/>
  <c r="KL12" i="7"/>
  <c r="HL12" i="7"/>
  <c r="EP12" i="7"/>
  <c r="BY12" i="7"/>
  <c r="T12" i="7"/>
  <c r="QY11" i="7"/>
  <c r="PH11" i="7"/>
  <c r="NQ11" i="7"/>
  <c r="MA11" i="7"/>
  <c r="KJ11" i="7"/>
  <c r="IS11" i="7"/>
  <c r="HC11" i="7"/>
  <c r="FL11" i="7"/>
  <c r="DU11" i="7"/>
  <c r="CE11" i="7"/>
  <c r="AN11" i="7"/>
  <c r="SB10" i="7"/>
  <c r="QL10" i="7"/>
  <c r="OU10" i="7"/>
  <c r="ND10" i="7"/>
  <c r="LN10" i="7"/>
  <c r="JW10" i="7"/>
  <c r="IF10" i="7"/>
  <c r="GP10" i="7"/>
  <c r="EY10" i="7"/>
  <c r="DH10" i="7"/>
  <c r="BR10" i="7"/>
  <c r="AA10" i="7"/>
  <c r="RO9" i="7"/>
  <c r="PY9" i="7"/>
  <c r="OH9" i="7"/>
  <c r="MQ9" i="7"/>
  <c r="LA9" i="7"/>
  <c r="JJ9" i="7"/>
  <c r="HS9" i="7"/>
  <c r="GK9" i="7"/>
  <c r="FR9" i="7"/>
  <c r="EW9" i="7"/>
  <c r="EE9" i="7"/>
  <c r="DN9" i="7"/>
  <c r="CS9" i="7"/>
  <c r="BZ9" i="7"/>
  <c r="BI9" i="7"/>
  <c r="AM9" i="7"/>
  <c r="V9" i="7"/>
  <c r="C9" i="7"/>
  <c r="RM8" i="7"/>
  <c r="QV8" i="7"/>
  <c r="QD8" i="7"/>
  <c r="PI8" i="7"/>
  <c r="OP8" i="7"/>
  <c r="NY8" i="7"/>
  <c r="NH8" i="7"/>
  <c r="MU8" i="7"/>
  <c r="MG8" i="7"/>
  <c r="LQ8" i="7"/>
  <c r="LD8" i="7"/>
  <c r="KQ8" i="7"/>
  <c r="KA8" i="7"/>
  <c r="JM8" i="7"/>
  <c r="IZ8" i="7"/>
  <c r="IJ8" i="7"/>
  <c r="HW8" i="7"/>
  <c r="HI8" i="7"/>
  <c r="GS8" i="7"/>
  <c r="GF8" i="7"/>
  <c r="FS8" i="7"/>
  <c r="FC8" i="7"/>
  <c r="EO8" i="7"/>
  <c r="EB8" i="7"/>
  <c r="DL8" i="7"/>
  <c r="CY8" i="7"/>
  <c r="CK8" i="7"/>
  <c r="BU8" i="7"/>
  <c r="BH8" i="7"/>
  <c r="AU8" i="7"/>
  <c r="AE8" i="7"/>
  <c r="Q8" i="7"/>
  <c r="D8" i="7"/>
  <c r="RS7" i="7"/>
  <c r="RF7" i="7"/>
  <c r="QR7" i="7"/>
  <c r="QB7" i="7"/>
  <c r="PO7" i="7"/>
  <c r="PB7" i="7"/>
  <c r="OL7" i="7"/>
  <c r="NX7" i="7"/>
  <c r="NK7" i="7"/>
  <c r="MU7" i="7"/>
  <c r="MH7" i="7"/>
  <c r="LT7" i="7"/>
  <c r="LD7" i="7"/>
  <c r="KQ7" i="7"/>
  <c r="KD7" i="7"/>
  <c r="JN7" i="7"/>
  <c r="IZ7" i="7"/>
  <c r="IM7" i="7"/>
  <c r="HW7" i="7"/>
  <c r="HJ7" i="7"/>
  <c r="GV7" i="7"/>
  <c r="GF7" i="7"/>
  <c r="FS7" i="7"/>
  <c r="FF7" i="7"/>
  <c r="EP7" i="7"/>
  <c r="EB7" i="7"/>
  <c r="DO7" i="7"/>
  <c r="CY7" i="7"/>
  <c r="CL7" i="7"/>
  <c r="BX7" i="7"/>
  <c r="BH7" i="7"/>
  <c r="AU7" i="7"/>
  <c r="AH7" i="7"/>
  <c r="R7" i="7"/>
  <c r="D7" i="7"/>
  <c r="RV6" i="7"/>
  <c r="RF6" i="7"/>
  <c r="QS6" i="7"/>
  <c r="QE6" i="7"/>
  <c r="DL14" i="7"/>
  <c r="X13" i="7"/>
  <c r="GJ12" i="7"/>
  <c r="QI11" i="7"/>
  <c r="JT11" i="7"/>
  <c r="DE11" i="7"/>
  <c r="PV10" i="7"/>
  <c r="JG10" i="7"/>
  <c r="CR10" i="7"/>
  <c r="PI9" i="7"/>
  <c r="IT9" i="7"/>
  <c r="ET9" i="7"/>
  <c r="BW9" i="7"/>
  <c r="SB8" i="7"/>
  <c r="PE8" i="7"/>
  <c r="MR8" i="7"/>
  <c r="KK8" i="7"/>
  <c r="IG8" i="7"/>
  <c r="GC8" i="7"/>
  <c r="DW8" i="7"/>
  <c r="BS8" i="7"/>
  <c r="O8" i="7"/>
  <c r="QM7" i="7"/>
  <c r="OI7" i="7"/>
  <c r="ME7" i="7"/>
  <c r="JX7" i="7"/>
  <c r="HT7" i="7"/>
  <c r="FP7" i="7"/>
  <c r="DJ7" i="7"/>
  <c r="BF7" i="7"/>
  <c r="B7" i="7"/>
  <c r="PZ6" i="7"/>
  <c r="PJ6" i="7"/>
  <c r="OO6" i="7"/>
  <c r="NV6" i="7"/>
  <c r="NC6" i="7"/>
  <c r="MH6" i="7"/>
  <c r="LT6" i="7"/>
  <c r="LF6" i="7"/>
  <c r="KP6" i="7"/>
  <c r="KB6" i="7"/>
  <c r="JP6" i="7"/>
  <c r="IZ6" i="7"/>
  <c r="IL6" i="7"/>
  <c r="HX6" i="7"/>
  <c r="HH6" i="7"/>
  <c r="GV6" i="7"/>
  <c r="GH6" i="7"/>
  <c r="FR6" i="7"/>
  <c r="FD6" i="7"/>
  <c r="ER6" i="7"/>
  <c r="EB6" i="7"/>
  <c r="DN6" i="7"/>
  <c r="CZ6" i="7"/>
  <c r="CJ6" i="7"/>
  <c r="BX6" i="7"/>
  <c r="BJ6" i="7"/>
  <c r="AT6" i="7"/>
  <c r="AF6" i="7"/>
  <c r="T6" i="7"/>
  <c r="D6" i="7"/>
  <c r="RU5" i="7"/>
  <c r="RG5" i="7"/>
  <c r="QQ5" i="7"/>
  <c r="QE5" i="7"/>
  <c r="PQ5" i="7"/>
  <c r="PG5" i="7"/>
  <c r="OU5" i="7"/>
  <c r="OK5" i="7"/>
  <c r="OA5" i="7"/>
  <c r="NO5" i="7"/>
  <c r="NE5" i="7"/>
  <c r="MU5" i="7"/>
  <c r="MI5" i="7"/>
  <c r="LY5" i="7"/>
  <c r="LO5" i="7"/>
  <c r="LC5" i="7"/>
  <c r="KS5" i="7"/>
  <c r="KI5" i="7"/>
  <c r="JW5" i="7"/>
  <c r="JM5" i="7"/>
  <c r="JC5" i="7"/>
  <c r="IQ5" i="7"/>
  <c r="IG5" i="7"/>
  <c r="HW5" i="7"/>
  <c r="HK5" i="7"/>
  <c r="HA5" i="7"/>
  <c r="GQ5" i="7"/>
  <c r="GE5" i="7"/>
  <c r="FU5" i="7"/>
  <c r="FK5" i="7"/>
  <c r="EY5" i="7"/>
  <c r="EO5" i="7"/>
  <c r="EE5" i="7"/>
  <c r="DS5" i="7"/>
  <c r="DI5" i="7"/>
  <c r="CY5" i="7"/>
  <c r="CM5" i="7"/>
  <c r="CC5" i="7"/>
  <c r="BS5" i="7"/>
  <c r="BG5" i="7"/>
  <c r="AW5" i="7"/>
  <c r="AM5" i="7"/>
  <c r="AA5" i="7"/>
  <c r="Q5" i="7"/>
  <c r="G5" i="7"/>
  <c r="F4" i="7"/>
  <c r="A4" i="7"/>
  <c r="D3" i="7"/>
  <c r="G2" i="7"/>
  <c r="A2" i="7"/>
  <c r="PH13" i="7"/>
  <c r="PD12" i="7"/>
  <c r="DN12" i="7"/>
  <c r="OR11" i="7"/>
  <c r="IC11" i="7"/>
  <c r="BO11" i="7"/>
  <c r="OE10" i="7"/>
  <c r="HP10" i="7"/>
  <c r="BB10" i="7"/>
  <c r="NR9" i="7"/>
  <c r="HC9" i="7"/>
  <c r="EA9" i="7"/>
  <c r="BB9" i="7"/>
  <c r="RJ8" i="7"/>
  <c r="ON8" i="7"/>
  <c r="MB8" i="7"/>
  <c r="JX8" i="7"/>
  <c r="HT8" i="7"/>
  <c r="FM8" i="7"/>
  <c r="DI8" i="7"/>
  <c r="BE8" i="7"/>
  <c r="SD7" i="7"/>
  <c r="PZ7" i="7"/>
  <c r="NV7" i="7"/>
  <c r="LO7" i="7"/>
  <c r="JK7" i="7"/>
  <c r="HG7" i="7"/>
  <c r="EZ7" i="7"/>
  <c r="CV7" i="7"/>
  <c r="AR7" i="7"/>
  <c r="RQ6" i="7"/>
  <c r="PW6" i="7"/>
  <c r="PB6" i="7"/>
  <c r="OI6" i="7"/>
  <c r="NS6" i="7"/>
  <c r="MX6" i="7"/>
  <c r="ME6" i="7"/>
  <c r="LP6" i="7"/>
  <c r="KZ6" i="7"/>
  <c r="KN6" i="7"/>
  <c r="JZ6" i="7"/>
  <c r="JJ6" i="7"/>
  <c r="IV6" i="7"/>
  <c r="IJ6" i="7"/>
  <c r="HT6" i="7"/>
  <c r="HF6" i="7"/>
  <c r="GR6" i="7"/>
  <c r="GB6" i="7"/>
  <c r="FP6" i="7"/>
  <c r="FB6" i="7"/>
  <c r="EL6" i="7"/>
  <c r="DX6" i="7"/>
  <c r="DL6" i="7"/>
  <c r="CV6" i="7"/>
  <c r="CH6" i="7"/>
  <c r="BT6" i="7"/>
  <c r="BD6" i="7"/>
  <c r="AR6" i="7"/>
  <c r="AD6" i="7"/>
  <c r="N6" i="7"/>
  <c r="SE5" i="7"/>
  <c r="RS5" i="7"/>
  <c r="RC5" i="7"/>
  <c r="QO5" i="7"/>
  <c r="QA5" i="7"/>
  <c r="PO5" i="7"/>
  <c r="PC5" i="7"/>
  <c r="OS5" i="7"/>
  <c r="OI5" i="7"/>
  <c r="NW5" i="7"/>
  <c r="NM5" i="7"/>
  <c r="NC5" i="7"/>
  <c r="MQ5" i="7"/>
  <c r="MG5" i="7"/>
  <c r="LW5" i="7"/>
  <c r="LK5" i="7"/>
  <c r="LA5" i="7"/>
  <c r="KQ5" i="7"/>
  <c r="KE5" i="7"/>
  <c r="JU5" i="7"/>
  <c r="JK5" i="7"/>
  <c r="IY5" i="7"/>
  <c r="IO5" i="7"/>
  <c r="IE5" i="7"/>
  <c r="HS5" i="7"/>
  <c r="HI5" i="7"/>
  <c r="GY5" i="7"/>
  <c r="GM5" i="7"/>
  <c r="GC5" i="7"/>
  <c r="FS5" i="7"/>
  <c r="FG5" i="7"/>
  <c r="EW5" i="7"/>
  <c r="EM5" i="7"/>
  <c r="EA5" i="7"/>
  <c r="DQ5" i="7"/>
  <c r="DG5" i="7"/>
  <c r="CU5" i="7"/>
  <c r="CK5" i="7"/>
  <c r="CA5" i="7"/>
  <c r="BO5" i="7"/>
  <c r="BE5" i="7"/>
  <c r="AU5" i="7"/>
  <c r="AI5" i="7"/>
  <c r="Y5" i="7"/>
  <c r="O5" i="7"/>
  <c r="C5" i="7"/>
  <c r="E4" i="7"/>
  <c r="B3" i="7"/>
  <c r="JK13" i="7"/>
  <c r="BD12" i="7"/>
  <c r="GM11" i="7"/>
  <c r="MN10" i="7"/>
  <c r="K10" i="7"/>
  <c r="GG9" i="7"/>
  <c r="AI9" i="7"/>
  <c r="NS8" i="7"/>
  <c r="JK8" i="7"/>
  <c r="EZ8" i="7"/>
  <c r="AO8" i="7"/>
  <c r="PL7" i="7"/>
  <c r="LB7" i="7"/>
  <c r="GQ7" i="7"/>
  <c r="CI7" i="7"/>
  <c r="RC6" i="7"/>
  <c r="OY6" i="7"/>
  <c r="NK6" i="7"/>
  <c r="MC6" i="7"/>
  <c r="KX6" i="7"/>
  <c r="JT6" i="7"/>
  <c r="IT6" i="7"/>
  <c r="HP6" i="7"/>
  <c r="GN6" i="7"/>
  <c r="FL6" i="7"/>
  <c r="EJ6" i="7"/>
  <c r="DF6" i="7"/>
  <c r="CF6" i="7"/>
  <c r="BB6" i="7"/>
  <c r="X6" i="7"/>
  <c r="SC5" i="7"/>
  <c r="QY5" i="7"/>
  <c r="PW5" i="7"/>
  <c r="PA5" i="7"/>
  <c r="OE5" i="7"/>
  <c r="NK5" i="7"/>
  <c r="MO5" i="7"/>
  <c r="LS5" i="7"/>
  <c r="KY5" i="7"/>
  <c r="KC5" i="7"/>
  <c r="JG5" i="7"/>
  <c r="IM5" i="7"/>
  <c r="HQ5" i="7"/>
  <c r="GU5" i="7"/>
  <c r="GA5" i="7"/>
  <c r="FE5" i="7"/>
  <c r="EI5" i="7"/>
  <c r="DO5" i="7"/>
  <c r="CS5" i="7"/>
  <c r="BW5" i="7"/>
  <c r="BC5" i="7"/>
  <c r="AG5" i="7"/>
  <c r="K5" i="7"/>
  <c r="C4" i="7"/>
  <c r="A3" i="7"/>
  <c r="E2" i="7"/>
  <c r="EG13" i="7"/>
  <c r="SC11" i="7"/>
  <c r="EV11" i="7"/>
  <c r="KX10" i="7"/>
  <c r="QY9" i="7"/>
  <c r="FK9" i="7"/>
  <c r="R9" i="7"/>
  <c r="NE8" i="7"/>
  <c r="IU8" i="7"/>
  <c r="EM8" i="7"/>
  <c r="AB8" i="7"/>
  <c r="OV7" i="7"/>
  <c r="KN7" i="7"/>
  <c r="GD7" i="7"/>
  <c r="BS7" i="7"/>
  <c r="QP6" i="7"/>
  <c r="OT6" i="7"/>
  <c r="NI6" i="7"/>
  <c r="LV6" i="7"/>
  <c r="KV6" i="7"/>
  <c r="JR6" i="7"/>
  <c r="IN6" i="7"/>
  <c r="HN6" i="7"/>
  <c r="GJ6" i="7"/>
  <c r="FH6" i="7"/>
  <c r="EF6" i="7"/>
  <c r="DD6" i="7"/>
  <c r="BZ6" i="7"/>
  <c r="AZ6" i="7"/>
  <c r="V6" i="7"/>
  <c r="RW5" i="7"/>
  <c r="QW5" i="7"/>
  <c r="PS5" i="7"/>
  <c r="OY5" i="7"/>
  <c r="OC5" i="7"/>
  <c r="NG5" i="7"/>
  <c r="MM5" i="7"/>
  <c r="LQ5" i="7"/>
  <c r="KU5" i="7"/>
  <c r="KA5" i="7"/>
  <c r="JE5" i="7"/>
  <c r="II5" i="7"/>
  <c r="HO5" i="7"/>
  <c r="GS5" i="7"/>
  <c r="FW5" i="7"/>
  <c r="FC5" i="7"/>
  <c r="EG5" i="7"/>
  <c r="DK5" i="7"/>
  <c r="CQ5" i="7"/>
  <c r="BU5" i="7"/>
  <c r="AY5" i="7"/>
  <c r="AE5" i="7"/>
  <c r="I5" i="7"/>
  <c r="B4" i="7"/>
  <c r="D2" i="7"/>
  <c r="MH12" i="7"/>
  <c r="NA11" i="7"/>
  <c r="X11" i="7"/>
  <c r="FZ10" i="7"/>
  <c r="MA9" i="7"/>
  <c r="DF9" i="7"/>
  <c r="QR8" i="7"/>
  <c r="LO8" i="7"/>
  <c r="HD8" i="7"/>
  <c r="CV8" i="7"/>
  <c r="RP7" i="7"/>
  <c r="NF7" i="7"/>
  <c r="IX7" i="7"/>
  <c r="EM7" i="7"/>
  <c r="AB7" i="7"/>
  <c r="PO6" i="7"/>
  <c r="OG6" i="7"/>
  <c r="MS6" i="7"/>
  <c r="LL6" i="7"/>
  <c r="KJ6" i="7"/>
  <c r="JH6" i="7"/>
  <c r="ID6" i="7"/>
  <c r="HD6" i="7"/>
  <c r="FZ6" i="7"/>
  <c r="EV6" i="7"/>
  <c r="DV6" i="7"/>
  <c r="CR6" i="7"/>
  <c r="BP6" i="7"/>
  <c r="AN6" i="7"/>
  <c r="L6" i="7"/>
  <c r="RM5" i="7"/>
  <c r="QM5" i="7"/>
  <c r="PK5" i="7"/>
  <c r="OQ5" i="7"/>
  <c r="NU5" i="7"/>
  <c r="MY5" i="7"/>
  <c r="ME5" i="7"/>
  <c r="LI5" i="7"/>
  <c r="KM5" i="7"/>
  <c r="JS5" i="7"/>
  <c r="IW5" i="7"/>
  <c r="IA5" i="7"/>
  <c r="HG5" i="7"/>
  <c r="GK5" i="7"/>
  <c r="FO5" i="7"/>
  <c r="EU5" i="7"/>
  <c r="DY5" i="7"/>
  <c r="DC5" i="7"/>
  <c r="CI5" i="7"/>
  <c r="BM5" i="7"/>
  <c r="AQ5" i="7"/>
  <c r="W5" i="7"/>
  <c r="A5" i="7"/>
  <c r="F3" i="7"/>
  <c r="BK5" i="7"/>
  <c r="EQ5" i="7"/>
  <c r="HY5" i="7"/>
  <c r="LG5" i="7"/>
  <c r="OM5" i="7"/>
  <c r="H6" i="7"/>
  <c r="DP6" i="7"/>
  <c r="IB6" i="7"/>
  <c r="MP6" i="7"/>
  <c r="DZ7" i="7"/>
  <c r="CF8" i="7"/>
  <c r="CO9" i="7"/>
  <c r="LK11" i="7"/>
  <c r="T3" i="3"/>
  <c r="U3" i="3" s="1"/>
  <c r="I10" i="9"/>
  <c r="F791" i="5"/>
  <c r="F789" i="5"/>
  <c r="F787" i="5"/>
  <c r="F785" i="5"/>
  <c r="F783" i="5"/>
  <c r="F781" i="5"/>
  <c r="F779" i="5"/>
  <c r="F777" i="5"/>
  <c r="F775" i="5"/>
  <c r="F773" i="5"/>
  <c r="F771" i="5"/>
  <c r="F769" i="5"/>
  <c r="F767" i="5"/>
  <c r="F765" i="5"/>
  <c r="F763" i="5"/>
  <c r="F761" i="5"/>
  <c r="F726" i="5"/>
  <c r="F803" i="5"/>
  <c r="F801" i="5"/>
  <c r="F799" i="5"/>
  <c r="F797" i="5"/>
  <c r="F795" i="5"/>
  <c r="F793" i="5"/>
  <c r="F786" i="5"/>
  <c r="F778" i="5"/>
  <c r="F770" i="5"/>
  <c r="F762" i="5"/>
  <c r="F758" i="5"/>
  <c r="F756" i="5"/>
  <c r="F754" i="5"/>
  <c r="F752" i="5"/>
  <c r="F750" i="5"/>
  <c r="F748" i="5"/>
  <c r="F746" i="5"/>
  <c r="F744" i="5"/>
  <c r="F742" i="5"/>
  <c r="F740" i="5"/>
  <c r="F738" i="5"/>
  <c r="F736" i="5"/>
  <c r="F734" i="5"/>
  <c r="F732" i="5"/>
  <c r="F730" i="5"/>
  <c r="F728" i="5"/>
  <c r="F788" i="5"/>
  <c r="F780" i="5"/>
  <c r="F772" i="5"/>
  <c r="F764" i="5"/>
  <c r="F725" i="5"/>
  <c r="F802" i="5"/>
  <c r="F800" i="5"/>
  <c r="F798" i="5"/>
  <c r="F796" i="5"/>
  <c r="F794" i="5"/>
  <c r="F792" i="5"/>
  <c r="F790" i="5"/>
  <c r="F782" i="5"/>
  <c r="F774" i="5"/>
  <c r="F766" i="5"/>
  <c r="F759" i="5"/>
  <c r="F757" i="5"/>
  <c r="F755" i="5"/>
  <c r="F753" i="5"/>
  <c r="F751" i="5"/>
  <c r="F749" i="5"/>
  <c r="F747" i="5"/>
  <c r="F745" i="5"/>
  <c r="F743" i="5"/>
  <c r="F741" i="5"/>
  <c r="F739" i="5"/>
  <c r="F737" i="5"/>
  <c r="F735" i="5"/>
  <c r="F733" i="5"/>
  <c r="F731" i="5"/>
  <c r="F729" i="5"/>
  <c r="F727" i="5"/>
  <c r="F768" i="5"/>
  <c r="F760" i="5"/>
  <c r="F784" i="5"/>
  <c r="F724" i="5"/>
  <c r="F776" i="5"/>
  <c r="K10" i="9"/>
  <c r="CE5" i="7"/>
  <c r="FM5" i="7"/>
  <c r="IU5" i="7"/>
  <c r="MA5" i="7"/>
  <c r="PI5" i="7"/>
  <c r="AJ6" i="7"/>
  <c r="ET6" i="7"/>
  <c r="JD6" i="7"/>
  <c r="NY6" i="7"/>
  <c r="IH7" i="7"/>
  <c r="GQ8" i="7"/>
  <c r="KK9" i="7"/>
  <c r="JH12" i="7"/>
  <c r="F921" i="5"/>
  <c r="F923" i="5"/>
  <c r="F925" i="5"/>
  <c r="F927" i="5"/>
  <c r="F929" i="5"/>
  <c r="F931" i="5"/>
  <c r="F933" i="5"/>
  <c r="F935" i="5"/>
  <c r="F937" i="5"/>
  <c r="F939" i="5"/>
  <c r="F941" i="5"/>
  <c r="F943" i="5"/>
  <c r="F945" i="5"/>
  <c r="F947" i="5"/>
  <c r="F949" i="5"/>
  <c r="F854" i="5"/>
  <c r="F852" i="5"/>
  <c r="F850" i="5"/>
  <c r="F848" i="5"/>
  <c r="F846" i="5"/>
  <c r="F844" i="5"/>
  <c r="F842" i="5"/>
  <c r="F840" i="5"/>
  <c r="F838" i="5"/>
  <c r="F836" i="5"/>
  <c r="F834" i="5"/>
  <c r="F832" i="5"/>
  <c r="F830" i="5"/>
  <c r="F828" i="5"/>
  <c r="F826" i="5"/>
  <c r="F824" i="5"/>
  <c r="F962" i="5"/>
  <c r="F960" i="5"/>
  <c r="F958" i="5"/>
  <c r="F956" i="5"/>
  <c r="F954" i="5"/>
  <c r="F952" i="5"/>
  <c r="F919" i="5"/>
  <c r="F917" i="5"/>
  <c r="F915" i="5"/>
  <c r="F913" i="5"/>
  <c r="F911" i="5"/>
  <c r="F909" i="5"/>
  <c r="F907" i="5"/>
  <c r="F905" i="5"/>
  <c r="F903" i="5"/>
  <c r="F901" i="5"/>
  <c r="F899" i="5"/>
  <c r="F897" i="5"/>
  <c r="F895" i="5"/>
  <c r="F893" i="5"/>
  <c r="F891" i="5"/>
  <c r="F889" i="5"/>
  <c r="F963" i="5"/>
  <c r="F961" i="5"/>
  <c r="F959" i="5"/>
  <c r="F957" i="5"/>
  <c r="F955" i="5"/>
  <c r="F953" i="5"/>
  <c r="F918" i="5"/>
  <c r="F916" i="5"/>
  <c r="F914" i="5"/>
  <c r="F912" i="5"/>
  <c r="F910" i="5"/>
  <c r="F908" i="5"/>
  <c r="F906" i="5"/>
  <c r="F904" i="5"/>
  <c r="F902" i="5"/>
  <c r="F900" i="5"/>
  <c r="F898" i="5"/>
  <c r="F896" i="5"/>
  <c r="F894" i="5"/>
  <c r="F892" i="5"/>
  <c r="F890" i="5"/>
  <c r="F888" i="5"/>
  <c r="J4" i="5"/>
  <c r="K4" i="5" s="1"/>
  <c r="L4" i="5" s="1"/>
  <c r="F920" i="5"/>
  <c r="F922" i="5"/>
  <c r="F924" i="5"/>
  <c r="F926" i="5"/>
  <c r="F928" i="5"/>
  <c r="F930" i="5"/>
  <c r="F932" i="5"/>
  <c r="F934" i="5"/>
  <c r="F936" i="5"/>
  <c r="F938" i="5"/>
  <c r="F940" i="5"/>
  <c r="F942" i="5"/>
  <c r="F944" i="5"/>
  <c r="F946" i="5"/>
  <c r="F948" i="5"/>
  <c r="F950" i="5"/>
  <c r="F1043" i="5"/>
  <c r="F1041" i="5"/>
  <c r="F1039" i="5"/>
  <c r="F1037" i="5"/>
  <c r="F1035" i="5"/>
  <c r="F1033" i="5"/>
  <c r="F1031" i="5"/>
  <c r="F1029" i="5"/>
  <c r="F1027" i="5"/>
  <c r="F1025" i="5"/>
  <c r="F1023" i="5"/>
  <c r="F1021" i="5"/>
  <c r="F1019" i="5"/>
  <c r="F982" i="5"/>
  <c r="F980" i="5"/>
  <c r="F978" i="5"/>
  <c r="F976" i="5"/>
  <c r="F974" i="5"/>
  <c r="F972" i="5"/>
  <c r="F970" i="5"/>
  <c r="F968" i="5"/>
  <c r="F966" i="5"/>
  <c r="F964" i="5"/>
  <c r="F1042" i="5"/>
  <c r="F1040" i="5"/>
  <c r="F1038" i="5"/>
  <c r="F1036" i="5"/>
  <c r="F1034" i="5"/>
  <c r="F1032" i="5"/>
  <c r="F1030" i="5"/>
  <c r="F1028" i="5"/>
  <c r="F1026" i="5"/>
  <c r="F1024" i="5"/>
  <c r="F1022" i="5"/>
  <c r="F1020" i="5"/>
  <c r="F1018" i="5"/>
  <c r="F983" i="5"/>
  <c r="F981" i="5"/>
  <c r="F979" i="5"/>
  <c r="F977" i="5"/>
  <c r="F975" i="5"/>
  <c r="F973" i="5"/>
  <c r="F971" i="5"/>
  <c r="F969" i="5"/>
  <c r="F967" i="5"/>
  <c r="F965" i="5"/>
  <c r="I18" i="2"/>
  <c r="H18" i="2" s="1"/>
  <c r="E70" i="2"/>
  <c r="I86" i="2"/>
  <c r="H86" i="2" s="1"/>
  <c r="B70" i="2"/>
  <c r="G71" i="2"/>
  <c r="G72" i="2" s="1"/>
  <c r="G73" i="2" s="1"/>
  <c r="G74" i="2" s="1"/>
  <c r="G75" i="2" s="1"/>
  <c r="G76" i="2" s="1"/>
  <c r="G77" i="2" s="1"/>
  <c r="G78" i="2" s="1"/>
  <c r="G79" i="2" s="1"/>
  <c r="G80" i="2" s="1"/>
  <c r="G81" i="2" s="1"/>
  <c r="G82" i="2" s="1"/>
  <c r="G83" i="2" s="1"/>
  <c r="G84" i="2" s="1"/>
  <c r="G85" i="2" s="1"/>
  <c r="I70" i="2"/>
  <c r="H70" i="2" s="1"/>
  <c r="J39" i="2"/>
  <c r="B174" i="2"/>
  <c r="J55" i="2"/>
  <c r="E54" i="2" s="1"/>
  <c r="B138" i="2"/>
  <c r="B156" i="2"/>
  <c r="B192" i="2"/>
  <c r="B29" i="2"/>
  <c r="B54" i="2"/>
  <c r="G55" i="2"/>
  <c r="G56" i="2" s="1"/>
  <c r="G57" i="2" s="1"/>
  <c r="G58" i="2" s="1"/>
  <c r="G59" i="2" s="1"/>
  <c r="G60" i="2" s="1"/>
  <c r="G61" i="2" s="1"/>
  <c r="G62" i="2" s="1"/>
  <c r="G63" i="2" s="1"/>
  <c r="G64" i="2" s="1"/>
  <c r="G65" i="2" s="1"/>
  <c r="G66" i="2" s="1"/>
  <c r="G67" i="2" s="1"/>
  <c r="G68" i="2" s="1"/>
  <c r="G69" i="2" s="1"/>
  <c r="I29" i="2"/>
  <c r="H29" i="2" s="1"/>
  <c r="B38" i="2"/>
  <c r="G39" i="2"/>
  <c r="G40" i="2" s="1"/>
  <c r="G41" i="2" s="1"/>
  <c r="G42" i="2" s="1"/>
  <c r="G43" i="2" s="1"/>
  <c r="G44" i="2" s="1"/>
  <c r="G45" i="2" s="1"/>
  <c r="G46" i="2" s="1"/>
  <c r="G47" i="2" s="1"/>
  <c r="G48" i="2" s="1"/>
  <c r="G49" i="2" s="1"/>
  <c r="G50" i="2" s="1"/>
  <c r="G51" i="2" s="1"/>
  <c r="G52" i="2" s="1"/>
  <c r="G53" i="2" s="1"/>
  <c r="B86" i="2"/>
  <c r="G87" i="2"/>
  <c r="G88" i="2" s="1"/>
  <c r="G89" i="2" s="1"/>
  <c r="G90" i="2" s="1"/>
  <c r="G91" i="2" s="1"/>
  <c r="G92" i="2" s="1"/>
  <c r="G93" i="2" s="1"/>
  <c r="G94" i="2" s="1"/>
  <c r="G95" i="2" s="1"/>
  <c r="G96" i="2" s="1"/>
  <c r="G97" i="2" s="1"/>
  <c r="G98" i="2" s="1"/>
  <c r="G99" i="2" s="1"/>
  <c r="G100" i="2" s="1"/>
  <c r="G101" i="2" s="1"/>
  <c r="J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G17" i="2"/>
  <c r="H19" i="2"/>
  <c r="B19" i="2"/>
  <c r="G20" i="2"/>
  <c r="G21" i="2" s="1"/>
  <c r="G22" i="2" s="1"/>
  <c r="G23" i="2" s="1"/>
  <c r="G24" i="2" s="1"/>
  <c r="G25" i="2" s="1"/>
  <c r="G26" i="2" s="1"/>
  <c r="G27" i="2" s="1"/>
  <c r="G28" i="2" s="1"/>
  <c r="I121" i="2"/>
  <c r="B121" i="2"/>
  <c r="J122" i="2"/>
  <c r="J123" i="2"/>
  <c r="I104" i="2"/>
  <c r="E29" i="2"/>
  <c r="I30" i="2"/>
  <c r="J31" i="2"/>
  <c r="E30" i="2" s="1"/>
  <c r="J20" i="2"/>
  <c r="E19" i="2" s="1"/>
  <c r="G30" i="2"/>
  <c r="G31" i="2" s="1"/>
  <c r="G32" i="2" s="1"/>
  <c r="G33" i="2" s="1"/>
  <c r="G34" i="2" s="1"/>
  <c r="G35" i="2" s="1"/>
  <c r="G36" i="2" s="1"/>
  <c r="G37" i="2" s="1"/>
  <c r="B18" i="2"/>
  <c r="J72" i="2"/>
  <c r="E71" i="2" s="1"/>
  <c r="H71" i="2"/>
  <c r="B10" i="9"/>
  <c r="C10" i="9" s="1"/>
  <c r="H10" i="9" s="1"/>
  <c r="J88" i="2"/>
  <c r="E87" i="2" s="1"/>
  <c r="I103" i="2"/>
  <c r="B103" i="2"/>
  <c r="I120" i="2"/>
  <c r="E120" i="2"/>
  <c r="B120" i="2"/>
  <c r="E86" i="2"/>
  <c r="I87" i="2"/>
  <c r="I102" i="2"/>
  <c r="E102" i="2"/>
  <c r="B102" i="2"/>
  <c r="E18" i="2"/>
  <c r="J105" i="2"/>
  <c r="G104" i="2"/>
  <c r="B104" i="2" s="1"/>
  <c r="G122" i="2"/>
  <c r="G140" i="2"/>
  <c r="G158" i="2"/>
  <c r="G176" i="2"/>
  <c r="G194" i="2"/>
  <c r="I138" i="2"/>
  <c r="J139" i="2"/>
  <c r="E138" i="2" s="1"/>
  <c r="I156" i="2"/>
  <c r="J157" i="2"/>
  <c r="I174" i="2"/>
  <c r="J175" i="2"/>
  <c r="E174" i="2" s="1"/>
  <c r="I192" i="2"/>
  <c r="J193" i="2"/>
  <c r="E192" i="2" s="1"/>
  <c r="H3" i="7" l="1"/>
  <c r="H2" i="7"/>
  <c r="H4" i="7"/>
  <c r="AA123" i="2"/>
  <c r="AA124" i="2" s="1"/>
  <c r="AA125" i="2" s="1"/>
  <c r="AA126" i="2" s="1"/>
  <c r="AA127" i="2" s="1"/>
  <c r="AA128" i="2" s="1"/>
  <c r="AA129" i="2" s="1"/>
  <c r="AA130" i="2" s="1"/>
  <c r="AA131" i="2" s="1"/>
  <c r="AA132" i="2" s="1"/>
  <c r="AA133" i="2" s="1"/>
  <c r="AA134" i="2" s="1"/>
  <c r="AA135" i="2" s="1"/>
  <c r="AA136" i="2" s="1"/>
  <c r="AA137" i="2" s="1"/>
  <c r="AA138" i="2" s="1"/>
  <c r="AA139" i="2" s="1"/>
  <c r="AA122" i="2"/>
  <c r="B87" i="2"/>
  <c r="B71" i="2"/>
  <c r="D18" i="2"/>
  <c r="D29" i="2"/>
  <c r="B39" i="2"/>
  <c r="C18" i="2"/>
  <c r="D70" i="2"/>
  <c r="F83" i="5"/>
  <c r="F81" i="5"/>
  <c r="F79" i="5"/>
  <c r="F77" i="5"/>
  <c r="F75" i="5"/>
  <c r="F73" i="5"/>
  <c r="F71" i="5"/>
  <c r="F69" i="5"/>
  <c r="F67" i="5"/>
  <c r="F65" i="5"/>
  <c r="F63" i="5"/>
  <c r="F61" i="5"/>
  <c r="F59" i="5"/>
  <c r="F57" i="5"/>
  <c r="F55" i="5"/>
  <c r="F53" i="5"/>
  <c r="F51" i="5"/>
  <c r="F49" i="5"/>
  <c r="F47" i="5"/>
  <c r="F45" i="5"/>
  <c r="F43" i="5"/>
  <c r="F41" i="5"/>
  <c r="F39" i="5"/>
  <c r="F37" i="5"/>
  <c r="F35" i="5"/>
  <c r="F33" i="5"/>
  <c r="F31" i="5"/>
  <c r="F29" i="5"/>
  <c r="F27" i="5"/>
  <c r="F25" i="5"/>
  <c r="F23" i="5"/>
  <c r="F21" i="5"/>
  <c r="F19" i="5"/>
  <c r="F17" i="5"/>
  <c r="F15" i="5"/>
  <c r="F13" i="5"/>
  <c r="F10" i="5"/>
  <c r="F6" i="5"/>
  <c r="F82" i="5"/>
  <c r="F74" i="5"/>
  <c r="F66" i="5"/>
  <c r="F58" i="5"/>
  <c r="F50" i="5"/>
  <c r="F42" i="5"/>
  <c r="F34" i="5"/>
  <c r="F26" i="5"/>
  <c r="F18" i="5"/>
  <c r="F11" i="5"/>
  <c r="F8" i="5"/>
  <c r="F68" i="5"/>
  <c r="F62" i="5"/>
  <c r="F56" i="5"/>
  <c r="F36" i="5"/>
  <c r="F30" i="5"/>
  <c r="F24" i="5"/>
  <c r="F4" i="5"/>
  <c r="F76" i="5"/>
  <c r="F70" i="5"/>
  <c r="F64" i="5"/>
  <c r="F44" i="5"/>
  <c r="F38" i="5"/>
  <c r="F32" i="5"/>
  <c r="F12" i="5"/>
  <c r="F78" i="5"/>
  <c r="F72" i="5"/>
  <c r="F40" i="5"/>
  <c r="F22" i="5"/>
  <c r="F16" i="5"/>
  <c r="F80" i="5"/>
  <c r="F54" i="5"/>
  <c r="F48" i="5"/>
  <c r="F28" i="5"/>
  <c r="F14" i="5"/>
  <c r="F7" i="5"/>
  <c r="F60" i="5"/>
  <c r="F46" i="5"/>
  <c r="F9" i="5"/>
  <c r="F52" i="5"/>
  <c r="F20" i="5"/>
  <c r="D86" i="2"/>
  <c r="E38" i="2"/>
  <c r="B55" i="2"/>
  <c r="B30" i="2"/>
  <c r="J56" i="2"/>
  <c r="I55" i="2"/>
  <c r="J40" i="2"/>
  <c r="I39" i="2"/>
  <c r="H192" i="2"/>
  <c r="J159" i="2"/>
  <c r="E157" i="2" s="1"/>
  <c r="J158" i="2"/>
  <c r="I157" i="2"/>
  <c r="D156" i="2" s="1"/>
  <c r="B157" i="2"/>
  <c r="I105" i="2"/>
  <c r="D103" i="2" s="1"/>
  <c r="B105" i="2"/>
  <c r="J106" i="2"/>
  <c r="H121" i="2"/>
  <c r="H174" i="2"/>
  <c r="J141" i="2"/>
  <c r="E139" i="2" s="1"/>
  <c r="J140" i="2"/>
  <c r="I139" i="2"/>
  <c r="D138" i="2" s="1"/>
  <c r="B139" i="2"/>
  <c r="C70" i="2"/>
  <c r="H102" i="2"/>
  <c r="D102" i="2"/>
  <c r="J89" i="2"/>
  <c r="B88" i="2"/>
  <c r="I88" i="2"/>
  <c r="J32" i="2"/>
  <c r="E31" i="2" s="1"/>
  <c r="B31" i="2"/>
  <c r="I31" i="2"/>
  <c r="D30" i="2" s="1"/>
  <c r="H87" i="2"/>
  <c r="J124" i="2"/>
  <c r="E122" i="2" s="1"/>
  <c r="I123" i="2"/>
  <c r="B123" i="2"/>
  <c r="J177" i="2"/>
  <c r="J176" i="2"/>
  <c r="I175" i="2"/>
  <c r="B175" i="2"/>
  <c r="E156" i="2"/>
  <c r="H138" i="2"/>
  <c r="J73" i="2"/>
  <c r="B72" i="2"/>
  <c r="I72" i="2"/>
  <c r="H30" i="2"/>
  <c r="E121" i="2"/>
  <c r="F105" i="2"/>
  <c r="F106" i="2" s="1"/>
  <c r="F107" i="2" s="1"/>
  <c r="F108" i="2" s="1"/>
  <c r="F109" i="2" s="1"/>
  <c r="F110" i="2" s="1"/>
  <c r="F111" i="2" s="1"/>
  <c r="F112" i="2" s="1"/>
  <c r="F113" i="2" s="1"/>
  <c r="F114" i="2" s="1"/>
  <c r="F115" i="2" s="1"/>
  <c r="F116" i="2" s="1"/>
  <c r="F117" i="2" s="1"/>
  <c r="F118" i="2" s="1"/>
  <c r="F119" i="2" s="1"/>
  <c r="F120" i="2" s="1"/>
  <c r="F121" i="2" s="1"/>
  <c r="F104" i="2"/>
  <c r="H120" i="2"/>
  <c r="D120" i="2"/>
  <c r="J195" i="2"/>
  <c r="J194" i="2"/>
  <c r="I193" i="2"/>
  <c r="D192" i="2" s="1"/>
  <c r="B193" i="2"/>
  <c r="H156" i="2"/>
  <c r="H103" i="2"/>
  <c r="E103" i="2"/>
  <c r="I20" i="2"/>
  <c r="J21" i="2"/>
  <c r="B20" i="2"/>
  <c r="H104" i="2"/>
  <c r="I122" i="2"/>
  <c r="B122" i="2"/>
  <c r="I17" i="2"/>
  <c r="B17" i="2"/>
  <c r="AA141" i="2" l="1"/>
  <c r="AA142" i="2" s="1"/>
  <c r="AA143" i="2" s="1"/>
  <c r="AA144" i="2" s="1"/>
  <c r="AA145" i="2" s="1"/>
  <c r="AA146" i="2" s="1"/>
  <c r="AA147" i="2" s="1"/>
  <c r="AA148" i="2" s="1"/>
  <c r="AA149" i="2" s="1"/>
  <c r="AA150" i="2" s="1"/>
  <c r="AA151" i="2" s="1"/>
  <c r="AA152" i="2" s="1"/>
  <c r="AA153" i="2" s="1"/>
  <c r="AA154" i="2" s="1"/>
  <c r="AA155" i="2" s="1"/>
  <c r="AA156" i="2" s="1"/>
  <c r="AA157" i="2" s="1"/>
  <c r="AA140" i="2"/>
  <c r="C120" i="2"/>
  <c r="B40" i="2"/>
  <c r="E39" i="2"/>
  <c r="I40" i="2"/>
  <c r="J41" i="2"/>
  <c r="H55" i="2"/>
  <c r="C54" i="2" s="1"/>
  <c r="D54" i="2"/>
  <c r="B56" i="2"/>
  <c r="I56" i="2"/>
  <c r="J57" i="2"/>
  <c r="E55" i="2"/>
  <c r="H39" i="2"/>
  <c r="C38" i="2" s="1"/>
  <c r="D38" i="2"/>
  <c r="B73" i="2"/>
  <c r="J74" i="2"/>
  <c r="E73" i="2" s="1"/>
  <c r="I73" i="2"/>
  <c r="D72" i="2" s="1"/>
  <c r="J178" i="2"/>
  <c r="E177" i="2" s="1"/>
  <c r="I177" i="2"/>
  <c r="D175" i="2" s="1"/>
  <c r="B177" i="2"/>
  <c r="I140" i="2"/>
  <c r="B140" i="2"/>
  <c r="I106" i="2"/>
  <c r="D105" i="2" s="1"/>
  <c r="B106" i="2"/>
  <c r="J107" i="2"/>
  <c r="E106" i="2" s="1"/>
  <c r="E104" i="2"/>
  <c r="H193" i="2"/>
  <c r="C192" i="2" s="1"/>
  <c r="E72" i="2"/>
  <c r="H175" i="2"/>
  <c r="C174" i="2" s="1"/>
  <c r="H123" i="2"/>
  <c r="H31" i="2"/>
  <c r="C30" i="2" s="1"/>
  <c r="J142" i="2"/>
  <c r="E141" i="2" s="1"/>
  <c r="I141" i="2"/>
  <c r="D139" i="2" s="1"/>
  <c r="B141" i="2"/>
  <c r="I158" i="2"/>
  <c r="B158" i="2"/>
  <c r="H17" i="2"/>
  <c r="J196" i="2"/>
  <c r="E195" i="2" s="1"/>
  <c r="I195" i="2"/>
  <c r="B195" i="2"/>
  <c r="C29" i="2"/>
  <c r="H88" i="2"/>
  <c r="H122" i="2"/>
  <c r="J22" i="2"/>
  <c r="E21" i="2" s="1"/>
  <c r="B21" i="2"/>
  <c r="F5" i="19" s="1"/>
  <c r="I21" i="2"/>
  <c r="D20" i="2" s="1"/>
  <c r="F123" i="2"/>
  <c r="F124" i="2" s="1"/>
  <c r="F125" i="2" s="1"/>
  <c r="F126" i="2" s="1"/>
  <c r="F127" i="2" s="1"/>
  <c r="F128" i="2" s="1"/>
  <c r="F129" i="2" s="1"/>
  <c r="F130" i="2" s="1"/>
  <c r="F131" i="2" s="1"/>
  <c r="F132" i="2" s="1"/>
  <c r="F133" i="2" s="1"/>
  <c r="F134" i="2" s="1"/>
  <c r="F135" i="2" s="1"/>
  <c r="F136" i="2" s="1"/>
  <c r="F137" i="2" s="1"/>
  <c r="F138" i="2" s="1"/>
  <c r="F139" i="2" s="1"/>
  <c r="F122" i="2"/>
  <c r="E20" i="2"/>
  <c r="E193" i="2"/>
  <c r="H72" i="2"/>
  <c r="D71" i="2"/>
  <c r="E175" i="2"/>
  <c r="I124" i="2"/>
  <c r="D123" i="2" s="1"/>
  <c r="J125" i="2"/>
  <c r="B124" i="2"/>
  <c r="C86" i="2"/>
  <c r="B89" i="2"/>
  <c r="J90" i="2"/>
  <c r="E89" i="2" s="1"/>
  <c r="I89" i="2"/>
  <c r="H139" i="2"/>
  <c r="D121" i="2"/>
  <c r="H105" i="2"/>
  <c r="J160" i="2"/>
  <c r="E158" i="2" s="1"/>
  <c r="I159" i="2"/>
  <c r="B159" i="2"/>
  <c r="E4" i="19"/>
  <c r="E3" i="19"/>
  <c r="G4" i="19"/>
  <c r="G3" i="19"/>
  <c r="F4" i="19"/>
  <c r="H3" i="19"/>
  <c r="F3" i="19"/>
  <c r="H4" i="19"/>
  <c r="H20" i="2"/>
  <c r="D19" i="2"/>
  <c r="I194" i="2"/>
  <c r="B194" i="2"/>
  <c r="I176" i="2"/>
  <c r="B176" i="2"/>
  <c r="E123" i="2"/>
  <c r="D87" i="2"/>
  <c r="B32" i="2"/>
  <c r="I32" i="2"/>
  <c r="J33" i="2"/>
  <c r="E32" i="2" s="1"/>
  <c r="E88" i="2"/>
  <c r="C102" i="2"/>
  <c r="D174" i="2"/>
  <c r="E105" i="2"/>
  <c r="H157" i="2"/>
  <c r="C156" i="2" s="1"/>
  <c r="AA159" i="2" l="1"/>
  <c r="AA160" i="2" s="1"/>
  <c r="AA161" i="2" s="1"/>
  <c r="AA162" i="2" s="1"/>
  <c r="AA163" i="2" s="1"/>
  <c r="AA164" i="2" s="1"/>
  <c r="AA165" i="2" s="1"/>
  <c r="AA166" i="2" s="1"/>
  <c r="AA167" i="2" s="1"/>
  <c r="AA168" i="2" s="1"/>
  <c r="AA169" i="2" s="1"/>
  <c r="AA170" i="2" s="1"/>
  <c r="AA171" i="2" s="1"/>
  <c r="AA172" i="2" s="1"/>
  <c r="AA173" i="2" s="1"/>
  <c r="AA174" i="2" s="1"/>
  <c r="AA175" i="2" s="1"/>
  <c r="AA158" i="2"/>
  <c r="E194" i="2"/>
  <c r="G5" i="19"/>
  <c r="D122" i="2"/>
  <c r="I41" i="2"/>
  <c r="H41" i="2" s="1"/>
  <c r="J42" i="2"/>
  <c r="B41" i="2"/>
  <c r="D39" i="2"/>
  <c r="H40" i="2"/>
  <c r="E176" i="2"/>
  <c r="E5" i="19"/>
  <c r="H56" i="2"/>
  <c r="H5" i="19"/>
  <c r="D55" i="2"/>
  <c r="E40" i="2"/>
  <c r="E159" i="2"/>
  <c r="B57" i="2"/>
  <c r="I57" i="2"/>
  <c r="D56" i="2" s="1"/>
  <c r="J58" i="2"/>
  <c r="E56" i="2"/>
  <c r="H194" i="2"/>
  <c r="H159" i="2"/>
  <c r="C157" i="2" s="1"/>
  <c r="D157" i="2"/>
  <c r="H89" i="2"/>
  <c r="D88" i="2"/>
  <c r="F141" i="2"/>
  <c r="F142" i="2" s="1"/>
  <c r="F143" i="2" s="1"/>
  <c r="F144" i="2" s="1"/>
  <c r="F145" i="2" s="1"/>
  <c r="F146" i="2" s="1"/>
  <c r="F147" i="2" s="1"/>
  <c r="F148" i="2" s="1"/>
  <c r="F149" i="2" s="1"/>
  <c r="F150" i="2" s="1"/>
  <c r="F151" i="2" s="1"/>
  <c r="F152" i="2" s="1"/>
  <c r="F153" i="2" s="1"/>
  <c r="F154" i="2" s="1"/>
  <c r="F155" i="2" s="1"/>
  <c r="F156" i="2" s="1"/>
  <c r="F157" i="2" s="1"/>
  <c r="F140" i="2"/>
  <c r="H32" i="2"/>
  <c r="C31" i="2" s="1"/>
  <c r="D31" i="2"/>
  <c r="H176" i="2"/>
  <c r="J126" i="2"/>
  <c r="E125" i="2" s="1"/>
  <c r="I125" i="2"/>
  <c r="D124" i="2" s="1"/>
  <c r="B125" i="2"/>
  <c r="E124" i="2"/>
  <c r="B22" i="2"/>
  <c r="I22" i="2"/>
  <c r="D21" i="2" s="1"/>
  <c r="J23" i="2"/>
  <c r="E22" i="2" s="1"/>
  <c r="C87" i="2"/>
  <c r="H195" i="2"/>
  <c r="C193" i="2" s="1"/>
  <c r="D193" i="2"/>
  <c r="H141" i="2"/>
  <c r="C139" i="2" s="1"/>
  <c r="H158" i="2"/>
  <c r="H106" i="2"/>
  <c r="D104" i="2"/>
  <c r="I178" i="2"/>
  <c r="D176" i="2" s="1"/>
  <c r="J179" i="2"/>
  <c r="E178" i="2" s="1"/>
  <c r="B178" i="2"/>
  <c r="C121" i="2"/>
  <c r="I142" i="2"/>
  <c r="D140" i="2" s="1"/>
  <c r="J143" i="2"/>
  <c r="E142" i="2" s="1"/>
  <c r="B142" i="2"/>
  <c r="I107" i="2"/>
  <c r="D106" i="2" s="1"/>
  <c r="B107" i="2"/>
  <c r="J108" i="2"/>
  <c r="E107" i="2" s="1"/>
  <c r="E140" i="2"/>
  <c r="H73" i="2"/>
  <c r="C72" i="2" s="1"/>
  <c r="I160" i="2"/>
  <c r="D159" i="2" s="1"/>
  <c r="J161" i="2"/>
  <c r="E160" i="2" s="1"/>
  <c r="B160" i="2"/>
  <c r="J91" i="2"/>
  <c r="E90" i="2" s="1"/>
  <c r="B90" i="2"/>
  <c r="I90" i="2"/>
  <c r="D89" i="2" s="1"/>
  <c r="H124" i="2"/>
  <c r="C123" i="2" s="1"/>
  <c r="H21" i="2"/>
  <c r="C20" i="2" s="1"/>
  <c r="J34" i="2"/>
  <c r="B33" i="2"/>
  <c r="I33" i="2"/>
  <c r="D32" i="2" s="1"/>
  <c r="C19" i="2"/>
  <c r="C71" i="2"/>
  <c r="C138" i="2"/>
  <c r="I196" i="2"/>
  <c r="J197" i="2"/>
  <c r="E196" i="2" s="1"/>
  <c r="B196" i="2"/>
  <c r="C103" i="2"/>
  <c r="H140" i="2"/>
  <c r="H177" i="2"/>
  <c r="C175" i="2" s="1"/>
  <c r="J75" i="2"/>
  <c r="E74" i="2" s="1"/>
  <c r="B74" i="2"/>
  <c r="I74" i="2"/>
  <c r="D73" i="2" s="1"/>
  <c r="AA177" i="2" l="1"/>
  <c r="AA178" i="2" s="1"/>
  <c r="AA179" i="2" s="1"/>
  <c r="AA180" i="2" s="1"/>
  <c r="AA181" i="2" s="1"/>
  <c r="AA182" i="2" s="1"/>
  <c r="AA183" i="2" s="1"/>
  <c r="AA184" i="2" s="1"/>
  <c r="AA185" i="2" s="1"/>
  <c r="AA186" i="2" s="1"/>
  <c r="AA187" i="2" s="1"/>
  <c r="AA188" i="2" s="1"/>
  <c r="AA189" i="2" s="1"/>
  <c r="AA190" i="2" s="1"/>
  <c r="AA191" i="2" s="1"/>
  <c r="AA192" i="2" s="1"/>
  <c r="AA193" i="2" s="1"/>
  <c r="AA176" i="2"/>
  <c r="D177" i="2"/>
  <c r="D40" i="2"/>
  <c r="C122" i="2"/>
  <c r="C40" i="2"/>
  <c r="C39" i="2"/>
  <c r="I42" i="2"/>
  <c r="J43" i="2"/>
  <c r="B42" i="2"/>
  <c r="H57" i="2"/>
  <c r="C56" i="2" s="1"/>
  <c r="I58" i="2"/>
  <c r="H58" i="2" s="1"/>
  <c r="E57" i="2"/>
  <c r="J59" i="2"/>
  <c r="E58" i="2" s="1"/>
  <c r="B58" i="2"/>
  <c r="E41" i="2"/>
  <c r="C55" i="2"/>
  <c r="J162" i="2"/>
  <c r="I161" i="2"/>
  <c r="B161" i="2"/>
  <c r="H142" i="2"/>
  <c r="C141" i="2" s="1"/>
  <c r="D158" i="2"/>
  <c r="H22" i="2"/>
  <c r="C21" i="2" s="1"/>
  <c r="I126" i="2"/>
  <c r="D125" i="2" s="1"/>
  <c r="J127" i="2"/>
  <c r="B126" i="2"/>
  <c r="H74" i="2"/>
  <c r="C73" i="2" s="1"/>
  <c r="H196" i="2"/>
  <c r="C195" i="2" s="1"/>
  <c r="B34" i="2"/>
  <c r="I34" i="2"/>
  <c r="D33" i="2" s="1"/>
  <c r="J35" i="2"/>
  <c r="E34" i="2" s="1"/>
  <c r="B91" i="2"/>
  <c r="J92" i="2"/>
  <c r="I91" i="2"/>
  <c r="H107" i="2"/>
  <c r="E6" i="19"/>
  <c r="F6" i="19"/>
  <c r="H6" i="19"/>
  <c r="G6" i="19"/>
  <c r="F159" i="2"/>
  <c r="F160" i="2" s="1"/>
  <c r="F161" i="2" s="1"/>
  <c r="F162" i="2" s="1"/>
  <c r="F163" i="2" s="1"/>
  <c r="F164" i="2" s="1"/>
  <c r="F165" i="2" s="1"/>
  <c r="F166" i="2" s="1"/>
  <c r="F167" i="2" s="1"/>
  <c r="F168" i="2" s="1"/>
  <c r="F169" i="2" s="1"/>
  <c r="F170" i="2" s="1"/>
  <c r="F171" i="2" s="1"/>
  <c r="F172" i="2" s="1"/>
  <c r="F173" i="2" s="1"/>
  <c r="F174" i="2" s="1"/>
  <c r="F175" i="2" s="1"/>
  <c r="F158" i="2"/>
  <c r="H178" i="2"/>
  <c r="C176" i="2" s="1"/>
  <c r="C104" i="2"/>
  <c r="E33" i="2"/>
  <c r="H90" i="2"/>
  <c r="C89" i="2" s="1"/>
  <c r="C105" i="2"/>
  <c r="H160" i="2"/>
  <c r="C158" i="2" s="1"/>
  <c r="J144" i="2"/>
  <c r="E143" i="2" s="1"/>
  <c r="I143" i="2"/>
  <c r="B143" i="2"/>
  <c r="D141" i="2"/>
  <c r="D195" i="2"/>
  <c r="I23" i="2"/>
  <c r="J24" i="2"/>
  <c r="E23" i="2" s="1"/>
  <c r="B23" i="2"/>
  <c r="G7" i="19" s="1"/>
  <c r="H125" i="2"/>
  <c r="C124" i="2" s="1"/>
  <c r="B75" i="2"/>
  <c r="J76" i="2"/>
  <c r="E75" i="2" s="1"/>
  <c r="I75" i="2"/>
  <c r="D74" i="2" s="1"/>
  <c r="J198" i="2"/>
  <c r="I197" i="2"/>
  <c r="B197" i="2"/>
  <c r="H33" i="2"/>
  <c r="I108" i="2"/>
  <c r="B108" i="2"/>
  <c r="J109" i="2"/>
  <c r="J180" i="2"/>
  <c r="E179" i="2" s="1"/>
  <c r="I179" i="2"/>
  <c r="B179" i="2"/>
  <c r="C88" i="2"/>
  <c r="D194" i="2"/>
  <c r="A5" i="9" l="1"/>
  <c r="AA195" i="2"/>
  <c r="AA196" i="2" s="1"/>
  <c r="AA197" i="2" s="1"/>
  <c r="AA198" i="2" s="1"/>
  <c r="AA199" i="2" s="1"/>
  <c r="AA200" i="2" s="1"/>
  <c r="AA201" i="2" s="1"/>
  <c r="AA202" i="2" s="1"/>
  <c r="AA203" i="2" s="1"/>
  <c r="AA204" i="2" s="1"/>
  <c r="AA205" i="2" s="1"/>
  <c r="AA206" i="2" s="1"/>
  <c r="AA207" i="2" s="1"/>
  <c r="AA208" i="2" s="1"/>
  <c r="AA209" i="2" s="1"/>
  <c r="AA194" i="2"/>
  <c r="F10" i="3" s="1" a="1"/>
  <c r="F10" i="3" s="1"/>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C177" i="2"/>
  <c r="C194" i="2"/>
  <c r="F7" i="19"/>
  <c r="C57" i="2"/>
  <c r="J44" i="2"/>
  <c r="E43" i="2" s="1"/>
  <c r="B43" i="2"/>
  <c r="I43" i="2"/>
  <c r="D57" i="2"/>
  <c r="H42" i="2"/>
  <c r="C41" i="2" s="1"/>
  <c r="D41" i="2"/>
  <c r="E7" i="19"/>
  <c r="B59" i="2"/>
  <c r="I59" i="2"/>
  <c r="H59" i="2" s="1"/>
  <c r="C58" i="2" s="1"/>
  <c r="J60" i="2"/>
  <c r="E42" i="2"/>
  <c r="H179" i="2"/>
  <c r="C178" i="2" s="1"/>
  <c r="I198" i="2"/>
  <c r="D197" i="2" s="1"/>
  <c r="J199" i="2"/>
  <c r="E198" i="2" s="1"/>
  <c r="B198" i="2"/>
  <c r="E197" i="2"/>
  <c r="H23" i="2"/>
  <c r="D22" i="2"/>
  <c r="H143" i="2"/>
  <c r="C142" i="2" s="1"/>
  <c r="D142" i="2"/>
  <c r="D178" i="2"/>
  <c r="H108" i="2"/>
  <c r="C107" i="2" s="1"/>
  <c r="D107" i="2"/>
  <c r="I109" i="2"/>
  <c r="D108" i="2" s="1"/>
  <c r="B109" i="2"/>
  <c r="J110" i="2"/>
  <c r="E109" i="2" s="1"/>
  <c r="H75" i="2"/>
  <c r="C74" i="2" s="1"/>
  <c r="J93" i="2"/>
  <c r="E92" i="2" s="1"/>
  <c r="B92" i="2"/>
  <c r="I92" i="2"/>
  <c r="D91" i="2" s="1"/>
  <c r="H34" i="2"/>
  <c r="C33" i="2" s="1"/>
  <c r="I180" i="2"/>
  <c r="J181" i="2"/>
  <c r="E180" i="2" s="1"/>
  <c r="B180" i="2"/>
  <c r="H197" i="2"/>
  <c r="C196" i="2" s="1"/>
  <c r="I144" i="2"/>
  <c r="J145" i="2"/>
  <c r="B144" i="2"/>
  <c r="C106" i="2"/>
  <c r="F177" i="2"/>
  <c r="F178" i="2" s="1"/>
  <c r="F179" i="2" s="1"/>
  <c r="F180" i="2" s="1"/>
  <c r="F181" i="2" s="1"/>
  <c r="F182" i="2" s="1"/>
  <c r="F183" i="2" s="1"/>
  <c r="F184" i="2" s="1"/>
  <c r="F185" i="2" s="1"/>
  <c r="F186" i="2" s="1"/>
  <c r="F187" i="2" s="1"/>
  <c r="F188" i="2" s="1"/>
  <c r="F189" i="2" s="1"/>
  <c r="F190" i="2" s="1"/>
  <c r="F191" i="2" s="1"/>
  <c r="F192" i="2" s="1"/>
  <c r="F193" i="2" s="1"/>
  <c r="F176" i="2"/>
  <c r="H7" i="19"/>
  <c r="D196" i="2"/>
  <c r="C159" i="2"/>
  <c r="J128" i="2"/>
  <c r="E127" i="2" s="1"/>
  <c r="I127" i="2"/>
  <c r="D126" i="2" s="1"/>
  <c r="B127" i="2"/>
  <c r="H161" i="2"/>
  <c r="H91" i="2"/>
  <c r="H126" i="2"/>
  <c r="C125" i="2" s="1"/>
  <c r="I162" i="2"/>
  <c r="D161" i="2" s="1"/>
  <c r="J163" i="2"/>
  <c r="B162" i="2"/>
  <c r="D90" i="2"/>
  <c r="E108" i="2"/>
  <c r="J77" i="2"/>
  <c r="E76" i="2" s="1"/>
  <c r="B76" i="2"/>
  <c r="I76" i="2"/>
  <c r="B24" i="2"/>
  <c r="I24" i="2"/>
  <c r="J25" i="2"/>
  <c r="D160" i="2"/>
  <c r="E91" i="2"/>
  <c r="J36" i="2"/>
  <c r="E35" i="2" s="1"/>
  <c r="B35" i="2"/>
  <c r="I35" i="2"/>
  <c r="C140" i="2"/>
  <c r="C32" i="2"/>
  <c r="E126" i="2"/>
  <c r="E161" i="2"/>
  <c r="E11" i="9" l="1"/>
  <c r="D11" i="9" s="1"/>
  <c r="F11" i="9"/>
  <c r="D58" i="2"/>
  <c r="D42" i="2"/>
  <c r="H43" i="2"/>
  <c r="C42" i="2" s="1"/>
  <c r="C22" i="2"/>
  <c r="E59" i="2"/>
  <c r="I60" i="2"/>
  <c r="J61" i="2"/>
  <c r="B60" i="2"/>
  <c r="I44" i="2"/>
  <c r="J45" i="2"/>
  <c r="B44" i="2"/>
  <c r="H35" i="2"/>
  <c r="C34" i="2" s="1"/>
  <c r="E24" i="2"/>
  <c r="H76" i="2"/>
  <c r="C75" i="2" s="1"/>
  <c r="J164" i="2"/>
  <c r="E163" i="2" s="1"/>
  <c r="I163" i="2"/>
  <c r="D162" i="2" s="1"/>
  <c r="B163" i="2"/>
  <c r="I128" i="2"/>
  <c r="D127" i="2" s="1"/>
  <c r="J129" i="2"/>
  <c r="E128" i="2" s="1"/>
  <c r="B128" i="2"/>
  <c r="J146" i="2"/>
  <c r="E145" i="2" s="1"/>
  <c r="I145" i="2"/>
  <c r="D144" i="2" s="1"/>
  <c r="B145" i="2"/>
  <c r="H180" i="2"/>
  <c r="C179" i="2" s="1"/>
  <c r="D75" i="2"/>
  <c r="H24" i="2"/>
  <c r="E162" i="2"/>
  <c r="C90" i="2"/>
  <c r="E144" i="2"/>
  <c r="H92" i="2"/>
  <c r="H109" i="2"/>
  <c r="C108" i="2" s="1"/>
  <c r="B36" i="2"/>
  <c r="I36" i="2"/>
  <c r="D35" i="2" s="1"/>
  <c r="J37" i="2"/>
  <c r="G8" i="19"/>
  <c r="E8" i="19"/>
  <c r="H8" i="19"/>
  <c r="F8" i="19"/>
  <c r="B77" i="2"/>
  <c r="J78" i="2"/>
  <c r="E77" i="2" s="1"/>
  <c r="I77" i="2"/>
  <c r="D76" i="2" s="1"/>
  <c r="H162" i="2"/>
  <c r="C161" i="2" s="1"/>
  <c r="H127" i="2"/>
  <c r="C126" i="2" s="1"/>
  <c r="C160" i="2"/>
  <c r="H144" i="2"/>
  <c r="J182" i="2"/>
  <c r="E181" i="2" s="1"/>
  <c r="I181" i="2"/>
  <c r="B181" i="2"/>
  <c r="D34" i="2"/>
  <c r="D143" i="2"/>
  <c r="H198" i="2"/>
  <c r="J26" i="2"/>
  <c r="B25" i="2"/>
  <c r="I25" i="2"/>
  <c r="F195" i="2"/>
  <c r="F196" i="2" s="1"/>
  <c r="F197" i="2" s="1"/>
  <c r="F198" i="2" s="1"/>
  <c r="F199" i="2" s="1"/>
  <c r="F200" i="2" s="1"/>
  <c r="F201" i="2" s="1"/>
  <c r="F202" i="2" s="1"/>
  <c r="F203" i="2" s="1"/>
  <c r="F204" i="2" s="1"/>
  <c r="F205" i="2" s="1"/>
  <c r="F206" i="2" s="1"/>
  <c r="F207" i="2" s="1"/>
  <c r="F208" i="2" s="1"/>
  <c r="F209" i="2" s="1"/>
  <c r="F194" i="2"/>
  <c r="B93" i="2"/>
  <c r="J94" i="2"/>
  <c r="I93" i="2"/>
  <c r="I110" i="2"/>
  <c r="B110" i="2"/>
  <c r="J111" i="2"/>
  <c r="E110" i="2" s="1"/>
  <c r="D179" i="2"/>
  <c r="D23" i="2"/>
  <c r="J200" i="2"/>
  <c r="E199" i="2" s="1"/>
  <c r="I199" i="2"/>
  <c r="B199" i="2"/>
  <c r="E12" i="9" l="1"/>
  <c r="D12" i="9" s="1"/>
  <c r="F12" i="9"/>
  <c r="G11" i="9"/>
  <c r="K11" i="9"/>
  <c r="J11" i="9"/>
  <c r="I11" i="9"/>
  <c r="B11" i="9"/>
  <c r="C11" i="9" s="1"/>
  <c r="H11" i="9" s="1"/>
  <c r="C23" i="2"/>
  <c r="D43" i="2"/>
  <c r="H44" i="2"/>
  <c r="C43" i="2" s="1"/>
  <c r="J62" i="2"/>
  <c r="E60" i="2"/>
  <c r="B61" i="2"/>
  <c r="I61" i="2"/>
  <c r="H61" i="2" s="1"/>
  <c r="B45" i="2"/>
  <c r="I45" i="2"/>
  <c r="H45" i="2" s="1"/>
  <c r="E44" i="2"/>
  <c r="J46" i="2"/>
  <c r="H60" i="2"/>
  <c r="C59" i="2" s="1"/>
  <c r="D59" i="2"/>
  <c r="H199" i="2"/>
  <c r="C198" i="2" s="1"/>
  <c r="J95" i="2"/>
  <c r="E94" i="2" s="1"/>
  <c r="B94" i="2"/>
  <c r="I94" i="2"/>
  <c r="D93" i="2" s="1"/>
  <c r="H25" i="2"/>
  <c r="C24" i="2" s="1"/>
  <c r="I200" i="2"/>
  <c r="D199" i="2" s="1"/>
  <c r="J201" i="2"/>
  <c r="E200" i="2" s="1"/>
  <c r="B200" i="2"/>
  <c r="H110" i="2"/>
  <c r="C109" i="2" s="1"/>
  <c r="E93" i="2"/>
  <c r="B26" i="2"/>
  <c r="E10" i="19" s="1"/>
  <c r="I26" i="2"/>
  <c r="J27" i="2"/>
  <c r="E26" i="2" s="1"/>
  <c r="I111" i="2"/>
  <c r="D110" i="2" s="1"/>
  <c r="B111" i="2"/>
  <c r="J112" i="2"/>
  <c r="E111" i="2" s="1"/>
  <c r="H93" i="2"/>
  <c r="C92" i="2" s="1"/>
  <c r="E25" i="2"/>
  <c r="H36" i="2"/>
  <c r="C35" i="2" s="1"/>
  <c r="D92" i="2"/>
  <c r="H145" i="2"/>
  <c r="C144" i="2" s="1"/>
  <c r="H181" i="2"/>
  <c r="F9" i="19"/>
  <c r="H128" i="2"/>
  <c r="C91" i="2"/>
  <c r="I164" i="2"/>
  <c r="D163" i="2" s="1"/>
  <c r="J165" i="2"/>
  <c r="B164" i="2"/>
  <c r="C197" i="2"/>
  <c r="H9" i="19"/>
  <c r="G9" i="19"/>
  <c r="D198" i="2"/>
  <c r="H77" i="2"/>
  <c r="C76" i="2" s="1"/>
  <c r="B37" i="2"/>
  <c r="I37" i="2"/>
  <c r="E37" i="2"/>
  <c r="D109" i="2"/>
  <c r="D180" i="2"/>
  <c r="I146" i="2"/>
  <c r="J147" i="2"/>
  <c r="B146" i="2"/>
  <c r="I182" i="2"/>
  <c r="J183" i="2"/>
  <c r="E182" i="2" s="1"/>
  <c r="B182" i="2"/>
  <c r="J79" i="2"/>
  <c r="B78" i="2"/>
  <c r="I78" i="2"/>
  <c r="D77" i="2" s="1"/>
  <c r="E9" i="19"/>
  <c r="E36" i="2"/>
  <c r="C143" i="2"/>
  <c r="D24" i="2"/>
  <c r="J130" i="2"/>
  <c r="E129" i="2" s="1"/>
  <c r="I129" i="2"/>
  <c r="B129" i="2"/>
  <c r="H163" i="2"/>
  <c r="C162" i="2" s="1"/>
  <c r="I4" i="7" l="1"/>
  <c r="I2" i="7"/>
  <c r="I3" i="7"/>
  <c r="E13" i="9"/>
  <c r="D13" i="9" s="1"/>
  <c r="F13" i="9"/>
  <c r="G12" i="9"/>
  <c r="K12" i="9"/>
  <c r="I12" i="9"/>
  <c r="J12" i="9"/>
  <c r="B12" i="9"/>
  <c r="C12" i="9" s="1"/>
  <c r="H12" i="9" s="1"/>
  <c r="C60" i="2"/>
  <c r="D60" i="2"/>
  <c r="C44" i="2"/>
  <c r="H10" i="19"/>
  <c r="G10" i="19"/>
  <c r="E45" i="2"/>
  <c r="J47" i="2"/>
  <c r="B46" i="2"/>
  <c r="I46" i="2"/>
  <c r="F10" i="19"/>
  <c r="E61" i="2"/>
  <c r="J63" i="2"/>
  <c r="B62" i="2"/>
  <c r="I62" i="2"/>
  <c r="D44" i="2"/>
  <c r="H146" i="2"/>
  <c r="C145" i="2" s="1"/>
  <c r="H129" i="2"/>
  <c r="C128" i="2" s="1"/>
  <c r="B79" i="2"/>
  <c r="J80" i="2"/>
  <c r="E79" i="2" s="1"/>
  <c r="I79" i="2"/>
  <c r="D78" i="2" s="1"/>
  <c r="H182" i="2"/>
  <c r="C181" i="2" s="1"/>
  <c r="H37" i="2"/>
  <c r="C36" i="2" s="1"/>
  <c r="D37" i="2"/>
  <c r="D145" i="2"/>
  <c r="H78" i="2"/>
  <c r="C77" i="2" s="1"/>
  <c r="C127" i="2"/>
  <c r="I112" i="2"/>
  <c r="D111" i="2" s="1"/>
  <c r="B112" i="2"/>
  <c r="J113" i="2"/>
  <c r="E112" i="2" s="1"/>
  <c r="I27" i="2"/>
  <c r="D26" i="2" s="1"/>
  <c r="J28" i="2"/>
  <c r="E27" i="2" s="1"/>
  <c r="B27" i="2"/>
  <c r="J148" i="2"/>
  <c r="E147" i="2" s="1"/>
  <c r="I147" i="2"/>
  <c r="D146" i="2" s="1"/>
  <c r="B147" i="2"/>
  <c r="J166" i="2"/>
  <c r="E165" i="2" s="1"/>
  <c r="I165" i="2"/>
  <c r="D164" i="2" s="1"/>
  <c r="B165" i="2"/>
  <c r="D128" i="2"/>
  <c r="I130" i="2"/>
  <c r="D129" i="2" s="1"/>
  <c r="J131" i="2"/>
  <c r="E130" i="2" s="1"/>
  <c r="B130" i="2"/>
  <c r="E78" i="2"/>
  <c r="J184" i="2"/>
  <c r="E183" i="2" s="1"/>
  <c r="I183" i="2"/>
  <c r="D182" i="2" s="1"/>
  <c r="B183" i="2"/>
  <c r="E146" i="2"/>
  <c r="E164" i="2"/>
  <c r="C180" i="2"/>
  <c r="D181" i="2"/>
  <c r="D36" i="2"/>
  <c r="H200" i="2"/>
  <c r="C199" i="2" s="1"/>
  <c r="B95" i="2"/>
  <c r="J96" i="2"/>
  <c r="E95" i="2" s="1"/>
  <c r="I95" i="2"/>
  <c r="D94" i="2" s="1"/>
  <c r="H164" i="2"/>
  <c r="C163" i="2" s="1"/>
  <c r="H111" i="2"/>
  <c r="C110" i="2" s="1"/>
  <c r="H26" i="2"/>
  <c r="J202" i="2"/>
  <c r="E201" i="2" s="1"/>
  <c r="I201" i="2"/>
  <c r="D200" i="2" s="1"/>
  <c r="B201" i="2"/>
  <c r="D25" i="2"/>
  <c r="H94" i="2"/>
  <c r="C93" i="2" s="1"/>
  <c r="J3" i="7" l="1"/>
  <c r="J2" i="7"/>
  <c r="J4" i="7"/>
  <c r="E14" i="9"/>
  <c r="D14" i="9" s="1"/>
  <c r="F14" i="9"/>
  <c r="G13" i="9"/>
  <c r="J13" i="9"/>
  <c r="K13" i="9"/>
  <c r="I13" i="9"/>
  <c r="B13" i="9"/>
  <c r="C13" i="9" s="1"/>
  <c r="H13" i="9" s="1"/>
  <c r="H62" i="2"/>
  <c r="D61" i="2"/>
  <c r="J64" i="2"/>
  <c r="E62" i="2"/>
  <c r="B63" i="2"/>
  <c r="I63" i="2"/>
  <c r="H46" i="2"/>
  <c r="D45" i="2"/>
  <c r="C25" i="2"/>
  <c r="B47" i="2"/>
  <c r="I47" i="2"/>
  <c r="D46" i="2" s="1"/>
  <c r="J48" i="2"/>
  <c r="E47" i="2" s="1"/>
  <c r="E46" i="2"/>
  <c r="H201" i="2"/>
  <c r="C200" i="2" s="1"/>
  <c r="I202" i="2"/>
  <c r="D201" i="2" s="1"/>
  <c r="J203" i="2"/>
  <c r="E202" i="2" s="1"/>
  <c r="B202" i="2"/>
  <c r="H95" i="2"/>
  <c r="J97" i="2"/>
  <c r="E96" i="2" s="1"/>
  <c r="B96" i="2"/>
  <c r="I96" i="2"/>
  <c r="D95" i="2" s="1"/>
  <c r="H183" i="2"/>
  <c r="C182" i="2" s="1"/>
  <c r="I184" i="2"/>
  <c r="D183" i="2" s="1"/>
  <c r="J185" i="2"/>
  <c r="E184" i="2" s="1"/>
  <c r="B184" i="2"/>
  <c r="J132" i="2"/>
  <c r="E131" i="2" s="1"/>
  <c r="I131" i="2"/>
  <c r="D130" i="2" s="1"/>
  <c r="B131" i="2"/>
  <c r="H130" i="2"/>
  <c r="H165" i="2"/>
  <c r="I166" i="2"/>
  <c r="D165" i="2" s="1"/>
  <c r="J167" i="2"/>
  <c r="E166" i="2" s="1"/>
  <c r="B166" i="2"/>
  <c r="H147" i="2"/>
  <c r="C146" i="2" s="1"/>
  <c r="I148" i="2"/>
  <c r="D147" i="2" s="1"/>
  <c r="J149" i="2"/>
  <c r="E148" i="2" s="1"/>
  <c r="B148" i="2"/>
  <c r="H11" i="19"/>
  <c r="E11" i="19"/>
  <c r="G11" i="19"/>
  <c r="F11" i="19"/>
  <c r="B28" i="2"/>
  <c r="I28" i="2"/>
  <c r="D27" i="2" s="1"/>
  <c r="E28" i="2"/>
  <c r="H27" i="2"/>
  <c r="I113" i="2"/>
  <c r="D112" i="2" s="1"/>
  <c r="B113" i="2"/>
  <c r="J114" i="2"/>
  <c r="E113" i="2" s="1"/>
  <c r="H112" i="2"/>
  <c r="C37" i="2"/>
  <c r="H79" i="2"/>
  <c r="J81" i="2"/>
  <c r="E80" i="2" s="1"/>
  <c r="B80" i="2"/>
  <c r="I80" i="2"/>
  <c r="D79" i="2" s="1"/>
  <c r="K2" i="7" l="1"/>
  <c r="K4" i="7"/>
  <c r="K3" i="7"/>
  <c r="E15" i="9"/>
  <c r="D15" i="9" s="1"/>
  <c r="F15" i="9"/>
  <c r="B15" i="9" s="1"/>
  <c r="C15" i="9" s="1"/>
  <c r="G14" i="9"/>
  <c r="J14" i="9"/>
  <c r="I14" i="9"/>
  <c r="K14" i="9"/>
  <c r="B14" i="9"/>
  <c r="C14" i="9" s="1"/>
  <c r="H14" i="9" s="1"/>
  <c r="J65" i="2"/>
  <c r="E64" i="2" s="1"/>
  <c r="E63" i="2"/>
  <c r="I64" i="2"/>
  <c r="H64" i="2" s="1"/>
  <c r="B64" i="2"/>
  <c r="C45" i="2"/>
  <c r="B48" i="2"/>
  <c r="N11" i="19" s="1"/>
  <c r="J49" i="2"/>
  <c r="E48" i="2" s="1"/>
  <c r="I48" i="2"/>
  <c r="H48" i="2" s="1"/>
  <c r="H47" i="2"/>
  <c r="H63" i="2"/>
  <c r="C62" i="2" s="1"/>
  <c r="D62" i="2"/>
  <c r="C61" i="2"/>
  <c r="C111" i="2"/>
  <c r="C26" i="2"/>
  <c r="G17" i="19"/>
  <c r="H16" i="19"/>
  <c r="C78" i="2"/>
  <c r="F21" i="19"/>
  <c r="N8" i="19"/>
  <c r="N9" i="19"/>
  <c r="P6" i="19"/>
  <c r="F17" i="19"/>
  <c r="E12" i="19"/>
  <c r="M8" i="19"/>
  <c r="H18" i="19"/>
  <c r="H12" i="19"/>
  <c r="O10" i="19"/>
  <c r="E22" i="19"/>
  <c r="O4" i="19"/>
  <c r="E19" i="19"/>
  <c r="O6" i="19"/>
  <c r="F23" i="19"/>
  <c r="O8" i="19"/>
  <c r="M7" i="19"/>
  <c r="G18" i="19"/>
  <c r="O7" i="19"/>
  <c r="P5" i="19"/>
  <c r="M4" i="19"/>
  <c r="N7" i="19"/>
  <c r="M9" i="19"/>
  <c r="M6" i="19"/>
  <c r="E23" i="19"/>
  <c r="F16" i="19"/>
  <c r="O3" i="19"/>
  <c r="E21" i="19"/>
  <c r="G22" i="19"/>
  <c r="G12" i="19"/>
  <c r="E18" i="19"/>
  <c r="F22" i="19"/>
  <c r="G19" i="19"/>
  <c r="N4" i="19"/>
  <c r="E16" i="19"/>
  <c r="N6" i="19"/>
  <c r="M10" i="19"/>
  <c r="N10" i="19"/>
  <c r="P8" i="19"/>
  <c r="E20" i="19"/>
  <c r="O5" i="19"/>
  <c r="P10" i="19"/>
  <c r="E17" i="19"/>
  <c r="P9" i="19"/>
  <c r="H17" i="19"/>
  <c r="P4" i="19"/>
  <c r="N3" i="19"/>
  <c r="G21" i="19"/>
  <c r="M3" i="19"/>
  <c r="H20" i="19"/>
  <c r="H22" i="19"/>
  <c r="F12" i="19"/>
  <c r="M5" i="19"/>
  <c r="N5" i="19"/>
  <c r="P7" i="19"/>
  <c r="F20" i="19"/>
  <c r="H19" i="19"/>
  <c r="O9" i="19"/>
  <c r="H21" i="19"/>
  <c r="G16" i="19"/>
  <c r="H23" i="19"/>
  <c r="F18" i="19"/>
  <c r="F19" i="19"/>
  <c r="P3" i="19"/>
  <c r="C94" i="2"/>
  <c r="C129" i="2"/>
  <c r="C164" i="2"/>
  <c r="H80" i="2"/>
  <c r="C79" i="2" s="1"/>
  <c r="B81" i="2"/>
  <c r="J82" i="2"/>
  <c r="E81" i="2" s="1"/>
  <c r="I81" i="2"/>
  <c r="D80" i="2" s="1"/>
  <c r="I114" i="2"/>
  <c r="D113" i="2" s="1"/>
  <c r="B114" i="2"/>
  <c r="J115" i="2"/>
  <c r="E114" i="2" s="1"/>
  <c r="H113" i="2"/>
  <c r="H28" i="2"/>
  <c r="D28" i="2"/>
  <c r="J150" i="2"/>
  <c r="E149" i="2" s="1"/>
  <c r="I149" i="2"/>
  <c r="D148" i="2" s="1"/>
  <c r="B149" i="2"/>
  <c r="H148" i="2"/>
  <c r="C147" i="2" s="1"/>
  <c r="J168" i="2"/>
  <c r="E167" i="2" s="1"/>
  <c r="I167" i="2"/>
  <c r="D166" i="2" s="1"/>
  <c r="B167" i="2"/>
  <c r="H166" i="2"/>
  <c r="C165" i="2" s="1"/>
  <c r="H131" i="2"/>
  <c r="C130" i="2" s="1"/>
  <c r="I132" i="2"/>
  <c r="D131" i="2" s="1"/>
  <c r="J133" i="2"/>
  <c r="E132" i="2" s="1"/>
  <c r="B132" i="2"/>
  <c r="J186" i="2"/>
  <c r="E185" i="2" s="1"/>
  <c r="I185" i="2"/>
  <c r="D184" i="2" s="1"/>
  <c r="B185" i="2"/>
  <c r="H184" i="2"/>
  <c r="C183" i="2" s="1"/>
  <c r="H96" i="2"/>
  <c r="C95" i="2" s="1"/>
  <c r="B97" i="2"/>
  <c r="J98" i="2"/>
  <c r="E97" i="2" s="1"/>
  <c r="I97" i="2"/>
  <c r="D96" i="2" s="1"/>
  <c r="J204" i="2"/>
  <c r="E203" i="2" s="1"/>
  <c r="I203" i="2"/>
  <c r="D202" i="2" s="1"/>
  <c r="B203" i="2"/>
  <c r="H202" i="2"/>
  <c r="L4" i="7" l="1"/>
  <c r="L2" i="7"/>
  <c r="L3" i="7"/>
  <c r="E16" i="9"/>
  <c r="D16" i="9" s="1"/>
  <c r="F16" i="9"/>
  <c r="B16" i="9" s="1"/>
  <c r="C16" i="9" s="1"/>
  <c r="G15" i="9"/>
  <c r="H15" i="9" s="1"/>
  <c r="K15" i="9"/>
  <c r="I15" i="9"/>
  <c r="J15" i="9"/>
  <c r="P11" i="19"/>
  <c r="D63" i="2"/>
  <c r="D47" i="2"/>
  <c r="C47" i="2"/>
  <c r="M11" i="19"/>
  <c r="C46" i="2"/>
  <c r="O11" i="19"/>
  <c r="J50" i="2"/>
  <c r="E49" i="2" s="1"/>
  <c r="B49" i="2"/>
  <c r="P12" i="19" s="1"/>
  <c r="I49" i="2"/>
  <c r="C63" i="2"/>
  <c r="B65" i="2"/>
  <c r="I65" i="2"/>
  <c r="J66" i="2"/>
  <c r="E65" i="2" s="1"/>
  <c r="C28" i="2"/>
  <c r="C27" i="2"/>
  <c r="C112" i="2"/>
  <c r="C201" i="2"/>
  <c r="H203" i="2"/>
  <c r="I204" i="2"/>
  <c r="D203" i="2" s="1"/>
  <c r="J205" i="2"/>
  <c r="E204" i="2" s="1"/>
  <c r="B204" i="2"/>
  <c r="H97" i="2"/>
  <c r="J99" i="2"/>
  <c r="E98" i="2" s="1"/>
  <c r="B98" i="2"/>
  <c r="I98" i="2"/>
  <c r="D97" i="2" s="1"/>
  <c r="H185" i="2"/>
  <c r="C184" i="2" s="1"/>
  <c r="I186" i="2"/>
  <c r="D185" i="2" s="1"/>
  <c r="J187" i="2"/>
  <c r="E186" i="2" s="1"/>
  <c r="B186" i="2"/>
  <c r="J134" i="2"/>
  <c r="E133" i="2" s="1"/>
  <c r="I133" i="2"/>
  <c r="D132" i="2" s="1"/>
  <c r="B133" i="2"/>
  <c r="H132" i="2"/>
  <c r="H167" i="2"/>
  <c r="I168" i="2"/>
  <c r="D167" i="2" s="1"/>
  <c r="J169" i="2"/>
  <c r="E168" i="2" s="1"/>
  <c r="B168" i="2"/>
  <c r="H149" i="2"/>
  <c r="I150" i="2"/>
  <c r="D149" i="2" s="1"/>
  <c r="J151" i="2"/>
  <c r="E150" i="2" s="1"/>
  <c r="B150" i="2"/>
  <c r="I115" i="2"/>
  <c r="D114" i="2" s="1"/>
  <c r="B115" i="2"/>
  <c r="J116" i="2"/>
  <c r="E115" i="2" s="1"/>
  <c r="H114" i="2"/>
  <c r="H81" i="2"/>
  <c r="C80" i="2" s="1"/>
  <c r="J83" i="2"/>
  <c r="E82" i="2" s="1"/>
  <c r="B82" i="2"/>
  <c r="I82" i="2"/>
  <c r="D81" i="2" s="1"/>
  <c r="M3" i="7" l="1"/>
  <c r="M4" i="7"/>
  <c r="M2" i="7"/>
  <c r="E17" i="9"/>
  <c r="D17" i="9" s="1"/>
  <c r="F17" i="9"/>
  <c r="B17" i="9" s="1"/>
  <c r="C17" i="9" s="1"/>
  <c r="G16" i="9"/>
  <c r="H16" i="9" s="1"/>
  <c r="K16" i="9"/>
  <c r="I16" i="9"/>
  <c r="J16" i="9"/>
  <c r="D64" i="2"/>
  <c r="H65" i="2"/>
  <c r="C64" i="2" s="1"/>
  <c r="I50" i="2"/>
  <c r="J51" i="2"/>
  <c r="B50" i="2"/>
  <c r="N13" i="19" s="1"/>
  <c r="O12" i="19"/>
  <c r="M12" i="19"/>
  <c r="J67" i="2"/>
  <c r="B66" i="2"/>
  <c r="I66" i="2"/>
  <c r="D48" i="2"/>
  <c r="H49" i="2"/>
  <c r="C113" i="2"/>
  <c r="C96" i="2"/>
  <c r="C166" i="2"/>
  <c r="C148" i="2"/>
  <c r="C202" i="2"/>
  <c r="C131" i="2"/>
  <c r="H82" i="2"/>
  <c r="C81" i="2" s="1"/>
  <c r="B83" i="2"/>
  <c r="J84" i="2"/>
  <c r="E83" i="2" s="1"/>
  <c r="I83" i="2"/>
  <c r="D82" i="2" s="1"/>
  <c r="I116" i="2"/>
  <c r="D115" i="2" s="1"/>
  <c r="B116" i="2"/>
  <c r="J117" i="2"/>
  <c r="E116" i="2" s="1"/>
  <c r="H115" i="2"/>
  <c r="J152" i="2"/>
  <c r="E151" i="2" s="1"/>
  <c r="I151" i="2"/>
  <c r="D150" i="2" s="1"/>
  <c r="B151" i="2"/>
  <c r="H150" i="2"/>
  <c r="C149" i="2" s="1"/>
  <c r="J170" i="2"/>
  <c r="E169" i="2" s="1"/>
  <c r="I169" i="2"/>
  <c r="D168" i="2" s="1"/>
  <c r="B169" i="2"/>
  <c r="H168" i="2"/>
  <c r="H133" i="2"/>
  <c r="C132" i="2" s="1"/>
  <c r="I134" i="2"/>
  <c r="D133" i="2" s="1"/>
  <c r="J135" i="2"/>
  <c r="E134" i="2" s="1"/>
  <c r="B134" i="2"/>
  <c r="J188" i="2"/>
  <c r="E187" i="2" s="1"/>
  <c r="I187" i="2"/>
  <c r="D186" i="2" s="1"/>
  <c r="B187" i="2"/>
  <c r="H186" i="2"/>
  <c r="H98" i="2"/>
  <c r="B99" i="2"/>
  <c r="J100" i="2"/>
  <c r="E99" i="2" s="1"/>
  <c r="I99" i="2"/>
  <c r="D98" i="2" s="1"/>
  <c r="J206" i="2"/>
  <c r="E205" i="2" s="1"/>
  <c r="I205" i="2"/>
  <c r="D204" i="2" s="1"/>
  <c r="B205" i="2"/>
  <c r="H204" i="2"/>
  <c r="C203" i="2" s="1"/>
  <c r="Y22" i="2"/>
  <c r="Y131" i="2"/>
  <c r="Z149" i="2"/>
  <c r="Z23" i="2"/>
  <c r="Z62" i="2"/>
  <c r="X94" i="2"/>
  <c r="X169" i="2"/>
  <c r="Z56" i="2"/>
  <c r="Z66" i="2"/>
  <c r="Z137" i="2"/>
  <c r="Z184" i="2"/>
  <c r="X44" i="2"/>
  <c r="X42" i="2"/>
  <c r="Z53" i="2"/>
  <c r="Z152" i="2"/>
  <c r="Y190" i="2"/>
  <c r="Z95" i="2"/>
  <c r="Y18" i="2"/>
  <c r="Z75" i="2"/>
  <c r="Z164" i="2"/>
  <c r="Z27" i="2"/>
  <c r="Z104" i="2"/>
  <c r="Z86" i="2"/>
  <c r="X41" i="2"/>
  <c r="X55" i="2"/>
  <c r="X176" i="2"/>
  <c r="Z33" i="2"/>
  <c r="X160" i="2"/>
  <c r="Z29" i="2"/>
  <c r="X186" i="2"/>
  <c r="Z187" i="2"/>
  <c r="Y160" i="2"/>
  <c r="X51" i="2"/>
  <c r="X35" i="2"/>
  <c r="Y164" i="2"/>
  <c r="Z177" i="2"/>
  <c r="X173" i="2"/>
  <c r="X188" i="2"/>
  <c r="Y37" i="2"/>
  <c r="X48" i="2"/>
  <c r="Y127" i="2"/>
  <c r="Y96" i="2"/>
  <c r="Z114" i="2"/>
  <c r="X141" i="2"/>
  <c r="Z166" i="2"/>
  <c r="Y25" i="2"/>
  <c r="X57" i="2"/>
  <c r="Z146" i="2"/>
  <c r="X155" i="2"/>
  <c r="Y67" i="2"/>
  <c r="X153" i="2"/>
  <c r="Z109" i="2"/>
  <c r="Y40" i="2"/>
  <c r="Z139" i="2"/>
  <c r="Z91" i="2"/>
  <c r="Z124" i="2"/>
  <c r="Z150" i="2"/>
  <c r="X23" i="2"/>
  <c r="Z22" i="2"/>
  <c r="X165" i="2"/>
  <c r="Y141" i="2"/>
  <c r="Z57" i="2"/>
  <c r="X65" i="2"/>
  <c r="X204" i="2"/>
  <c r="Z148" i="2"/>
  <c r="Z180" i="2"/>
  <c r="Z183" i="2"/>
  <c r="X202" i="2"/>
  <c r="Z60" i="2"/>
  <c r="Z84" i="2"/>
  <c r="Z117" i="2"/>
  <c r="X140" i="2"/>
  <c r="X102" i="2"/>
  <c r="X75" i="2"/>
  <c r="Z119" i="2"/>
  <c r="Z73" i="2"/>
  <c r="X195" i="2"/>
  <c r="Y57" i="2"/>
  <c r="Y83" i="2"/>
  <c r="Y102" i="2"/>
  <c r="Y29" i="2"/>
  <c r="X25" i="2"/>
  <c r="Z165" i="2"/>
  <c r="X90" i="2"/>
  <c r="X36" i="2"/>
  <c r="X108" i="2"/>
  <c r="Y24" i="2"/>
  <c r="Y180" i="2"/>
  <c r="Z48" i="2"/>
  <c r="Z193" i="2"/>
  <c r="Y171" i="2"/>
  <c r="X185" i="2"/>
  <c r="Y192" i="2"/>
  <c r="Z198" i="2"/>
  <c r="X59" i="2"/>
  <c r="Y187" i="2"/>
  <c r="Z47" i="2"/>
  <c r="Y89" i="2"/>
  <c r="X123" i="2"/>
  <c r="X89" i="2"/>
  <c r="X43" i="2"/>
  <c r="Y157" i="2"/>
  <c r="X183" i="2"/>
  <c r="X129" i="2"/>
  <c r="Y36" i="2"/>
  <c r="X21" i="2"/>
  <c r="X145" i="2"/>
  <c r="Y115" i="2"/>
  <c r="X54" i="2"/>
  <c r="X67" i="2"/>
  <c r="X79" i="2"/>
  <c r="X99" i="2"/>
  <c r="Z138" i="2"/>
  <c r="Z99" i="2"/>
  <c r="X122" i="2"/>
  <c r="Z169" i="2"/>
  <c r="Z178" i="2"/>
  <c r="Z201" i="2"/>
  <c r="X144" i="2"/>
  <c r="Y167" i="2"/>
  <c r="Z173" i="2"/>
  <c r="X33" i="2"/>
  <c r="X119" i="2"/>
  <c r="X60" i="2"/>
  <c r="Z116" i="2"/>
  <c r="Z35" i="2"/>
  <c r="X205" i="2"/>
  <c r="Z158" i="2"/>
  <c r="X72" i="2"/>
  <c r="X46" i="2"/>
  <c r="Y165" i="2"/>
  <c r="Y26" i="2"/>
  <c r="Z67" i="2"/>
  <c r="Z141" i="2"/>
  <c r="X170" i="2"/>
  <c r="X182" i="2"/>
  <c r="X208" i="2"/>
  <c r="X175" i="2"/>
  <c r="X104" i="2"/>
  <c r="X18" i="2"/>
  <c r="Y112" i="2"/>
  <c r="X201" i="2"/>
  <c r="X206" i="2"/>
  <c r="X158" i="2"/>
  <c r="Z82" i="2"/>
  <c r="Z110" i="2"/>
  <c r="X107" i="2"/>
  <c r="Y106" i="2"/>
  <c r="X30" i="2"/>
  <c r="X166" i="2"/>
  <c r="Z38" i="2"/>
  <c r="Y39" i="2"/>
  <c r="Y76" i="2"/>
  <c r="Y91" i="2"/>
  <c r="X103" i="2"/>
  <c r="Y34" i="2"/>
  <c r="Y207" i="2"/>
  <c r="Y35" i="2"/>
  <c r="Y193" i="2"/>
  <c r="Y85" i="2"/>
  <c r="Z182" i="2"/>
  <c r="Z49" i="2"/>
  <c r="X133" i="2"/>
  <c r="Z105" i="2"/>
  <c r="Z19" i="2"/>
  <c r="X139" i="2"/>
  <c r="Y90" i="2"/>
  <c r="Y151" i="2"/>
  <c r="Z128" i="2"/>
  <c r="X151" i="2"/>
  <c r="Z170" i="2"/>
  <c r="Z78" i="2"/>
  <c r="X198" i="2"/>
  <c r="Z188" i="2"/>
  <c r="X26" i="2"/>
  <c r="Y75" i="2"/>
  <c r="Z30" i="2"/>
  <c r="X52" i="2"/>
  <c r="Z140" i="2"/>
  <c r="Z28" i="2"/>
  <c r="Z195" i="2"/>
  <c r="Z40" i="2"/>
  <c r="X152" i="2"/>
  <c r="Y195" i="2"/>
  <c r="Y189" i="2"/>
  <c r="Z135" i="2"/>
  <c r="X174" i="2"/>
  <c r="Y84" i="2"/>
  <c r="Z45" i="2"/>
  <c r="Z68" i="2"/>
  <c r="Y137" i="2"/>
  <c r="Y159" i="2"/>
  <c r="Y94" i="2"/>
  <c r="Z154" i="2"/>
  <c r="X82" i="2"/>
  <c r="X95" i="2"/>
  <c r="Z185" i="2"/>
  <c r="Z209" i="2"/>
  <c r="Y122" i="2"/>
  <c r="X27" i="2"/>
  <c r="Y208" i="2"/>
  <c r="Y145" i="2"/>
  <c r="Y205" i="2"/>
  <c r="Y154" i="2"/>
  <c r="X178" i="2"/>
  <c r="Y176" i="2"/>
  <c r="Y53" i="2"/>
  <c r="Z126" i="2"/>
  <c r="Z175" i="2"/>
  <c r="Z168" i="2"/>
  <c r="Z151" i="2"/>
  <c r="Y140" i="2"/>
  <c r="X147" i="2"/>
  <c r="Y138" i="2"/>
  <c r="X121" i="2"/>
  <c r="Y163" i="2"/>
  <c r="Y199" i="2"/>
  <c r="X187" i="2"/>
  <c r="Y161" i="2"/>
  <c r="Z192" i="2"/>
  <c r="Y23" i="2"/>
  <c r="Y194" i="2"/>
  <c r="X131" i="2"/>
  <c r="Z89" i="2"/>
  <c r="Y72" i="2"/>
  <c r="Y139" i="2"/>
  <c r="X167" i="2"/>
  <c r="Z172" i="2"/>
  <c r="Z167" i="2"/>
  <c r="Z85" i="2"/>
  <c r="Z123" i="2"/>
  <c r="Y121" i="2"/>
  <c r="X53" i="2"/>
  <c r="X74" i="2"/>
  <c r="Z69" i="2"/>
  <c r="Z31" i="2"/>
  <c r="Y183" i="2"/>
  <c r="X80" i="2"/>
  <c r="Y148" i="2"/>
  <c r="Y117" i="2"/>
  <c r="Z88" i="2"/>
  <c r="Y173" i="2"/>
  <c r="Z93" i="2"/>
  <c r="Z41" i="2"/>
  <c r="X126" i="2"/>
  <c r="Z112" i="2"/>
  <c r="Z142" i="2"/>
  <c r="Y20" i="2"/>
  <c r="Y49" i="2"/>
  <c r="Z92" i="2"/>
  <c r="Y58" i="2"/>
  <c r="Y135" i="2"/>
  <c r="X100" i="2"/>
  <c r="Z26" i="2"/>
  <c r="Z107" i="2"/>
  <c r="Z74" i="2"/>
  <c r="X177" i="2"/>
  <c r="Y174" i="2"/>
  <c r="Y64" i="2"/>
  <c r="X116" i="2"/>
  <c r="X168" i="2"/>
  <c r="X45" i="2"/>
  <c r="X63" i="2"/>
  <c r="X132" i="2"/>
  <c r="Y200" i="2"/>
  <c r="Z71" i="2"/>
  <c r="Z131" i="2"/>
  <c r="Y196" i="2"/>
  <c r="Y98" i="2"/>
  <c r="Z43" i="2"/>
  <c r="Z208" i="2"/>
  <c r="X22" i="2"/>
  <c r="Y177" i="2"/>
  <c r="Z58" i="2"/>
  <c r="Z70" i="2"/>
  <c r="Z199" i="2"/>
  <c r="Z36" i="2"/>
  <c r="Z145" i="2"/>
  <c r="X62" i="2"/>
  <c r="Y130" i="2"/>
  <c r="X112" i="2"/>
  <c r="X110" i="2"/>
  <c r="X70" i="2"/>
  <c r="Y144" i="2"/>
  <c r="Y132" i="2"/>
  <c r="Y97" i="2"/>
  <c r="X118" i="2"/>
  <c r="X78" i="2"/>
  <c r="X69" i="2"/>
  <c r="Y78" i="2"/>
  <c r="Y125" i="2"/>
  <c r="Z206" i="2"/>
  <c r="X47" i="2"/>
  <c r="X115" i="2"/>
  <c r="X192" i="2"/>
  <c r="Y44" i="2"/>
  <c r="X199" i="2"/>
  <c r="Z171" i="2"/>
  <c r="X163" i="2"/>
  <c r="Z190" i="2"/>
  <c r="X66" i="2"/>
  <c r="Z106" i="2"/>
  <c r="Z55" i="2"/>
  <c r="X128" i="2"/>
  <c r="Z160" i="2"/>
  <c r="Y114" i="2"/>
  <c r="X124" i="2"/>
  <c r="Z20" i="2"/>
  <c r="X135" i="2"/>
  <c r="X61" i="2"/>
  <c r="X73" i="2"/>
  <c r="Z54" i="2"/>
  <c r="Y166" i="2"/>
  <c r="Y33" i="2"/>
  <c r="Z51" i="2"/>
  <c r="X98" i="2"/>
  <c r="Y209" i="2"/>
  <c r="Y172" i="2"/>
  <c r="X114" i="2"/>
  <c r="Y95" i="2"/>
  <c r="Y48" i="2"/>
  <c r="Y147" i="2"/>
  <c r="Z200" i="2"/>
  <c r="Z80" i="2"/>
  <c r="X92" i="2"/>
  <c r="X38" i="2"/>
  <c r="Z97" i="2"/>
  <c r="X96" i="2"/>
  <c r="Z204" i="2"/>
  <c r="Y178" i="2"/>
  <c r="Z205" i="2"/>
  <c r="X179" i="2"/>
  <c r="Z179" i="2"/>
  <c r="Z203" i="2"/>
  <c r="Z100" i="2"/>
  <c r="X32" i="2"/>
  <c r="X191" i="2"/>
  <c r="Y81" i="2"/>
  <c r="Y55" i="2"/>
  <c r="Z197" i="2"/>
  <c r="Z132" i="2"/>
  <c r="Y62" i="2"/>
  <c r="X97" i="2"/>
  <c r="Y56" i="2"/>
  <c r="Y87" i="2"/>
  <c r="X146" i="2"/>
  <c r="Y198" i="2"/>
  <c r="Z39" i="2"/>
  <c r="Z127" i="2"/>
  <c r="Y63" i="2"/>
  <c r="X64" i="2"/>
  <c r="Y129" i="2"/>
  <c r="X106" i="2"/>
  <c r="X109" i="2"/>
  <c r="Y156" i="2"/>
  <c r="Y179" i="2"/>
  <c r="Y110" i="2"/>
  <c r="Y70" i="2"/>
  <c r="Y43" i="2"/>
  <c r="X76" i="2"/>
  <c r="Y109" i="2"/>
  <c r="Z156" i="2"/>
  <c r="Z94" i="2"/>
  <c r="X184" i="2"/>
  <c r="Y136" i="2"/>
  <c r="Y50" i="2"/>
  <c r="Y32" i="2"/>
  <c r="Z143" i="2"/>
  <c r="Y93" i="2"/>
  <c r="Y80" i="2"/>
  <c r="Y73" i="2"/>
  <c r="Y203" i="2"/>
  <c r="Z21" i="2"/>
  <c r="Y113" i="2"/>
  <c r="Z174" i="2"/>
  <c r="Y54" i="2"/>
  <c r="Y61" i="2"/>
  <c r="X137" i="2"/>
  <c r="Y42" i="2"/>
  <c r="Z42" i="2"/>
  <c r="X88" i="2"/>
  <c r="Y123" i="2"/>
  <c r="X77" i="2"/>
  <c r="Z25" i="2"/>
  <c r="X154" i="2"/>
  <c r="Z81" i="2"/>
  <c r="Z87" i="2"/>
  <c r="Y169" i="2"/>
  <c r="Y92" i="2"/>
  <c r="Y143" i="2"/>
  <c r="Z101" i="2"/>
  <c r="Z72" i="2"/>
  <c r="X143" i="2"/>
  <c r="X111" i="2"/>
  <c r="X159" i="2"/>
  <c r="X58" i="2"/>
  <c r="Z103" i="2"/>
  <c r="Z144" i="2"/>
  <c r="Y47" i="2"/>
  <c r="Y86" i="2"/>
  <c r="Z122" i="2"/>
  <c r="X162" i="2"/>
  <c r="Z76" i="2"/>
  <c r="X171" i="2"/>
  <c r="Z98" i="2"/>
  <c r="Z90" i="2"/>
  <c r="Y124" i="2"/>
  <c r="Z34" i="2"/>
  <c r="Z181" i="2"/>
  <c r="Y103" i="2"/>
  <c r="Z121" i="2"/>
  <c r="Z196" i="2"/>
  <c r="X164" i="2"/>
  <c r="X150" i="2"/>
  <c r="X149" i="2"/>
  <c r="Z207" i="2"/>
  <c r="Z64" i="2"/>
  <c r="Z50" i="2"/>
  <c r="Y88" i="2"/>
  <c r="Y162" i="2"/>
  <c r="Y158" i="2"/>
  <c r="Z136" i="2"/>
  <c r="Y51" i="2"/>
  <c r="Y150" i="2"/>
  <c r="Z125" i="2"/>
  <c r="Z147" i="2"/>
  <c r="X81" i="2"/>
  <c r="X194" i="2"/>
  <c r="Y170" i="2"/>
  <c r="Z77" i="2"/>
  <c r="Z111" i="2"/>
  <c r="Y118" i="2"/>
  <c r="Y77" i="2"/>
  <c r="Z118" i="2"/>
  <c r="Y111" i="2"/>
  <c r="X37" i="2"/>
  <c r="Z37" i="2"/>
  <c r="X113" i="2"/>
  <c r="Z108" i="2"/>
  <c r="X189" i="2"/>
  <c r="Z79" i="2"/>
  <c r="X24" i="2"/>
  <c r="Y168" i="2"/>
  <c r="X40" i="2"/>
  <c r="X85" i="2"/>
  <c r="Z202" i="2"/>
  <c r="X142" i="2"/>
  <c r="Y149" i="2"/>
  <c r="Y175" i="2"/>
  <c r="Y31" i="2"/>
  <c r="Y101" i="2"/>
  <c r="Z46" i="2"/>
  <c r="X105" i="2"/>
  <c r="Z83" i="2"/>
  <c r="Y79" i="2"/>
  <c r="X157" i="2"/>
  <c r="Z32" i="2"/>
  <c r="X50" i="2"/>
  <c r="X19" i="2"/>
  <c r="Y45" i="2"/>
  <c r="Z61" i="2"/>
  <c r="Z153" i="2"/>
  <c r="Y182" i="2"/>
  <c r="Z191" i="2"/>
  <c r="Y119" i="2"/>
  <c r="Y116" i="2"/>
  <c r="Z129" i="2"/>
  <c r="X130" i="2"/>
  <c r="Y19" i="2"/>
  <c r="Y120" i="2"/>
  <c r="Y27" i="2"/>
  <c r="Y128" i="2"/>
  <c r="Y66" i="2"/>
  <c r="Y202" i="2"/>
  <c r="X193" i="2"/>
  <c r="X136" i="2"/>
  <c r="Y126" i="2"/>
  <c r="X39" i="2"/>
  <c r="X209" i="2"/>
  <c r="X190" i="2"/>
  <c r="Y28" i="2"/>
  <c r="Y142" i="2"/>
  <c r="Z130" i="2"/>
  <c r="Y65" i="2"/>
  <c r="Z157" i="2"/>
  <c r="X148" i="2"/>
  <c r="X93" i="2"/>
  <c r="Y133" i="2"/>
  <c r="Y201" i="2"/>
  <c r="X86" i="2"/>
  <c r="Z163" i="2"/>
  <c r="Y105" i="2"/>
  <c r="X120" i="2"/>
  <c r="Z63" i="2"/>
  <c r="X29" i="2"/>
  <c r="X31" i="2"/>
  <c r="Y99" i="2"/>
  <c r="Y52" i="2"/>
  <c r="Z102" i="2"/>
  <c r="X71" i="2"/>
  <c r="Z59" i="2"/>
  <c r="Y186" i="2"/>
  <c r="Y104" i="2"/>
  <c r="Y108" i="2"/>
  <c r="Y184" i="2"/>
  <c r="X180" i="2"/>
  <c r="Y206" i="2"/>
  <c r="Y21" i="2"/>
  <c r="Y191" i="2"/>
  <c r="Z161" i="2"/>
  <c r="Y38" i="2"/>
  <c r="Z44" i="2"/>
  <c r="Y69" i="2"/>
  <c r="Y59" i="2"/>
  <c r="Y68" i="2"/>
  <c r="X84" i="2"/>
  <c r="X172" i="2"/>
  <c r="Z115" i="2"/>
  <c r="X91" i="2"/>
  <c r="Z189" i="2"/>
  <c r="Y60" i="2"/>
  <c r="X161" i="2"/>
  <c r="Z96" i="2"/>
  <c r="Z162" i="2"/>
  <c r="Y71" i="2"/>
  <c r="X138" i="2"/>
  <c r="Z113" i="2"/>
  <c r="Y134" i="2"/>
  <c r="Z176" i="2"/>
  <c r="Y204" i="2"/>
  <c r="Y30" i="2"/>
  <c r="Y181" i="2"/>
  <c r="X83" i="2"/>
  <c r="X156" i="2"/>
  <c r="Y107" i="2"/>
  <c r="Y197" i="2"/>
  <c r="X127" i="2"/>
  <c r="Z120" i="2"/>
  <c r="Y100" i="2"/>
  <c r="Y185" i="2"/>
  <c r="Z159" i="2"/>
  <c r="Z194" i="2"/>
  <c r="Z18" i="2"/>
  <c r="Y153" i="2"/>
  <c r="Y41" i="2"/>
  <c r="Z65" i="2"/>
  <c r="Z186" i="2"/>
  <c r="Z52" i="2"/>
  <c r="X134" i="2"/>
  <c r="X28" i="2"/>
  <c r="X200" i="2"/>
  <c r="X196" i="2"/>
  <c r="Y46" i="2"/>
  <c r="X34" i="2"/>
  <c r="X117" i="2"/>
  <c r="X125" i="2"/>
  <c r="Z24" i="2"/>
  <c r="X101" i="2"/>
  <c r="X56" i="2"/>
  <c r="Z133" i="2"/>
  <c r="Y82" i="2"/>
  <c r="X207" i="2"/>
  <c r="X181" i="2"/>
  <c r="Y146" i="2"/>
  <c r="X203" i="2"/>
  <c r="Z134" i="2"/>
  <c r="Y152" i="2"/>
  <c r="Y74" i="2"/>
  <c r="Y188" i="2"/>
  <c r="X197" i="2"/>
  <c r="X87" i="2"/>
  <c r="Z155" i="2"/>
  <c r="X68" i="2"/>
  <c r="X49" i="2"/>
  <c r="Y155" i="2"/>
  <c r="U155" i="2" l="1"/>
  <c r="Q49" i="2"/>
  <c r="P49" i="2"/>
  <c r="S49" i="2"/>
  <c r="S68" i="2"/>
  <c r="Q68" i="2"/>
  <c r="P68" i="2"/>
  <c r="W155" i="2"/>
  <c r="Q87" i="2"/>
  <c r="P87" i="2"/>
  <c r="S87" i="2"/>
  <c r="S197" i="2"/>
  <c r="Q197" i="2"/>
  <c r="P197" i="2"/>
  <c r="U188" i="2"/>
  <c r="U74" i="2"/>
  <c r="U152" i="2"/>
  <c r="W134" i="2"/>
  <c r="S203" i="2"/>
  <c r="Q203" i="2"/>
  <c r="P203" i="2"/>
  <c r="U146" i="2"/>
  <c r="S181" i="2"/>
  <c r="Q181" i="2"/>
  <c r="P181" i="2"/>
  <c r="S207" i="2"/>
  <c r="P207" i="2"/>
  <c r="Q207" i="2"/>
  <c r="U82" i="2"/>
  <c r="W133" i="2"/>
  <c r="S56" i="2"/>
  <c r="P56" i="2"/>
  <c r="Q56" i="2"/>
  <c r="P101" i="2"/>
  <c r="Q101" i="2"/>
  <c r="S101" i="2"/>
  <c r="W24" i="2"/>
  <c r="P125" i="2"/>
  <c r="Q125" i="2"/>
  <c r="S125" i="2"/>
  <c r="S117" i="2"/>
  <c r="P117" i="2"/>
  <c r="Q117" i="2"/>
  <c r="Q34" i="2"/>
  <c r="S34" i="2"/>
  <c r="P34" i="2"/>
  <c r="U46" i="2"/>
  <c r="Q196" i="2"/>
  <c r="P196" i="2"/>
  <c r="S196" i="2"/>
  <c r="P200" i="2"/>
  <c r="S200" i="2"/>
  <c r="Q200" i="2"/>
  <c r="S28" i="2"/>
  <c r="Q28" i="2"/>
  <c r="P28" i="2"/>
  <c r="Q134" i="2"/>
  <c r="P134" i="2"/>
  <c r="S134" i="2"/>
  <c r="W52" i="2"/>
  <c r="W186" i="2"/>
  <c r="W65" i="2"/>
  <c r="U41" i="2"/>
  <c r="U153" i="2"/>
  <c r="W18" i="2"/>
  <c r="O18" i="2" s="1"/>
  <c r="W194" i="2"/>
  <c r="W159" i="2"/>
  <c r="U185" i="2"/>
  <c r="U100" i="2"/>
  <c r="W120" i="2"/>
  <c r="Q127" i="2"/>
  <c r="S127" i="2"/>
  <c r="P127" i="2"/>
  <c r="U197" i="2"/>
  <c r="U107" i="2"/>
  <c r="P156" i="2"/>
  <c r="Q156" i="2"/>
  <c r="S156" i="2"/>
  <c r="Q83" i="2"/>
  <c r="P83" i="2"/>
  <c r="S83" i="2"/>
  <c r="U181" i="2"/>
  <c r="U30" i="2"/>
  <c r="U204" i="2"/>
  <c r="W176" i="2"/>
  <c r="U134" i="2"/>
  <c r="W113" i="2"/>
  <c r="S138" i="2"/>
  <c r="Q138" i="2"/>
  <c r="P138" i="2"/>
  <c r="U71" i="2"/>
  <c r="W162" i="2"/>
  <c r="W96" i="2"/>
  <c r="P161" i="2"/>
  <c r="S161" i="2"/>
  <c r="Q161" i="2"/>
  <c r="U60" i="2"/>
  <c r="W189" i="2"/>
  <c r="Q91" i="2"/>
  <c r="P91" i="2"/>
  <c r="S91" i="2"/>
  <c r="W115" i="2"/>
  <c r="Q172" i="2"/>
  <c r="P172" i="2"/>
  <c r="S172" i="2"/>
  <c r="Q84" i="2"/>
  <c r="S84" i="2"/>
  <c r="P84" i="2"/>
  <c r="U68" i="2"/>
  <c r="U59" i="2"/>
  <c r="U69" i="2"/>
  <c r="W44" i="2"/>
  <c r="U38" i="2"/>
  <c r="N38" i="2" s="1"/>
  <c r="W161" i="2"/>
  <c r="U191" i="2"/>
  <c r="U21" i="2"/>
  <c r="U206" i="2"/>
  <c r="S180" i="2"/>
  <c r="Q180" i="2"/>
  <c r="P180" i="2"/>
  <c r="U184" i="2"/>
  <c r="U108" i="2"/>
  <c r="U104" i="2"/>
  <c r="U186" i="2"/>
  <c r="W59" i="2"/>
  <c r="Q71" i="2"/>
  <c r="P71" i="2"/>
  <c r="S71" i="2"/>
  <c r="W102" i="2"/>
  <c r="U52" i="2"/>
  <c r="U99" i="2"/>
  <c r="P31" i="2"/>
  <c r="S31" i="2"/>
  <c r="Q31" i="2"/>
  <c r="P29" i="2"/>
  <c r="L29" i="2" s="1"/>
  <c r="Q29" i="2"/>
  <c r="M29" i="2" s="1"/>
  <c r="S29" i="2"/>
  <c r="W63" i="2"/>
  <c r="P120" i="2"/>
  <c r="Q120" i="2"/>
  <c r="S120" i="2"/>
  <c r="U105" i="2"/>
  <c r="W163" i="2"/>
  <c r="S86" i="2"/>
  <c r="Q86" i="2"/>
  <c r="P86" i="2"/>
  <c r="U201" i="2"/>
  <c r="U133" i="2"/>
  <c r="S93" i="2"/>
  <c r="P93" i="2"/>
  <c r="Q93" i="2"/>
  <c r="S148" i="2"/>
  <c r="P148" i="2"/>
  <c r="Q148" i="2"/>
  <c r="W157" i="2"/>
  <c r="U65" i="2"/>
  <c r="W130" i="2"/>
  <c r="U142" i="2"/>
  <c r="U28" i="2"/>
  <c r="Q190" i="2"/>
  <c r="S190" i="2"/>
  <c r="P190" i="2"/>
  <c r="P209" i="2"/>
  <c r="Q209" i="2"/>
  <c r="S209" i="2"/>
  <c r="Q39" i="2"/>
  <c r="M39" i="2" s="1"/>
  <c r="P39" i="2"/>
  <c r="S39" i="2"/>
  <c r="U126" i="2"/>
  <c r="Q136" i="2"/>
  <c r="S136" i="2"/>
  <c r="P136" i="2"/>
  <c r="P193" i="2"/>
  <c r="S193" i="2"/>
  <c r="Q193" i="2"/>
  <c r="U202" i="2"/>
  <c r="U66" i="2"/>
  <c r="U128" i="2"/>
  <c r="U27" i="2"/>
  <c r="U120" i="2"/>
  <c r="U19" i="2"/>
  <c r="P130" i="2"/>
  <c r="Q130" i="2"/>
  <c r="S130" i="2"/>
  <c r="W129" i="2"/>
  <c r="U116" i="2"/>
  <c r="U119" i="2"/>
  <c r="W191" i="2"/>
  <c r="U182" i="2"/>
  <c r="W153" i="2"/>
  <c r="W61" i="2"/>
  <c r="U45" i="2"/>
  <c r="P19" i="2"/>
  <c r="S19" i="2"/>
  <c r="Q19" i="2"/>
  <c r="S50" i="2"/>
  <c r="Q50" i="2"/>
  <c r="P50" i="2"/>
  <c r="W32" i="2"/>
  <c r="P157" i="2"/>
  <c r="Q157" i="2"/>
  <c r="S157" i="2"/>
  <c r="U79" i="2"/>
  <c r="W83" i="2"/>
  <c r="P105" i="2"/>
  <c r="Q105" i="2"/>
  <c r="S105" i="2"/>
  <c r="W46" i="2"/>
  <c r="U101" i="2"/>
  <c r="U31" i="2"/>
  <c r="U175" i="2"/>
  <c r="U149" i="2"/>
  <c r="Q142" i="2"/>
  <c r="S142" i="2"/>
  <c r="P142" i="2"/>
  <c r="W202" i="2"/>
  <c r="S85" i="2"/>
  <c r="Q85" i="2"/>
  <c r="P85" i="2"/>
  <c r="S40" i="2"/>
  <c r="P40" i="2"/>
  <c r="Q40" i="2"/>
  <c r="U168" i="2"/>
  <c r="Q24" i="2"/>
  <c r="S24" i="2"/>
  <c r="P24" i="2"/>
  <c r="W79" i="2"/>
  <c r="S189" i="2"/>
  <c r="P189" i="2"/>
  <c r="Q189" i="2"/>
  <c r="W108" i="2"/>
  <c r="P113" i="2"/>
  <c r="S113" i="2"/>
  <c r="Q113" i="2"/>
  <c r="W37" i="2"/>
  <c r="P37" i="2"/>
  <c r="Q37" i="2"/>
  <c r="S37" i="2"/>
  <c r="U111" i="2"/>
  <c r="W118" i="2"/>
  <c r="U77" i="2"/>
  <c r="U118" i="2"/>
  <c r="W111" i="2"/>
  <c r="W77" i="2"/>
  <c r="U170" i="2"/>
  <c r="S194" i="2"/>
  <c r="P194" i="2"/>
  <c r="Q194" i="2"/>
  <c r="Q81" i="2"/>
  <c r="P81" i="2"/>
  <c r="S81" i="2"/>
  <c r="W147" i="2"/>
  <c r="W125" i="2"/>
  <c r="U150" i="2"/>
  <c r="U51" i="2"/>
  <c r="W136" i="2"/>
  <c r="U158" i="2"/>
  <c r="U162" i="2"/>
  <c r="U88" i="2"/>
  <c r="W50" i="2"/>
  <c r="W64" i="2"/>
  <c r="W207" i="2"/>
  <c r="S149" i="2"/>
  <c r="P149" i="2"/>
  <c r="Q149" i="2"/>
  <c r="P150" i="2"/>
  <c r="Q150" i="2"/>
  <c r="S150" i="2"/>
  <c r="P164" i="2"/>
  <c r="S164" i="2"/>
  <c r="Q164" i="2"/>
  <c r="W196" i="2"/>
  <c r="W121" i="2"/>
  <c r="U103" i="2"/>
  <c r="W181" i="2"/>
  <c r="W34" i="2"/>
  <c r="U124" i="2"/>
  <c r="W90" i="2"/>
  <c r="W98" i="2"/>
  <c r="P171" i="2"/>
  <c r="Q171" i="2"/>
  <c r="S171" i="2"/>
  <c r="W76" i="2"/>
  <c r="P162" i="2"/>
  <c r="S162" i="2"/>
  <c r="Q162" i="2"/>
  <c r="W122" i="2"/>
  <c r="U86" i="2"/>
  <c r="U47" i="2"/>
  <c r="W144" i="2"/>
  <c r="W103" i="2"/>
  <c r="P58" i="2"/>
  <c r="Q58" i="2"/>
  <c r="S58" i="2"/>
  <c r="Q159" i="2"/>
  <c r="S159" i="2"/>
  <c r="P159" i="2"/>
  <c r="P111" i="2"/>
  <c r="S111" i="2"/>
  <c r="Q111" i="2"/>
  <c r="P143" i="2"/>
  <c r="Q143" i="2"/>
  <c r="S143" i="2"/>
  <c r="W72" i="2"/>
  <c r="W101" i="2"/>
  <c r="U143" i="2"/>
  <c r="U92" i="2"/>
  <c r="U169" i="2"/>
  <c r="W87" i="2"/>
  <c r="W81" i="2"/>
  <c r="P154" i="2"/>
  <c r="Q154" i="2"/>
  <c r="S154" i="2"/>
  <c r="W25" i="2"/>
  <c r="P77" i="2"/>
  <c r="Q77" i="2"/>
  <c r="S77" i="2"/>
  <c r="U123" i="2"/>
  <c r="P88" i="2"/>
  <c r="S88" i="2"/>
  <c r="Q88" i="2"/>
  <c r="W42" i="2"/>
  <c r="U42" i="2"/>
  <c r="Q137" i="2"/>
  <c r="S137" i="2"/>
  <c r="P137" i="2"/>
  <c r="U61" i="2"/>
  <c r="U54" i="2"/>
  <c r="W174" i="2"/>
  <c r="U113" i="2"/>
  <c r="W21" i="2"/>
  <c r="U203" i="2"/>
  <c r="U73" i="2"/>
  <c r="U80" i="2"/>
  <c r="U93" i="2"/>
  <c r="W143" i="2"/>
  <c r="U32" i="2"/>
  <c r="U50" i="2"/>
  <c r="U136" i="2"/>
  <c r="P184" i="2"/>
  <c r="Q184" i="2"/>
  <c r="S184" i="2"/>
  <c r="W94" i="2"/>
  <c r="W156" i="2"/>
  <c r="U109" i="2"/>
  <c r="Q76" i="2"/>
  <c r="S76" i="2"/>
  <c r="P76" i="2"/>
  <c r="U43" i="2"/>
  <c r="U70" i="2"/>
  <c r="U110" i="2"/>
  <c r="U179" i="2"/>
  <c r="U156" i="2"/>
  <c r="Q109" i="2"/>
  <c r="S109" i="2"/>
  <c r="P109" i="2"/>
  <c r="Q106" i="2"/>
  <c r="P106" i="2"/>
  <c r="S106" i="2"/>
  <c r="U129" i="2"/>
  <c r="Q64" i="2"/>
  <c r="P64" i="2"/>
  <c r="S64" i="2"/>
  <c r="U63" i="2"/>
  <c r="W127" i="2"/>
  <c r="W39" i="2"/>
  <c r="U198" i="2"/>
  <c r="Q146" i="2"/>
  <c r="P146" i="2"/>
  <c r="S146" i="2"/>
  <c r="U87" i="2"/>
  <c r="U56" i="2"/>
  <c r="Q97" i="2"/>
  <c r="P97" i="2"/>
  <c r="S97" i="2"/>
  <c r="U62" i="2"/>
  <c r="W132" i="2"/>
  <c r="W197" i="2"/>
  <c r="U55" i="2"/>
  <c r="U81" i="2"/>
  <c r="P191" i="2"/>
  <c r="S191" i="2"/>
  <c r="Q191" i="2"/>
  <c r="P32" i="2"/>
  <c r="S32" i="2"/>
  <c r="Q32" i="2"/>
  <c r="W100" i="2"/>
  <c r="W203" i="2"/>
  <c r="W179" i="2"/>
  <c r="Q179" i="2"/>
  <c r="S179" i="2"/>
  <c r="P179" i="2"/>
  <c r="W205" i="2"/>
  <c r="U178" i="2"/>
  <c r="W204" i="2"/>
  <c r="Q96" i="2"/>
  <c r="P96" i="2"/>
  <c r="S96" i="2"/>
  <c r="W97" i="2"/>
  <c r="P38" i="2"/>
  <c r="L38" i="2" s="1"/>
  <c r="S38" i="2"/>
  <c r="Q38" i="2"/>
  <c r="M38" i="2" s="1"/>
  <c r="Q92" i="2"/>
  <c r="P92" i="2"/>
  <c r="S92" i="2"/>
  <c r="W80" i="2"/>
  <c r="W200" i="2"/>
  <c r="U147" i="2"/>
  <c r="U48" i="2"/>
  <c r="U95" i="2"/>
  <c r="P114" i="2"/>
  <c r="Q114" i="2"/>
  <c r="S114" i="2"/>
  <c r="U172" i="2"/>
  <c r="U209" i="2"/>
  <c r="S98" i="2"/>
  <c r="Q98" i="2"/>
  <c r="P98" i="2"/>
  <c r="W51" i="2"/>
  <c r="U33" i="2"/>
  <c r="U166" i="2"/>
  <c r="W54" i="2"/>
  <c r="S73" i="2"/>
  <c r="P73" i="2"/>
  <c r="Q73" i="2"/>
  <c r="Q61" i="2"/>
  <c r="S61" i="2"/>
  <c r="P61" i="2"/>
  <c r="S135" i="2"/>
  <c r="Q135" i="2"/>
  <c r="P135" i="2"/>
  <c r="W20" i="2"/>
  <c r="Q124" i="2"/>
  <c r="S124" i="2"/>
  <c r="P124" i="2"/>
  <c r="U114" i="2"/>
  <c r="W160" i="2"/>
  <c r="S128" i="2"/>
  <c r="P128" i="2"/>
  <c r="Q128" i="2"/>
  <c r="W55" i="2"/>
  <c r="W106" i="2"/>
  <c r="P66" i="2"/>
  <c r="Q66" i="2"/>
  <c r="S66" i="2"/>
  <c r="W190" i="2"/>
  <c r="P163" i="2"/>
  <c r="Q163" i="2"/>
  <c r="S163" i="2"/>
  <c r="W171" i="2"/>
  <c r="Q199" i="2"/>
  <c r="S199" i="2"/>
  <c r="P199" i="2"/>
  <c r="U44" i="2"/>
  <c r="P192" i="2"/>
  <c r="S192" i="2"/>
  <c r="Q192" i="2"/>
  <c r="Q115" i="2"/>
  <c r="S115" i="2"/>
  <c r="P115" i="2"/>
  <c r="S47" i="2"/>
  <c r="Q47" i="2"/>
  <c r="P47" i="2"/>
  <c r="W206" i="2"/>
  <c r="U125" i="2"/>
  <c r="U78" i="2"/>
  <c r="S69" i="2"/>
  <c r="P69" i="2"/>
  <c r="Q69" i="2"/>
  <c r="Q78" i="2"/>
  <c r="S78" i="2"/>
  <c r="P78" i="2"/>
  <c r="S118" i="2"/>
  <c r="P118" i="2"/>
  <c r="Q118" i="2"/>
  <c r="U97" i="2"/>
  <c r="U132" i="2"/>
  <c r="U144" i="2"/>
  <c r="S70" i="2"/>
  <c r="Q70" i="2"/>
  <c r="P70" i="2"/>
  <c r="P110" i="2"/>
  <c r="Q110" i="2"/>
  <c r="S110" i="2"/>
  <c r="P112" i="2"/>
  <c r="Q112" i="2"/>
  <c r="S112" i="2"/>
  <c r="U130" i="2"/>
  <c r="P62" i="2"/>
  <c r="S62" i="2"/>
  <c r="Q62" i="2"/>
  <c r="W145" i="2"/>
  <c r="W36" i="2"/>
  <c r="W199" i="2"/>
  <c r="W70" i="2"/>
  <c r="W58" i="2"/>
  <c r="U177" i="2"/>
  <c r="P22" i="2"/>
  <c r="S22" i="2"/>
  <c r="Q22" i="2"/>
  <c r="W208" i="2"/>
  <c r="W43" i="2"/>
  <c r="U98" i="2"/>
  <c r="U196" i="2"/>
  <c r="W131" i="2"/>
  <c r="W71" i="2"/>
  <c r="U200" i="2"/>
  <c r="S132" i="2"/>
  <c r="Q132" i="2"/>
  <c r="P132" i="2"/>
  <c r="P63" i="2"/>
  <c r="Q63" i="2"/>
  <c r="S63" i="2"/>
  <c r="Q45" i="2"/>
  <c r="S45" i="2"/>
  <c r="P45" i="2"/>
  <c r="Q168" i="2"/>
  <c r="P168" i="2"/>
  <c r="S168" i="2"/>
  <c r="Q116" i="2"/>
  <c r="P116" i="2"/>
  <c r="S116" i="2"/>
  <c r="U64" i="2"/>
  <c r="U174" i="2"/>
  <c r="S177" i="2"/>
  <c r="P177" i="2"/>
  <c r="Q177" i="2"/>
  <c r="W74" i="2"/>
  <c r="W107" i="2"/>
  <c r="W26" i="2"/>
  <c r="Q100" i="2"/>
  <c r="P100" i="2"/>
  <c r="S100" i="2"/>
  <c r="U135" i="2"/>
  <c r="U58" i="2"/>
  <c r="W92" i="2"/>
  <c r="U49" i="2"/>
  <c r="U20" i="2"/>
  <c r="W142" i="2"/>
  <c r="W112" i="2"/>
  <c r="S126" i="2"/>
  <c r="P126" i="2"/>
  <c r="Q126" i="2"/>
  <c r="W41" i="2"/>
  <c r="W93" i="2"/>
  <c r="U173" i="2"/>
  <c r="W88" i="2"/>
  <c r="U117" i="2"/>
  <c r="U148" i="2"/>
  <c r="P80" i="2"/>
  <c r="S80" i="2"/>
  <c r="Q80" i="2"/>
  <c r="U183" i="2"/>
  <c r="W31" i="2"/>
  <c r="W69" i="2"/>
  <c r="P74" i="2"/>
  <c r="Q74" i="2"/>
  <c r="S74" i="2"/>
  <c r="S53" i="2"/>
  <c r="P53" i="2"/>
  <c r="Q53" i="2"/>
  <c r="U121" i="2"/>
  <c r="W123" i="2"/>
  <c r="W85" i="2"/>
  <c r="W167" i="2"/>
  <c r="W172" i="2"/>
  <c r="S167" i="2"/>
  <c r="Q167" i="2"/>
  <c r="P167" i="2"/>
  <c r="U139" i="2"/>
  <c r="U72" i="2"/>
  <c r="W89" i="2"/>
  <c r="Q131" i="2"/>
  <c r="S131" i="2"/>
  <c r="P131" i="2"/>
  <c r="U194" i="2"/>
  <c r="U23" i="2"/>
  <c r="W192" i="2"/>
  <c r="U161" i="2"/>
  <c r="S187" i="2"/>
  <c r="Q187" i="2"/>
  <c r="P187" i="2"/>
  <c r="U199" i="2"/>
  <c r="U163" i="2"/>
  <c r="Q121" i="2"/>
  <c r="S121" i="2"/>
  <c r="P121" i="2"/>
  <c r="U138" i="2"/>
  <c r="S147" i="2"/>
  <c r="Q147" i="2"/>
  <c r="P147" i="2"/>
  <c r="U140" i="2"/>
  <c r="W151" i="2"/>
  <c r="W168" i="2"/>
  <c r="W175" i="2"/>
  <c r="W126" i="2"/>
  <c r="U53" i="2"/>
  <c r="U176" i="2"/>
  <c r="Q178" i="2"/>
  <c r="S178" i="2"/>
  <c r="P178" i="2"/>
  <c r="U154" i="2"/>
  <c r="U205" i="2"/>
  <c r="U145" i="2"/>
  <c r="U208" i="2"/>
  <c r="Q27" i="2"/>
  <c r="P27" i="2"/>
  <c r="S27" i="2"/>
  <c r="U122" i="2"/>
  <c r="W209" i="2"/>
  <c r="W185" i="2"/>
  <c r="Q95" i="2"/>
  <c r="S95" i="2"/>
  <c r="P95" i="2"/>
  <c r="Q82" i="2"/>
  <c r="S82" i="2"/>
  <c r="P82" i="2"/>
  <c r="W154" i="2"/>
  <c r="U94" i="2"/>
  <c r="U159" i="2"/>
  <c r="U137" i="2"/>
  <c r="W68" i="2"/>
  <c r="W45" i="2"/>
  <c r="U84" i="2"/>
  <c r="P174" i="2"/>
  <c r="Q174" i="2"/>
  <c r="S174" i="2"/>
  <c r="W135" i="2"/>
  <c r="U189" i="2"/>
  <c r="U195" i="2"/>
  <c r="Q152" i="2"/>
  <c r="P152" i="2"/>
  <c r="S152" i="2"/>
  <c r="W40" i="2"/>
  <c r="W195" i="2"/>
  <c r="W28" i="2"/>
  <c r="W140" i="2"/>
  <c r="S52" i="2"/>
  <c r="P52" i="2"/>
  <c r="Q52" i="2"/>
  <c r="W30" i="2"/>
  <c r="U75" i="2"/>
  <c r="S26" i="2"/>
  <c r="P26" i="2"/>
  <c r="Q26" i="2"/>
  <c r="W188" i="2"/>
  <c r="S198" i="2"/>
  <c r="Q198" i="2"/>
  <c r="P198" i="2"/>
  <c r="W78" i="2"/>
  <c r="W170" i="2"/>
  <c r="S151" i="2"/>
  <c r="P151" i="2"/>
  <c r="Q151" i="2"/>
  <c r="W128" i="2"/>
  <c r="U151" i="2"/>
  <c r="U90" i="2"/>
  <c r="P139" i="2"/>
  <c r="Q139" i="2"/>
  <c r="S139" i="2"/>
  <c r="W19" i="2"/>
  <c r="O19" i="2" s="1"/>
  <c r="W105" i="2"/>
  <c r="Q133" i="2"/>
  <c r="P133" i="2"/>
  <c r="S133" i="2"/>
  <c r="W49" i="2"/>
  <c r="W182" i="2"/>
  <c r="U85" i="2"/>
  <c r="U193" i="2"/>
  <c r="U35" i="2"/>
  <c r="U207" i="2"/>
  <c r="U34" i="2"/>
  <c r="Q103" i="2"/>
  <c r="S103" i="2"/>
  <c r="P103" i="2"/>
  <c r="U91" i="2"/>
  <c r="U76" i="2"/>
  <c r="U39" i="2"/>
  <c r="W38" i="2"/>
  <c r="O38" i="2" s="1"/>
  <c r="P166" i="2"/>
  <c r="Q166" i="2"/>
  <c r="S166" i="2"/>
  <c r="S30" i="2"/>
  <c r="P30" i="2"/>
  <c r="Q30" i="2"/>
  <c r="U106" i="2"/>
  <c r="S107" i="2"/>
  <c r="P107" i="2"/>
  <c r="Q107" i="2"/>
  <c r="W110" i="2"/>
  <c r="W82" i="2"/>
  <c r="Q158" i="2"/>
  <c r="P158" i="2"/>
  <c r="S158" i="2"/>
  <c r="S206" i="2"/>
  <c r="P206" i="2"/>
  <c r="Q206" i="2"/>
  <c r="Q201" i="2"/>
  <c r="P201" i="2"/>
  <c r="S201" i="2"/>
  <c r="U112" i="2"/>
  <c r="Q18" i="2"/>
  <c r="M18" i="2" s="1"/>
  <c r="M19" i="2" s="1"/>
  <c r="M20" i="2" s="1"/>
  <c r="S18" i="2"/>
  <c r="R18" i="2" s="1"/>
  <c r="R19" i="2" s="1"/>
  <c r="R20" i="2" s="1"/>
  <c r="P18" i="2"/>
  <c r="L18" i="2" s="1"/>
  <c r="L19" i="2" s="1"/>
  <c r="L20" i="2" s="1"/>
  <c r="P104" i="2"/>
  <c r="Q104" i="2"/>
  <c r="S104" i="2"/>
  <c r="Q175" i="2"/>
  <c r="S175" i="2"/>
  <c r="P175" i="2"/>
  <c r="P208" i="2"/>
  <c r="Q208" i="2"/>
  <c r="S208" i="2"/>
  <c r="Q182" i="2"/>
  <c r="S182" i="2"/>
  <c r="P182" i="2"/>
  <c r="S170" i="2"/>
  <c r="Q170" i="2"/>
  <c r="P170" i="2"/>
  <c r="W141" i="2"/>
  <c r="W67" i="2"/>
  <c r="U26" i="2"/>
  <c r="U165" i="2"/>
  <c r="S46" i="2"/>
  <c r="P46" i="2"/>
  <c r="Q46" i="2"/>
  <c r="S72" i="2"/>
  <c r="Q72" i="2"/>
  <c r="P72" i="2"/>
  <c r="W158" i="2"/>
  <c r="S205" i="2"/>
  <c r="P205" i="2"/>
  <c r="Q205" i="2"/>
  <c r="W35" i="2"/>
  <c r="W116" i="2"/>
  <c r="S60" i="2"/>
  <c r="P60" i="2"/>
  <c r="Q60" i="2"/>
  <c r="S119" i="2"/>
  <c r="Q119" i="2"/>
  <c r="P119" i="2"/>
  <c r="P33" i="2"/>
  <c r="Q33" i="2"/>
  <c r="S33" i="2"/>
  <c r="W173" i="2"/>
  <c r="U167" i="2"/>
  <c r="Q144" i="2"/>
  <c r="P144" i="2"/>
  <c r="S144" i="2"/>
  <c r="W201" i="2"/>
  <c r="W178" i="2"/>
  <c r="W169" i="2"/>
  <c r="P122" i="2"/>
  <c r="S122" i="2"/>
  <c r="Q122" i="2"/>
  <c r="W99" i="2"/>
  <c r="W138" i="2"/>
  <c r="Q99" i="2"/>
  <c r="S99" i="2"/>
  <c r="P99" i="2"/>
  <c r="S79" i="2"/>
  <c r="P79" i="2"/>
  <c r="Q79" i="2"/>
  <c r="S67" i="2"/>
  <c r="Q67" i="2"/>
  <c r="P67" i="2"/>
  <c r="Q54" i="2"/>
  <c r="S54" i="2"/>
  <c r="P54" i="2"/>
  <c r="U115" i="2"/>
  <c r="P145" i="2"/>
  <c r="S145" i="2"/>
  <c r="Q145" i="2"/>
  <c r="S21" i="2"/>
  <c r="P21" i="2"/>
  <c r="Q21" i="2"/>
  <c r="U36" i="2"/>
  <c r="P129" i="2"/>
  <c r="S129" i="2"/>
  <c r="Q129" i="2"/>
  <c r="P183" i="2"/>
  <c r="Q183" i="2"/>
  <c r="S183" i="2"/>
  <c r="U157" i="2"/>
  <c r="P43" i="2"/>
  <c r="S43" i="2"/>
  <c r="Q43" i="2"/>
  <c r="P89" i="2"/>
  <c r="Q89" i="2"/>
  <c r="S89" i="2"/>
  <c r="Q123" i="2"/>
  <c r="P123" i="2"/>
  <c r="S123" i="2"/>
  <c r="U89" i="2"/>
  <c r="W47" i="2"/>
  <c r="U187" i="2"/>
  <c r="Q59" i="2"/>
  <c r="S59" i="2"/>
  <c r="P59" i="2"/>
  <c r="W198" i="2"/>
  <c r="U192" i="2"/>
  <c r="S185" i="2"/>
  <c r="Q185" i="2"/>
  <c r="P185" i="2"/>
  <c r="U171" i="2"/>
  <c r="W193" i="2"/>
  <c r="W48" i="2"/>
  <c r="U180" i="2"/>
  <c r="U24" i="2"/>
  <c r="P108" i="2"/>
  <c r="S108" i="2"/>
  <c r="Q108" i="2"/>
  <c r="Q36" i="2"/>
  <c r="S36" i="2"/>
  <c r="P36" i="2"/>
  <c r="P90" i="2"/>
  <c r="S90" i="2"/>
  <c r="Q90" i="2"/>
  <c r="W165" i="2"/>
  <c r="Q25" i="2"/>
  <c r="S25" i="2"/>
  <c r="P25" i="2"/>
  <c r="U29" i="2"/>
  <c r="U102" i="2"/>
  <c r="U83" i="2"/>
  <c r="U57" i="2"/>
  <c r="S195" i="2"/>
  <c r="P195" i="2"/>
  <c r="Q195" i="2"/>
  <c r="W73" i="2"/>
  <c r="W119" i="2"/>
  <c r="S75" i="2"/>
  <c r="P75" i="2"/>
  <c r="Q75" i="2"/>
  <c r="S102" i="2"/>
  <c r="P102" i="2"/>
  <c r="Q102" i="2"/>
  <c r="Q140" i="2"/>
  <c r="S140" i="2"/>
  <c r="P140" i="2"/>
  <c r="W117" i="2"/>
  <c r="W84" i="2"/>
  <c r="W60" i="2"/>
  <c r="S202" i="2"/>
  <c r="Q202" i="2"/>
  <c r="P202" i="2"/>
  <c r="W183" i="2"/>
  <c r="W180" i="2"/>
  <c r="W148" i="2"/>
  <c r="S204" i="2"/>
  <c r="P204" i="2"/>
  <c r="Q204" i="2"/>
  <c r="P65" i="2"/>
  <c r="S65" i="2"/>
  <c r="Q65" i="2"/>
  <c r="W57" i="2"/>
  <c r="U141" i="2"/>
  <c r="P165" i="2"/>
  <c r="S165" i="2"/>
  <c r="Q165" i="2"/>
  <c r="W22" i="2"/>
  <c r="S23" i="2"/>
  <c r="P23" i="2"/>
  <c r="Q23" i="2"/>
  <c r="W150" i="2"/>
  <c r="W124" i="2"/>
  <c r="W91" i="2"/>
  <c r="W139" i="2"/>
  <c r="U40" i="2"/>
  <c r="W109" i="2"/>
  <c r="P153" i="2"/>
  <c r="Q153" i="2"/>
  <c r="S153" i="2"/>
  <c r="U67" i="2"/>
  <c r="P155" i="2"/>
  <c r="Q155" i="2"/>
  <c r="S155" i="2"/>
  <c r="W146" i="2"/>
  <c r="P57" i="2"/>
  <c r="Q57" i="2"/>
  <c r="S57" i="2"/>
  <c r="U25" i="2"/>
  <c r="W166" i="2"/>
  <c r="Q141" i="2"/>
  <c r="P141" i="2"/>
  <c r="S141" i="2"/>
  <c r="W114" i="2"/>
  <c r="U96" i="2"/>
  <c r="U127" i="2"/>
  <c r="S48" i="2"/>
  <c r="P48" i="2"/>
  <c r="Q48" i="2"/>
  <c r="U37" i="2"/>
  <c r="S188" i="2"/>
  <c r="P188" i="2"/>
  <c r="Q188" i="2"/>
  <c r="S173" i="2"/>
  <c r="Q173" i="2"/>
  <c r="P173" i="2"/>
  <c r="W177" i="2"/>
  <c r="U164" i="2"/>
  <c r="S35" i="2"/>
  <c r="Q35" i="2"/>
  <c r="P35" i="2"/>
  <c r="S51" i="2"/>
  <c r="Q51" i="2"/>
  <c r="P51" i="2"/>
  <c r="U160" i="2"/>
  <c r="W187" i="2"/>
  <c r="S186" i="2"/>
  <c r="Q186" i="2"/>
  <c r="P186" i="2"/>
  <c r="W29" i="2"/>
  <c r="S160" i="2"/>
  <c r="P160" i="2"/>
  <c r="Q160" i="2"/>
  <c r="W33" i="2"/>
  <c r="S176" i="2"/>
  <c r="Q176" i="2"/>
  <c r="P176" i="2"/>
  <c r="P55" i="2"/>
  <c r="Q55" i="2"/>
  <c r="S55" i="2"/>
  <c r="P41" i="2"/>
  <c r="S41" i="2"/>
  <c r="Q41" i="2"/>
  <c r="W86" i="2"/>
  <c r="W104" i="2"/>
  <c r="W27" i="2"/>
  <c r="W164" i="2"/>
  <c r="W75" i="2"/>
  <c r="U18" i="2"/>
  <c r="N18" i="2" s="1"/>
  <c r="W95" i="2"/>
  <c r="U190" i="2"/>
  <c r="W152" i="2"/>
  <c r="W53" i="2"/>
  <c r="Q42" i="2"/>
  <c r="P42" i="2"/>
  <c r="S42" i="2"/>
  <c r="P44" i="2"/>
  <c r="S44" i="2"/>
  <c r="Q44" i="2"/>
  <c r="W184" i="2"/>
  <c r="W137" i="2"/>
  <c r="W66" i="2"/>
  <c r="W56" i="2"/>
  <c r="P169" i="2"/>
  <c r="Q169" i="2"/>
  <c r="S169" i="2"/>
  <c r="P94" i="2"/>
  <c r="Q94" i="2"/>
  <c r="S94" i="2"/>
  <c r="W62" i="2"/>
  <c r="W23" i="2"/>
  <c r="W149" i="2"/>
  <c r="U131" i="2"/>
  <c r="U22" i="2"/>
  <c r="N39" i="2"/>
  <c r="N40" i="2" s="1"/>
  <c r="N3" i="7"/>
  <c r="N2" i="7"/>
  <c r="N4" i="7"/>
  <c r="E18" i="9"/>
  <c r="D18" i="9" s="1"/>
  <c r="F18" i="9"/>
  <c r="B18" i="9" s="1"/>
  <c r="C18" i="9" s="1"/>
  <c r="G17" i="9"/>
  <c r="H17" i="9" s="1"/>
  <c r="I17" i="9"/>
  <c r="J17" i="9"/>
  <c r="K17" i="9"/>
  <c r="T18" i="2"/>
  <c r="V18" i="2"/>
  <c r="O13" i="19"/>
  <c r="C48" i="2"/>
  <c r="B51" i="2"/>
  <c r="I51" i="2"/>
  <c r="H51" i="2" s="1"/>
  <c r="E50" i="2"/>
  <c r="J52" i="2"/>
  <c r="P13" i="19"/>
  <c r="H50" i="2"/>
  <c r="D49" i="2"/>
  <c r="H66" i="2"/>
  <c r="C65" i="2" s="1"/>
  <c r="E66" i="2"/>
  <c r="J68" i="2"/>
  <c r="B67" i="2"/>
  <c r="I67" i="2"/>
  <c r="D66" i="2" s="1"/>
  <c r="D65" i="2"/>
  <c r="C167" i="2"/>
  <c r="C97" i="2"/>
  <c r="C185" i="2"/>
  <c r="C114" i="2"/>
  <c r="H205" i="2"/>
  <c r="I206" i="2"/>
  <c r="D205" i="2" s="1"/>
  <c r="J207" i="2"/>
  <c r="E206" i="2" s="1"/>
  <c r="B206" i="2"/>
  <c r="H99" i="2"/>
  <c r="C98" i="2" s="1"/>
  <c r="B100" i="2"/>
  <c r="I100" i="2"/>
  <c r="D99" i="2" s="1"/>
  <c r="J101" i="2"/>
  <c r="E100" i="2" s="1"/>
  <c r="H187" i="2"/>
  <c r="C186" i="2" s="1"/>
  <c r="I188" i="2"/>
  <c r="D187" i="2" s="1"/>
  <c r="J189" i="2"/>
  <c r="E188" i="2" s="1"/>
  <c r="B188" i="2"/>
  <c r="J136" i="2"/>
  <c r="E135" i="2" s="1"/>
  <c r="I135" i="2"/>
  <c r="D134" i="2" s="1"/>
  <c r="B135" i="2"/>
  <c r="H134" i="2"/>
  <c r="H169" i="2"/>
  <c r="I170" i="2"/>
  <c r="D169" i="2" s="1"/>
  <c r="J171" i="2"/>
  <c r="E170" i="2" s="1"/>
  <c r="B170" i="2"/>
  <c r="H151" i="2"/>
  <c r="I152" i="2"/>
  <c r="D151" i="2" s="1"/>
  <c r="J153" i="2"/>
  <c r="E152" i="2" s="1"/>
  <c r="B152" i="2"/>
  <c r="I117" i="2"/>
  <c r="D116" i="2" s="1"/>
  <c r="B117" i="2"/>
  <c r="J118" i="2"/>
  <c r="E117" i="2" s="1"/>
  <c r="H116" i="2"/>
  <c r="H83" i="2"/>
  <c r="J85" i="2"/>
  <c r="E84" i="2" s="1"/>
  <c r="B84" i="2"/>
  <c r="I84" i="2"/>
  <c r="D83" i="2" s="1"/>
  <c r="R21" i="2" l="1"/>
  <c r="R22" i="2" s="1"/>
  <c r="R23" i="2" s="1"/>
  <c r="R24" i="2" s="1"/>
  <c r="R25" i="2" s="1"/>
  <c r="R26" i="2" s="1"/>
  <c r="R27" i="2" s="1"/>
  <c r="L30" i="2"/>
  <c r="L31" i="2" s="1"/>
  <c r="L32" i="2" s="1"/>
  <c r="L33" i="2" s="1"/>
  <c r="L34" i="2" s="1"/>
  <c r="L35" i="2" s="1"/>
  <c r="L36" i="2" s="1"/>
  <c r="L37" i="2" s="1"/>
  <c r="E7" i="15" s="1"/>
  <c r="V19" i="2"/>
  <c r="V20" i="2" s="1"/>
  <c r="V21" i="2" s="1"/>
  <c r="V22" i="2" s="1"/>
  <c r="V23" i="2" s="1"/>
  <c r="V24" i="2" s="1"/>
  <c r="V25" i="2" s="1"/>
  <c r="V26" i="2" s="1"/>
  <c r="V27" i="2" s="1"/>
  <c r="V28" i="2" s="1"/>
  <c r="V29" i="2" s="1"/>
  <c r="V30" i="2" s="1"/>
  <c r="V31" i="2" s="1"/>
  <c r="V32" i="2" s="1"/>
  <c r="O39" i="2"/>
  <c r="O40" i="2" s="1"/>
  <c r="O41" i="2" s="1"/>
  <c r="O42" i="2" s="1"/>
  <c r="O43" i="2" s="1"/>
  <c r="O44" i="2" s="1"/>
  <c r="O45" i="2" s="1"/>
  <c r="O46" i="2" s="1"/>
  <c r="O47" i="2" s="1"/>
  <c r="O48" i="2" s="1"/>
  <c r="O49" i="2" s="1"/>
  <c r="O50" i="2" s="1"/>
  <c r="O51" i="2" s="1"/>
  <c r="M40" i="2"/>
  <c r="M41" i="2" s="1"/>
  <c r="M42" i="2" s="1"/>
  <c r="M43" i="2" s="1"/>
  <c r="M44" i="2" s="1"/>
  <c r="M45" i="2" s="1"/>
  <c r="M46" i="2" s="1"/>
  <c r="M47" i="2" s="1"/>
  <c r="M48" i="2" s="1"/>
  <c r="M49" i="2" s="1"/>
  <c r="M50" i="2" s="1"/>
  <c r="M51" i="2" s="1"/>
  <c r="M52" i="2" s="1"/>
  <c r="M30" i="2"/>
  <c r="M31" i="2" s="1"/>
  <c r="M32" i="2" s="1"/>
  <c r="M33" i="2" s="1"/>
  <c r="M34" i="2" s="1"/>
  <c r="M35" i="2" s="1"/>
  <c r="M36" i="2" s="1"/>
  <c r="M37" i="2" s="1"/>
  <c r="D7" i="15" s="1"/>
  <c r="O20" i="2"/>
  <c r="O21" i="2" s="1"/>
  <c r="O22" i="2" s="1"/>
  <c r="O23" i="2" s="1"/>
  <c r="O24" i="2" s="1"/>
  <c r="O25" i="2" s="1"/>
  <c r="O26" i="2" s="1"/>
  <c r="O27" i="2" s="1"/>
  <c r="O28" i="2" s="1"/>
  <c r="O29" i="2" s="1"/>
  <c r="O30" i="2" s="1"/>
  <c r="O31" i="2" s="1"/>
  <c r="O32" i="2" s="1"/>
  <c r="O33" i="2" s="1"/>
  <c r="O34" i="2" s="1"/>
  <c r="O35" i="2" s="1"/>
  <c r="O36" i="2" s="1"/>
  <c r="O37" i="2" s="1"/>
  <c r="E19" i="15" s="1"/>
  <c r="N19" i="2"/>
  <c r="N20" i="2" s="1"/>
  <c r="N21" i="2" s="1"/>
  <c r="N22" i="2" s="1"/>
  <c r="N23" i="2" s="1"/>
  <c r="N24" i="2" s="1"/>
  <c r="N25" i="2" s="1"/>
  <c r="N26" i="2" s="1"/>
  <c r="N27" i="2" s="1"/>
  <c r="N28" i="2" s="1"/>
  <c r="N29" i="2" s="1"/>
  <c r="N30" i="2" s="1"/>
  <c r="N31" i="2" s="1"/>
  <c r="N32" i="2" s="1"/>
  <c r="N33" i="2" s="1"/>
  <c r="N34" i="2" s="1"/>
  <c r="N35" i="2" s="1"/>
  <c r="N36" i="2" s="1"/>
  <c r="N37" i="2" s="1"/>
  <c r="D19" i="15" s="1"/>
  <c r="L39" i="2"/>
  <c r="L40" i="2" s="1"/>
  <c r="L41" i="2" s="1"/>
  <c r="L42" i="2" s="1"/>
  <c r="L43" i="2" s="1"/>
  <c r="L44" i="2" s="1"/>
  <c r="L45" i="2" s="1"/>
  <c r="L46" i="2" s="1"/>
  <c r="L47" i="2" s="1"/>
  <c r="L48" i="2" s="1"/>
  <c r="L49" i="2" s="1"/>
  <c r="L50" i="2" s="1"/>
  <c r="L51" i="2" s="1"/>
  <c r="L52" i="2" s="1"/>
  <c r="M21" i="2"/>
  <c r="M22" i="2" s="1"/>
  <c r="M23" i="2" s="1"/>
  <c r="M24" i="2" s="1"/>
  <c r="M25" i="2" s="1"/>
  <c r="M26" i="2" s="1"/>
  <c r="M27" i="2" s="1"/>
  <c r="M28" i="2" s="1"/>
  <c r="D6" i="15" s="1"/>
  <c r="N41" i="2"/>
  <c r="N42" i="2" s="1"/>
  <c r="N43" i="2" s="1"/>
  <c r="N44" i="2" s="1"/>
  <c r="N45" i="2" s="1"/>
  <c r="N46" i="2" s="1"/>
  <c r="N47" i="2" s="1"/>
  <c r="N48" i="2" s="1"/>
  <c r="N49" i="2" s="1"/>
  <c r="N50" i="2" s="1"/>
  <c r="N51" i="2" s="1"/>
  <c r="L21" i="2"/>
  <c r="L22" i="2" s="1"/>
  <c r="L23" i="2" s="1"/>
  <c r="L24" i="2" s="1"/>
  <c r="L25" i="2" s="1"/>
  <c r="L26" i="2" s="1"/>
  <c r="L27" i="2" s="1"/>
  <c r="L28" i="2" s="1"/>
  <c r="E6" i="15" s="1"/>
  <c r="T19" i="2"/>
  <c r="T20" i="2" s="1"/>
  <c r="T21" i="2" s="1"/>
  <c r="T22" i="2" s="1"/>
  <c r="O4" i="7"/>
  <c r="O2" i="7"/>
  <c r="E19" i="9"/>
  <c r="D19" i="9" s="1"/>
  <c r="F19" i="9"/>
  <c r="B19" i="9" s="1"/>
  <c r="C19" i="9" s="1"/>
  <c r="G18" i="9"/>
  <c r="H18" i="9" s="1"/>
  <c r="I18" i="9"/>
  <c r="J18" i="9"/>
  <c r="K18" i="9"/>
  <c r="D50" i="2"/>
  <c r="E67" i="2"/>
  <c r="I68" i="2"/>
  <c r="H68" i="2" s="1"/>
  <c r="B68" i="2"/>
  <c r="J69" i="2"/>
  <c r="H67" i="2"/>
  <c r="C49" i="2"/>
  <c r="C50" i="2"/>
  <c r="B52" i="2"/>
  <c r="I52" i="2"/>
  <c r="J53" i="2"/>
  <c r="E51" i="2"/>
  <c r="N14" i="19"/>
  <c r="P14" i="19"/>
  <c r="O14" i="19"/>
  <c r="M14" i="19"/>
  <c r="C115" i="2"/>
  <c r="C133" i="2"/>
  <c r="C204" i="2"/>
  <c r="C82" i="2"/>
  <c r="C168" i="2"/>
  <c r="C150" i="2"/>
  <c r="H84" i="2"/>
  <c r="C83" i="2" s="1"/>
  <c r="B85" i="2"/>
  <c r="I85" i="2"/>
  <c r="D84" i="2" s="1"/>
  <c r="E85"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I118" i="2"/>
  <c r="D117" i="2" s="1"/>
  <c r="B118" i="2"/>
  <c r="J119" i="2"/>
  <c r="E118" i="2" s="1"/>
  <c r="H117" i="2"/>
  <c r="C116" i="2" s="1"/>
  <c r="J154" i="2"/>
  <c r="E153" i="2" s="1"/>
  <c r="I153" i="2"/>
  <c r="D152" i="2" s="1"/>
  <c r="B153" i="2"/>
  <c r="H152" i="2"/>
  <c r="J172" i="2"/>
  <c r="E171" i="2" s="1"/>
  <c r="I171" i="2"/>
  <c r="D170" i="2" s="1"/>
  <c r="B171" i="2"/>
  <c r="H170" i="2"/>
  <c r="C169" i="2" s="1"/>
  <c r="H135" i="2"/>
  <c r="C134" i="2" s="1"/>
  <c r="I136" i="2"/>
  <c r="D135" i="2" s="1"/>
  <c r="J137" i="2"/>
  <c r="E136" i="2" s="1"/>
  <c r="B136" i="2"/>
  <c r="J190" i="2"/>
  <c r="E189" i="2" s="1"/>
  <c r="I189" i="2"/>
  <c r="D188" i="2" s="1"/>
  <c r="B189" i="2"/>
  <c r="H188" i="2"/>
  <c r="C187" i="2" s="1"/>
  <c r="B101" i="2"/>
  <c r="I101" i="2"/>
  <c r="D100" i="2" s="1"/>
  <c r="E101" i="2"/>
  <c r="L102" i="2"/>
  <c r="L103" i="2" s="1"/>
  <c r="L104" i="2" s="1"/>
  <c r="L105" i="2" s="1"/>
  <c r="L106" i="2" s="1"/>
  <c r="L107" i="2" s="1"/>
  <c r="L108" i="2" s="1"/>
  <c r="L109" i="2" s="1"/>
  <c r="L110" i="2" s="1"/>
  <c r="L111" i="2" s="1"/>
  <c r="L112" i="2" s="1"/>
  <c r="L113" i="2" s="1"/>
  <c r="L114" i="2" s="1"/>
  <c r="L115" i="2" s="1"/>
  <c r="L116" i="2" s="1"/>
  <c r="L117" i="2" s="1"/>
  <c r="L118" i="2" s="1"/>
  <c r="M102" i="2"/>
  <c r="M103" i="2" s="1"/>
  <c r="M104" i="2" s="1"/>
  <c r="M105" i="2" s="1"/>
  <c r="M106" i="2" s="1"/>
  <c r="M107" i="2" s="1"/>
  <c r="M108" i="2" s="1"/>
  <c r="M109" i="2" s="1"/>
  <c r="M110" i="2" s="1"/>
  <c r="M111" i="2" s="1"/>
  <c r="M112" i="2" s="1"/>
  <c r="M113" i="2" s="1"/>
  <c r="M114" i="2" s="1"/>
  <c r="M115" i="2" s="1"/>
  <c r="M116" i="2" s="1"/>
  <c r="M117" i="2" s="1"/>
  <c r="M118" i="2" s="1"/>
  <c r="H100" i="2"/>
  <c r="J208" i="2"/>
  <c r="E207" i="2" s="1"/>
  <c r="I207" i="2"/>
  <c r="D206" i="2" s="1"/>
  <c r="B207" i="2"/>
  <c r="H206" i="2"/>
  <c r="R28" i="2" l="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11" i="5" s="1"/>
  <c r="R46" i="5"/>
  <c r="R51" i="5"/>
  <c r="V33" i="2"/>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43" i="5" s="1"/>
  <c r="R30" i="5"/>
  <c r="R44" i="5"/>
  <c r="R31" i="5"/>
  <c r="R19" i="5"/>
  <c r="R16" i="5"/>
  <c r="R37" i="5"/>
  <c r="R53" i="5"/>
  <c r="R18" i="5"/>
  <c r="R45" i="5"/>
  <c r="R15" i="5"/>
  <c r="P3" i="7"/>
  <c r="P2" i="7"/>
  <c r="P4" i="7"/>
  <c r="E20" i="9"/>
  <c r="D20" i="9" s="1"/>
  <c r="F20" i="9"/>
  <c r="G19" i="9"/>
  <c r="H19" i="9" s="1"/>
  <c r="K19" i="9"/>
  <c r="J19" i="9"/>
  <c r="I19" i="9"/>
  <c r="T23" i="2"/>
  <c r="L119" i="2"/>
  <c r="C67" i="2"/>
  <c r="C66" i="2"/>
  <c r="D51" i="2"/>
  <c r="H52" i="2"/>
  <c r="N15" i="19"/>
  <c r="M15" i="19"/>
  <c r="O15" i="19"/>
  <c r="P15" i="19"/>
  <c r="E68" i="2"/>
  <c r="I69" i="2"/>
  <c r="E69" i="2"/>
  <c r="B69" i="2"/>
  <c r="L70" i="2"/>
  <c r="L71" i="2" s="1"/>
  <c r="L72" i="2" s="1"/>
  <c r="L73" i="2" s="1"/>
  <c r="L74" i="2" s="1"/>
  <c r="L75" i="2" s="1"/>
  <c r="L76" i="2" s="1"/>
  <c r="L77" i="2" s="1"/>
  <c r="L78" i="2" s="1"/>
  <c r="L79" i="2" s="1"/>
  <c r="L80" i="2" s="1"/>
  <c r="L81" i="2" s="1"/>
  <c r="L82" i="2" s="1"/>
  <c r="L83" i="2" s="1"/>
  <c r="L84" i="2" s="1"/>
  <c r="L85" i="2" s="1"/>
  <c r="M70" i="2"/>
  <c r="M71" i="2" s="1"/>
  <c r="M72" i="2" s="1"/>
  <c r="M73" i="2" s="1"/>
  <c r="M74" i="2" s="1"/>
  <c r="M75" i="2" s="1"/>
  <c r="M76" i="2" s="1"/>
  <c r="M77" i="2" s="1"/>
  <c r="M78" i="2" s="1"/>
  <c r="M79" i="2" s="1"/>
  <c r="M80" i="2" s="1"/>
  <c r="M81" i="2" s="1"/>
  <c r="M82" i="2" s="1"/>
  <c r="M83" i="2" s="1"/>
  <c r="M84" i="2" s="1"/>
  <c r="M85" i="2" s="1"/>
  <c r="M119" i="2"/>
  <c r="L54" i="2"/>
  <c r="L55" i="2" s="1"/>
  <c r="L56" i="2" s="1"/>
  <c r="L57" i="2" s="1"/>
  <c r="L58" i="2" s="1"/>
  <c r="L59" i="2" s="1"/>
  <c r="L60" i="2" s="1"/>
  <c r="L61" i="2" s="1"/>
  <c r="L62" i="2" s="1"/>
  <c r="L63" i="2" s="1"/>
  <c r="L64" i="2" s="1"/>
  <c r="L65" i="2" s="1"/>
  <c r="L66" i="2" s="1"/>
  <c r="L67" i="2" s="1"/>
  <c r="L68" i="2" s="1"/>
  <c r="L69" i="2" s="1"/>
  <c r="I53" i="2"/>
  <c r="D52" i="2" s="1"/>
  <c r="M54" i="2"/>
  <c r="M55" i="2" s="1"/>
  <c r="M56" i="2" s="1"/>
  <c r="M57" i="2" s="1"/>
  <c r="M58" i="2" s="1"/>
  <c r="M59" i="2" s="1"/>
  <c r="M60" i="2" s="1"/>
  <c r="M61" i="2" s="1"/>
  <c r="M62" i="2" s="1"/>
  <c r="M63" i="2" s="1"/>
  <c r="M64" i="2" s="1"/>
  <c r="M65" i="2" s="1"/>
  <c r="M66" i="2" s="1"/>
  <c r="M67" i="2" s="1"/>
  <c r="M68" i="2" s="1"/>
  <c r="M69" i="2" s="1"/>
  <c r="L53" i="2"/>
  <c r="B53" i="2"/>
  <c r="O22" i="19" s="1"/>
  <c r="E52" i="2"/>
  <c r="M53" i="2"/>
  <c r="E53" i="2"/>
  <c r="D67" i="2"/>
  <c r="C99" i="2"/>
  <c r="C151" i="2"/>
  <c r="C205" i="2"/>
  <c r="H207" i="2"/>
  <c r="C206" i="2" s="1"/>
  <c r="I208" i="2"/>
  <c r="D207" i="2" s="1"/>
  <c r="J209" i="2"/>
  <c r="E208" i="2" s="1"/>
  <c r="B208" i="2"/>
  <c r="D101" i="2"/>
  <c r="H101" i="2"/>
  <c r="C100" i="2" s="1"/>
  <c r="H189" i="2"/>
  <c r="C188" i="2" s="1"/>
  <c r="I190" i="2"/>
  <c r="D189" i="2" s="1"/>
  <c r="J191" i="2"/>
  <c r="E190" i="2" s="1"/>
  <c r="B190" i="2"/>
  <c r="E137" i="2"/>
  <c r="I137" i="2"/>
  <c r="D136" i="2" s="1"/>
  <c r="B137" i="2"/>
  <c r="M138" i="2"/>
  <c r="M139" i="2" s="1"/>
  <c r="M140" i="2" s="1"/>
  <c r="M141" i="2" s="1"/>
  <c r="M142" i="2" s="1"/>
  <c r="M143" i="2" s="1"/>
  <c r="M144" i="2" s="1"/>
  <c r="M145" i="2" s="1"/>
  <c r="M146" i="2" s="1"/>
  <c r="M147" i="2" s="1"/>
  <c r="M148" i="2" s="1"/>
  <c r="M149" i="2" s="1"/>
  <c r="M150" i="2" s="1"/>
  <c r="M151" i="2" s="1"/>
  <c r="M152" i="2" s="1"/>
  <c r="M153" i="2" s="1"/>
  <c r="M154" i="2" s="1"/>
  <c r="L138" i="2"/>
  <c r="L139" i="2" s="1"/>
  <c r="L140" i="2" s="1"/>
  <c r="L141" i="2" s="1"/>
  <c r="L142" i="2" s="1"/>
  <c r="L143" i="2" s="1"/>
  <c r="L144" i="2" s="1"/>
  <c r="L145" i="2" s="1"/>
  <c r="L146" i="2" s="1"/>
  <c r="L147" i="2" s="1"/>
  <c r="L148" i="2" s="1"/>
  <c r="L149" i="2" s="1"/>
  <c r="L150" i="2" s="1"/>
  <c r="L151" i="2" s="1"/>
  <c r="L152" i="2" s="1"/>
  <c r="L153" i="2" s="1"/>
  <c r="L154" i="2" s="1"/>
  <c r="H136" i="2"/>
  <c r="C135" i="2" s="1"/>
  <c r="H171" i="2"/>
  <c r="I172" i="2"/>
  <c r="D171" i="2" s="1"/>
  <c r="J173" i="2"/>
  <c r="E172" i="2" s="1"/>
  <c r="B172" i="2"/>
  <c r="H153" i="2"/>
  <c r="C152" i="2" s="1"/>
  <c r="I154" i="2"/>
  <c r="D153" i="2" s="1"/>
  <c r="J155" i="2"/>
  <c r="E154" i="2" s="1"/>
  <c r="B154" i="2"/>
  <c r="I119" i="2"/>
  <c r="B119" i="2"/>
  <c r="E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M125" i="2" s="1"/>
  <c r="M126" i="2" s="1"/>
  <c r="M127" i="2" s="1"/>
  <c r="M128" i="2" s="1"/>
  <c r="M129" i="2" s="1"/>
  <c r="M130" i="2" s="1"/>
  <c r="M131" i="2" s="1"/>
  <c r="M132" i="2" s="1"/>
  <c r="M133" i="2" s="1"/>
  <c r="M134" i="2" s="1"/>
  <c r="M135" i="2" s="1"/>
  <c r="M136" i="2" s="1"/>
  <c r="M137" i="2" s="1"/>
  <c r="H118" i="2"/>
  <c r="C117" i="2" s="1"/>
  <c r="H85" i="2"/>
  <c r="C85" i="2" s="1"/>
  <c r="D85" i="2"/>
  <c r="R47" i="5" l="1"/>
  <c r="R35" i="5"/>
  <c r="R42" i="5"/>
  <c r="R38" i="5"/>
  <c r="R22" i="5"/>
  <c r="R41" i="5"/>
  <c r="R26" i="5"/>
  <c r="R5" i="5"/>
  <c r="O5" i="5" s="1"/>
  <c r="O6" i="5" s="1"/>
  <c r="R49" i="5"/>
  <c r="R13" i="5"/>
  <c r="R20" i="5"/>
  <c r="R50" i="5"/>
  <c r="R40" i="5"/>
  <c r="R34" i="5"/>
  <c r="R32" i="5"/>
  <c r="R36" i="5"/>
  <c r="R8" i="5"/>
  <c r="R24" i="5"/>
  <c r="R4" i="5"/>
  <c r="Q4" i="6" s="1"/>
  <c r="R21" i="5"/>
  <c r="R28" i="5"/>
  <c r="R6" i="5"/>
  <c r="R48" i="5"/>
  <c r="R29" i="5"/>
  <c r="R52" i="5"/>
  <c r="R12" i="5"/>
  <c r="R14" i="5"/>
  <c r="R25" i="5"/>
  <c r="R33" i="5"/>
  <c r="T20" i="5"/>
  <c r="R27" i="5"/>
  <c r="R17" i="5"/>
  <c r="R39" i="5"/>
  <c r="R9" i="5"/>
  <c r="R23" i="5"/>
  <c r="R43" i="5"/>
  <c r="R7" i="5"/>
  <c r="R10" i="5"/>
  <c r="T50" i="5"/>
  <c r="T12" i="5"/>
  <c r="T34" i="5"/>
  <c r="T7" i="5"/>
  <c r="T11" i="5"/>
  <c r="T39" i="5"/>
  <c r="T4" i="5"/>
  <c r="I4" i="23" s="1"/>
  <c r="T35" i="5"/>
  <c r="T29" i="5"/>
  <c r="T40" i="5"/>
  <c r="T45" i="5"/>
  <c r="T15" i="5"/>
  <c r="T44" i="5"/>
  <c r="T19" i="5"/>
  <c r="T41" i="5"/>
  <c r="T30" i="5"/>
  <c r="T26" i="5"/>
  <c r="T42" i="5"/>
  <c r="T16" i="5"/>
  <c r="T18" i="5"/>
  <c r="T14" i="5"/>
  <c r="T31" i="5"/>
  <c r="T8" i="5"/>
  <c r="T23" i="5"/>
  <c r="T32" i="5"/>
  <c r="T25" i="5"/>
  <c r="T21" i="5"/>
  <c r="T33" i="5"/>
  <c r="T37" i="5"/>
  <c r="T46" i="5"/>
  <c r="T49" i="5"/>
  <c r="T36" i="5"/>
  <c r="T6" i="5"/>
  <c r="T10" i="5"/>
  <c r="T27" i="5"/>
  <c r="T22" i="5"/>
  <c r="T51" i="5"/>
  <c r="T13" i="5"/>
  <c r="T48" i="5"/>
  <c r="T52" i="5"/>
  <c r="T5" i="5"/>
  <c r="T28" i="5"/>
  <c r="T17" i="5"/>
  <c r="T24" i="5"/>
  <c r="T9" i="5"/>
  <c r="T47" i="5"/>
  <c r="T53" i="5"/>
  <c r="T38" i="5"/>
  <c r="Q4" i="7"/>
  <c r="Q2" i="7"/>
  <c r="Q3" i="7"/>
  <c r="E21" i="9"/>
  <c r="D21" i="9" s="1"/>
  <c r="F21" i="9"/>
  <c r="G20" i="9"/>
  <c r="J20" i="9"/>
  <c r="K20" i="9"/>
  <c r="I20" i="9"/>
  <c r="B20" i="9"/>
  <c r="C20" i="9" s="1"/>
  <c r="H20" i="9" s="1"/>
  <c r="T24" i="2"/>
  <c r="O60" i="19"/>
  <c r="M55" i="19"/>
  <c r="M56" i="19"/>
  <c r="N60" i="19"/>
  <c r="N57" i="19"/>
  <c r="M63" i="19"/>
  <c r="U14" i="19"/>
  <c r="P55" i="19"/>
  <c r="X12" i="19"/>
  <c r="M67" i="19"/>
  <c r="U5" i="19"/>
  <c r="P67" i="19"/>
  <c r="V21" i="19"/>
  <c r="M58" i="19"/>
  <c r="X11" i="19"/>
  <c r="O42" i="19"/>
  <c r="V40" i="19"/>
  <c r="N63" i="19"/>
  <c r="V9" i="19"/>
  <c r="U10" i="19"/>
  <c r="N59" i="19"/>
  <c r="V13" i="19"/>
  <c r="N56" i="19"/>
  <c r="U11" i="19"/>
  <c r="W14" i="19"/>
  <c r="V14" i="19"/>
  <c r="D8" i="15"/>
  <c r="E10" i="15"/>
  <c r="M21" i="19"/>
  <c r="P26" i="19"/>
  <c r="N28" i="19"/>
  <c r="V15" i="19"/>
  <c r="W4" i="19"/>
  <c r="M66" i="19"/>
  <c r="X9" i="19"/>
  <c r="U29" i="19"/>
  <c r="M59" i="19"/>
  <c r="N65" i="19"/>
  <c r="O65" i="19"/>
  <c r="M62" i="19"/>
  <c r="W16" i="19"/>
  <c r="P54" i="19"/>
  <c r="X30" i="19"/>
  <c r="M64" i="19"/>
  <c r="O62" i="19"/>
  <c r="V34" i="19"/>
  <c r="X13" i="19"/>
  <c r="M57" i="19"/>
  <c r="U16" i="19"/>
  <c r="O50" i="19"/>
  <c r="X5" i="19"/>
  <c r="N67" i="19"/>
  <c r="O56" i="19"/>
  <c r="E8" i="15"/>
  <c r="N50" i="19"/>
  <c r="P24" i="19"/>
  <c r="P46" i="19"/>
  <c r="U47" i="19"/>
  <c r="U26" i="19"/>
  <c r="W44" i="19"/>
  <c r="V29" i="19"/>
  <c r="D13" i="15"/>
  <c r="X21" i="19"/>
  <c r="U3" i="19"/>
  <c r="P62" i="19"/>
  <c r="X44" i="19"/>
  <c r="X32" i="19"/>
  <c r="O66" i="19"/>
  <c r="P59" i="19"/>
  <c r="U25" i="19"/>
  <c r="W33" i="19"/>
  <c r="W17" i="19"/>
  <c r="W10" i="19"/>
  <c r="M54" i="19"/>
  <c r="P61" i="19"/>
  <c r="U51" i="19"/>
  <c r="X7" i="19"/>
  <c r="N66" i="19"/>
  <c r="V4" i="19"/>
  <c r="P64" i="19"/>
  <c r="U8" i="19"/>
  <c r="O63" i="19"/>
  <c r="V46" i="19"/>
  <c r="M16" i="19"/>
  <c r="P23" i="19"/>
  <c r="O44" i="19"/>
  <c r="V48" i="19"/>
  <c r="U35" i="19"/>
  <c r="U50" i="19"/>
  <c r="V43" i="19"/>
  <c r="X26" i="19"/>
  <c r="W42" i="19"/>
  <c r="W29" i="19"/>
  <c r="X23" i="19"/>
  <c r="X29" i="19"/>
  <c r="U31" i="19"/>
  <c r="V26" i="19"/>
  <c r="N48" i="19"/>
  <c r="O38" i="19"/>
  <c r="U24" i="19"/>
  <c r="N54" i="19"/>
  <c r="W22" i="19"/>
  <c r="V30" i="19"/>
  <c r="W15" i="19"/>
  <c r="W9" i="19"/>
  <c r="X3" i="19"/>
  <c r="P50" i="19"/>
  <c r="N58" i="19"/>
  <c r="M155" i="2"/>
  <c r="P60" i="19"/>
  <c r="P65" i="19"/>
  <c r="V23" i="19"/>
  <c r="V22" i="19"/>
  <c r="M50" i="19"/>
  <c r="O67" i="19"/>
  <c r="U15" i="19"/>
  <c r="W25" i="19"/>
  <c r="M60" i="19"/>
  <c r="V11" i="19"/>
  <c r="V6" i="19"/>
  <c r="O64" i="19"/>
  <c r="W32" i="19"/>
  <c r="O58" i="19"/>
  <c r="W34" i="19"/>
  <c r="W7" i="19"/>
  <c r="U7" i="19"/>
  <c r="X14" i="19"/>
  <c r="W8" i="19"/>
  <c r="X28" i="19"/>
  <c r="P56" i="19"/>
  <c r="N62" i="19"/>
  <c r="O59" i="19"/>
  <c r="N55" i="19"/>
  <c r="P66" i="19"/>
  <c r="D11" i="15"/>
  <c r="M61" i="19"/>
  <c r="W41" i="19"/>
  <c r="X16" i="19"/>
  <c r="D12" i="15"/>
  <c r="M24" i="19"/>
  <c r="M44" i="19"/>
  <c r="P20" i="19"/>
  <c r="X51" i="19"/>
  <c r="X47" i="19"/>
  <c r="U39" i="19"/>
  <c r="V28" i="19"/>
  <c r="X45" i="19"/>
  <c r="W39" i="19"/>
  <c r="W50" i="19"/>
  <c r="W51" i="19"/>
  <c r="W48" i="19"/>
  <c r="V31" i="19"/>
  <c r="U49" i="19"/>
  <c r="H53" i="2"/>
  <c r="D53" i="2"/>
  <c r="D10" i="15"/>
  <c r="D69" i="2"/>
  <c r="D68" i="2"/>
  <c r="H69" i="2"/>
  <c r="P40" i="19"/>
  <c r="M20" i="19"/>
  <c r="N42" i="19"/>
  <c r="M22" i="19"/>
  <c r="O16" i="19"/>
  <c r="M28" i="19"/>
  <c r="M30" i="19"/>
  <c r="P25" i="19"/>
  <c r="N24" i="19"/>
  <c r="P16" i="19"/>
  <c r="P47" i="19"/>
  <c r="N23" i="19"/>
  <c r="N20" i="19"/>
  <c r="U41" i="19"/>
  <c r="U42" i="19"/>
  <c r="V45" i="19"/>
  <c r="V51" i="19"/>
  <c r="U17" i="19"/>
  <c r="X43" i="19"/>
  <c r="X17" i="19"/>
  <c r="X25" i="19"/>
  <c r="W27" i="19"/>
  <c r="V39" i="19"/>
  <c r="X41" i="19"/>
  <c r="U30" i="19"/>
  <c r="V24" i="19"/>
  <c r="U43" i="19"/>
  <c r="X48" i="19"/>
  <c r="X39" i="19"/>
  <c r="W30" i="19"/>
  <c r="X35" i="19"/>
  <c r="W40" i="19"/>
  <c r="O39" i="19"/>
  <c r="P49" i="19"/>
  <c r="M43" i="19"/>
  <c r="P21" i="19"/>
  <c r="V10" i="19"/>
  <c r="N40" i="19"/>
  <c r="N16" i="19"/>
  <c r="O32" i="19"/>
  <c r="N30" i="19"/>
  <c r="O27" i="19"/>
  <c r="M40" i="19"/>
  <c r="N43" i="19"/>
  <c r="V3" i="19"/>
  <c r="N64" i="19"/>
  <c r="O46" i="19"/>
  <c r="M33" i="19"/>
  <c r="W6" i="19"/>
  <c r="O24" i="19"/>
  <c r="P45" i="19"/>
  <c r="M47" i="19"/>
  <c r="N37" i="19"/>
  <c r="O55" i="19"/>
  <c r="N61" i="19"/>
  <c r="O45" i="19"/>
  <c r="O61" i="19"/>
  <c r="N49" i="19"/>
  <c r="N31" i="19"/>
  <c r="O37" i="19"/>
  <c r="O47" i="19"/>
  <c r="O26" i="19"/>
  <c r="M42" i="19"/>
  <c r="P42" i="19"/>
  <c r="O20" i="19"/>
  <c r="N25" i="19"/>
  <c r="N27" i="19"/>
  <c r="M48" i="19"/>
  <c r="P39" i="19"/>
  <c r="V7" i="19"/>
  <c r="P33" i="19"/>
  <c r="O40" i="19"/>
  <c r="O25" i="19"/>
  <c r="N26" i="19"/>
  <c r="P44" i="19"/>
  <c r="M32" i="19"/>
  <c r="N29" i="19"/>
  <c r="V12" i="19"/>
  <c r="M41" i="19"/>
  <c r="N32" i="19"/>
  <c r="P29" i="19"/>
  <c r="N38" i="19"/>
  <c r="P28" i="19"/>
  <c r="P57" i="19"/>
  <c r="X4" i="19"/>
  <c r="P63" i="19"/>
  <c r="X10" i="19"/>
  <c r="U12" i="19"/>
  <c r="P43" i="19"/>
  <c r="N21" i="19"/>
  <c r="O49" i="19"/>
  <c r="P32" i="19"/>
  <c r="V8" i="19"/>
  <c r="N22" i="19"/>
  <c r="U9" i="19"/>
  <c r="X15" i="19"/>
  <c r="E9" i="15"/>
  <c r="O48" i="19"/>
  <c r="O21" i="19"/>
  <c r="M25" i="19"/>
  <c r="M39" i="19"/>
  <c r="N45" i="19"/>
  <c r="O31" i="19"/>
  <c r="M31" i="19"/>
  <c r="M37" i="19"/>
  <c r="P41" i="19"/>
  <c r="M45" i="19"/>
  <c r="O30" i="19"/>
  <c r="O41" i="19"/>
  <c r="E11" i="15"/>
  <c r="D9" i="15"/>
  <c r="V42" i="19"/>
  <c r="U44" i="19"/>
  <c r="U48" i="19"/>
  <c r="W35" i="19"/>
  <c r="X49" i="19"/>
  <c r="L155" i="2"/>
  <c r="U33" i="19"/>
  <c r="X24" i="19"/>
  <c r="U23" i="19"/>
  <c r="X27" i="19"/>
  <c r="X42" i="19"/>
  <c r="W24" i="19"/>
  <c r="U40" i="19"/>
  <c r="C84" i="2"/>
  <c r="U46" i="19"/>
  <c r="V17" i="19"/>
  <c r="U32" i="19"/>
  <c r="V44" i="19"/>
  <c r="V41" i="19"/>
  <c r="W21" i="19"/>
  <c r="V25" i="19"/>
  <c r="U21" i="19"/>
  <c r="V49" i="19"/>
  <c r="W45" i="19"/>
  <c r="X34" i="19"/>
  <c r="X50" i="19"/>
  <c r="W28" i="19"/>
  <c r="O54" i="19"/>
  <c r="X6" i="19"/>
  <c r="W43" i="19"/>
  <c r="U13" i="19"/>
  <c r="V5" i="19"/>
  <c r="V35" i="19"/>
  <c r="W5" i="19"/>
  <c r="W26" i="19"/>
  <c r="V50" i="19"/>
  <c r="X33" i="19"/>
  <c r="X40" i="19"/>
  <c r="V16" i="19"/>
  <c r="E12" i="15"/>
  <c r="W49" i="19"/>
  <c r="O23" i="19"/>
  <c r="M27" i="19"/>
  <c r="N33" i="19"/>
  <c r="O43" i="19"/>
  <c r="M29" i="19"/>
  <c r="P22" i="19"/>
  <c r="M23" i="19"/>
  <c r="N44" i="19"/>
  <c r="O33" i="19"/>
  <c r="M46" i="19"/>
  <c r="P30" i="19"/>
  <c r="N41" i="19"/>
  <c r="P38" i="19"/>
  <c r="O29" i="19"/>
  <c r="C51" i="2"/>
  <c r="O52" i="2"/>
  <c r="N52" i="2"/>
  <c r="W52" i="19"/>
  <c r="U52" i="19"/>
  <c r="X52" i="19"/>
  <c r="D118" i="2"/>
  <c r="C170" i="2"/>
  <c r="E13" i="15"/>
  <c r="U45" i="19"/>
  <c r="U34" i="19"/>
  <c r="U28" i="19"/>
  <c r="W47" i="19"/>
  <c r="V32" i="19"/>
  <c r="W23" i="19"/>
  <c r="V52" i="19"/>
  <c r="X46" i="19"/>
  <c r="X31" i="19"/>
  <c r="U22" i="19"/>
  <c r="V33" i="19"/>
  <c r="X22" i="19"/>
  <c r="D119" i="2"/>
  <c r="H119" i="2"/>
  <c r="C119" i="2" s="1"/>
  <c r="E155" i="2"/>
  <c r="I155" i="2"/>
  <c r="D154" i="2" s="1"/>
  <c r="B155"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H154" i="2"/>
  <c r="C153" i="2" s="1"/>
  <c r="E173" i="2"/>
  <c r="I173" i="2"/>
  <c r="D172" i="2" s="1"/>
  <c r="B173"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H172" i="2"/>
  <c r="D137" i="2"/>
  <c r="H137" i="2"/>
  <c r="C137" i="2" s="1"/>
  <c r="E191" i="2"/>
  <c r="I191" i="2"/>
  <c r="D190" i="2" s="1"/>
  <c r="B191" i="2"/>
  <c r="M192" i="2"/>
  <c r="M193" i="2" s="1"/>
  <c r="M194" i="2" s="1"/>
  <c r="M195" i="2" s="1"/>
  <c r="M196" i="2" s="1"/>
  <c r="M197" i="2" s="1"/>
  <c r="M198" i="2" s="1"/>
  <c r="M199" i="2" s="1"/>
  <c r="M200" i="2" s="1"/>
  <c r="M201" i="2" s="1"/>
  <c r="M202" i="2" s="1"/>
  <c r="M203" i="2" s="1"/>
  <c r="M204" i="2" s="1"/>
  <c r="M205" i="2" s="1"/>
  <c r="M206" i="2" s="1"/>
  <c r="M207" i="2" s="1"/>
  <c r="M208" i="2" s="1"/>
  <c r="M209" i="2" s="1"/>
  <c r="L192" i="2"/>
  <c r="L193" i="2" s="1"/>
  <c r="L194" i="2" s="1"/>
  <c r="L195" i="2" s="1"/>
  <c r="L196" i="2" s="1"/>
  <c r="L197" i="2" s="1"/>
  <c r="L198" i="2" s="1"/>
  <c r="L199" i="2" s="1"/>
  <c r="L200" i="2" s="1"/>
  <c r="L201" i="2" s="1"/>
  <c r="L202" i="2" s="1"/>
  <c r="L203" i="2" s="1"/>
  <c r="L204" i="2" s="1"/>
  <c r="L205" i="2" s="1"/>
  <c r="L206" i="2" s="1"/>
  <c r="L207" i="2" s="1"/>
  <c r="L208" i="2" s="1"/>
  <c r="L209" i="2" s="1"/>
  <c r="H190"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E209" i="2"/>
  <c r="I209" i="2"/>
  <c r="D208" i="2" s="1"/>
  <c r="B209" i="2"/>
  <c r="H208" i="2"/>
  <c r="S4" i="6" l="1"/>
  <c r="G4" i="23"/>
  <c r="O7" i="5"/>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Q48" i="6" s="1"/>
  <c r="Q5" i="5"/>
  <c r="Q6" i="5" s="1"/>
  <c r="Q7" i="5" s="1"/>
  <c r="Q8" i="5" s="1"/>
  <c r="Q9" i="5" s="1"/>
  <c r="Q10" i="5" s="1"/>
  <c r="Q11" i="5" s="1"/>
  <c r="Q12" i="5" s="1"/>
  <c r="Q13" i="5" s="1"/>
  <c r="Q14" i="5" s="1"/>
  <c r="Q15" i="5" s="1"/>
  <c r="Q16" i="5" s="1"/>
  <c r="Q17" i="5" s="1"/>
  <c r="Q18" i="5" s="1"/>
  <c r="Q19" i="5" s="1"/>
  <c r="Q20" i="5" s="1"/>
  <c r="Q21" i="5" s="1"/>
  <c r="O53" i="2"/>
  <c r="O54" i="2" s="1"/>
  <c r="O55" i="2" s="1"/>
  <c r="O56" i="2" s="1"/>
  <c r="O57" i="2" s="1"/>
  <c r="O58" i="2" s="1"/>
  <c r="O59" i="2" s="1"/>
  <c r="O60" i="2" s="1"/>
  <c r="O61" i="2" s="1"/>
  <c r="O62" i="2" s="1"/>
  <c r="O63" i="2" s="1"/>
  <c r="O64" i="2" s="1"/>
  <c r="O65" i="2" s="1"/>
  <c r="O66" i="2" s="1"/>
  <c r="O67" i="2" s="1"/>
  <c r="O68" i="2" s="1"/>
  <c r="O69" i="2" s="1"/>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R4" i="7"/>
  <c r="R2" i="7"/>
  <c r="R3" i="7"/>
  <c r="E22" i="9"/>
  <c r="D22" i="9" s="1"/>
  <c r="F22" i="9"/>
  <c r="G21" i="9"/>
  <c r="K21" i="9"/>
  <c r="I21" i="9"/>
  <c r="J21" i="9"/>
  <c r="B21" i="9"/>
  <c r="C21" i="9" s="1"/>
  <c r="H21" i="9" s="1"/>
  <c r="T25" i="2"/>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W99" i="19"/>
  <c r="W63" i="19"/>
  <c r="C52" i="2"/>
  <c r="C53" i="2"/>
  <c r="D17" i="15"/>
  <c r="E16" i="15"/>
  <c r="C136" i="2"/>
  <c r="O4" i="3" a="1"/>
  <c r="O4" i="3" s="1"/>
  <c r="X70" i="19"/>
  <c r="W86" i="19"/>
  <c r="E15" i="15"/>
  <c r="E14" i="15"/>
  <c r="X66" i="19"/>
  <c r="V61" i="19"/>
  <c r="C68" i="2"/>
  <c r="C69" i="2"/>
  <c r="O6" i="3" a="1"/>
  <c r="O6" i="3" s="1"/>
  <c r="X97" i="19"/>
  <c r="X99" i="19"/>
  <c r="W80" i="19"/>
  <c r="U101" i="19"/>
  <c r="V106" i="19"/>
  <c r="W68" i="19"/>
  <c r="V82" i="19"/>
  <c r="U86" i="19"/>
  <c r="X93" i="19"/>
  <c r="V81" i="19"/>
  <c r="U103" i="19"/>
  <c r="X62" i="19"/>
  <c r="U64" i="19"/>
  <c r="X106" i="19"/>
  <c r="U106" i="19"/>
  <c r="X60" i="19"/>
  <c r="X58" i="19"/>
  <c r="W60" i="19"/>
  <c r="V86" i="19"/>
  <c r="W102" i="19"/>
  <c r="U78" i="19"/>
  <c r="V99" i="19"/>
  <c r="X96" i="19"/>
  <c r="U97" i="19"/>
  <c r="X83" i="19"/>
  <c r="W97" i="19"/>
  <c r="V62" i="19"/>
  <c r="W76" i="19"/>
  <c r="W70" i="19"/>
  <c r="X88" i="19"/>
  <c r="X87" i="19"/>
  <c r="U87" i="19"/>
  <c r="V70" i="19"/>
  <c r="V71" i="19"/>
  <c r="V93" i="19"/>
  <c r="X68" i="19"/>
  <c r="U59" i="19"/>
  <c r="U80" i="19"/>
  <c r="X53" i="19"/>
  <c r="O3" i="3" a="1"/>
  <c r="O3" i="3" s="1"/>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D15" i="15"/>
  <c r="V76" i="19"/>
  <c r="X75" i="19"/>
  <c r="D14" i="15"/>
  <c r="O7" i="3" a="1"/>
  <c r="O7" i="3" s="1"/>
  <c r="X105" i="19"/>
  <c r="U77" i="19"/>
  <c r="U82" i="19"/>
  <c r="U96" i="19"/>
  <c r="X95" i="19"/>
  <c r="X67" i="19"/>
  <c r="X84" i="19"/>
  <c r="X89" i="19"/>
  <c r="W96" i="19"/>
  <c r="W105" i="19"/>
  <c r="V69" i="19"/>
  <c r="V97" i="19"/>
  <c r="X63" i="19"/>
  <c r="W77" i="19"/>
  <c r="U85" i="19"/>
  <c r="X101" i="19"/>
  <c r="W81" i="19"/>
  <c r="U95" i="19"/>
  <c r="X104" i="19"/>
  <c r="W57" i="19"/>
  <c r="U100" i="19"/>
  <c r="V75" i="19"/>
  <c r="U94" i="19"/>
  <c r="W104" i="19"/>
  <c r="U62" i="19"/>
  <c r="V60" i="19"/>
  <c r="U65" i="19"/>
  <c r="X81" i="19"/>
  <c r="X103" i="19"/>
  <c r="U84" i="19"/>
  <c r="V105" i="19"/>
  <c r="V78" i="19"/>
  <c r="W64" i="19"/>
  <c r="X65" i="19"/>
  <c r="W82" i="19"/>
  <c r="W87" i="19"/>
  <c r="V67" i="19"/>
  <c r="V87" i="19"/>
  <c r="X107" i="19"/>
  <c r="V96" i="19"/>
  <c r="W103" i="19"/>
  <c r="O5" i="3" a="1"/>
  <c r="O5" i="3" s="1"/>
  <c r="V77" i="19"/>
  <c r="C118" i="2"/>
  <c r="O2" i="3" a="1"/>
  <c r="O2" i="3" s="1"/>
  <c r="C4" i="5" s="1"/>
  <c r="E4" i="5" s="1"/>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E17" i="15"/>
  <c r="D16" i="15"/>
  <c r="W83" i="19"/>
  <c r="W101" i="19"/>
  <c r="C189" i="2"/>
  <c r="C207" i="2"/>
  <c r="V98" i="19"/>
  <c r="C171" i="2"/>
  <c r="W85" i="19"/>
  <c r="X102" i="19"/>
  <c r="U79" i="19"/>
  <c r="X94" i="19"/>
  <c r="U93" i="19"/>
  <c r="X86" i="19"/>
  <c r="U83" i="19"/>
  <c r="U57" i="19"/>
  <c r="W58" i="19"/>
  <c r="W95" i="19"/>
  <c r="U89" i="19"/>
  <c r="V79" i="19"/>
  <c r="W88" i="19"/>
  <c r="V107" i="19"/>
  <c r="W59" i="19"/>
  <c r="U70" i="19"/>
  <c r="U60" i="19"/>
  <c r="U107" i="19"/>
  <c r="W67" i="19"/>
  <c r="U76" i="19"/>
  <c r="V66" i="19"/>
  <c r="U71" i="19"/>
  <c r="X76" i="19"/>
  <c r="X57" i="19"/>
  <c r="W98" i="19"/>
  <c r="V88" i="19"/>
  <c r="W84" i="19"/>
  <c r="X59" i="19"/>
  <c r="W75" i="19"/>
  <c r="X100" i="19"/>
  <c r="U98" i="19"/>
  <c r="W94" i="19"/>
  <c r="V89" i="19"/>
  <c r="U67" i="19"/>
  <c r="X71" i="19"/>
  <c r="V53" i="19"/>
  <c r="V104" i="19"/>
  <c r="W66" i="19"/>
  <c r="U81" i="19"/>
  <c r="V63" i="19"/>
  <c r="U68" i="19"/>
  <c r="V57" i="19"/>
  <c r="U75" i="19"/>
  <c r="U105" i="19"/>
  <c r="W61" i="19"/>
  <c r="W53" i="19"/>
  <c r="W69" i="19"/>
  <c r="X77" i="19"/>
  <c r="W71" i="19"/>
  <c r="X98" i="19"/>
  <c r="U102" i="19"/>
  <c r="W78" i="19"/>
  <c r="U58" i="19"/>
  <c r="U63" i="19"/>
  <c r="W107" i="19"/>
  <c r="V95" i="19"/>
  <c r="V94" i="19"/>
  <c r="W100" i="19"/>
  <c r="U53" i="19"/>
  <c r="V68" i="19"/>
  <c r="W89" i="19"/>
  <c r="W65" i="19"/>
  <c r="X78" i="19"/>
  <c r="X64" i="19"/>
  <c r="X85" i="19"/>
  <c r="V84" i="19"/>
  <c r="V103" i="19"/>
  <c r="X61" i="19"/>
  <c r="U88" i="19"/>
  <c r="U104" i="19"/>
  <c r="U61" i="19"/>
  <c r="X79" i="19"/>
  <c r="W79" i="19"/>
  <c r="U99" i="19"/>
  <c r="W62" i="19"/>
  <c r="V80" i="19"/>
  <c r="V58" i="19"/>
  <c r="X69" i="19"/>
  <c r="V85" i="19"/>
  <c r="V64" i="19"/>
  <c r="W93" i="19"/>
  <c r="W106" i="19"/>
  <c r="U69" i="19"/>
  <c r="M49" i="19"/>
  <c r="V65" i="19"/>
  <c r="M38" i="19"/>
  <c r="N46" i="19"/>
  <c r="V101" i="19"/>
  <c r="G20" i="19"/>
  <c r="P27" i="19"/>
  <c r="V102" i="19"/>
  <c r="N47" i="19"/>
  <c r="W13" i="19"/>
  <c r="U4" i="19"/>
  <c r="V83" i="19"/>
  <c r="U6" i="19"/>
  <c r="W11" i="19"/>
  <c r="V47" i="19"/>
  <c r="W31" i="19"/>
  <c r="W46" i="19"/>
  <c r="M65" i="19"/>
  <c r="P37" i="19"/>
  <c r="U27" i="19"/>
  <c r="X82" i="19"/>
  <c r="P48" i="19"/>
  <c r="P58" i="19"/>
  <c r="N12" i="19"/>
  <c r="N39" i="19"/>
  <c r="W3" i="19"/>
  <c r="O57" i="19"/>
  <c r="M26" i="19"/>
  <c r="V59" i="19"/>
  <c r="U66" i="19"/>
  <c r="P31" i="19"/>
  <c r="O28" i="19"/>
  <c r="V100" i="19"/>
  <c r="M13" i="19"/>
  <c r="X80" i="19"/>
  <c r="V27" i="19"/>
  <c r="G23" i="19"/>
  <c r="W12" i="19"/>
  <c r="X8" i="19"/>
  <c r="D209" i="2"/>
  <c r="H209" i="2"/>
  <c r="C209" i="2" s="1"/>
  <c r="D191" i="2"/>
  <c r="H191" i="2"/>
  <c r="C191" i="2" s="1"/>
  <c r="D173" i="2"/>
  <c r="H173" i="2"/>
  <c r="C173" i="2" s="1"/>
  <c r="D155" i="2"/>
  <c r="H155" i="2"/>
  <c r="C155" i="2" s="1"/>
  <c r="Q18" i="6" l="1"/>
  <c r="Q30" i="6"/>
  <c r="G31" i="23"/>
  <c r="G43" i="23"/>
  <c r="Q43" i="6"/>
  <c r="Q10" i="6"/>
  <c r="Q34" i="6"/>
  <c r="Q23" i="6"/>
  <c r="Q9" i="6"/>
  <c r="G22" i="23"/>
  <c r="G29" i="23"/>
  <c r="G51" i="23"/>
  <c r="Q39" i="6"/>
  <c r="Q15" i="6"/>
  <c r="G30" i="23"/>
  <c r="G18" i="23"/>
  <c r="Q28" i="6"/>
  <c r="Q27" i="6"/>
  <c r="G14" i="23"/>
  <c r="G25" i="23"/>
  <c r="G45" i="23"/>
  <c r="Q20" i="6"/>
  <c r="G23" i="23"/>
  <c r="Q40" i="6"/>
  <c r="Q47" i="6"/>
  <c r="G5" i="23"/>
  <c r="Q36" i="6"/>
  <c r="Q38" i="6"/>
  <c r="G8" i="23"/>
  <c r="G6" i="23"/>
  <c r="Q8" i="6"/>
  <c r="Q44" i="6"/>
  <c r="Q37" i="6"/>
  <c r="Q49" i="6"/>
  <c r="G24" i="23"/>
  <c r="G39" i="23"/>
  <c r="Q11" i="6"/>
  <c r="Q21" i="6"/>
  <c r="G41" i="23"/>
  <c r="Q14" i="6"/>
  <c r="Q22" i="6"/>
  <c r="G35" i="23"/>
  <c r="Q25" i="6"/>
  <c r="Q45" i="6"/>
  <c r="G49" i="23"/>
  <c r="G9" i="23"/>
  <c r="G52" i="23"/>
  <c r="G15" i="23"/>
  <c r="G12" i="23"/>
  <c r="Q50" i="6"/>
  <c r="Q13" i="6"/>
  <c r="G16" i="23"/>
  <c r="Q52" i="6"/>
  <c r="G46" i="23"/>
  <c r="Q31" i="6"/>
  <c r="Q53" i="6"/>
  <c r="Q6" i="6"/>
  <c r="G36" i="23"/>
  <c r="Q16" i="6"/>
  <c r="G7" i="23"/>
  <c r="G17" i="23"/>
  <c r="Q26" i="6"/>
  <c r="G44" i="23"/>
  <c r="G20" i="23"/>
  <c r="G37" i="23"/>
  <c r="Q5" i="6"/>
  <c r="G42" i="23"/>
  <c r="Q29" i="6"/>
  <c r="Q51" i="6"/>
  <c r="Q46" i="6"/>
  <c r="G48" i="23"/>
  <c r="G13" i="23"/>
  <c r="G40" i="23"/>
  <c r="G47" i="23"/>
  <c r="Q19" i="6"/>
  <c r="G28" i="23"/>
  <c r="G38" i="23"/>
  <c r="Q17" i="6"/>
  <c r="G50" i="23"/>
  <c r="G32" i="23"/>
  <c r="G11" i="23"/>
  <c r="Q12" i="6"/>
  <c r="G34" i="23"/>
  <c r="G10" i="23"/>
  <c r="G27" i="23"/>
  <c r="Q35" i="6"/>
  <c r="Q7" i="6"/>
  <c r="G21" i="23"/>
  <c r="G53" i="23"/>
  <c r="Q41" i="6"/>
  <c r="G33" i="23"/>
  <c r="G19" i="23"/>
  <c r="Q42" i="6"/>
  <c r="Q33" i="6"/>
  <c r="G26" i="23"/>
  <c r="Q32" i="6"/>
  <c r="Q24" i="6"/>
  <c r="S4" i="7"/>
  <c r="S2" i="7"/>
  <c r="S3" i="7"/>
  <c r="E23" i="9"/>
  <c r="D23" i="9" s="1"/>
  <c r="F23" i="9"/>
  <c r="G22" i="9"/>
  <c r="J22" i="9"/>
  <c r="I22" i="9"/>
  <c r="K22" i="9"/>
  <c r="B22" i="9"/>
  <c r="C22" i="9" s="1"/>
  <c r="T26" i="2"/>
  <c r="Q22" i="5"/>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I6" i="23" s="1"/>
  <c r="D20" i="15"/>
  <c r="E20" i="15"/>
  <c r="O155" i="2"/>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72" i="2"/>
  <c r="C154" i="2"/>
  <c r="A5" i="5"/>
  <c r="F5" i="5" s="1"/>
  <c r="D5" i="5"/>
  <c r="B5" i="5"/>
  <c r="C190" i="2"/>
  <c r="N155" i="2"/>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208" i="2"/>
  <c r="H22" i="9" l="1"/>
  <c r="T3" i="7" s="1"/>
  <c r="E24" i="9"/>
  <c r="D24" i="9" s="1"/>
  <c r="F24" i="9"/>
  <c r="G23" i="9"/>
  <c r="J23" i="9"/>
  <c r="I23" i="9"/>
  <c r="K23" i="9"/>
  <c r="B23" i="9"/>
  <c r="C23" i="9" s="1"/>
  <c r="H23" i="9" s="1"/>
  <c r="T27" i="2"/>
  <c r="D21" i="15"/>
  <c r="S10" i="6"/>
  <c r="I25" i="23"/>
  <c r="I14" i="23"/>
  <c r="I8" i="23"/>
  <c r="I35" i="23"/>
  <c r="I10" i="23"/>
  <c r="I5" i="23"/>
  <c r="I30" i="23"/>
  <c r="S44" i="6"/>
  <c r="I21" i="23"/>
  <c r="S8" i="6"/>
  <c r="I20" i="23"/>
  <c r="S33" i="6"/>
  <c r="S51" i="6"/>
  <c r="S25" i="6"/>
  <c r="S17" i="6"/>
  <c r="I23" i="23"/>
  <c r="I53" i="23"/>
  <c r="I36" i="23"/>
  <c r="I42" i="23"/>
  <c r="S9" i="6"/>
  <c r="S14" i="6"/>
  <c r="I37" i="23"/>
  <c r="I26" i="23"/>
  <c r="S28" i="6"/>
  <c r="I24" i="23"/>
  <c r="S46" i="6"/>
  <c r="S47" i="6"/>
  <c r="I50" i="23"/>
  <c r="I15" i="23"/>
  <c r="I7" i="23"/>
  <c r="S48" i="6"/>
  <c r="I52" i="23"/>
  <c r="S7" i="6"/>
  <c r="I33" i="23"/>
  <c r="S45" i="6"/>
  <c r="I44" i="23"/>
  <c r="S24" i="6"/>
  <c r="S42" i="6"/>
  <c r="S26" i="6"/>
  <c r="I38" i="23"/>
  <c r="I18" i="23"/>
  <c r="I51" i="23"/>
  <c r="I48" i="23"/>
  <c r="S18" i="6"/>
  <c r="I22" i="23"/>
  <c r="I39" i="23"/>
  <c r="I17" i="23"/>
  <c r="S6" i="6"/>
  <c r="S49" i="6"/>
  <c r="S32" i="6"/>
  <c r="S34" i="6"/>
  <c r="S36" i="6"/>
  <c r="S22" i="6"/>
  <c r="I29" i="23"/>
  <c r="I41" i="23"/>
  <c r="I13" i="23"/>
  <c r="I47" i="23"/>
  <c r="S31" i="6"/>
  <c r="S12" i="6"/>
  <c r="I40" i="23"/>
  <c r="I45" i="23"/>
  <c r="S13" i="6"/>
  <c r="I28" i="23"/>
  <c r="I19" i="23"/>
  <c r="I49" i="23"/>
  <c r="I32" i="23"/>
  <c r="S21" i="6"/>
  <c r="S11" i="6"/>
  <c r="S27" i="6"/>
  <c r="S5" i="6"/>
  <c r="S16" i="6"/>
  <c r="I31" i="23"/>
  <c r="I16" i="23"/>
  <c r="S37" i="6"/>
  <c r="S20" i="6"/>
  <c r="S38" i="6"/>
  <c r="S29" i="6"/>
  <c r="I9" i="23"/>
  <c r="S23" i="6"/>
  <c r="S52" i="6"/>
  <c r="S15" i="6"/>
  <c r="S50" i="6"/>
  <c r="S41" i="6"/>
  <c r="S35" i="6"/>
  <c r="I11" i="23"/>
  <c r="S40" i="6"/>
  <c r="I27" i="23"/>
  <c r="S53" i="6"/>
  <c r="I34" i="23"/>
  <c r="S19" i="6"/>
  <c r="I43" i="23"/>
  <c r="I46" i="23"/>
  <c r="S39" i="6"/>
  <c r="I12" i="23"/>
  <c r="S43" i="6"/>
  <c r="S30" i="6"/>
  <c r="E21" i="15"/>
  <c r="G5" i="5"/>
  <c r="I5" i="5"/>
  <c r="U4" i="7" l="1"/>
  <c r="U2" i="7"/>
  <c r="T2" i="7"/>
  <c r="U3" i="7"/>
  <c r="E25" i="9"/>
  <c r="D25" i="9" s="1"/>
  <c r="F25" i="9"/>
  <c r="B25" i="9" s="1"/>
  <c r="C25" i="9" s="1"/>
  <c r="G24" i="9"/>
  <c r="J24" i="9"/>
  <c r="I24" i="9"/>
  <c r="K24" i="9"/>
  <c r="B24" i="9"/>
  <c r="C24" i="9" s="1"/>
  <c r="H24" i="9" s="1"/>
  <c r="T28" i="2"/>
  <c r="H5" i="5"/>
  <c r="J5" i="5" s="1"/>
  <c r="K5" i="5" s="1"/>
  <c r="L5" i="5" s="1"/>
  <c r="C5" i="5"/>
  <c r="E5" i="5" s="1"/>
  <c r="V4" i="7" l="1"/>
  <c r="V2" i="7"/>
  <c r="V3" i="7"/>
  <c r="E26" i="9"/>
  <c r="D26" i="9" s="1"/>
  <c r="F26" i="9"/>
  <c r="B26" i="9" s="1"/>
  <c r="C26" i="9" s="1"/>
  <c r="G25" i="9"/>
  <c r="H25" i="9" s="1"/>
  <c r="I25" i="9"/>
  <c r="K25" i="9"/>
  <c r="J25" i="9"/>
  <c r="W3" i="7" s="1"/>
  <c r="T29" i="2"/>
  <c r="W2" i="7" l="1"/>
  <c r="W4" i="7"/>
  <c r="E27" i="9"/>
  <c r="D27" i="9" s="1"/>
  <c r="F27" i="9"/>
  <c r="B27" i="9" s="1"/>
  <c r="C27" i="9" s="1"/>
  <c r="G26" i="9"/>
  <c r="H26" i="9" s="1"/>
  <c r="J26" i="9"/>
  <c r="I26" i="9"/>
  <c r="K26" i="9"/>
  <c r="T30" i="2"/>
  <c r="X2" i="7" l="1"/>
  <c r="X3" i="7"/>
  <c r="X4" i="7"/>
  <c r="E28" i="9"/>
  <c r="D28" i="9" s="1"/>
  <c r="F28" i="9"/>
  <c r="G27" i="9"/>
  <c r="H27" i="9" s="1"/>
  <c r="K27" i="9"/>
  <c r="I27" i="9"/>
  <c r="J27" i="9"/>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38" i="5" s="1"/>
  <c r="Y4" i="7" l="1"/>
  <c r="Y3" i="7"/>
  <c r="Y2" i="7"/>
  <c r="E29" i="9"/>
  <c r="D29" i="9" s="1"/>
  <c r="F29" i="9"/>
  <c r="G28" i="9"/>
  <c r="K28" i="9"/>
  <c r="I28" i="9"/>
  <c r="J28" i="9"/>
  <c r="B28" i="9"/>
  <c r="C28" i="9" s="1"/>
  <c r="H28" i="9" s="1"/>
  <c r="S7" i="5"/>
  <c r="S25" i="5"/>
  <c r="S53" i="5"/>
  <c r="S48" i="5"/>
  <c r="S31" i="5"/>
  <c r="S27" i="5"/>
  <c r="S42" i="5"/>
  <c r="S11" i="5"/>
  <c r="S8" i="5"/>
  <c r="S43" i="5"/>
  <c r="S32" i="5"/>
  <c r="S28" i="5"/>
  <c r="S24" i="5"/>
  <c r="S41" i="5"/>
  <c r="S51" i="5"/>
  <c r="S10" i="5"/>
  <c r="S14" i="5"/>
  <c r="S13" i="5"/>
  <c r="S26" i="5"/>
  <c r="S15" i="5"/>
  <c r="S52" i="5"/>
  <c r="S46" i="5"/>
  <c r="S23" i="5"/>
  <c r="S17" i="5"/>
  <c r="S37" i="5"/>
  <c r="S22" i="5"/>
  <c r="S40" i="5"/>
  <c r="S9" i="5"/>
  <c r="S20" i="5"/>
  <c r="S18" i="5"/>
  <c r="S4" i="5"/>
  <c r="S45" i="5"/>
  <c r="S39" i="5"/>
  <c r="S5" i="5"/>
  <c r="S47" i="5"/>
  <c r="S34" i="5"/>
  <c r="S49" i="5"/>
  <c r="S50" i="5"/>
  <c r="S21" i="5"/>
  <c r="S35" i="5"/>
  <c r="S19" i="5"/>
  <c r="S44" i="5"/>
  <c r="S12" i="5"/>
  <c r="S6" i="5"/>
  <c r="S16" i="5"/>
  <c r="S30" i="5"/>
  <c r="S36" i="5"/>
  <c r="S33" i="5"/>
  <c r="S29" i="5"/>
  <c r="Z3" i="7" l="1"/>
  <c r="Z2" i="7"/>
  <c r="Z4" i="7"/>
  <c r="E30" i="9"/>
  <c r="D30" i="9" s="1"/>
  <c r="F30" i="9"/>
  <c r="G29" i="9"/>
  <c r="K29" i="9"/>
  <c r="J29" i="9"/>
  <c r="I29" i="9"/>
  <c r="B29" i="9"/>
  <c r="C29" i="9" s="1"/>
  <c r="H29" i="9" s="1"/>
  <c r="H4" i="23"/>
  <c r="R4" i="6"/>
  <c r="P5" i="5"/>
  <c r="P6" i="5" s="1"/>
  <c r="P7" i="5" s="1"/>
  <c r="P8" i="5" s="1"/>
  <c r="P9" i="5" s="1"/>
  <c r="P10" i="5" s="1"/>
  <c r="P11" i="5" s="1"/>
  <c r="P12" i="5" s="1"/>
  <c r="P13" i="5" s="1"/>
  <c r="P14" i="5" s="1"/>
  <c r="P15" i="5" s="1"/>
  <c r="P16" i="5" s="1"/>
  <c r="P17" i="5" s="1"/>
  <c r="P18" i="5" s="1"/>
  <c r="P19" i="5" s="1"/>
  <c r="P20" i="5" s="1"/>
  <c r="P21" i="5" s="1"/>
  <c r="P22" i="5" s="1"/>
  <c r="P23" i="5" s="1"/>
  <c r="P24" i="5" s="1"/>
  <c r="P25" i="5" s="1"/>
  <c r="P26" i="5" s="1"/>
  <c r="P27" i="5" s="1"/>
  <c r="AA2" i="7" l="1"/>
  <c r="AA4" i="7"/>
  <c r="E31" i="9"/>
  <c r="D31" i="9" s="1"/>
  <c r="F31" i="9"/>
  <c r="B31" i="9" s="1"/>
  <c r="C31" i="9" s="1"/>
  <c r="G30" i="9"/>
  <c r="I30" i="9"/>
  <c r="K30" i="9"/>
  <c r="J30" i="9"/>
  <c r="B30" i="9"/>
  <c r="C30" i="9" s="1"/>
  <c r="H30" i="9" s="1"/>
  <c r="P28" i="5"/>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AB3" i="7" l="1"/>
  <c r="AB4" i="7"/>
  <c r="AB2" i="7"/>
  <c r="E32" i="9"/>
  <c r="D32" i="9" s="1"/>
  <c r="F32" i="9"/>
  <c r="B32" i="9" s="1"/>
  <c r="C32" i="9" s="1"/>
  <c r="G31" i="9"/>
  <c r="H31" i="9" s="1"/>
  <c r="I31" i="9"/>
  <c r="K31" i="9"/>
  <c r="J31" i="9"/>
  <c r="H50" i="23"/>
  <c r="H41" i="23"/>
  <c r="H21" i="23"/>
  <c r="R25" i="6"/>
  <c r="H30" i="23"/>
  <c r="H8" i="23"/>
  <c r="H23" i="23"/>
  <c r="H10" i="23"/>
  <c r="R17" i="6"/>
  <c r="R8" i="6"/>
  <c r="R47" i="6"/>
  <c r="R11" i="6"/>
  <c r="H49" i="23"/>
  <c r="H32" i="23"/>
  <c r="R14" i="6"/>
  <c r="R37" i="6"/>
  <c r="H34" i="23"/>
  <c r="R10" i="6"/>
  <c r="H9" i="23"/>
  <c r="H47" i="23"/>
  <c r="R49" i="6"/>
  <c r="H33" i="23"/>
  <c r="R50" i="6"/>
  <c r="R44" i="6"/>
  <c r="R33" i="6"/>
  <c r="R31" i="6"/>
  <c r="H18" i="23"/>
  <c r="H13" i="23"/>
  <c r="R46" i="6"/>
  <c r="R48" i="6"/>
  <c r="H19" i="23"/>
  <c r="H12" i="23"/>
  <c r="H28" i="23"/>
  <c r="H44" i="23"/>
  <c r="R40" i="6"/>
  <c r="H20" i="23"/>
  <c r="H31" i="23"/>
  <c r="H22" i="23"/>
  <c r="H39" i="23"/>
  <c r="H43" i="23"/>
  <c r="H27" i="23"/>
  <c r="H38" i="23"/>
  <c r="H52" i="23"/>
  <c r="R28" i="6"/>
  <c r="H26" i="23"/>
  <c r="H51" i="23"/>
  <c r="R45" i="6"/>
  <c r="R27" i="6"/>
  <c r="R35" i="6"/>
  <c r="H45" i="23"/>
  <c r="H35" i="23"/>
  <c r="H42" i="23"/>
  <c r="R32" i="6"/>
  <c r="H6" i="23"/>
  <c r="R22" i="6"/>
  <c r="R15" i="6"/>
  <c r="H36" i="23"/>
  <c r="H24" i="23"/>
  <c r="R21" i="6"/>
  <c r="R42" i="6"/>
  <c r="R16" i="6"/>
  <c r="R34" i="6"/>
  <c r="R6" i="6"/>
  <c r="R41" i="6"/>
  <c r="R9" i="6"/>
  <c r="R7" i="6"/>
  <c r="H15" i="23"/>
  <c r="R53" i="6"/>
  <c r="R20" i="6"/>
  <c r="R36" i="6"/>
  <c r="R29" i="6"/>
  <c r="H5" i="23"/>
  <c r="R18" i="6"/>
  <c r="H7" i="23"/>
  <c r="R23" i="6"/>
  <c r="R43" i="6"/>
  <c r="H46" i="23"/>
  <c r="H37" i="23"/>
  <c r="H40" i="23"/>
  <c r="R30" i="6"/>
  <c r="H29" i="23"/>
  <c r="H17" i="23"/>
  <c r="R12" i="6"/>
  <c r="H16" i="23"/>
  <c r="H25" i="23"/>
  <c r="R52" i="6"/>
  <c r="H14" i="23"/>
  <c r="R24" i="6"/>
  <c r="R19" i="6"/>
  <c r="H11" i="23"/>
  <c r="R26" i="6"/>
  <c r="R13" i="6"/>
  <c r="H53" i="23"/>
  <c r="R39" i="6"/>
  <c r="H48" i="23"/>
  <c r="R38" i="6"/>
  <c r="R51" i="6"/>
  <c r="AC4" i="7" l="1"/>
  <c r="AC2" i="7"/>
  <c r="AC3" i="7"/>
  <c r="E33" i="9"/>
  <c r="D33" i="9" s="1"/>
  <c r="F33" i="9"/>
  <c r="B33" i="9" s="1"/>
  <c r="C33" i="9" s="1"/>
  <c r="G32" i="9"/>
  <c r="H32" i="9" s="1"/>
  <c r="K32" i="9"/>
  <c r="I32" i="9"/>
  <c r="J32" i="9"/>
  <c r="AD4" i="7" l="1"/>
  <c r="AD3" i="7"/>
  <c r="AD2" i="7"/>
  <c r="E34" i="9"/>
  <c r="D34" i="9" s="1"/>
  <c r="F34" i="9"/>
  <c r="B34" i="9" s="1"/>
  <c r="C34" i="9" s="1"/>
  <c r="G33" i="9"/>
  <c r="H33" i="9" s="1"/>
  <c r="K33" i="9"/>
  <c r="I33" i="9"/>
  <c r="J33" i="9"/>
  <c r="AE4" i="7" l="1"/>
  <c r="AE3" i="7"/>
  <c r="AE2" i="7"/>
  <c r="E35" i="9"/>
  <c r="D35" i="9" s="1"/>
  <c r="F35" i="9"/>
  <c r="B35" i="9" s="1"/>
  <c r="C35" i="9" s="1"/>
  <c r="G34" i="9"/>
  <c r="H34" i="9" s="1"/>
  <c r="I34" i="9"/>
  <c r="K34" i="9"/>
  <c r="J34" i="9"/>
  <c r="AF2" i="7" l="1"/>
  <c r="AF3" i="7"/>
  <c r="E36" i="9"/>
  <c r="D36" i="9" s="1"/>
  <c r="F36" i="9"/>
  <c r="B36" i="9" s="1"/>
  <c r="C36" i="9" s="1"/>
  <c r="G35" i="9"/>
  <c r="H35" i="9" s="1"/>
  <c r="K35" i="9"/>
  <c r="J35" i="9"/>
  <c r="I35" i="9"/>
  <c r="AG3" i="7" l="1"/>
  <c r="AG4" i="7"/>
  <c r="AG2" i="7"/>
  <c r="E37" i="9"/>
  <c r="D37" i="9" s="1"/>
  <c r="F37" i="9"/>
  <c r="B37" i="9" s="1"/>
  <c r="C37" i="9" s="1"/>
  <c r="G36" i="9"/>
  <c r="H36" i="9" s="1"/>
  <c r="J36" i="9"/>
  <c r="K36" i="9"/>
  <c r="I36" i="9"/>
  <c r="AH4" i="7" l="1"/>
  <c r="AH2" i="7"/>
  <c r="E38" i="9"/>
  <c r="D38" i="9" s="1"/>
  <c r="F38" i="9"/>
  <c r="B38" i="9" s="1"/>
  <c r="C38" i="9" s="1"/>
  <c r="G37" i="9"/>
  <c r="H37" i="9" s="1"/>
  <c r="I37" i="9"/>
  <c r="J37" i="9"/>
  <c r="K37" i="9"/>
  <c r="AI2" i="7" l="1"/>
  <c r="AI3" i="7"/>
  <c r="AI4" i="7"/>
  <c r="E39" i="9"/>
  <c r="D39" i="9" s="1"/>
  <c r="F39" i="9"/>
  <c r="B39" i="9" s="1"/>
  <c r="C39" i="9" s="1"/>
  <c r="G38" i="9"/>
  <c r="H38" i="9" s="1"/>
  <c r="K38" i="9"/>
  <c r="J38" i="9"/>
  <c r="I38" i="9"/>
  <c r="AJ2" i="7" l="1"/>
  <c r="AJ3" i="7"/>
  <c r="E40" i="9"/>
  <c r="D40" i="9" s="1"/>
  <c r="F40" i="9"/>
  <c r="B40" i="9" s="1"/>
  <c r="C40" i="9" s="1"/>
  <c r="G39" i="9"/>
  <c r="H39" i="9" s="1"/>
  <c r="J39" i="9"/>
  <c r="I39" i="9"/>
  <c r="K39" i="9"/>
  <c r="AK2" i="7" l="1"/>
  <c r="AK3" i="7"/>
  <c r="AK4" i="7"/>
  <c r="E41" i="9"/>
  <c r="D41" i="9" s="1"/>
  <c r="F41" i="9"/>
  <c r="B41" i="9" s="1"/>
  <c r="C41" i="9" s="1"/>
  <c r="G40" i="9"/>
  <c r="H40" i="9" s="1"/>
  <c r="K40" i="9"/>
  <c r="AL4" i="7" s="1"/>
  <c r="I40" i="9"/>
  <c r="J40" i="9"/>
  <c r="AL3" i="7" s="1"/>
  <c r="AL2" i="7" l="1"/>
  <c r="E42" i="9"/>
  <c r="D42" i="9" s="1"/>
  <c r="F42" i="9"/>
  <c r="G41" i="9"/>
  <c r="H41" i="9" s="1"/>
  <c r="I41" i="9"/>
  <c r="K41" i="9"/>
  <c r="J41" i="9"/>
  <c r="AM3" i="7" l="1"/>
  <c r="AM4" i="7"/>
  <c r="AM2" i="7"/>
  <c r="E43" i="9"/>
  <c r="D43" i="9" s="1"/>
  <c r="F43" i="9"/>
  <c r="G42" i="9"/>
  <c r="J42" i="9"/>
  <c r="I42" i="9"/>
  <c r="K42" i="9"/>
  <c r="B42" i="9"/>
  <c r="C42" i="9" s="1"/>
  <c r="H42" i="9" s="1"/>
  <c r="AN3" i="7" l="1"/>
  <c r="AN4" i="7"/>
  <c r="AN2" i="7"/>
  <c r="E44" i="9"/>
  <c r="D44" i="9" s="1"/>
  <c r="F44" i="9"/>
  <c r="G43" i="9"/>
  <c r="K43" i="9"/>
  <c r="I43" i="9"/>
  <c r="J43" i="9"/>
  <c r="B43" i="9"/>
  <c r="C43" i="9" s="1"/>
  <c r="H43" i="9" s="1"/>
  <c r="AO3" i="7" l="1"/>
  <c r="AO2" i="7"/>
  <c r="E45" i="9"/>
  <c r="D45" i="9" s="1"/>
  <c r="F45" i="9"/>
  <c r="B45" i="9" s="1"/>
  <c r="C45" i="9" s="1"/>
  <c r="G44" i="9"/>
  <c r="K44" i="9"/>
  <c r="I44" i="9"/>
  <c r="J44" i="9"/>
  <c r="AP3" i="7" s="1"/>
  <c r="B44" i="9"/>
  <c r="C44" i="9" s="1"/>
  <c r="H44" i="9" s="1"/>
  <c r="AP4" i="7" l="1"/>
  <c r="AP2" i="7"/>
  <c r="E46" i="9"/>
  <c r="D46" i="9" s="1"/>
  <c r="F46" i="9"/>
  <c r="B46" i="9" s="1"/>
  <c r="C46" i="9" s="1"/>
  <c r="G45" i="9"/>
  <c r="H45" i="9" s="1"/>
  <c r="J45" i="9"/>
  <c r="I45" i="9"/>
  <c r="K45" i="9"/>
  <c r="AQ4" i="7" l="1"/>
  <c r="AQ2" i="7"/>
  <c r="AQ3" i="7"/>
  <c r="E47" i="9"/>
  <c r="D47" i="9" s="1"/>
  <c r="F47" i="9"/>
  <c r="B47" i="9" s="1"/>
  <c r="C47" i="9" s="1"/>
  <c r="G46" i="9"/>
  <c r="H46" i="9" s="1"/>
  <c r="J46" i="9"/>
  <c r="I46" i="9"/>
  <c r="K46" i="9"/>
  <c r="AR3" i="7" l="1"/>
  <c r="AR4" i="7"/>
  <c r="AR2" i="7"/>
  <c r="E48" i="9"/>
  <c r="D48" i="9" s="1"/>
  <c r="F48" i="9"/>
  <c r="B48" i="9" s="1"/>
  <c r="C48" i="9" s="1"/>
  <c r="G47" i="9"/>
  <c r="H47" i="9" s="1"/>
  <c r="J47" i="9"/>
  <c r="AS3" i="7" s="1"/>
  <c r="K47" i="9"/>
  <c r="I47" i="9"/>
  <c r="AS2" i="7" s="1"/>
  <c r="AS4" i="7" l="1"/>
  <c r="E49" i="9"/>
  <c r="D49" i="9" s="1"/>
  <c r="F49" i="9"/>
  <c r="B49" i="9" s="1"/>
  <c r="C49" i="9" s="1"/>
  <c r="G48" i="9"/>
  <c r="H48" i="9" s="1"/>
  <c r="I48" i="9"/>
  <c r="K48" i="9"/>
  <c r="J48" i="9"/>
  <c r="AT4" i="7" l="1"/>
  <c r="AT3" i="7"/>
  <c r="AT2" i="7"/>
  <c r="E50" i="9"/>
  <c r="D50" i="9" s="1"/>
  <c r="F50" i="9"/>
  <c r="B50" i="9" s="1"/>
  <c r="C50" i="9" s="1"/>
  <c r="G49" i="9"/>
  <c r="H49" i="9" s="1"/>
  <c r="J49" i="9"/>
  <c r="I49" i="9"/>
  <c r="AU2" i="7" s="1"/>
  <c r="K49" i="9"/>
  <c r="AU4" i="7" s="1"/>
  <c r="E51" i="9" l="1"/>
  <c r="D51" i="9" s="1"/>
  <c r="F51" i="9"/>
  <c r="B51" i="9" s="1"/>
  <c r="C51" i="9" s="1"/>
  <c r="G50" i="9"/>
  <c r="H50" i="9" s="1"/>
  <c r="I50" i="9"/>
  <c r="AV2" i="7" s="1"/>
  <c r="K50" i="9"/>
  <c r="AV4" i="7" s="1"/>
  <c r="J50" i="9"/>
  <c r="AV3" i="7" l="1"/>
  <c r="E52" i="9"/>
  <c r="D52" i="9" s="1"/>
  <c r="F52" i="9"/>
  <c r="B52" i="9" s="1"/>
  <c r="C52" i="9" s="1"/>
  <c r="G51" i="9"/>
  <c r="H51" i="9" s="1"/>
  <c r="J51" i="9"/>
  <c r="AW3" i="7" s="1"/>
  <c r="I51" i="9"/>
  <c r="AW2" i="7" s="1"/>
  <c r="K51" i="9"/>
  <c r="AW4" i="7" s="1"/>
  <c r="E53" i="9" l="1"/>
  <c r="D53" i="9" s="1"/>
  <c r="F53" i="9"/>
  <c r="B53" i="9" s="1"/>
  <c r="C53" i="9" s="1"/>
  <c r="G52" i="9"/>
  <c r="H52" i="9" s="1"/>
  <c r="J52" i="9"/>
  <c r="K52" i="9"/>
  <c r="I52" i="9"/>
  <c r="AX2" i="7" l="1"/>
  <c r="AX4" i="7"/>
  <c r="AX3" i="7"/>
  <c r="E54" i="9"/>
  <c r="D54" i="9" s="1"/>
  <c r="F54" i="9"/>
  <c r="B54" i="9" s="1"/>
  <c r="C54" i="9" s="1"/>
  <c r="G53" i="9"/>
  <c r="H53" i="9" s="1"/>
  <c r="J53" i="9"/>
  <c r="K53" i="9"/>
  <c r="I53" i="9"/>
  <c r="AY2" i="7" s="1"/>
  <c r="AY3" i="7" l="1"/>
  <c r="AY4" i="7"/>
  <c r="E55" i="9"/>
  <c r="D55" i="9" s="1"/>
  <c r="F55" i="9"/>
  <c r="B55" i="9" s="1"/>
  <c r="C55" i="9" s="1"/>
  <c r="G54" i="9"/>
  <c r="H54" i="9" s="1"/>
  <c r="J54" i="9"/>
  <c r="K54" i="9"/>
  <c r="I54" i="9"/>
  <c r="AZ2" i="7" l="1"/>
  <c r="AZ4" i="7"/>
  <c r="AZ3" i="7"/>
  <c r="E56" i="9"/>
  <c r="D56" i="9" s="1"/>
  <c r="F56" i="9"/>
  <c r="G55" i="9"/>
  <c r="H55" i="9" s="1"/>
  <c r="J55" i="9"/>
  <c r="I55" i="9"/>
  <c r="K55" i="9"/>
  <c r="BA4" i="7" l="1"/>
  <c r="BA3" i="7"/>
  <c r="BA2" i="7"/>
  <c r="E57" i="9"/>
  <c r="D57" i="9" s="1"/>
  <c r="F57" i="9"/>
  <c r="G56" i="9"/>
  <c r="I56" i="9"/>
  <c r="J56" i="9"/>
  <c r="K56" i="9"/>
  <c r="B56" i="9"/>
  <c r="C56" i="9" s="1"/>
  <c r="H56" i="9" s="1"/>
  <c r="BB2" i="7" l="1"/>
  <c r="BB3" i="7"/>
  <c r="BB4" i="7"/>
  <c r="E58" i="9"/>
  <c r="D58" i="9" s="1"/>
  <c r="F58" i="9"/>
  <c r="G57" i="9"/>
  <c r="I57" i="9"/>
  <c r="K57" i="9"/>
  <c r="J57" i="9"/>
  <c r="B57" i="9"/>
  <c r="C57" i="9" s="1"/>
  <c r="H57" i="9" s="1"/>
  <c r="BC2" i="7" l="1"/>
  <c r="BC3" i="7"/>
  <c r="E59" i="9"/>
  <c r="D59" i="9" s="1"/>
  <c r="F59" i="9"/>
  <c r="G58" i="9"/>
  <c r="J58" i="9"/>
  <c r="I58" i="9"/>
  <c r="K58" i="9"/>
  <c r="B58" i="9"/>
  <c r="C58" i="9" s="1"/>
  <c r="H58" i="9" s="1"/>
  <c r="BD3" i="7" l="1"/>
  <c r="BD2" i="7"/>
  <c r="BD4" i="7"/>
  <c r="E60" i="9"/>
  <c r="D60" i="9" s="1"/>
  <c r="F60" i="9"/>
  <c r="B60" i="9" s="1"/>
  <c r="C60" i="9" s="1"/>
  <c r="G59" i="9"/>
  <c r="K59" i="9"/>
  <c r="J59" i="9"/>
  <c r="I59" i="9"/>
  <c r="B59" i="9"/>
  <c r="C59" i="9" s="1"/>
  <c r="H59" i="9" s="1"/>
  <c r="BE2" i="7" l="1"/>
  <c r="BE3" i="7"/>
  <c r="BE4" i="7"/>
  <c r="E61" i="9"/>
  <c r="D61" i="9" s="1"/>
  <c r="F61" i="9"/>
  <c r="B61" i="9" s="1"/>
  <c r="C61" i="9" s="1"/>
  <c r="G60" i="9"/>
  <c r="H60" i="9" s="1"/>
  <c r="J60" i="9"/>
  <c r="K60" i="9"/>
  <c r="I60" i="9"/>
  <c r="BF2" i="7" l="1"/>
  <c r="BF4" i="7"/>
  <c r="E62" i="9"/>
  <c r="D62" i="9" s="1"/>
  <c r="F62" i="9"/>
  <c r="B62" i="9" s="1"/>
  <c r="C62" i="9" s="1"/>
  <c r="G61" i="9"/>
  <c r="H61" i="9" s="1"/>
  <c r="J61" i="9"/>
  <c r="I61" i="9"/>
  <c r="K61" i="9"/>
  <c r="BG4" i="7" l="1"/>
  <c r="BG2" i="7"/>
  <c r="BG3" i="7"/>
  <c r="E63" i="9"/>
  <c r="D63" i="9" s="1"/>
  <c r="F63" i="9"/>
  <c r="B63" i="9" s="1"/>
  <c r="C63" i="9" s="1"/>
  <c r="G62" i="9"/>
  <c r="H62" i="9" s="1"/>
  <c r="I62" i="9"/>
  <c r="J62" i="9"/>
  <c r="BH3" i="7" s="1"/>
  <c r="K62" i="9"/>
  <c r="BH4" i="7" s="1"/>
  <c r="BH2" i="7" l="1"/>
  <c r="E64" i="9"/>
  <c r="D64" i="9" s="1"/>
  <c r="F64" i="9"/>
  <c r="B64" i="9" s="1"/>
  <c r="C64" i="9" s="1"/>
  <c r="G63" i="9"/>
  <c r="H63" i="9" s="1"/>
  <c r="K63" i="9"/>
  <c r="I63" i="9"/>
  <c r="J63" i="9"/>
  <c r="BI2" i="7" l="1"/>
  <c r="BI3" i="7"/>
  <c r="BI4" i="7"/>
  <c r="E65" i="9"/>
  <c r="D65" i="9" s="1"/>
  <c r="F65" i="9"/>
  <c r="B65" i="9" s="1"/>
  <c r="C65" i="9" s="1"/>
  <c r="G64" i="9"/>
  <c r="H64" i="9" s="1"/>
  <c r="I64" i="9"/>
  <c r="J64" i="9"/>
  <c r="K64" i="9"/>
  <c r="BJ4" i="7" s="1"/>
  <c r="BJ3" i="7" l="1"/>
  <c r="BJ2" i="7"/>
  <c r="E66" i="9"/>
  <c r="D66" i="9" s="1"/>
  <c r="F66" i="9"/>
  <c r="B66" i="9" s="1"/>
  <c r="C66" i="9" s="1"/>
  <c r="G65" i="9"/>
  <c r="H65" i="9" s="1"/>
  <c r="J65" i="9"/>
  <c r="I65" i="9"/>
  <c r="K65" i="9"/>
  <c r="BK4" i="7" l="1"/>
  <c r="BK2" i="7"/>
  <c r="E67" i="9"/>
  <c r="D67" i="9" s="1"/>
  <c r="F67" i="9"/>
  <c r="B67" i="9" s="1"/>
  <c r="C67" i="9" s="1"/>
  <c r="G66" i="9"/>
  <c r="H66" i="9" s="1"/>
  <c r="I66" i="9"/>
  <c r="K66" i="9"/>
  <c r="J66" i="9"/>
  <c r="BL3" i="7" l="1"/>
  <c r="BL4" i="7"/>
  <c r="BL2" i="7"/>
  <c r="E68" i="9"/>
  <c r="D68" i="9" s="1"/>
  <c r="F68" i="9"/>
  <c r="B68" i="9" s="1"/>
  <c r="C68" i="9" s="1"/>
  <c r="G67" i="9"/>
  <c r="H67" i="9" s="1"/>
  <c r="K67" i="9"/>
  <c r="J67" i="9"/>
  <c r="I67" i="9"/>
  <c r="BM2" i="7" l="1"/>
  <c r="BM3" i="7"/>
  <c r="BM4" i="7"/>
  <c r="E69" i="9"/>
  <c r="D69" i="9" s="1"/>
  <c r="F69" i="9"/>
  <c r="B69" i="9" s="1"/>
  <c r="C69" i="9" s="1"/>
  <c r="G68" i="9"/>
  <c r="H68" i="9" s="1"/>
  <c r="J68" i="9"/>
  <c r="K68" i="9"/>
  <c r="I68" i="9"/>
  <c r="BN2" i="7" l="1"/>
  <c r="BN4" i="7"/>
  <c r="BN3" i="7"/>
  <c r="E70" i="9"/>
  <c r="D70" i="9" s="1"/>
  <c r="F70" i="9"/>
  <c r="G69" i="9"/>
  <c r="H69" i="9" s="1"/>
  <c r="J69" i="9"/>
  <c r="I69" i="9"/>
  <c r="K69" i="9"/>
  <c r="BO4" i="7" l="1"/>
  <c r="BO3" i="7"/>
  <c r="BO2" i="7"/>
  <c r="E71" i="9"/>
  <c r="D71" i="9" s="1"/>
  <c r="F71" i="9"/>
  <c r="G70" i="9"/>
  <c r="K70" i="9"/>
  <c r="J70" i="9"/>
  <c r="I70" i="9"/>
  <c r="B70" i="9"/>
  <c r="C70" i="9" s="1"/>
  <c r="H70" i="9" s="1"/>
  <c r="BP3" i="7" l="1"/>
  <c r="BP2" i="7"/>
  <c r="BP4" i="7"/>
  <c r="E72" i="9"/>
  <c r="D72" i="9" s="1"/>
  <c r="F72" i="9"/>
  <c r="G71" i="9"/>
  <c r="J71" i="9"/>
  <c r="I71" i="9"/>
  <c r="K71" i="9"/>
  <c r="B71" i="9"/>
  <c r="C71" i="9" s="1"/>
  <c r="H71" i="9" s="1"/>
  <c r="BQ2" i="7" l="1"/>
  <c r="BQ4" i="7"/>
  <c r="BQ3" i="7"/>
  <c r="F73" i="9"/>
  <c r="G72" i="9"/>
  <c r="E73" i="9"/>
  <c r="D73" i="9" s="1"/>
  <c r="I72" i="9"/>
  <c r="J72" i="9"/>
  <c r="K72" i="9"/>
  <c r="B72" i="9"/>
  <c r="C72" i="9" s="1"/>
  <c r="H72" i="9" s="1"/>
  <c r="BR4" i="7" l="1"/>
  <c r="BR3" i="7"/>
  <c r="BR2" i="7"/>
  <c r="F74" i="9"/>
  <c r="B74" i="9" s="1"/>
  <c r="C74" i="9" s="1"/>
  <c r="G73" i="9"/>
  <c r="E74" i="9"/>
  <c r="D74" i="9" s="1"/>
  <c r="I73" i="9"/>
  <c r="J73" i="9"/>
  <c r="K73" i="9"/>
  <c r="B73" i="9"/>
  <c r="C73" i="9" s="1"/>
  <c r="H73" i="9" s="1"/>
  <c r="BS3" i="7" l="1"/>
  <c r="BS4" i="7"/>
  <c r="BS2" i="7"/>
  <c r="E75" i="9"/>
  <c r="D75" i="9" s="1"/>
  <c r="F75" i="9"/>
  <c r="B75" i="9" s="1"/>
  <c r="C75" i="9" s="1"/>
  <c r="G74" i="9"/>
  <c r="H74" i="9" s="1"/>
  <c r="K74" i="9"/>
  <c r="J74" i="9"/>
  <c r="BT3" i="7" s="1"/>
  <c r="I74" i="9"/>
  <c r="BT2" i="7" s="1"/>
  <c r="BT4" i="7" l="1"/>
  <c r="E76" i="9"/>
  <c r="D76" i="9" s="1"/>
  <c r="F76" i="9"/>
  <c r="B76" i="9" s="1"/>
  <c r="C76" i="9" s="1"/>
  <c r="G75" i="9"/>
  <c r="H75" i="9" s="1"/>
  <c r="J75" i="9"/>
  <c r="I75" i="9"/>
  <c r="K75" i="9"/>
  <c r="BU4" i="7" l="1"/>
  <c r="BU2" i="7"/>
  <c r="BU3" i="7"/>
  <c r="F77" i="9"/>
  <c r="B77" i="9" s="1"/>
  <c r="C77" i="9" s="1"/>
  <c r="G76" i="9"/>
  <c r="H76" i="9" s="1"/>
  <c r="E77" i="9"/>
  <c r="D77" i="9" s="1"/>
  <c r="J76" i="9"/>
  <c r="K76" i="9"/>
  <c r="I76" i="9"/>
  <c r="BV4" i="7" l="1"/>
  <c r="BV3" i="7"/>
  <c r="BV2" i="7"/>
  <c r="F78" i="9"/>
  <c r="B78" i="9" s="1"/>
  <c r="C78" i="9" s="1"/>
  <c r="G77" i="9"/>
  <c r="H77" i="9" s="1"/>
  <c r="E78" i="9"/>
  <c r="D78" i="9" s="1"/>
  <c r="K77" i="9"/>
  <c r="J77" i="9"/>
  <c r="I77" i="9"/>
  <c r="BW2" i="7" l="1"/>
  <c r="BW3" i="7"/>
  <c r="E79" i="9"/>
  <c r="D79" i="9" s="1"/>
  <c r="F79" i="9"/>
  <c r="B79" i="9" s="1"/>
  <c r="C79" i="9" s="1"/>
  <c r="G78" i="9"/>
  <c r="H78" i="9" s="1"/>
  <c r="K78" i="9"/>
  <c r="J78" i="9"/>
  <c r="BX3" i="7" s="1"/>
  <c r="I78" i="9"/>
  <c r="BX2" i="7" s="1"/>
  <c r="BX4" i="7" l="1"/>
  <c r="E80" i="9"/>
  <c r="D80" i="9" s="1"/>
  <c r="G79" i="9"/>
  <c r="H79" i="9" s="1"/>
  <c r="F80" i="9"/>
  <c r="B80" i="9" s="1"/>
  <c r="C80" i="9" s="1"/>
  <c r="J79" i="9"/>
  <c r="I79" i="9"/>
  <c r="K79" i="9"/>
  <c r="BY4" i="7" l="1"/>
  <c r="BY2" i="7"/>
  <c r="BY3" i="7"/>
  <c r="F81" i="9"/>
  <c r="B81" i="9" s="1"/>
  <c r="C81" i="9" s="1"/>
  <c r="G80" i="9"/>
  <c r="H80" i="9" s="1"/>
  <c r="E81" i="9"/>
  <c r="D81" i="9" s="1"/>
  <c r="K80" i="9"/>
  <c r="J80" i="9"/>
  <c r="I80" i="9"/>
  <c r="BZ2" i="7" l="1"/>
  <c r="BZ3" i="7"/>
  <c r="BZ4" i="7"/>
  <c r="F82" i="9"/>
  <c r="B82" i="9" s="1"/>
  <c r="C82" i="9" s="1"/>
  <c r="G81" i="9"/>
  <c r="H81" i="9" s="1"/>
  <c r="E82" i="9"/>
  <c r="D82" i="9" s="1"/>
  <c r="I81" i="9"/>
  <c r="J81" i="9"/>
  <c r="K81" i="9"/>
  <c r="CA2" i="7" l="1"/>
  <c r="CA4" i="7"/>
  <c r="CA3" i="7"/>
  <c r="E83" i="9"/>
  <c r="D83" i="9" s="1"/>
  <c r="F83" i="9"/>
  <c r="B83" i="9" s="1"/>
  <c r="C83" i="9" s="1"/>
  <c r="G82" i="9"/>
  <c r="H82" i="9" s="1"/>
  <c r="K82" i="9"/>
  <c r="J82" i="9"/>
  <c r="CB3" i="7" s="1"/>
  <c r="I82" i="9"/>
  <c r="CB2" i="7" s="1"/>
  <c r="CB4" i="7" l="1"/>
  <c r="E84" i="9"/>
  <c r="D84" i="9" s="1"/>
  <c r="F84" i="9"/>
  <c r="G83" i="9"/>
  <c r="H83" i="9" s="1"/>
  <c r="J83" i="9"/>
  <c r="K83" i="9"/>
  <c r="I83" i="9"/>
  <c r="CC2" i="7" l="1"/>
  <c r="CC4" i="7"/>
  <c r="CC3" i="7"/>
  <c r="F85" i="9"/>
  <c r="G84" i="9"/>
  <c r="E85" i="9"/>
  <c r="D85" i="9" s="1"/>
  <c r="J84" i="9"/>
  <c r="I84" i="9"/>
  <c r="K84" i="9"/>
  <c r="B84" i="9"/>
  <c r="C84" i="9" s="1"/>
  <c r="H84" i="9" s="1"/>
  <c r="CD2" i="7" l="1"/>
  <c r="CD3" i="7"/>
  <c r="CD4" i="7"/>
  <c r="F86" i="9"/>
  <c r="G85" i="9"/>
  <c r="E86" i="9"/>
  <c r="D86" i="9" s="1"/>
  <c r="K85" i="9"/>
  <c r="I85" i="9"/>
  <c r="J85" i="9"/>
  <c r="B85" i="9"/>
  <c r="C85" i="9" s="1"/>
  <c r="H85" i="9" l="1"/>
  <c r="CE2" i="7"/>
  <c r="CE4" i="7"/>
  <c r="CE3" i="7"/>
  <c r="E87" i="9"/>
  <c r="D87" i="9" s="1"/>
  <c r="F87" i="9"/>
  <c r="G86" i="9"/>
  <c r="K86" i="9"/>
  <c r="I86" i="9"/>
  <c r="J86" i="9"/>
  <c r="B86" i="9"/>
  <c r="C86" i="9" s="1"/>
  <c r="H86" i="9" s="1"/>
  <c r="CF2" i="7" l="1"/>
  <c r="CF4" i="7"/>
  <c r="CF3" i="7"/>
  <c r="E88" i="9"/>
  <c r="D88" i="9" s="1"/>
  <c r="F88" i="9"/>
  <c r="B88" i="9" s="1"/>
  <c r="C88" i="9" s="1"/>
  <c r="G87" i="9"/>
  <c r="I87" i="9"/>
  <c r="J87" i="9"/>
  <c r="K87" i="9"/>
  <c r="B87" i="9"/>
  <c r="C87" i="9" s="1"/>
  <c r="H87" i="9" s="1"/>
  <c r="CG3" i="7" l="1"/>
  <c r="CG2" i="7"/>
  <c r="CG4" i="7"/>
  <c r="F89" i="9"/>
  <c r="B89" i="9" s="1"/>
  <c r="C89" i="9" s="1"/>
  <c r="G88" i="9"/>
  <c r="H88" i="9" s="1"/>
  <c r="E89" i="9"/>
  <c r="D89" i="9" s="1"/>
  <c r="I88" i="9"/>
  <c r="J88" i="9"/>
  <c r="K88" i="9"/>
  <c r="CH3" i="7" l="1"/>
  <c r="CH4" i="7"/>
  <c r="F90" i="9"/>
  <c r="B90" i="9" s="1"/>
  <c r="C90" i="9" s="1"/>
  <c r="G89" i="9"/>
  <c r="H89" i="9" s="1"/>
  <c r="E90" i="9"/>
  <c r="D90" i="9" s="1"/>
  <c r="K89" i="9"/>
  <c r="I89" i="9"/>
  <c r="J89" i="9"/>
  <c r="CI2" i="7" l="1"/>
  <c r="CI4" i="7"/>
  <c r="CI3" i="7"/>
  <c r="E91" i="9"/>
  <c r="D91" i="9" s="1"/>
  <c r="F91" i="9"/>
  <c r="B91" i="9" s="1"/>
  <c r="C91" i="9" s="1"/>
  <c r="G90" i="9"/>
  <c r="H90" i="9" s="1"/>
  <c r="K90" i="9"/>
  <c r="J90" i="9"/>
  <c r="CJ3" i="7" s="1"/>
  <c r="I90" i="9"/>
  <c r="CJ2" i="7" s="1"/>
  <c r="CJ4" i="7" l="1"/>
  <c r="E92" i="9"/>
  <c r="D92" i="9" s="1"/>
  <c r="F92" i="9"/>
  <c r="B92" i="9" s="1"/>
  <c r="C92" i="9" s="1"/>
  <c r="G91" i="9"/>
  <c r="H91" i="9" s="1"/>
  <c r="J91" i="9"/>
  <c r="I91" i="9"/>
  <c r="K91" i="9"/>
  <c r="CK4" i="7" l="1"/>
  <c r="CK3" i="7"/>
  <c r="CK2" i="7"/>
  <c r="F93" i="9"/>
  <c r="B93" i="9" s="1"/>
  <c r="C93" i="9" s="1"/>
  <c r="G92" i="9"/>
  <c r="H92" i="9" s="1"/>
  <c r="E93" i="9"/>
  <c r="D93" i="9" s="1"/>
  <c r="I92" i="9"/>
  <c r="J92" i="9"/>
  <c r="K92" i="9"/>
  <c r="CL3" i="7" l="1"/>
  <c r="CL2" i="7"/>
  <c r="CL4" i="7"/>
  <c r="F94" i="9"/>
  <c r="B94" i="9" s="1"/>
  <c r="C94" i="9" s="1"/>
  <c r="G93" i="9"/>
  <c r="H93" i="9" s="1"/>
  <c r="E94" i="9"/>
  <c r="D94" i="9" s="1"/>
  <c r="I93" i="9"/>
  <c r="J93" i="9"/>
  <c r="K93" i="9"/>
  <c r="CM4" i="7" l="1"/>
  <c r="CM3" i="7"/>
  <c r="E95" i="9"/>
  <c r="D95" i="9" s="1"/>
  <c r="F95" i="9"/>
  <c r="B95" i="9" s="1"/>
  <c r="C95" i="9" s="1"/>
  <c r="G94" i="9"/>
  <c r="H94" i="9" s="1"/>
  <c r="K94" i="9"/>
  <c r="J94" i="9"/>
  <c r="I94" i="9"/>
  <c r="CN3" i="7" l="1"/>
  <c r="CN4" i="7"/>
  <c r="CN2" i="7"/>
  <c r="E96" i="9"/>
  <c r="D96" i="9" s="1"/>
  <c r="G95" i="9"/>
  <c r="H95" i="9" s="1"/>
  <c r="F96" i="9"/>
  <c r="B96" i="9" s="1"/>
  <c r="C96" i="9" s="1"/>
  <c r="J95" i="9"/>
  <c r="I95" i="9"/>
  <c r="K95" i="9"/>
  <c r="CO3" i="7" l="1"/>
  <c r="CO4" i="7"/>
  <c r="CO2" i="7"/>
  <c r="F97" i="9"/>
  <c r="B97" i="9" s="1"/>
  <c r="C97" i="9" s="1"/>
  <c r="G96" i="9"/>
  <c r="H96" i="9" s="1"/>
  <c r="E97" i="9"/>
  <c r="D97" i="9" s="1"/>
  <c r="J96" i="9"/>
  <c r="I96" i="9"/>
  <c r="K96" i="9"/>
  <c r="CP3" i="7" l="1"/>
  <c r="CP4" i="7"/>
  <c r="CP2" i="7"/>
  <c r="F98" i="9"/>
  <c r="B98" i="9" s="1"/>
  <c r="C98" i="9" s="1"/>
  <c r="G97" i="9"/>
  <c r="H97" i="9" s="1"/>
  <c r="E98" i="9"/>
  <c r="D98" i="9" s="1"/>
  <c r="I97" i="9"/>
  <c r="J97" i="9"/>
  <c r="K97" i="9"/>
  <c r="CQ2" i="7" l="1"/>
  <c r="CQ4" i="7"/>
  <c r="CQ3" i="7"/>
  <c r="E99" i="9"/>
  <c r="D99" i="9" s="1"/>
  <c r="F99" i="9"/>
  <c r="G98" i="9"/>
  <c r="H98" i="9" s="1"/>
  <c r="J98" i="9"/>
  <c r="K98" i="9"/>
  <c r="I98" i="9"/>
  <c r="CR2" i="7" l="1"/>
  <c r="CR3" i="7"/>
  <c r="CR4" i="7"/>
  <c r="E100" i="9"/>
  <c r="D100" i="9" s="1"/>
  <c r="F100" i="9"/>
  <c r="G99" i="9"/>
  <c r="J99" i="9"/>
  <c r="K99" i="9"/>
  <c r="I99" i="9"/>
  <c r="B99" i="9"/>
  <c r="C99" i="9" s="1"/>
  <c r="H99" i="9" s="1"/>
  <c r="CS4" i="7" l="1"/>
  <c r="CS3" i="7"/>
  <c r="CS2" i="7"/>
  <c r="F101" i="9"/>
  <c r="G100" i="9"/>
  <c r="E101" i="9"/>
  <c r="D101" i="9" s="1"/>
  <c r="I100" i="9"/>
  <c r="J100" i="9"/>
  <c r="K100" i="9"/>
  <c r="CT4" i="7" s="1"/>
  <c r="B100" i="9"/>
  <c r="C100" i="9" s="1"/>
  <c r="H100" i="9" s="1"/>
  <c r="CT3" i="7" l="1"/>
  <c r="CT2" i="7"/>
  <c r="F102" i="9"/>
  <c r="G101" i="9"/>
  <c r="E102" i="9"/>
  <c r="D102" i="9" s="1"/>
  <c r="I101" i="9"/>
  <c r="K101" i="9"/>
  <c r="J101" i="9"/>
  <c r="B101" i="9"/>
  <c r="C101" i="9" s="1"/>
  <c r="H101" i="9" l="1"/>
  <c r="CU3" i="7"/>
  <c r="CU4" i="7"/>
  <c r="CU2" i="7"/>
  <c r="E103" i="9"/>
  <c r="D103" i="9" s="1"/>
  <c r="F103" i="9"/>
  <c r="B103" i="9" s="1"/>
  <c r="C103" i="9" s="1"/>
  <c r="G102" i="9"/>
  <c r="K102" i="9"/>
  <c r="I102" i="9"/>
  <c r="J102" i="9"/>
  <c r="B102" i="9"/>
  <c r="C102" i="9" s="1"/>
  <c r="H102" i="9" s="1"/>
  <c r="CV2" i="7" l="1"/>
  <c r="CV4" i="7"/>
  <c r="CV3" i="7"/>
  <c r="E104" i="9"/>
  <c r="D104" i="9" s="1"/>
  <c r="F104" i="9"/>
  <c r="B104" i="9" s="1"/>
  <c r="C104" i="9" s="1"/>
  <c r="G103" i="9"/>
  <c r="H103" i="9" s="1"/>
  <c r="J103" i="9"/>
  <c r="CW3" i="7" s="1"/>
  <c r="I103" i="9"/>
  <c r="CW2" i="7" s="1"/>
  <c r="K103" i="9"/>
  <c r="CW4" i="7" s="1"/>
  <c r="F105" i="9" l="1"/>
  <c r="B105" i="9" s="1"/>
  <c r="C105" i="9" s="1"/>
  <c r="G104" i="9"/>
  <c r="H104" i="9" s="1"/>
  <c r="E105" i="9"/>
  <c r="D105" i="9" s="1"/>
  <c r="J104" i="9"/>
  <c r="I104" i="9"/>
  <c r="K104" i="9"/>
  <c r="CX4" i="7" l="1"/>
  <c r="CX2" i="7"/>
  <c r="CX3" i="7"/>
  <c r="F106" i="9"/>
  <c r="B106" i="9" s="1"/>
  <c r="C106" i="9" s="1"/>
  <c r="G105" i="9"/>
  <c r="H105" i="9" s="1"/>
  <c r="E106" i="9"/>
  <c r="D106" i="9" s="1"/>
  <c r="I105" i="9"/>
  <c r="J105" i="9"/>
  <c r="K105" i="9"/>
  <c r="CY2" i="7" l="1"/>
  <c r="CY4" i="7"/>
  <c r="CY3" i="7"/>
  <c r="E107" i="9"/>
  <c r="D107" i="9" s="1"/>
  <c r="F107" i="9"/>
  <c r="B107" i="9" s="1"/>
  <c r="C107" i="9" s="1"/>
  <c r="G106" i="9"/>
  <c r="H106" i="9" s="1"/>
  <c r="K106" i="9"/>
  <c r="J106" i="9"/>
  <c r="I106" i="9"/>
  <c r="CZ4" i="7" l="1"/>
  <c r="CZ2" i="7"/>
  <c r="CZ3" i="7"/>
  <c r="E108" i="9"/>
  <c r="D108" i="9" s="1"/>
  <c r="F108" i="9"/>
  <c r="B108" i="9" s="1"/>
  <c r="C108" i="9" s="1"/>
  <c r="G107" i="9"/>
  <c r="H107" i="9" s="1"/>
  <c r="J107" i="9"/>
  <c r="K107" i="9"/>
  <c r="I107" i="9"/>
  <c r="DA3" i="7" l="1"/>
  <c r="DA2" i="7"/>
  <c r="DA4" i="7"/>
  <c r="F109" i="9"/>
  <c r="B109" i="9" s="1"/>
  <c r="C109" i="9" s="1"/>
  <c r="G108" i="9"/>
  <c r="H108" i="9" s="1"/>
  <c r="E109" i="9"/>
  <c r="D109" i="9" s="1"/>
  <c r="I108" i="9"/>
  <c r="K108" i="9"/>
  <c r="J108" i="9"/>
  <c r="DB4" i="7" l="1"/>
  <c r="DB3" i="7"/>
  <c r="DB2" i="7"/>
  <c r="F110" i="9"/>
  <c r="B110" i="9" s="1"/>
  <c r="C110" i="9" s="1"/>
  <c r="G109" i="9"/>
  <c r="H109" i="9" s="1"/>
  <c r="E110" i="9"/>
  <c r="D110" i="9" s="1"/>
  <c r="I109" i="9"/>
  <c r="J109" i="9"/>
  <c r="K109" i="9"/>
  <c r="DC2" i="7" l="1"/>
  <c r="DC3" i="7"/>
  <c r="E111" i="9"/>
  <c r="D111" i="9" s="1"/>
  <c r="F111" i="9"/>
  <c r="B111" i="9" s="1"/>
  <c r="C111" i="9" s="1"/>
  <c r="G110" i="9"/>
  <c r="H110" i="9" s="1"/>
  <c r="K110" i="9"/>
  <c r="J110" i="9"/>
  <c r="I110" i="9"/>
  <c r="DD3" i="7" l="1"/>
  <c r="DD2" i="7"/>
  <c r="DD4" i="7"/>
  <c r="E112" i="9"/>
  <c r="D112" i="9" s="1"/>
  <c r="G111" i="9"/>
  <c r="H111" i="9" s="1"/>
  <c r="F112" i="9"/>
  <c r="B112" i="9" s="1"/>
  <c r="C112" i="9" s="1"/>
  <c r="J111" i="9"/>
  <c r="DE3" i="7" s="1"/>
  <c r="I111" i="9"/>
  <c r="DE2" i="7" s="1"/>
  <c r="K111" i="9"/>
  <c r="DE4" i="7" s="1"/>
  <c r="F113" i="9" l="1"/>
  <c r="B113" i="9" s="1"/>
  <c r="C113" i="9" s="1"/>
  <c r="G112" i="9"/>
  <c r="H112" i="9" s="1"/>
  <c r="E113" i="9"/>
  <c r="D113" i="9" s="1"/>
  <c r="J112" i="9"/>
  <c r="K112" i="9"/>
  <c r="I112" i="9"/>
  <c r="DF4" i="7" l="1"/>
  <c r="DF2" i="7"/>
  <c r="DF3" i="7"/>
  <c r="F114" i="9"/>
  <c r="G113" i="9"/>
  <c r="H113" i="9" s="1"/>
  <c r="E114" i="9"/>
  <c r="D114" i="9" s="1"/>
  <c r="J113" i="9"/>
  <c r="I113" i="9"/>
  <c r="K113" i="9"/>
  <c r="DG3" i="7" l="1"/>
  <c r="DG4" i="7"/>
  <c r="DG2" i="7"/>
  <c r="E115" i="9"/>
  <c r="D115" i="9" s="1"/>
  <c r="F115" i="9"/>
  <c r="G114" i="9"/>
  <c r="K114" i="9"/>
  <c r="J114" i="9"/>
  <c r="I114" i="9"/>
  <c r="B114" i="9"/>
  <c r="C114" i="9" s="1"/>
  <c r="H114" i="9" s="1"/>
  <c r="DH3" i="7" l="1"/>
  <c r="DH4" i="7"/>
  <c r="DH2" i="7"/>
  <c r="E116" i="9"/>
  <c r="D116" i="9" s="1"/>
  <c r="F116" i="9"/>
  <c r="G115" i="9"/>
  <c r="J115" i="9"/>
  <c r="DI3" i="7" s="1"/>
  <c r="I115" i="9"/>
  <c r="K115" i="9"/>
  <c r="DI4" i="7" s="1"/>
  <c r="B115" i="9"/>
  <c r="C115" i="9" s="1"/>
  <c r="H115" i="9" s="1"/>
  <c r="DI2" i="7" l="1"/>
  <c r="F117" i="9"/>
  <c r="B117" i="9" s="1"/>
  <c r="C117" i="9" s="1"/>
  <c r="G116" i="9"/>
  <c r="E117" i="9"/>
  <c r="D117" i="9" s="1"/>
  <c r="I116" i="9"/>
  <c r="J116" i="9"/>
  <c r="K116" i="9"/>
  <c r="B116" i="9"/>
  <c r="C116" i="9" s="1"/>
  <c r="H116" i="9" l="1"/>
  <c r="DJ2" i="7" s="1"/>
  <c r="DJ3" i="7"/>
  <c r="F118" i="9"/>
  <c r="B118" i="9" s="1"/>
  <c r="C118" i="9" s="1"/>
  <c r="G117" i="9"/>
  <c r="H117" i="9" s="1"/>
  <c r="E118" i="9"/>
  <c r="D118" i="9" s="1"/>
  <c r="K117" i="9"/>
  <c r="I117" i="9"/>
  <c r="J117" i="9"/>
  <c r="DK3" i="7" s="1"/>
  <c r="DK2" i="7" l="1"/>
  <c r="DJ4" i="7"/>
  <c r="DK4" i="7"/>
  <c r="F119" i="9"/>
  <c r="B119" i="9" s="1"/>
  <c r="C119" i="9" s="1"/>
  <c r="E119" i="9"/>
  <c r="D119" i="9" s="1"/>
  <c r="G118" i="9"/>
  <c r="H118" i="9" s="1"/>
  <c r="K118" i="9"/>
  <c r="I118" i="9"/>
  <c r="J118" i="9"/>
  <c r="DL3" i="7" l="1"/>
  <c r="DL2" i="7"/>
  <c r="E120" i="9"/>
  <c r="D120" i="9" s="1"/>
  <c r="F120" i="9"/>
  <c r="B120" i="9" s="1"/>
  <c r="C120" i="9" s="1"/>
  <c r="G119" i="9"/>
  <c r="H119" i="9" s="1"/>
  <c r="J119" i="9"/>
  <c r="K119" i="9"/>
  <c r="I119" i="9"/>
  <c r="DM4" i="7" l="1"/>
  <c r="DM3" i="7"/>
  <c r="DM2" i="7"/>
  <c r="F121" i="9"/>
  <c r="B121" i="9" s="1"/>
  <c r="C121" i="9" s="1"/>
  <c r="G120" i="9"/>
  <c r="H120" i="9" s="1"/>
  <c r="E121" i="9"/>
  <c r="D121" i="9" s="1"/>
  <c r="J120" i="9"/>
  <c r="I120" i="9"/>
  <c r="K120" i="9"/>
  <c r="DN4" i="7" l="1"/>
  <c r="DN3" i="7"/>
  <c r="DN2" i="7"/>
  <c r="E122" i="9"/>
  <c r="D122" i="9" s="1"/>
  <c r="F122" i="9"/>
  <c r="B122" i="9" s="1"/>
  <c r="C122" i="9" s="1"/>
  <c r="G121" i="9"/>
  <c r="H121" i="9" s="1"/>
  <c r="I121" i="9"/>
  <c r="DO2" i="7" s="1"/>
  <c r="J121" i="9"/>
  <c r="K121" i="9"/>
  <c r="DO4" i="7" l="1"/>
  <c r="DO3" i="7"/>
  <c r="F123" i="9"/>
  <c r="B123" i="9" s="1"/>
  <c r="C123" i="9" s="1"/>
  <c r="G122" i="9"/>
  <c r="H122" i="9" s="1"/>
  <c r="E123" i="9"/>
  <c r="D123" i="9" s="1"/>
  <c r="K122" i="9"/>
  <c r="J122" i="9"/>
  <c r="I122" i="9"/>
  <c r="DP2" i="7" l="1"/>
  <c r="DP3" i="7"/>
  <c r="DP4" i="7"/>
  <c r="E124" i="9"/>
  <c r="D124" i="9" s="1"/>
  <c r="G123" i="9"/>
  <c r="H123" i="9" s="1"/>
  <c r="F124" i="9"/>
  <c r="B124" i="9" s="1"/>
  <c r="C124" i="9" s="1"/>
  <c r="J123" i="9"/>
  <c r="K123" i="9"/>
  <c r="I123" i="9"/>
  <c r="DQ3" i="7" l="1"/>
  <c r="DQ2" i="7"/>
  <c r="DQ4" i="7"/>
  <c r="F125" i="9"/>
  <c r="B125" i="9" s="1"/>
  <c r="C125" i="9" s="1"/>
  <c r="G124" i="9"/>
  <c r="H124" i="9" s="1"/>
  <c r="E125" i="9"/>
  <c r="D125" i="9" s="1"/>
  <c r="I124" i="9"/>
  <c r="J124" i="9"/>
  <c r="K124" i="9"/>
  <c r="DR2" i="7" l="1"/>
  <c r="DR4" i="7"/>
  <c r="DR3" i="7"/>
  <c r="E126" i="9"/>
  <c r="D126" i="9" s="1"/>
  <c r="G125" i="9"/>
  <c r="H125" i="9" s="1"/>
  <c r="F126" i="9"/>
  <c r="B126" i="9" s="1"/>
  <c r="C126" i="9" s="1"/>
  <c r="I125" i="9"/>
  <c r="J125" i="9"/>
  <c r="K125" i="9"/>
  <c r="DS2" i="7" l="1"/>
  <c r="DS3" i="7"/>
  <c r="F127" i="9"/>
  <c r="B127" i="9" s="1"/>
  <c r="C127" i="9" s="1"/>
  <c r="G126" i="9"/>
  <c r="H126" i="9" s="1"/>
  <c r="E127" i="9"/>
  <c r="D127" i="9" s="1"/>
  <c r="K126" i="9"/>
  <c r="J126" i="9"/>
  <c r="DT3" i="7" s="1"/>
  <c r="I126" i="9"/>
  <c r="DT2" i="7" s="1"/>
  <c r="E128" i="9" l="1"/>
  <c r="D128" i="9" s="1"/>
  <c r="F128" i="9"/>
  <c r="B128" i="9" s="1"/>
  <c r="C128" i="9" s="1"/>
  <c r="G127" i="9"/>
  <c r="H127" i="9" s="1"/>
  <c r="J127" i="9"/>
  <c r="I127" i="9"/>
  <c r="K127" i="9"/>
  <c r="DU4" i="7" l="1"/>
  <c r="DU2" i="7"/>
  <c r="DU3" i="7"/>
  <c r="F129" i="9"/>
  <c r="G128" i="9"/>
  <c r="H128" i="9" s="1"/>
  <c r="E129" i="9"/>
  <c r="D129" i="9" s="1"/>
  <c r="J128" i="9"/>
  <c r="K128" i="9"/>
  <c r="I128" i="9"/>
  <c r="DV2" i="7" l="1"/>
  <c r="DV3" i="7"/>
  <c r="DV4" i="7"/>
  <c r="E130" i="9"/>
  <c r="D130" i="9" s="1"/>
  <c r="F130" i="9"/>
  <c r="G129" i="9"/>
  <c r="K129" i="9"/>
  <c r="I129" i="9"/>
  <c r="J129" i="9"/>
  <c r="B129" i="9"/>
  <c r="C129" i="9" s="1"/>
  <c r="H129" i="9" s="1"/>
  <c r="DW3" i="7" l="1"/>
  <c r="DW4" i="7"/>
  <c r="DW2" i="7"/>
  <c r="F131" i="9"/>
  <c r="G130" i="9"/>
  <c r="E131" i="9"/>
  <c r="D131" i="9" s="1"/>
  <c r="J130" i="9"/>
  <c r="K130" i="9"/>
  <c r="I130" i="9"/>
  <c r="B130" i="9"/>
  <c r="C130" i="9" s="1"/>
  <c r="H130" i="9" s="1"/>
  <c r="DX4" i="7" l="1"/>
  <c r="DX3" i="7"/>
  <c r="DX2" i="7"/>
  <c r="E132" i="9"/>
  <c r="D132" i="9" s="1"/>
  <c r="G131" i="9"/>
  <c r="F132" i="9"/>
  <c r="B132" i="9" s="1"/>
  <c r="C132" i="9" s="1"/>
  <c r="J131" i="9"/>
  <c r="K131" i="9"/>
  <c r="I131" i="9"/>
  <c r="B131" i="9"/>
  <c r="C131" i="9" s="1"/>
  <c r="H131" i="9" s="1"/>
  <c r="DY4" i="7" l="1"/>
  <c r="DY3" i="7"/>
  <c r="DY2" i="7"/>
  <c r="F133" i="9"/>
  <c r="B133" i="9" s="1"/>
  <c r="C133" i="9" s="1"/>
  <c r="G132" i="9"/>
  <c r="H132" i="9" s="1"/>
  <c r="E133" i="9"/>
  <c r="D133" i="9" s="1"/>
  <c r="I132" i="9"/>
  <c r="K132" i="9"/>
  <c r="J132" i="9"/>
  <c r="DZ4" i="7" l="1"/>
  <c r="DZ3" i="7"/>
  <c r="DZ2" i="7"/>
  <c r="F134" i="9"/>
  <c r="B134" i="9" s="1"/>
  <c r="C134" i="9" s="1"/>
  <c r="E134" i="9"/>
  <c r="D134" i="9" s="1"/>
  <c r="G133" i="9"/>
  <c r="H133" i="9" s="1"/>
  <c r="I133" i="9"/>
  <c r="EA2" i="7" s="1"/>
  <c r="K133" i="9"/>
  <c r="EA4" i="7" s="1"/>
  <c r="J133" i="9"/>
  <c r="EA3" i="7" s="1"/>
  <c r="E135" i="9" l="1"/>
  <c r="D135" i="9" s="1"/>
  <c r="F135" i="9"/>
  <c r="B135" i="9" s="1"/>
  <c r="C135" i="9" s="1"/>
  <c r="G134" i="9"/>
  <c r="H134" i="9" s="1"/>
  <c r="K134" i="9"/>
  <c r="I134" i="9"/>
  <c r="J134" i="9"/>
  <c r="EB2" i="7" l="1"/>
  <c r="EB3" i="7"/>
  <c r="E136" i="9"/>
  <c r="D136" i="9" s="1"/>
  <c r="F136" i="9"/>
  <c r="B136" i="9" s="1"/>
  <c r="C136" i="9" s="1"/>
  <c r="G135" i="9"/>
  <c r="H135" i="9" s="1"/>
  <c r="J135" i="9"/>
  <c r="K135" i="9"/>
  <c r="I135" i="9"/>
  <c r="EC4" i="7" l="1"/>
  <c r="EC3" i="7"/>
  <c r="EC2" i="7"/>
  <c r="F137" i="9"/>
  <c r="B137" i="9" s="1"/>
  <c r="C137" i="9" s="1"/>
  <c r="G136" i="9"/>
  <c r="H136" i="9" s="1"/>
  <c r="E137" i="9"/>
  <c r="D137" i="9" s="1"/>
  <c r="K136" i="9"/>
  <c r="J136" i="9"/>
  <c r="I136" i="9"/>
  <c r="ED4" i="7" l="1"/>
  <c r="ED2" i="7"/>
  <c r="ED3" i="7"/>
  <c r="F138" i="9"/>
  <c r="B138" i="9" s="1"/>
  <c r="C138" i="9" s="1"/>
  <c r="G137" i="9"/>
  <c r="H137" i="9" s="1"/>
  <c r="E138" i="9"/>
  <c r="D138" i="9" s="1"/>
  <c r="K137" i="9"/>
  <c r="I137" i="9"/>
  <c r="J137" i="9"/>
  <c r="EE4" i="7" l="1"/>
  <c r="EE3" i="7"/>
  <c r="EE2" i="7"/>
  <c r="E139" i="9"/>
  <c r="D139" i="9" s="1"/>
  <c r="F139" i="9"/>
  <c r="B139" i="9" s="1"/>
  <c r="C139" i="9" s="1"/>
  <c r="G138" i="9"/>
  <c r="H138" i="9" s="1"/>
  <c r="K138" i="9"/>
  <c r="J138" i="9"/>
  <c r="I138" i="9"/>
  <c r="EF4" i="7" l="1"/>
  <c r="EF2" i="7"/>
  <c r="EF3" i="7"/>
  <c r="E140" i="9"/>
  <c r="D140" i="9" s="1"/>
  <c r="G139" i="9"/>
  <c r="H139" i="9" s="1"/>
  <c r="F140" i="9"/>
  <c r="B140" i="9" s="1"/>
  <c r="C140" i="9" s="1"/>
  <c r="J139" i="9"/>
  <c r="I139" i="9"/>
  <c r="K139" i="9"/>
  <c r="EG3" i="7" l="1"/>
  <c r="EG4" i="7"/>
  <c r="EG2" i="7"/>
  <c r="F141" i="9"/>
  <c r="B141" i="9" s="1"/>
  <c r="C141" i="9" s="1"/>
  <c r="G140" i="9"/>
  <c r="H140" i="9" s="1"/>
  <c r="E141" i="9"/>
  <c r="D141" i="9" s="1"/>
  <c r="I140" i="9"/>
  <c r="J140" i="9"/>
  <c r="K140" i="9"/>
  <c r="EH3" i="7" l="1"/>
  <c r="EH2" i="7"/>
  <c r="EH4" i="7"/>
  <c r="F142" i="9"/>
  <c r="B142" i="9" s="1"/>
  <c r="C142" i="9" s="1"/>
  <c r="G141" i="9"/>
  <c r="H141" i="9" s="1"/>
  <c r="E142" i="9"/>
  <c r="D142" i="9" s="1"/>
  <c r="I141" i="9"/>
  <c r="K141" i="9"/>
  <c r="J141" i="9"/>
  <c r="EI2" i="7" l="1"/>
  <c r="EI4" i="7"/>
  <c r="EI3" i="7"/>
  <c r="E143" i="9"/>
  <c r="D143" i="9" s="1"/>
  <c r="F143" i="9"/>
  <c r="B143" i="9" s="1"/>
  <c r="C143" i="9" s="1"/>
  <c r="G142" i="9"/>
  <c r="H142" i="9" s="1"/>
  <c r="K142" i="9"/>
  <c r="J142" i="9"/>
  <c r="I142" i="9"/>
  <c r="EJ4" i="7" l="1"/>
  <c r="EJ2" i="7"/>
  <c r="EJ3" i="7"/>
  <c r="E144" i="9"/>
  <c r="D144" i="9" s="1"/>
  <c r="G143" i="9"/>
  <c r="H143" i="9" s="1"/>
  <c r="F144" i="9"/>
  <c r="J143" i="9"/>
  <c r="K143" i="9"/>
  <c r="I143" i="9"/>
  <c r="EK3" i="7" l="1"/>
  <c r="EK2" i="7"/>
  <c r="EK4" i="7"/>
  <c r="F145" i="9"/>
  <c r="G144" i="9"/>
  <c r="E145" i="9"/>
  <c r="D145" i="9" s="1"/>
  <c r="J144" i="9"/>
  <c r="EL3" i="7" s="1"/>
  <c r="I144" i="9"/>
  <c r="K144" i="9"/>
  <c r="B144" i="9"/>
  <c r="C144" i="9" s="1"/>
  <c r="H144" i="9" s="1"/>
  <c r="EL4" i="7" l="1"/>
  <c r="EL2" i="7"/>
  <c r="F146" i="9"/>
  <c r="G145" i="9"/>
  <c r="E146" i="9"/>
  <c r="D146" i="9" s="1"/>
  <c r="K145" i="9"/>
  <c r="J145" i="9"/>
  <c r="I145" i="9"/>
  <c r="B145" i="9"/>
  <c r="C145" i="9" s="1"/>
  <c r="H145" i="9" l="1"/>
  <c r="EM2" i="7"/>
  <c r="EM3" i="7"/>
  <c r="E147" i="9"/>
  <c r="D147" i="9" s="1"/>
  <c r="F147" i="9"/>
  <c r="B147" i="9" s="1"/>
  <c r="C147" i="9" s="1"/>
  <c r="G146" i="9"/>
  <c r="K146" i="9"/>
  <c r="J146" i="9"/>
  <c r="I146" i="9"/>
  <c r="EN2" i="7" s="1"/>
  <c r="B146" i="9"/>
  <c r="C146" i="9" s="1"/>
  <c r="H146" i="9" s="1"/>
  <c r="EN3" i="7" l="1"/>
  <c r="E148" i="9"/>
  <c r="D148" i="9" s="1"/>
  <c r="F148" i="9"/>
  <c r="B148" i="9" s="1"/>
  <c r="C148" i="9" s="1"/>
  <c r="G147" i="9"/>
  <c r="H147" i="9" s="1"/>
  <c r="J147" i="9"/>
  <c r="K147" i="9"/>
  <c r="I147" i="9"/>
  <c r="EO2" i="7" l="1"/>
  <c r="EO4" i="7"/>
  <c r="EO3" i="7"/>
  <c r="F149" i="9"/>
  <c r="B149" i="9" s="1"/>
  <c r="C149" i="9" s="1"/>
  <c r="G148" i="9"/>
  <c r="H148" i="9" s="1"/>
  <c r="E149" i="9"/>
  <c r="D149" i="9" s="1"/>
  <c r="I148" i="9"/>
  <c r="K148" i="9"/>
  <c r="J148" i="9"/>
  <c r="EP2" i="7" l="1"/>
  <c r="EP3" i="7"/>
  <c r="EP4" i="7"/>
  <c r="F150" i="9"/>
  <c r="B150" i="9" s="1"/>
  <c r="C150" i="9" s="1"/>
  <c r="G149" i="9"/>
  <c r="H149" i="9" s="1"/>
  <c r="E150" i="9"/>
  <c r="D150" i="9" s="1"/>
  <c r="K149" i="9"/>
  <c r="I149" i="9"/>
  <c r="J149" i="9"/>
  <c r="EQ4" i="7" l="1"/>
  <c r="EQ3" i="7"/>
  <c r="EQ2" i="7"/>
  <c r="E151" i="9"/>
  <c r="D151" i="9" s="1"/>
  <c r="F151" i="9"/>
  <c r="B151" i="9" s="1"/>
  <c r="C151" i="9" s="1"/>
  <c r="G150" i="9"/>
  <c r="H150" i="9" s="1"/>
  <c r="K150" i="9"/>
  <c r="ER4" i="7" s="1"/>
  <c r="I150" i="9"/>
  <c r="J150" i="9"/>
  <c r="ER3" i="7" l="1"/>
  <c r="ER2" i="7"/>
  <c r="E152" i="9"/>
  <c r="D152" i="9" s="1"/>
  <c r="F152" i="9"/>
  <c r="B152" i="9" s="1"/>
  <c r="C152" i="9" s="1"/>
  <c r="G151" i="9"/>
  <c r="H151" i="9" s="1"/>
  <c r="J151" i="9"/>
  <c r="I151" i="9"/>
  <c r="K151" i="9"/>
  <c r="ES4" i="7" l="1"/>
  <c r="ES2" i="7"/>
  <c r="ES3" i="7"/>
  <c r="F153" i="9"/>
  <c r="B153" i="9" s="1"/>
  <c r="C153" i="9" s="1"/>
  <c r="G152" i="9"/>
  <c r="H152" i="9" s="1"/>
  <c r="E153" i="9"/>
  <c r="D153" i="9" s="1"/>
  <c r="J152" i="9"/>
  <c r="I152" i="9"/>
  <c r="K152" i="9"/>
  <c r="ET3" i="7" l="1"/>
  <c r="ET2" i="7"/>
  <c r="ET4" i="7"/>
  <c r="F154" i="9"/>
  <c r="B154" i="9" s="1"/>
  <c r="C154" i="9" s="1"/>
  <c r="G153" i="9"/>
  <c r="H153" i="9" s="1"/>
  <c r="E154" i="9"/>
  <c r="D154" i="9" s="1"/>
  <c r="K153" i="9"/>
  <c r="I153" i="9"/>
  <c r="J153" i="9"/>
  <c r="EU2" i="7" l="1"/>
  <c r="EU3" i="7"/>
  <c r="E155" i="9"/>
  <c r="D155" i="9" s="1"/>
  <c r="F155" i="9"/>
  <c r="B155" i="9" s="1"/>
  <c r="C155" i="9" s="1"/>
  <c r="G154" i="9"/>
  <c r="H154" i="9" s="1"/>
  <c r="K154" i="9"/>
  <c r="J154" i="9"/>
  <c r="I154" i="9"/>
  <c r="EV3" i="7" l="1"/>
  <c r="EV2" i="7"/>
  <c r="E156" i="9"/>
  <c r="D156" i="9" s="1"/>
  <c r="G155" i="9"/>
  <c r="H155" i="9" s="1"/>
  <c r="F156" i="9"/>
  <c r="B156" i="9" s="1"/>
  <c r="C156" i="9" s="1"/>
  <c r="I155" i="9"/>
  <c r="J155" i="9"/>
  <c r="K155" i="9"/>
  <c r="EW3" i="7" l="1"/>
  <c r="EW2" i="7"/>
  <c r="EW4" i="7"/>
  <c r="F157" i="9"/>
  <c r="B157" i="9" s="1"/>
  <c r="C157" i="9" s="1"/>
  <c r="G156" i="9"/>
  <c r="H156" i="9" s="1"/>
  <c r="E157" i="9"/>
  <c r="D157" i="9" s="1"/>
  <c r="I156" i="9"/>
  <c r="J156" i="9"/>
  <c r="K156" i="9"/>
  <c r="EX2" i="7" l="1"/>
  <c r="EX4" i="7"/>
  <c r="EX3" i="7"/>
  <c r="F158" i="9"/>
  <c r="B158" i="9" s="1"/>
  <c r="C158" i="9" s="1"/>
  <c r="G157" i="9"/>
  <c r="H157" i="9" s="1"/>
  <c r="E158" i="9"/>
  <c r="D158" i="9" s="1"/>
  <c r="K157" i="9"/>
  <c r="I157" i="9"/>
  <c r="J157" i="9"/>
  <c r="EY3" i="7" l="1"/>
  <c r="EY4" i="7"/>
  <c r="EY2" i="7"/>
  <c r="E159" i="9"/>
  <c r="D159" i="9" s="1"/>
  <c r="F159" i="9"/>
  <c r="G158" i="9"/>
  <c r="H158" i="9" s="1"/>
  <c r="K158" i="9"/>
  <c r="J158" i="9"/>
  <c r="I158" i="9"/>
  <c r="EZ2" i="7" l="1"/>
  <c r="EZ4" i="7"/>
  <c r="EZ3" i="7"/>
  <c r="E160" i="9"/>
  <c r="D160" i="9" s="1"/>
  <c r="G159" i="9"/>
  <c r="F160" i="9"/>
  <c r="J159" i="9"/>
  <c r="I159" i="9"/>
  <c r="K159" i="9"/>
  <c r="B159" i="9"/>
  <c r="C159" i="9" s="1"/>
  <c r="H159" i="9" s="1"/>
  <c r="FA2" i="7" l="1"/>
  <c r="FA3" i="7"/>
  <c r="FA4" i="7"/>
  <c r="F161" i="9"/>
  <c r="G160" i="9"/>
  <c r="E161" i="9"/>
  <c r="D161" i="9" s="1"/>
  <c r="K160" i="9"/>
  <c r="J160" i="9"/>
  <c r="I160" i="9"/>
  <c r="B160" i="9"/>
  <c r="C160" i="9" s="1"/>
  <c r="H160" i="9" s="1"/>
  <c r="FB3" i="7" l="1"/>
  <c r="FB4" i="7"/>
  <c r="F162" i="9"/>
  <c r="B162" i="9" s="1"/>
  <c r="C162" i="9" s="1"/>
  <c r="G161" i="9"/>
  <c r="E162" i="9"/>
  <c r="D162" i="9" s="1"/>
  <c r="K161" i="9"/>
  <c r="FC4" i="7" s="1"/>
  <c r="I161" i="9"/>
  <c r="FC2" i="7" s="1"/>
  <c r="J161" i="9"/>
  <c r="B161" i="9"/>
  <c r="C161" i="9" s="1"/>
  <c r="H161" i="9" l="1"/>
  <c r="FC3" i="7"/>
  <c r="E163" i="9"/>
  <c r="D163" i="9" s="1"/>
  <c r="F163" i="9"/>
  <c r="B163" i="9" s="1"/>
  <c r="C163" i="9" s="1"/>
  <c r="G162" i="9"/>
  <c r="H162" i="9" s="1"/>
  <c r="K162" i="9"/>
  <c r="J162" i="9"/>
  <c r="I162" i="9"/>
  <c r="FD2" i="7" l="1"/>
  <c r="FD3" i="7"/>
  <c r="FD4" i="7"/>
  <c r="E164" i="9"/>
  <c r="D164" i="9" s="1"/>
  <c r="F164" i="9"/>
  <c r="B164" i="9" s="1"/>
  <c r="C164" i="9" s="1"/>
  <c r="G163" i="9"/>
  <c r="H163" i="9" s="1"/>
  <c r="J163" i="9"/>
  <c r="I163" i="9"/>
  <c r="K163" i="9"/>
  <c r="FE4" i="7" l="1"/>
  <c r="FE3" i="7"/>
  <c r="FE2" i="7"/>
  <c r="F165" i="9"/>
  <c r="B165" i="9" s="1"/>
  <c r="C165" i="9" s="1"/>
  <c r="G164" i="9"/>
  <c r="H164" i="9" s="1"/>
  <c r="E165" i="9"/>
  <c r="D165" i="9" s="1"/>
  <c r="I164" i="9"/>
  <c r="J164" i="9"/>
  <c r="K164" i="9"/>
  <c r="FF3" i="7" l="1"/>
  <c r="FF2" i="7"/>
  <c r="FF4" i="7"/>
  <c r="F166" i="9"/>
  <c r="B166" i="9" s="1"/>
  <c r="C166" i="9" s="1"/>
  <c r="G165" i="9"/>
  <c r="H165" i="9" s="1"/>
  <c r="E166" i="9"/>
  <c r="D166" i="9" s="1"/>
  <c r="I165" i="9"/>
  <c r="K165" i="9"/>
  <c r="J165" i="9"/>
  <c r="FG4" i="7" l="1"/>
  <c r="FG3" i="7"/>
  <c r="E167" i="9"/>
  <c r="D167" i="9" s="1"/>
  <c r="F167" i="9"/>
  <c r="B167" i="9" s="1"/>
  <c r="C167" i="9" s="1"/>
  <c r="G166" i="9"/>
  <c r="H166" i="9" s="1"/>
  <c r="K166" i="9"/>
  <c r="I166" i="9"/>
  <c r="J166" i="9"/>
  <c r="FH3" i="7" l="1"/>
  <c r="FH4" i="7"/>
  <c r="FH2" i="7"/>
  <c r="E168" i="9"/>
  <c r="D168" i="9" s="1"/>
  <c r="F168" i="9"/>
  <c r="B168" i="9" s="1"/>
  <c r="C168" i="9" s="1"/>
  <c r="G167" i="9"/>
  <c r="H167" i="9" s="1"/>
  <c r="J167" i="9"/>
  <c r="FI3" i="7" s="1"/>
  <c r="K167" i="9"/>
  <c r="FI4" i="7" s="1"/>
  <c r="I167" i="9"/>
  <c r="FI2" i="7" s="1"/>
  <c r="F169" i="9" l="1"/>
  <c r="B169" i="9" s="1"/>
  <c r="C169" i="9" s="1"/>
  <c r="G168" i="9"/>
  <c r="H168" i="9" s="1"/>
  <c r="E169" i="9"/>
  <c r="D169" i="9" s="1"/>
  <c r="J168" i="9"/>
  <c r="I168" i="9"/>
  <c r="K168" i="9"/>
  <c r="FJ4" i="7" l="1"/>
  <c r="FJ2" i="7"/>
  <c r="FJ3" i="7"/>
  <c r="F170" i="9"/>
  <c r="B170" i="9" s="1"/>
  <c r="C170" i="9" s="1"/>
  <c r="G169" i="9"/>
  <c r="H169" i="9" s="1"/>
  <c r="E170" i="9"/>
  <c r="D170" i="9" s="1"/>
  <c r="I169" i="9"/>
  <c r="K169" i="9"/>
  <c r="J169" i="9"/>
  <c r="FK2" i="7" l="1"/>
  <c r="FK3" i="7"/>
  <c r="E171" i="9"/>
  <c r="D171" i="9" s="1"/>
  <c r="F171" i="9"/>
  <c r="B171" i="9" s="1"/>
  <c r="C171" i="9" s="1"/>
  <c r="G170" i="9"/>
  <c r="H170" i="9" s="1"/>
  <c r="K170" i="9"/>
  <c r="J170" i="9"/>
  <c r="I170" i="9"/>
  <c r="FL3" i="7" l="1"/>
  <c r="FL2" i="7"/>
  <c r="E172" i="9"/>
  <c r="D172" i="9" s="1"/>
  <c r="G171" i="9"/>
  <c r="H171" i="9" s="1"/>
  <c r="F172" i="9"/>
  <c r="B172" i="9" s="1"/>
  <c r="C172" i="9" s="1"/>
  <c r="J171" i="9"/>
  <c r="I171" i="9"/>
  <c r="K171" i="9"/>
  <c r="FM2" i="7" l="1"/>
  <c r="FM3" i="7"/>
  <c r="FM4" i="7"/>
  <c r="F173" i="9"/>
  <c r="B173" i="9" s="1"/>
  <c r="C173" i="9" s="1"/>
  <c r="G172" i="9"/>
  <c r="H172" i="9" s="1"/>
  <c r="E173" i="9"/>
  <c r="D173" i="9" s="1"/>
  <c r="I172" i="9"/>
  <c r="J172" i="9"/>
  <c r="K172" i="9"/>
  <c r="FN3" i="7" l="1"/>
  <c r="FN4" i="7"/>
  <c r="FN2" i="7"/>
  <c r="F174" i="9"/>
  <c r="G173" i="9"/>
  <c r="H173" i="9" s="1"/>
  <c r="E174" i="9"/>
  <c r="D174" i="9" s="1"/>
  <c r="K173" i="9"/>
  <c r="I173" i="9"/>
  <c r="J173" i="9"/>
  <c r="FO4" i="7" l="1"/>
  <c r="FO3" i="7"/>
  <c r="FO2" i="7"/>
  <c r="E175" i="9"/>
  <c r="D175" i="9" s="1"/>
  <c r="F175" i="9"/>
  <c r="G174" i="9"/>
  <c r="K174" i="9"/>
  <c r="B174" i="9"/>
  <c r="C174" i="9" s="1"/>
  <c r="H174" i="9" s="1"/>
  <c r="J174" i="9"/>
  <c r="I174" i="9"/>
  <c r="FP4" i="7" l="1"/>
  <c r="FP2" i="7"/>
  <c r="FP3" i="7"/>
  <c r="E176" i="9"/>
  <c r="D176" i="9" s="1"/>
  <c r="F176" i="9"/>
  <c r="G175" i="9"/>
  <c r="J175" i="9"/>
  <c r="I175" i="9"/>
  <c r="K175" i="9"/>
  <c r="B175" i="9"/>
  <c r="C175" i="9" s="1"/>
  <c r="H175" i="9" s="1"/>
  <c r="FQ2" i="7" l="1"/>
  <c r="FQ3" i="7"/>
  <c r="FQ4" i="7"/>
  <c r="E177" i="9"/>
  <c r="D177" i="9" s="1"/>
  <c r="F177" i="9"/>
  <c r="G176" i="9"/>
  <c r="I176" i="9"/>
  <c r="K176" i="9"/>
  <c r="J176" i="9"/>
  <c r="B176" i="9"/>
  <c r="C176" i="9" s="1"/>
  <c r="H176" i="9" s="1"/>
  <c r="FR4" i="7" l="1"/>
  <c r="FR2" i="7"/>
  <c r="E178" i="9"/>
  <c r="D178" i="9" s="1"/>
  <c r="F178" i="9"/>
  <c r="G177" i="9"/>
  <c r="I177" i="9"/>
  <c r="FS2" i="7" s="1"/>
  <c r="K177" i="9"/>
  <c r="J177" i="9"/>
  <c r="B177" i="9"/>
  <c r="C177" i="9" s="1"/>
  <c r="H177" i="9" s="1"/>
  <c r="FS3" i="7" l="1"/>
  <c r="E179" i="9"/>
  <c r="D179" i="9" s="1"/>
  <c r="F179" i="9"/>
  <c r="B179" i="9" s="1"/>
  <c r="C179" i="9" s="1"/>
  <c r="G178" i="9"/>
  <c r="J178" i="9"/>
  <c r="FT3" i="7" s="1"/>
  <c r="K178" i="9"/>
  <c r="I178" i="9"/>
  <c r="B178" i="9"/>
  <c r="C178" i="9" s="1"/>
  <c r="H178" i="9" s="1"/>
  <c r="FT2" i="7" l="1"/>
  <c r="FT4" i="7"/>
  <c r="E180" i="9"/>
  <c r="D180" i="9" s="1"/>
  <c r="F180" i="9"/>
  <c r="B180" i="9" s="1"/>
  <c r="C180" i="9" s="1"/>
  <c r="G179" i="9"/>
  <c r="H179" i="9" s="1"/>
  <c r="J179" i="9"/>
  <c r="I179" i="9"/>
  <c r="K179" i="9"/>
  <c r="FU2" i="7" l="1"/>
  <c r="FU3" i="7"/>
  <c r="FU4" i="7"/>
  <c r="E181" i="9"/>
  <c r="D181" i="9" s="1"/>
  <c r="F181" i="9"/>
  <c r="B181" i="9" s="1"/>
  <c r="C181" i="9" s="1"/>
  <c r="G180" i="9"/>
  <c r="H180" i="9" s="1"/>
  <c r="I180" i="9"/>
  <c r="K180" i="9"/>
  <c r="J180" i="9"/>
  <c r="FV4" i="7" l="1"/>
  <c r="FV3" i="7"/>
  <c r="E182" i="9"/>
  <c r="D182" i="9" s="1"/>
  <c r="F182" i="9"/>
  <c r="B182" i="9" s="1"/>
  <c r="C182" i="9" s="1"/>
  <c r="G181" i="9"/>
  <c r="H181" i="9" s="1"/>
  <c r="K181" i="9"/>
  <c r="J181" i="9"/>
  <c r="I181" i="9"/>
  <c r="FW3" i="7" l="1"/>
  <c r="FW2" i="7"/>
  <c r="FW4" i="7"/>
  <c r="E183" i="9"/>
  <c r="D183" i="9" s="1"/>
  <c r="F183" i="9"/>
  <c r="B183" i="9" s="1"/>
  <c r="C183" i="9" s="1"/>
  <c r="G182" i="9"/>
  <c r="H182" i="9" s="1"/>
  <c r="J182" i="9"/>
  <c r="I182" i="9"/>
  <c r="K182" i="9"/>
  <c r="FX3" i="7" l="1"/>
  <c r="FX4" i="7"/>
  <c r="FX2" i="7"/>
  <c r="E184" i="9"/>
  <c r="D184" i="9" s="1"/>
  <c r="F184" i="9"/>
  <c r="G183" i="9"/>
  <c r="H183" i="9" s="1"/>
  <c r="K183" i="9"/>
  <c r="J183" i="9"/>
  <c r="I183" i="9"/>
  <c r="FY2" i="7" l="1"/>
  <c r="FY3" i="7"/>
  <c r="E185" i="9"/>
  <c r="D185" i="9" s="1"/>
  <c r="F185" i="9"/>
  <c r="G184" i="9"/>
  <c r="I184" i="9"/>
  <c r="K184" i="9"/>
  <c r="J184" i="9"/>
  <c r="B184" i="9"/>
  <c r="C184" i="9" s="1"/>
  <c r="H184" i="9" s="1"/>
  <c r="FZ2" i="7" l="1"/>
  <c r="FZ3" i="7"/>
  <c r="FZ4" i="7"/>
  <c r="E186" i="9"/>
  <c r="D186" i="9" s="1"/>
  <c r="F186" i="9"/>
  <c r="G185" i="9"/>
  <c r="J185" i="9"/>
  <c r="GA3" i="7" s="1"/>
  <c r="K185" i="9"/>
  <c r="I185" i="9"/>
  <c r="B185" i="9"/>
  <c r="C185" i="9" s="1"/>
  <c r="H185" i="9" s="1"/>
  <c r="GA4" i="7" l="1"/>
  <c r="E187" i="9"/>
  <c r="D187" i="9" s="1"/>
  <c r="F187" i="9"/>
  <c r="G186" i="9"/>
  <c r="I186" i="9"/>
  <c r="K186" i="9"/>
  <c r="J186" i="9"/>
  <c r="B186" i="9"/>
  <c r="C186" i="9" s="1"/>
  <c r="H186" i="9" s="1"/>
  <c r="GB4" i="7" l="1"/>
  <c r="GB2" i="7"/>
  <c r="GB3" i="7"/>
  <c r="E188" i="9"/>
  <c r="D188" i="9" s="1"/>
  <c r="F188" i="9"/>
  <c r="G187" i="9"/>
  <c r="I187" i="9"/>
  <c r="GC2" i="7" s="1"/>
  <c r="J187" i="9"/>
  <c r="K187" i="9"/>
  <c r="B187" i="9"/>
  <c r="C187" i="9" s="1"/>
  <c r="H187" i="9" s="1"/>
  <c r="GC4" i="7" l="1"/>
  <c r="GC3" i="7"/>
  <c r="E189" i="9"/>
  <c r="D189" i="9" s="1"/>
  <c r="F189" i="9"/>
  <c r="B189" i="9" s="1"/>
  <c r="C189" i="9" s="1"/>
  <c r="G188" i="9"/>
  <c r="J188" i="9"/>
  <c r="K188" i="9"/>
  <c r="I188" i="9"/>
  <c r="B188" i="9"/>
  <c r="C188" i="9" s="1"/>
  <c r="H188" i="9" l="1"/>
  <c r="GD3" i="7" s="1"/>
  <c r="E190" i="9"/>
  <c r="D190" i="9" s="1"/>
  <c r="F190" i="9"/>
  <c r="B190" i="9" s="1"/>
  <c r="C190" i="9" s="1"/>
  <c r="G189" i="9"/>
  <c r="H189" i="9" s="1"/>
  <c r="I189" i="9"/>
  <c r="K189" i="9"/>
  <c r="J189" i="9"/>
  <c r="GE3" i="7" l="1"/>
  <c r="GE4" i="7"/>
  <c r="GD2" i="7"/>
  <c r="GE2" i="7"/>
  <c r="GD4" i="7"/>
  <c r="E191" i="9"/>
  <c r="D191" i="9" s="1"/>
  <c r="F191" i="9"/>
  <c r="B191" i="9" s="1"/>
  <c r="C191" i="9" s="1"/>
  <c r="G190" i="9"/>
  <c r="H190" i="9" s="1"/>
  <c r="J190" i="9"/>
  <c r="K190" i="9"/>
  <c r="I190" i="9"/>
  <c r="GF2" i="7" l="1"/>
  <c r="GF3" i="7"/>
  <c r="E192" i="9"/>
  <c r="D192" i="9" s="1"/>
  <c r="F192" i="9"/>
  <c r="G191" i="9"/>
  <c r="H191" i="9" s="1"/>
  <c r="J191" i="9"/>
  <c r="I191" i="9"/>
  <c r="K191" i="9"/>
  <c r="GG2" i="7" l="1"/>
  <c r="GG4" i="7"/>
  <c r="GG3" i="7"/>
  <c r="E193" i="9"/>
  <c r="D193" i="9" s="1"/>
  <c r="F193" i="9"/>
  <c r="G192" i="9"/>
  <c r="I192" i="9"/>
  <c r="J192" i="9"/>
  <c r="K192" i="9"/>
  <c r="B192" i="9"/>
  <c r="C192" i="9" s="1"/>
  <c r="H192" i="9" s="1"/>
  <c r="GH2" i="7" l="1"/>
  <c r="GH4" i="7"/>
  <c r="E194" i="9"/>
  <c r="D194" i="9" s="1"/>
  <c r="F194" i="9"/>
  <c r="G193" i="9"/>
  <c r="I193" i="9"/>
  <c r="GI2" i="7" s="1"/>
  <c r="J193" i="9"/>
  <c r="K193" i="9"/>
  <c r="B193" i="9"/>
  <c r="C193" i="9" s="1"/>
  <c r="H193" i="9" s="1"/>
  <c r="GI4" i="7" l="1"/>
  <c r="GI3" i="7"/>
  <c r="E195" i="9"/>
  <c r="D195" i="9" s="1"/>
  <c r="F195" i="9"/>
  <c r="B195" i="9" s="1"/>
  <c r="C195" i="9" s="1"/>
  <c r="G194" i="9"/>
  <c r="J194" i="9"/>
  <c r="I194" i="9"/>
  <c r="K194" i="9"/>
  <c r="B194" i="9"/>
  <c r="C194" i="9" s="1"/>
  <c r="H194" i="9" s="1"/>
  <c r="GJ4" i="7" l="1"/>
  <c r="GJ2" i="7"/>
  <c r="GJ3" i="7"/>
  <c r="E196" i="9"/>
  <c r="D196" i="9" s="1"/>
  <c r="F196" i="9"/>
  <c r="B196" i="9" s="1"/>
  <c r="C196" i="9" s="1"/>
  <c r="G195" i="9"/>
  <c r="H195" i="9" s="1"/>
  <c r="K195" i="9"/>
  <c r="J195" i="9"/>
  <c r="GK3" i="7" s="1"/>
  <c r="I195" i="9"/>
  <c r="GK2" i="7" s="1"/>
  <c r="E197" i="9" l="1"/>
  <c r="D197" i="9" s="1"/>
  <c r="F197" i="9"/>
  <c r="B197" i="9" s="1"/>
  <c r="C197" i="9" s="1"/>
  <c r="G196" i="9"/>
  <c r="H196" i="9" s="1"/>
  <c r="J196" i="9"/>
  <c r="K196" i="9"/>
  <c r="I196" i="9"/>
  <c r="GL4" i="7" l="1"/>
  <c r="GL2" i="7"/>
  <c r="GL3" i="7"/>
  <c r="E198" i="9"/>
  <c r="D198" i="9" s="1"/>
  <c r="F198" i="9"/>
  <c r="B198" i="9" s="1"/>
  <c r="C198" i="9" s="1"/>
  <c r="G197" i="9"/>
  <c r="H197" i="9" s="1"/>
  <c r="J197" i="9"/>
  <c r="I197" i="9"/>
  <c r="K197" i="9"/>
  <c r="GM2" i="7" l="1"/>
  <c r="GM3" i="7"/>
  <c r="E199" i="9"/>
  <c r="D199" i="9" s="1"/>
  <c r="F199" i="9"/>
  <c r="B199" i="9" s="1"/>
  <c r="C199" i="9" s="1"/>
  <c r="G198" i="9"/>
  <c r="H198" i="9" s="1"/>
  <c r="J198" i="9"/>
  <c r="I198" i="9"/>
  <c r="K198" i="9"/>
  <c r="GN2" i="7" l="1"/>
  <c r="GN4" i="7"/>
  <c r="GN3" i="7"/>
  <c r="E200" i="9"/>
  <c r="D200" i="9" s="1"/>
  <c r="F200" i="9"/>
  <c r="B200" i="9" s="1"/>
  <c r="C200" i="9" s="1"/>
  <c r="G199" i="9"/>
  <c r="H199" i="9" s="1"/>
  <c r="K199" i="9"/>
  <c r="J199" i="9"/>
  <c r="I199" i="9"/>
  <c r="GO2" i="7" l="1"/>
  <c r="GO3" i="7"/>
  <c r="E201" i="9"/>
  <c r="D201" i="9" s="1"/>
  <c r="F201" i="9"/>
  <c r="B201" i="9" s="1"/>
  <c r="C201" i="9" s="1"/>
  <c r="G200" i="9"/>
  <c r="H200" i="9" s="1"/>
  <c r="I200" i="9"/>
  <c r="K200" i="9"/>
  <c r="J200" i="9"/>
  <c r="GP3" i="7" l="1"/>
  <c r="GP4" i="7"/>
  <c r="GP2" i="7"/>
  <c r="E202" i="9"/>
  <c r="D202" i="9" s="1"/>
  <c r="F202" i="9"/>
  <c r="B202" i="9" s="1"/>
  <c r="C202" i="9" s="1"/>
  <c r="G201" i="9"/>
  <c r="H201" i="9" s="1"/>
  <c r="J201" i="9"/>
  <c r="GQ3" i="7" s="1"/>
  <c r="K201" i="9"/>
  <c r="I201" i="9"/>
  <c r="GQ2" i="7" s="1"/>
  <c r="E203" i="9" l="1"/>
  <c r="D203" i="9" s="1"/>
  <c r="F203" i="9"/>
  <c r="B203" i="9" s="1"/>
  <c r="C203" i="9" s="1"/>
  <c r="G202" i="9"/>
  <c r="H202" i="9" s="1"/>
  <c r="I202" i="9"/>
  <c r="K202" i="9"/>
  <c r="J202" i="9"/>
  <c r="GR4" i="7" l="1"/>
  <c r="GR3" i="7"/>
  <c r="GR2" i="7"/>
  <c r="E204" i="9"/>
  <c r="D204" i="9" s="1"/>
  <c r="F204" i="9"/>
  <c r="B204" i="9" s="1"/>
  <c r="C204" i="9" s="1"/>
  <c r="G203" i="9"/>
  <c r="H203" i="9" s="1"/>
  <c r="K203" i="9"/>
  <c r="I203" i="9"/>
  <c r="J203" i="9"/>
  <c r="GS2" i="7" l="1"/>
  <c r="GS4" i="7"/>
  <c r="GS3" i="7"/>
  <c r="E205" i="9"/>
  <c r="D205" i="9" s="1"/>
  <c r="F205" i="9"/>
  <c r="B205" i="9" s="1"/>
  <c r="C205" i="9" s="1"/>
  <c r="G204" i="9"/>
  <c r="H204" i="9" s="1"/>
  <c r="K204" i="9"/>
  <c r="I204" i="9"/>
  <c r="J204" i="9"/>
  <c r="GT4" i="7" l="1"/>
  <c r="GT2" i="7"/>
  <c r="E206" i="9"/>
  <c r="D206" i="9" s="1"/>
  <c r="F206" i="9"/>
  <c r="G205" i="9"/>
  <c r="H205" i="9" s="1"/>
  <c r="J205" i="9"/>
  <c r="I205" i="9"/>
  <c r="K205" i="9"/>
  <c r="GU2" i="7" l="1"/>
  <c r="GU3" i="7"/>
  <c r="GU4" i="7"/>
  <c r="E207" i="9"/>
  <c r="D207" i="9" s="1"/>
  <c r="F207" i="9"/>
  <c r="G206" i="9"/>
  <c r="J206" i="9"/>
  <c r="GV3" i="7" s="1"/>
  <c r="K206" i="9"/>
  <c r="I206" i="9"/>
  <c r="B206" i="9"/>
  <c r="C206" i="9" s="1"/>
  <c r="H206" i="9" s="1"/>
  <c r="GV2" i="7" l="1"/>
  <c r="E208" i="9"/>
  <c r="D208" i="9" s="1"/>
  <c r="F208" i="9"/>
  <c r="G207" i="9"/>
  <c r="J207" i="9"/>
  <c r="GW3" i="7" s="1"/>
  <c r="I207" i="9"/>
  <c r="GW2" i="7" s="1"/>
  <c r="K207" i="9"/>
  <c r="GW4" i="7" s="1"/>
  <c r="B207" i="9"/>
  <c r="C207" i="9" s="1"/>
  <c r="H207" i="9" s="1"/>
  <c r="E209" i="9" l="1"/>
  <c r="D209" i="9" s="1"/>
  <c r="F209" i="9"/>
  <c r="B209" i="9" s="1"/>
  <c r="C209" i="9" s="1"/>
  <c r="G208" i="9"/>
  <c r="J208" i="9"/>
  <c r="K208" i="9"/>
  <c r="I208" i="9"/>
  <c r="B208" i="9"/>
  <c r="C208" i="9" s="1"/>
  <c r="H208" i="9" s="1"/>
  <c r="GX3" i="7" l="1"/>
  <c r="GX2" i="7"/>
  <c r="GX4" i="7"/>
  <c r="E210" i="9"/>
  <c r="D210" i="9" s="1"/>
  <c r="F210" i="9"/>
  <c r="B210" i="9" s="1"/>
  <c r="C210" i="9" s="1"/>
  <c r="G209" i="9"/>
  <c r="H209" i="9" s="1"/>
  <c r="I209" i="9"/>
  <c r="K209" i="9"/>
  <c r="J209" i="9"/>
  <c r="GY3" i="7" l="1"/>
  <c r="GY2" i="7"/>
  <c r="E211" i="9"/>
  <c r="D211" i="9" s="1"/>
  <c r="F211" i="9"/>
  <c r="B211" i="9" s="1"/>
  <c r="C211" i="9" s="1"/>
  <c r="G210" i="9"/>
  <c r="H210" i="9" s="1"/>
  <c r="K210" i="9"/>
  <c r="J210" i="9"/>
  <c r="I210" i="9"/>
  <c r="GZ2" i="7" l="1"/>
  <c r="GZ3" i="7"/>
  <c r="GZ4" i="7"/>
  <c r="E212" i="9"/>
  <c r="D212" i="9" s="1"/>
  <c r="F212" i="9"/>
  <c r="B212" i="9" s="1"/>
  <c r="C212" i="9" s="1"/>
  <c r="G211" i="9"/>
  <c r="H211" i="9" s="1"/>
  <c r="K211" i="9"/>
  <c r="I211" i="9"/>
  <c r="J211" i="9"/>
  <c r="HA2" i="7" l="1"/>
  <c r="HA4" i="7"/>
  <c r="HA3" i="7"/>
  <c r="E213" i="9"/>
  <c r="D213" i="9" s="1"/>
  <c r="F213" i="9"/>
  <c r="B213" i="9" s="1"/>
  <c r="C213" i="9" s="1"/>
  <c r="G212" i="9"/>
  <c r="H212" i="9" s="1"/>
  <c r="K212" i="9"/>
  <c r="J212" i="9"/>
  <c r="I212" i="9"/>
  <c r="HB4" i="7" l="1"/>
  <c r="HB2" i="7"/>
  <c r="HB3" i="7"/>
  <c r="E214" i="9"/>
  <c r="D214" i="9" s="1"/>
  <c r="F214" i="9"/>
  <c r="B214" i="9" s="1"/>
  <c r="C214" i="9" s="1"/>
  <c r="G213" i="9"/>
  <c r="H213" i="9" s="1"/>
  <c r="K213" i="9"/>
  <c r="J213" i="9"/>
  <c r="I213" i="9"/>
  <c r="HC3" i="7" l="1"/>
  <c r="HC2" i="7"/>
  <c r="E215" i="9"/>
  <c r="D215" i="9" s="1"/>
  <c r="F215" i="9"/>
  <c r="B215" i="9" s="1"/>
  <c r="C215" i="9" s="1"/>
  <c r="G214" i="9"/>
  <c r="H214" i="9" s="1"/>
  <c r="I214" i="9"/>
  <c r="J214" i="9"/>
  <c r="K214" i="9"/>
  <c r="HD3" i="7" l="1"/>
  <c r="HD2" i="7"/>
  <c r="HD4" i="7"/>
  <c r="E216" i="9"/>
  <c r="D216" i="9" s="1"/>
  <c r="F216" i="9"/>
  <c r="B216" i="9" s="1"/>
  <c r="C216" i="9" s="1"/>
  <c r="G215" i="9"/>
  <c r="H215" i="9" s="1"/>
  <c r="K215" i="9"/>
  <c r="I215" i="9"/>
  <c r="J215" i="9"/>
  <c r="HE3" i="7" l="1"/>
  <c r="HE2" i="7"/>
  <c r="E217" i="9"/>
  <c r="D217" i="9" s="1"/>
  <c r="F217" i="9"/>
  <c r="B217" i="9" s="1"/>
  <c r="C217" i="9" s="1"/>
  <c r="G216" i="9"/>
  <c r="H216" i="9" s="1"/>
  <c r="I216" i="9"/>
  <c r="K216" i="9"/>
  <c r="J216" i="9"/>
  <c r="HF2" i="7" l="1"/>
  <c r="HF4" i="7"/>
  <c r="HF3" i="7"/>
  <c r="E218" i="9"/>
  <c r="D218" i="9" s="1"/>
  <c r="F218" i="9"/>
  <c r="B218" i="9" s="1"/>
  <c r="C218" i="9" s="1"/>
  <c r="G217" i="9"/>
  <c r="H217" i="9" s="1"/>
  <c r="K217" i="9"/>
  <c r="HG4" i="7" s="1"/>
  <c r="J217" i="9"/>
  <c r="HG3" i="7" s="1"/>
  <c r="I217" i="9"/>
  <c r="HG2" i="7" s="1"/>
  <c r="E219" i="9" l="1"/>
  <c r="D219" i="9" s="1"/>
  <c r="F219" i="9"/>
  <c r="B219" i="9" s="1"/>
  <c r="C219" i="9" s="1"/>
  <c r="G218" i="9"/>
  <c r="H218" i="9" s="1"/>
  <c r="K218" i="9"/>
  <c r="I218" i="9"/>
  <c r="J218" i="9"/>
  <c r="HH3" i="7" l="1"/>
  <c r="HH2" i="7"/>
  <c r="E220" i="9"/>
  <c r="D220" i="9" s="1"/>
  <c r="F220" i="9"/>
  <c r="G219" i="9"/>
  <c r="H219" i="9" s="1"/>
  <c r="K219" i="9"/>
  <c r="J219" i="9"/>
  <c r="I219" i="9"/>
  <c r="HI3" i="7" l="1"/>
  <c r="HI2" i="7"/>
  <c r="HI4" i="7"/>
  <c r="E221" i="9"/>
  <c r="D221" i="9" s="1"/>
  <c r="F221" i="9"/>
  <c r="G220" i="9"/>
  <c r="J220" i="9"/>
  <c r="HJ3" i="7" s="1"/>
  <c r="K220" i="9"/>
  <c r="I220" i="9"/>
  <c r="B220" i="9"/>
  <c r="C220" i="9" s="1"/>
  <c r="H220" i="9" s="1"/>
  <c r="HJ2" i="7" l="1"/>
  <c r="HJ4" i="7"/>
  <c r="E222" i="9"/>
  <c r="D222" i="9" s="1"/>
  <c r="F222" i="9"/>
  <c r="G221" i="9"/>
  <c r="I221" i="9"/>
  <c r="HK2" i="7" s="1"/>
  <c r="K221" i="9"/>
  <c r="J221" i="9"/>
  <c r="B221" i="9"/>
  <c r="C221" i="9" s="1"/>
  <c r="H221" i="9" s="1"/>
  <c r="HK3" i="7" l="1"/>
  <c r="HK4" i="7"/>
  <c r="E223" i="9"/>
  <c r="D223" i="9" s="1"/>
  <c r="F223" i="9"/>
  <c r="G222" i="9"/>
  <c r="K222" i="9"/>
  <c r="I222" i="9"/>
  <c r="J222" i="9"/>
  <c r="B222" i="9"/>
  <c r="C222" i="9" s="1"/>
  <c r="H222" i="9" s="1"/>
  <c r="HL3" i="7" l="1"/>
  <c r="HL2" i="7"/>
  <c r="E224" i="9"/>
  <c r="D224" i="9" s="1"/>
  <c r="F224" i="9"/>
  <c r="B224" i="9" s="1"/>
  <c r="C224" i="9" s="1"/>
  <c r="G223" i="9"/>
  <c r="J223" i="9"/>
  <c r="HM3" i="7" s="1"/>
  <c r="I223" i="9"/>
  <c r="K223" i="9"/>
  <c r="HM4" i="7" s="1"/>
  <c r="B223" i="9"/>
  <c r="C223" i="9" s="1"/>
  <c r="H223" i="9" s="1"/>
  <c r="HM2" i="7" l="1"/>
  <c r="E225" i="9"/>
  <c r="D225" i="9" s="1"/>
  <c r="F225" i="9"/>
  <c r="B225" i="9" s="1"/>
  <c r="C225" i="9" s="1"/>
  <c r="G224" i="9"/>
  <c r="H224" i="9" s="1"/>
  <c r="I224" i="9"/>
  <c r="J224" i="9"/>
  <c r="K224" i="9"/>
  <c r="HN3" i="7" l="1"/>
  <c r="HN2" i="7"/>
  <c r="HN4" i="7"/>
  <c r="E226" i="9"/>
  <c r="D226" i="9" s="1"/>
  <c r="G225" i="9"/>
  <c r="H225" i="9" s="1"/>
  <c r="F226" i="9"/>
  <c r="B226" i="9" s="1"/>
  <c r="C226" i="9" s="1"/>
  <c r="I225" i="9"/>
  <c r="HO2" i="7" s="1"/>
  <c r="K225" i="9"/>
  <c r="HO4" i="7" s="1"/>
  <c r="J225" i="9"/>
  <c r="HO3" i="7" s="1"/>
  <c r="E227" i="9" l="1"/>
  <c r="D227" i="9" s="1"/>
  <c r="G226" i="9"/>
  <c r="H226" i="9" s="1"/>
  <c r="F227" i="9"/>
  <c r="B227" i="9" s="1"/>
  <c r="C227" i="9" s="1"/>
  <c r="K226" i="9"/>
  <c r="I226" i="9"/>
  <c r="J226" i="9"/>
  <c r="HP2" i="7" l="1"/>
  <c r="HP4" i="7"/>
  <c r="E228" i="9"/>
  <c r="D228" i="9" s="1"/>
  <c r="G227" i="9"/>
  <c r="H227" i="9" s="1"/>
  <c r="F228" i="9"/>
  <c r="B228" i="9" s="1"/>
  <c r="C228" i="9" s="1"/>
  <c r="K227" i="9"/>
  <c r="J227" i="9"/>
  <c r="I227" i="9"/>
  <c r="HQ4" i="7" l="1"/>
  <c r="HQ3" i="7"/>
  <c r="HQ2" i="7"/>
  <c r="E229" i="9"/>
  <c r="D229" i="9" s="1"/>
  <c r="G228" i="9"/>
  <c r="H228" i="9" s="1"/>
  <c r="F229" i="9"/>
  <c r="B229" i="9" s="1"/>
  <c r="C229" i="9" s="1"/>
  <c r="K228" i="9"/>
  <c r="I228" i="9"/>
  <c r="J228" i="9"/>
  <c r="HR4" i="7" l="1"/>
  <c r="HR3" i="7"/>
  <c r="HR2" i="7"/>
  <c r="E230" i="9"/>
  <c r="D230" i="9" s="1"/>
  <c r="G229" i="9"/>
  <c r="H229" i="9" s="1"/>
  <c r="F230" i="9"/>
  <c r="B230" i="9" s="1"/>
  <c r="C230" i="9" s="1"/>
  <c r="K229" i="9"/>
  <c r="J229" i="9"/>
  <c r="I229" i="9"/>
  <c r="HS2" i="7" l="1"/>
  <c r="HS3" i="7"/>
  <c r="E231" i="9"/>
  <c r="D231" i="9" s="1"/>
  <c r="G230" i="9"/>
  <c r="H230" i="9" s="1"/>
  <c r="F231" i="9"/>
  <c r="B231" i="9" s="1"/>
  <c r="C231" i="9" s="1"/>
  <c r="J230" i="9"/>
  <c r="I230" i="9"/>
  <c r="K230" i="9"/>
  <c r="HT2" i="7" l="1"/>
  <c r="HT3" i="7"/>
  <c r="HT4" i="7"/>
  <c r="E232" i="9"/>
  <c r="D232" i="9" s="1"/>
  <c r="G231" i="9"/>
  <c r="H231" i="9" s="1"/>
  <c r="F232" i="9"/>
  <c r="B232" i="9" s="1"/>
  <c r="C232" i="9" s="1"/>
  <c r="K231" i="9"/>
  <c r="HU4" i="7" s="1"/>
  <c r="I231" i="9"/>
  <c r="HU2" i="7" s="1"/>
  <c r="J231" i="9"/>
  <c r="HU3" i="7" s="1"/>
  <c r="E233" i="9" l="1"/>
  <c r="D233" i="9" s="1"/>
  <c r="G232" i="9"/>
  <c r="H232" i="9" s="1"/>
  <c r="F233" i="9"/>
  <c r="B233" i="9" s="1"/>
  <c r="C233" i="9" s="1"/>
  <c r="I232" i="9"/>
  <c r="HV2" i="7" s="1"/>
  <c r="J232" i="9"/>
  <c r="HV3" i="7" s="1"/>
  <c r="K232" i="9"/>
  <c r="HV4" i="7" s="1"/>
  <c r="E234" i="9" l="1"/>
  <c r="D234" i="9" s="1"/>
  <c r="G233" i="9"/>
  <c r="H233" i="9" s="1"/>
  <c r="F234" i="9"/>
  <c r="I233" i="9"/>
  <c r="K233" i="9"/>
  <c r="J233" i="9"/>
  <c r="HW4" i="7" l="1"/>
  <c r="E235" i="9"/>
  <c r="D235" i="9" s="1"/>
  <c r="G234" i="9"/>
  <c r="F235" i="9"/>
  <c r="I234" i="9"/>
  <c r="HX2" i="7" s="1"/>
  <c r="K234" i="9"/>
  <c r="HX4" i="7" s="1"/>
  <c r="J234" i="9"/>
  <c r="HX3" i="7" s="1"/>
  <c r="B234" i="9"/>
  <c r="C234" i="9" s="1"/>
  <c r="H234" i="9" s="1"/>
  <c r="E236" i="9" l="1"/>
  <c r="D236" i="9" s="1"/>
  <c r="G235" i="9"/>
  <c r="F236" i="9"/>
  <c r="I235" i="9"/>
  <c r="J235" i="9"/>
  <c r="K235" i="9"/>
  <c r="B235" i="9"/>
  <c r="C235" i="9" s="1"/>
  <c r="H235" i="9" l="1"/>
  <c r="HY2" i="7" s="1"/>
  <c r="E237" i="9"/>
  <c r="D237" i="9" s="1"/>
  <c r="G236" i="9"/>
  <c r="F237" i="9"/>
  <c r="K236" i="9"/>
  <c r="I236" i="9"/>
  <c r="J236" i="9"/>
  <c r="B236" i="9"/>
  <c r="C236" i="9" s="1"/>
  <c r="HY3" i="7" l="1"/>
  <c r="HY4" i="7"/>
  <c r="H236" i="9"/>
  <c r="HZ2" i="7" s="1"/>
  <c r="E238" i="9"/>
  <c r="D238" i="9" s="1"/>
  <c r="G237" i="9"/>
  <c r="F238" i="9"/>
  <c r="B238" i="9" s="1"/>
  <c r="C238" i="9" s="1"/>
  <c r="I237" i="9"/>
  <c r="J237" i="9"/>
  <c r="K237" i="9"/>
  <c r="B237" i="9"/>
  <c r="C237" i="9" s="1"/>
  <c r="HZ4" i="7" l="1"/>
  <c r="HZ3" i="7"/>
  <c r="IA2" i="7"/>
  <c r="H237" i="9"/>
  <c r="IA4" i="7" s="1"/>
  <c r="IA3" i="7"/>
  <c r="E239" i="9"/>
  <c r="D239" i="9" s="1"/>
  <c r="G238" i="9"/>
  <c r="H238" i="9" s="1"/>
  <c r="F239" i="9"/>
  <c r="B239" i="9" s="1"/>
  <c r="C239" i="9" s="1"/>
  <c r="K238" i="9"/>
  <c r="J238" i="9"/>
  <c r="I238" i="9"/>
  <c r="IB3" i="7" l="1"/>
  <c r="IB2" i="7"/>
  <c r="IB4" i="7"/>
  <c r="E240" i="9"/>
  <c r="D240" i="9" s="1"/>
  <c r="G239" i="9"/>
  <c r="H239" i="9" s="1"/>
  <c r="F240" i="9"/>
  <c r="B240" i="9" s="1"/>
  <c r="C240" i="9" s="1"/>
  <c r="I239" i="9"/>
  <c r="J239" i="9"/>
  <c r="K239" i="9"/>
  <c r="IC2" i="7" l="1"/>
  <c r="IC4" i="7"/>
  <c r="IC3" i="7"/>
  <c r="E241" i="9"/>
  <c r="D241" i="9" s="1"/>
  <c r="G240" i="9"/>
  <c r="H240" i="9" s="1"/>
  <c r="F241" i="9"/>
  <c r="B241" i="9" s="1"/>
  <c r="C241" i="9" s="1"/>
  <c r="K240" i="9"/>
  <c r="I240" i="9"/>
  <c r="J240" i="9"/>
  <c r="ID4" i="7" l="1"/>
  <c r="E242" i="9"/>
  <c r="D242" i="9" s="1"/>
  <c r="G241" i="9"/>
  <c r="H241" i="9" s="1"/>
  <c r="F242" i="9"/>
  <c r="B242" i="9" s="1"/>
  <c r="C242" i="9" s="1"/>
  <c r="I241" i="9"/>
  <c r="IE2" i="7" s="1"/>
  <c r="K241" i="9"/>
  <c r="IE4" i="7" s="1"/>
  <c r="J241" i="9"/>
  <c r="IE3" i="7" l="1"/>
  <c r="E243" i="9"/>
  <c r="D243" i="9" s="1"/>
  <c r="G242" i="9"/>
  <c r="H242" i="9" s="1"/>
  <c r="F243" i="9"/>
  <c r="B243" i="9" s="1"/>
  <c r="C243" i="9" s="1"/>
  <c r="J242" i="9"/>
  <c r="IF3" i="7" s="1"/>
  <c r="K242" i="9"/>
  <c r="IF4" i="7" s="1"/>
  <c r="I242" i="9"/>
  <c r="IF2" i="7" l="1"/>
  <c r="E244" i="9"/>
  <c r="D244" i="9" s="1"/>
  <c r="G243" i="9"/>
  <c r="H243" i="9" s="1"/>
  <c r="F244" i="9"/>
  <c r="B244" i="9" s="1"/>
  <c r="C244" i="9" s="1"/>
  <c r="K243" i="9"/>
  <c r="J243" i="9"/>
  <c r="I243" i="9"/>
  <c r="IG2" i="7" l="1"/>
  <c r="IG3" i="7"/>
  <c r="IG4" i="7"/>
  <c r="E245" i="9"/>
  <c r="D245" i="9" s="1"/>
  <c r="G244" i="9"/>
  <c r="H244" i="9" s="1"/>
  <c r="F245" i="9"/>
  <c r="B245" i="9" s="1"/>
  <c r="C245" i="9" s="1"/>
  <c r="I244" i="9"/>
  <c r="IH2" i="7" s="1"/>
  <c r="K244" i="9"/>
  <c r="IH4" i="7" s="1"/>
  <c r="J244" i="9"/>
  <c r="IH3" i="7" s="1"/>
  <c r="E246" i="9" l="1"/>
  <c r="D246" i="9" s="1"/>
  <c r="G245" i="9"/>
  <c r="H245" i="9" s="1"/>
  <c r="F246" i="9"/>
  <c r="B246" i="9" s="1"/>
  <c r="C246" i="9" s="1"/>
  <c r="K245" i="9"/>
  <c r="J245" i="9"/>
  <c r="I245" i="9"/>
  <c r="II2" i="7" l="1"/>
  <c r="II4" i="7"/>
  <c r="E247" i="9"/>
  <c r="D247" i="9" s="1"/>
  <c r="G246" i="9"/>
  <c r="H246" i="9" s="1"/>
  <c r="F247" i="9"/>
  <c r="B247" i="9" s="1"/>
  <c r="C247" i="9" s="1"/>
  <c r="J246" i="9"/>
  <c r="I246" i="9"/>
  <c r="K246" i="9"/>
  <c r="IJ2" i="7" l="1"/>
  <c r="IJ3" i="7"/>
  <c r="IJ4" i="7"/>
  <c r="E248" i="9"/>
  <c r="D248" i="9" s="1"/>
  <c r="G247" i="9"/>
  <c r="H247" i="9" s="1"/>
  <c r="F248" i="9"/>
  <c r="I247" i="9"/>
  <c r="J247" i="9"/>
  <c r="K247" i="9"/>
  <c r="IK2" i="7" l="1"/>
  <c r="IK3" i="7"/>
  <c r="E249" i="9"/>
  <c r="D249" i="9" s="1"/>
  <c r="G248" i="9"/>
  <c r="F249" i="9"/>
  <c r="I248" i="9"/>
  <c r="IL2" i="7" s="1"/>
  <c r="J248" i="9"/>
  <c r="K248" i="9"/>
  <c r="B248" i="9"/>
  <c r="C248" i="9" s="1"/>
  <c r="H248" i="9" s="1"/>
  <c r="IL4" i="7" l="1"/>
  <c r="IL3" i="7"/>
  <c r="E250" i="9"/>
  <c r="D250" i="9" s="1"/>
  <c r="G249" i="9"/>
  <c r="F250" i="9"/>
  <c r="I249" i="9"/>
  <c r="IM2" i="7" s="1"/>
  <c r="J249" i="9"/>
  <c r="K249" i="9"/>
  <c r="B249" i="9"/>
  <c r="C249" i="9" s="1"/>
  <c r="H249" i="9" s="1"/>
  <c r="IM4" i="7" l="1"/>
  <c r="IM3" i="7"/>
  <c r="E251" i="9"/>
  <c r="D251" i="9" s="1"/>
  <c r="G250" i="9"/>
  <c r="F251" i="9"/>
  <c r="I250" i="9"/>
  <c r="IN2" i="7" s="1"/>
  <c r="J250" i="9"/>
  <c r="K250" i="9"/>
  <c r="B250" i="9"/>
  <c r="C250" i="9" s="1"/>
  <c r="H250" i="9" s="1"/>
  <c r="IN4" i="7" l="1"/>
  <c r="IN3" i="7"/>
  <c r="E252" i="9"/>
  <c r="D252" i="9" s="1"/>
  <c r="G251" i="9"/>
  <c r="F252" i="9"/>
  <c r="B252" i="9" s="1"/>
  <c r="C252" i="9" s="1"/>
  <c r="I251" i="9"/>
  <c r="IO2" i="7" s="1"/>
  <c r="K251" i="9"/>
  <c r="J251" i="9"/>
  <c r="B251" i="9"/>
  <c r="C251" i="9" s="1"/>
  <c r="H251" i="9" s="1"/>
  <c r="IO3" i="7" l="1"/>
  <c r="IO4" i="7"/>
  <c r="E253" i="9"/>
  <c r="D253" i="9" s="1"/>
  <c r="G252" i="9"/>
  <c r="H252" i="9" s="1"/>
  <c r="F253" i="9"/>
  <c r="B253" i="9" s="1"/>
  <c r="C253" i="9" s="1"/>
  <c r="J252" i="9"/>
  <c r="K252" i="9"/>
  <c r="I252" i="9"/>
  <c r="IP4" i="7" l="1"/>
  <c r="IP2" i="7"/>
  <c r="IP3" i="7"/>
  <c r="E254" i="9"/>
  <c r="D254" i="9" s="1"/>
  <c r="G253" i="9"/>
  <c r="H253" i="9" s="1"/>
  <c r="F254" i="9"/>
  <c r="B254" i="9" s="1"/>
  <c r="C254" i="9" s="1"/>
  <c r="J253" i="9"/>
  <c r="I253" i="9"/>
  <c r="K253" i="9"/>
  <c r="IQ3" i="7" l="1"/>
  <c r="IQ4" i="7"/>
  <c r="IQ2" i="7"/>
  <c r="F255" i="9"/>
  <c r="B255" i="9" s="1"/>
  <c r="C255" i="9" s="1"/>
  <c r="E255" i="9"/>
  <c r="D255" i="9" s="1"/>
  <c r="G254" i="9"/>
  <c r="H254" i="9" s="1"/>
  <c r="J254" i="9"/>
  <c r="I254" i="9"/>
  <c r="K254" i="9"/>
  <c r="IR3" i="7" l="1"/>
  <c r="IR2" i="7"/>
  <c r="F256" i="9"/>
  <c r="B256" i="9" s="1"/>
  <c r="C256" i="9" s="1"/>
  <c r="E256" i="9"/>
  <c r="D256" i="9" s="1"/>
  <c r="G255" i="9"/>
  <c r="H255" i="9" s="1"/>
  <c r="J255" i="9"/>
  <c r="I255" i="9"/>
  <c r="K255" i="9"/>
  <c r="IS2" i="7" l="1"/>
  <c r="IS3" i="7"/>
  <c r="IS4" i="7"/>
  <c r="F257" i="9"/>
  <c r="B257" i="9" s="1"/>
  <c r="C257" i="9" s="1"/>
  <c r="E257" i="9"/>
  <c r="D257" i="9" s="1"/>
  <c r="G256" i="9"/>
  <c r="H256" i="9" s="1"/>
  <c r="J256" i="9"/>
  <c r="K256" i="9"/>
  <c r="I256" i="9"/>
  <c r="IT2" i="7" l="1"/>
  <c r="IT3" i="7"/>
  <c r="F258" i="9"/>
  <c r="B258" i="9" s="1"/>
  <c r="C258" i="9" s="1"/>
  <c r="E258" i="9"/>
  <c r="D258" i="9" s="1"/>
  <c r="G257" i="9"/>
  <c r="H257" i="9" s="1"/>
  <c r="K257" i="9"/>
  <c r="I257" i="9"/>
  <c r="J257" i="9"/>
  <c r="IU2" i="7" l="1"/>
  <c r="IU4" i="7"/>
  <c r="IU3" i="7"/>
  <c r="F259" i="9"/>
  <c r="B259" i="9" s="1"/>
  <c r="C259" i="9" s="1"/>
  <c r="E259" i="9"/>
  <c r="D259" i="9" s="1"/>
  <c r="G258" i="9"/>
  <c r="H258" i="9" s="1"/>
  <c r="J258" i="9"/>
  <c r="IV3" i="7" s="1"/>
  <c r="K258" i="9"/>
  <c r="IV4" i="7" s="1"/>
  <c r="I258" i="9"/>
  <c r="IV2" i="7" s="1"/>
  <c r="F260" i="9" l="1"/>
  <c r="B260" i="9" s="1"/>
  <c r="C260" i="9" s="1"/>
  <c r="E260" i="9"/>
  <c r="D260" i="9" s="1"/>
  <c r="G259" i="9"/>
  <c r="H259" i="9" s="1"/>
  <c r="J259" i="9"/>
  <c r="K259" i="9"/>
  <c r="I259" i="9"/>
  <c r="IW2" i="7" l="1"/>
  <c r="IW3" i="7"/>
  <c r="F261" i="9"/>
  <c r="B261" i="9" s="1"/>
  <c r="C261" i="9" s="1"/>
  <c r="E261" i="9"/>
  <c r="D261" i="9" s="1"/>
  <c r="G260" i="9"/>
  <c r="H260" i="9" s="1"/>
  <c r="J260" i="9"/>
  <c r="K260" i="9"/>
  <c r="I260" i="9"/>
  <c r="IX4" i="7" l="1"/>
  <c r="IX3" i="7"/>
  <c r="IX2" i="7"/>
  <c r="F262" i="9"/>
  <c r="B262" i="9" s="1"/>
  <c r="C262" i="9" s="1"/>
  <c r="E262" i="9"/>
  <c r="D262" i="9" s="1"/>
  <c r="G261" i="9"/>
  <c r="H261" i="9" s="1"/>
  <c r="J261" i="9"/>
  <c r="IY3" i="7" s="1"/>
  <c r="K261" i="9"/>
  <c r="I261" i="9"/>
  <c r="IY2" i="7" s="1"/>
  <c r="F263" i="9" l="1"/>
  <c r="E263" i="9"/>
  <c r="D263" i="9" s="1"/>
  <c r="G262" i="9"/>
  <c r="H262" i="9" s="1"/>
  <c r="J262" i="9"/>
  <c r="I262" i="9"/>
  <c r="K262" i="9"/>
  <c r="IZ2" i="7" l="1"/>
  <c r="IZ4" i="7"/>
  <c r="IZ3" i="7"/>
  <c r="F264" i="9"/>
  <c r="E264" i="9"/>
  <c r="D264" i="9" s="1"/>
  <c r="G263" i="9"/>
  <c r="I263" i="9"/>
  <c r="K263" i="9"/>
  <c r="J263" i="9"/>
  <c r="B263" i="9"/>
  <c r="C263" i="9" s="1"/>
  <c r="H263" i="9" s="1"/>
  <c r="JA4" i="7" l="1"/>
  <c r="JA2" i="7"/>
  <c r="JA3" i="7"/>
  <c r="F265" i="9"/>
  <c r="E265" i="9"/>
  <c r="D265" i="9" s="1"/>
  <c r="G264" i="9"/>
  <c r="K264" i="9"/>
  <c r="I264" i="9"/>
  <c r="J264" i="9"/>
  <c r="B264" i="9"/>
  <c r="C264" i="9" s="1"/>
  <c r="H264" i="9" s="1"/>
  <c r="JB2" i="7" l="1"/>
  <c r="JB4" i="7"/>
  <c r="JB3" i="7"/>
  <c r="F266" i="9"/>
  <c r="E266" i="9"/>
  <c r="D266" i="9" s="1"/>
  <c r="G265" i="9"/>
  <c r="J265" i="9"/>
  <c r="JC3" i="7" s="1"/>
  <c r="K265" i="9"/>
  <c r="I265" i="9"/>
  <c r="B265" i="9"/>
  <c r="C265" i="9" s="1"/>
  <c r="H265" i="9" s="1"/>
  <c r="JC2" i="7" l="1"/>
  <c r="JC4" i="7"/>
  <c r="F267" i="9"/>
  <c r="B267" i="9" s="1"/>
  <c r="C267" i="9" s="1"/>
  <c r="E267" i="9"/>
  <c r="D267" i="9" s="1"/>
  <c r="G266" i="9"/>
  <c r="I266" i="9"/>
  <c r="JD2" i="7" s="1"/>
  <c r="K266" i="9"/>
  <c r="J266" i="9"/>
  <c r="JD3" i="7" s="1"/>
  <c r="B266" i="9"/>
  <c r="C266" i="9" s="1"/>
  <c r="H266" i="9" s="1"/>
  <c r="F268" i="9" l="1"/>
  <c r="B268" i="9" s="1"/>
  <c r="C268" i="9" s="1"/>
  <c r="E268" i="9"/>
  <c r="D268" i="9" s="1"/>
  <c r="G267" i="9"/>
  <c r="H267" i="9" s="1"/>
  <c r="K267" i="9"/>
  <c r="I267" i="9"/>
  <c r="J267" i="9"/>
  <c r="JE2" i="7" l="1"/>
  <c r="JE3" i="7"/>
  <c r="JE4" i="7"/>
  <c r="F269" i="9"/>
  <c r="B269" i="9" s="1"/>
  <c r="C269" i="9" s="1"/>
  <c r="E269" i="9"/>
  <c r="D269" i="9" s="1"/>
  <c r="G268" i="9"/>
  <c r="H268" i="9" s="1"/>
  <c r="I268" i="9"/>
  <c r="J268" i="9"/>
  <c r="K268" i="9"/>
  <c r="JF3" i="7" l="1"/>
  <c r="JF2" i="7"/>
  <c r="JF4" i="7"/>
  <c r="F270" i="9"/>
  <c r="B270" i="9" s="1"/>
  <c r="C270" i="9" s="1"/>
  <c r="E270" i="9"/>
  <c r="D270" i="9" s="1"/>
  <c r="G269" i="9"/>
  <c r="H269" i="9" s="1"/>
  <c r="J269" i="9"/>
  <c r="I269" i="9"/>
  <c r="K269" i="9"/>
  <c r="JG3" i="7" l="1"/>
  <c r="JG4" i="7"/>
  <c r="JG2" i="7"/>
  <c r="F271" i="9"/>
  <c r="B271" i="9" s="1"/>
  <c r="C271" i="9" s="1"/>
  <c r="E271" i="9"/>
  <c r="D271" i="9" s="1"/>
  <c r="G270" i="9"/>
  <c r="H270" i="9" s="1"/>
  <c r="I270" i="9"/>
  <c r="JH2" i="7" s="1"/>
  <c r="K270" i="9"/>
  <c r="JH4" i="7" s="1"/>
  <c r="J270" i="9"/>
  <c r="JH3" i="7" s="1"/>
  <c r="F272" i="9" l="1"/>
  <c r="B272" i="9" s="1"/>
  <c r="C272" i="9" s="1"/>
  <c r="E272" i="9"/>
  <c r="D272" i="9" s="1"/>
  <c r="G271" i="9"/>
  <c r="H271" i="9" s="1"/>
  <c r="J271" i="9"/>
  <c r="I271" i="9"/>
  <c r="K271" i="9"/>
  <c r="JI2" i="7" l="1"/>
  <c r="JI4" i="7"/>
  <c r="JI3" i="7"/>
  <c r="F273" i="9"/>
  <c r="B273" i="9" s="1"/>
  <c r="C273" i="9" s="1"/>
  <c r="E273" i="9"/>
  <c r="D273" i="9" s="1"/>
  <c r="G272" i="9"/>
  <c r="H272" i="9" s="1"/>
  <c r="J272" i="9"/>
  <c r="JJ3" i="7" s="1"/>
  <c r="I272" i="9"/>
  <c r="JJ2" i="7" s="1"/>
  <c r="K272" i="9"/>
  <c r="JJ4" i="7" s="1"/>
  <c r="F274" i="9" l="1"/>
  <c r="B274" i="9" s="1"/>
  <c r="C274" i="9" s="1"/>
  <c r="E274" i="9"/>
  <c r="D274" i="9" s="1"/>
  <c r="G273" i="9"/>
  <c r="H273" i="9" s="1"/>
  <c r="K273" i="9"/>
  <c r="I273" i="9"/>
  <c r="J273" i="9"/>
  <c r="JK2" i="7" l="1"/>
  <c r="JK3" i="7"/>
  <c r="F275" i="9"/>
  <c r="B275" i="9" s="1"/>
  <c r="C275" i="9" s="1"/>
  <c r="E275" i="9"/>
  <c r="D275" i="9" s="1"/>
  <c r="G274" i="9"/>
  <c r="H274" i="9" s="1"/>
  <c r="K274" i="9"/>
  <c r="J274" i="9"/>
  <c r="I274" i="9"/>
  <c r="JL3" i="7" l="1"/>
  <c r="JL4" i="7"/>
  <c r="JL2" i="7"/>
  <c r="F276" i="9"/>
  <c r="B276" i="9" s="1"/>
  <c r="C276" i="9" s="1"/>
  <c r="E276" i="9"/>
  <c r="D276" i="9" s="1"/>
  <c r="G275" i="9"/>
  <c r="H275" i="9" s="1"/>
  <c r="J275" i="9"/>
  <c r="JM3" i="7" s="1"/>
  <c r="K275" i="9"/>
  <c r="JM4" i="7" s="1"/>
  <c r="I275" i="9"/>
  <c r="JM2" i="7" s="1"/>
  <c r="F277" i="9" l="1"/>
  <c r="B277" i="9" s="1"/>
  <c r="C277" i="9" s="1"/>
  <c r="E277" i="9"/>
  <c r="D277" i="9" s="1"/>
  <c r="G276" i="9"/>
  <c r="H276" i="9" s="1"/>
  <c r="K276" i="9"/>
  <c r="J276" i="9"/>
  <c r="I276" i="9"/>
  <c r="JN3" i="7" l="1"/>
  <c r="JN2" i="7"/>
  <c r="JN4" i="7"/>
  <c r="F278" i="9"/>
  <c r="E278" i="9"/>
  <c r="D278" i="9" s="1"/>
  <c r="G277" i="9"/>
  <c r="H277" i="9" s="1"/>
  <c r="J277" i="9"/>
  <c r="K277" i="9"/>
  <c r="I277" i="9"/>
  <c r="JO3" i="7" l="1"/>
  <c r="JO2" i="7"/>
  <c r="F279" i="9"/>
  <c r="E279" i="9"/>
  <c r="D279" i="9" s="1"/>
  <c r="G278" i="9"/>
  <c r="I278" i="9"/>
  <c r="JP2" i="7" s="1"/>
  <c r="K278" i="9"/>
  <c r="J278" i="9"/>
  <c r="B278" i="9"/>
  <c r="C278" i="9" s="1"/>
  <c r="H278" i="9" s="1"/>
  <c r="JP3" i="7" l="1"/>
  <c r="JP4" i="7"/>
  <c r="F280" i="9"/>
  <c r="E280" i="9"/>
  <c r="D280" i="9" s="1"/>
  <c r="G279" i="9"/>
  <c r="K279" i="9"/>
  <c r="I279" i="9"/>
  <c r="JQ2" i="7" s="1"/>
  <c r="J279" i="9"/>
  <c r="B279" i="9"/>
  <c r="C279" i="9" s="1"/>
  <c r="H279" i="9" s="1"/>
  <c r="JQ3" i="7" l="1"/>
  <c r="F281" i="9"/>
  <c r="B281" i="9" s="1"/>
  <c r="C281" i="9" s="1"/>
  <c r="E281" i="9"/>
  <c r="D281" i="9" s="1"/>
  <c r="G280" i="9"/>
  <c r="K280" i="9"/>
  <c r="I280" i="9"/>
  <c r="J280" i="9"/>
  <c r="B280" i="9"/>
  <c r="C280" i="9" s="1"/>
  <c r="H280" i="9" s="1"/>
  <c r="JR3" i="7" l="1"/>
  <c r="JR2" i="7"/>
  <c r="JR4" i="7"/>
  <c r="F282" i="9"/>
  <c r="B282" i="9" s="1"/>
  <c r="C282" i="9" s="1"/>
  <c r="E282" i="9"/>
  <c r="D282" i="9" s="1"/>
  <c r="G281" i="9"/>
  <c r="H281" i="9" s="1"/>
  <c r="I281" i="9"/>
  <c r="K281" i="9"/>
  <c r="J281" i="9"/>
  <c r="JS4" i="7" l="1"/>
  <c r="JS3" i="7"/>
  <c r="JS2" i="7"/>
  <c r="F283" i="9"/>
  <c r="B283" i="9" s="1"/>
  <c r="C283" i="9" s="1"/>
  <c r="E283" i="9"/>
  <c r="D283" i="9" s="1"/>
  <c r="G282" i="9"/>
  <c r="H282" i="9" s="1"/>
  <c r="I282" i="9"/>
  <c r="JT2" i="7" s="1"/>
  <c r="J282" i="9"/>
  <c r="JT3" i="7" s="1"/>
  <c r="K282" i="9"/>
  <c r="JT4" i="7" s="1"/>
  <c r="F284" i="9" l="1"/>
  <c r="B284" i="9" s="1"/>
  <c r="C284" i="9" s="1"/>
  <c r="E284" i="9"/>
  <c r="D284" i="9" s="1"/>
  <c r="G283" i="9"/>
  <c r="H283" i="9" s="1"/>
  <c r="K283" i="9"/>
  <c r="J283" i="9"/>
  <c r="I283" i="9"/>
  <c r="JU3" i="7" l="1"/>
  <c r="JU2" i="7"/>
  <c r="JU4" i="7"/>
  <c r="F285" i="9"/>
  <c r="B285" i="9" s="1"/>
  <c r="C285" i="9" s="1"/>
  <c r="E285" i="9"/>
  <c r="D285" i="9" s="1"/>
  <c r="G284" i="9"/>
  <c r="H284" i="9" s="1"/>
  <c r="K284" i="9"/>
  <c r="J284" i="9"/>
  <c r="I284" i="9"/>
  <c r="JV2" i="7" l="1"/>
  <c r="JV4" i="7"/>
  <c r="JV3" i="7"/>
  <c r="F286" i="9"/>
  <c r="B286" i="9" s="1"/>
  <c r="C286" i="9" s="1"/>
  <c r="E286" i="9"/>
  <c r="D286" i="9" s="1"/>
  <c r="G285" i="9"/>
  <c r="H285" i="9" s="1"/>
  <c r="I285" i="9"/>
  <c r="J285" i="9"/>
  <c r="K285" i="9"/>
  <c r="JW3" i="7" l="1"/>
  <c r="JW2" i="7"/>
  <c r="JW4" i="7"/>
  <c r="F287" i="9"/>
  <c r="B287" i="9" s="1"/>
  <c r="C287" i="9" s="1"/>
  <c r="E287" i="9"/>
  <c r="D287" i="9" s="1"/>
  <c r="G286" i="9"/>
  <c r="H286" i="9" s="1"/>
  <c r="K286" i="9"/>
  <c r="I286" i="9"/>
  <c r="JX2" i="7" s="1"/>
  <c r="J286" i="9"/>
  <c r="F288" i="9" l="1"/>
  <c r="B288" i="9" s="1"/>
  <c r="C288" i="9" s="1"/>
  <c r="E288" i="9"/>
  <c r="D288" i="9" s="1"/>
  <c r="G287" i="9"/>
  <c r="H287" i="9" s="1"/>
  <c r="J287" i="9"/>
  <c r="I287" i="9"/>
  <c r="K287" i="9"/>
  <c r="JY4" i="7" l="1"/>
  <c r="JY2" i="7"/>
  <c r="JY3" i="7"/>
  <c r="F289" i="9"/>
  <c r="B289" i="9" s="1"/>
  <c r="C289" i="9" s="1"/>
  <c r="E289" i="9"/>
  <c r="D289" i="9" s="1"/>
  <c r="G288" i="9"/>
  <c r="H288" i="9" s="1"/>
  <c r="J288" i="9"/>
  <c r="I288" i="9"/>
  <c r="K288" i="9"/>
  <c r="JZ2" i="7" l="1"/>
  <c r="JZ3" i="7"/>
  <c r="JZ4" i="7"/>
  <c r="F290" i="9"/>
  <c r="B290" i="9" s="1"/>
  <c r="C290" i="9" s="1"/>
  <c r="E290" i="9"/>
  <c r="D290" i="9" s="1"/>
  <c r="G289" i="9"/>
  <c r="H289" i="9" s="1"/>
  <c r="I289" i="9"/>
  <c r="K289" i="9"/>
  <c r="J289" i="9"/>
  <c r="KA2" i="7" l="1"/>
  <c r="KA3" i="7"/>
  <c r="KA4" i="7"/>
  <c r="F291" i="9"/>
  <c r="B291" i="9" s="1"/>
  <c r="C291" i="9" s="1"/>
  <c r="E291" i="9"/>
  <c r="D291" i="9" s="1"/>
  <c r="G290" i="9"/>
  <c r="H290" i="9" s="1"/>
  <c r="K290" i="9"/>
  <c r="KB4" i="7" s="1"/>
  <c r="J290" i="9"/>
  <c r="I290" i="9"/>
  <c r="KB2" i="7" s="1"/>
  <c r="F292" i="9" l="1"/>
  <c r="B292" i="9" s="1"/>
  <c r="C292" i="9" s="1"/>
  <c r="E292" i="9"/>
  <c r="D292" i="9" s="1"/>
  <c r="G291" i="9"/>
  <c r="H291" i="9" s="1"/>
  <c r="K291" i="9"/>
  <c r="J291" i="9"/>
  <c r="I291" i="9"/>
  <c r="KC3" i="7" l="1"/>
  <c r="KC2" i="7"/>
  <c r="KC4" i="7"/>
  <c r="F293" i="9"/>
  <c r="E293" i="9"/>
  <c r="D293" i="9" s="1"/>
  <c r="G292" i="9"/>
  <c r="H292" i="9" s="1"/>
  <c r="K292" i="9"/>
  <c r="I292" i="9"/>
  <c r="J292" i="9"/>
  <c r="KD2" i="7" l="1"/>
  <c r="KD4" i="7"/>
  <c r="KD3" i="7"/>
  <c r="F294" i="9"/>
  <c r="E294" i="9"/>
  <c r="D294" i="9" s="1"/>
  <c r="G293" i="9"/>
  <c r="I293" i="9"/>
  <c r="K293" i="9"/>
  <c r="J293" i="9"/>
  <c r="B293" i="9"/>
  <c r="C293" i="9" s="1"/>
  <c r="H293" i="9" s="1"/>
  <c r="KE3" i="7" l="1"/>
  <c r="KE2" i="7"/>
  <c r="F295" i="9"/>
  <c r="E295" i="9"/>
  <c r="D295" i="9" s="1"/>
  <c r="G294" i="9"/>
  <c r="K294" i="9"/>
  <c r="I294" i="9"/>
  <c r="J294" i="9"/>
  <c r="B294" i="9"/>
  <c r="C294" i="9" s="1"/>
  <c r="H294" i="9" s="1"/>
  <c r="KF3" i="7" l="1"/>
  <c r="KF2" i="7"/>
  <c r="F296" i="9"/>
  <c r="B296" i="9" s="1"/>
  <c r="C296" i="9" s="1"/>
  <c r="E296" i="9"/>
  <c r="D296" i="9" s="1"/>
  <c r="G295" i="9"/>
  <c r="K295" i="9"/>
  <c r="KG4" i="7" s="1"/>
  <c r="I295" i="9"/>
  <c r="KG2" i="7" s="1"/>
  <c r="J295" i="9"/>
  <c r="B295" i="9"/>
  <c r="C295" i="9" s="1"/>
  <c r="H295" i="9" s="1"/>
  <c r="KG3" i="7" l="1"/>
  <c r="F297" i="9"/>
  <c r="B297" i="9" s="1"/>
  <c r="C297" i="9" s="1"/>
  <c r="E297" i="9"/>
  <c r="D297" i="9" s="1"/>
  <c r="G296" i="9"/>
  <c r="H296" i="9" s="1"/>
  <c r="K296" i="9"/>
  <c r="J296" i="9"/>
  <c r="I296" i="9"/>
  <c r="KH2" i="7" l="1"/>
  <c r="KH4" i="7"/>
  <c r="F298" i="9"/>
  <c r="B298" i="9" s="1"/>
  <c r="C298" i="9" s="1"/>
  <c r="E298" i="9"/>
  <c r="D298" i="9" s="1"/>
  <c r="G297" i="9"/>
  <c r="H297" i="9" s="1"/>
  <c r="K297" i="9"/>
  <c r="I297" i="9"/>
  <c r="J297" i="9"/>
  <c r="KI4" i="7" l="1"/>
  <c r="KI2" i="7"/>
  <c r="KI3" i="7"/>
  <c r="F299" i="9"/>
  <c r="B299" i="9" s="1"/>
  <c r="C299" i="9" s="1"/>
  <c r="E299" i="9"/>
  <c r="D299" i="9" s="1"/>
  <c r="G298" i="9"/>
  <c r="H298" i="9" s="1"/>
  <c r="I298" i="9"/>
  <c r="J298" i="9"/>
  <c r="K298" i="9"/>
  <c r="KJ2" i="7" l="1"/>
  <c r="KJ4" i="7"/>
  <c r="KJ3" i="7"/>
  <c r="F300" i="9"/>
  <c r="B300" i="9" s="1"/>
  <c r="C300" i="9" s="1"/>
  <c r="E300" i="9"/>
  <c r="D300" i="9" s="1"/>
  <c r="G299" i="9"/>
  <c r="H299" i="9" s="1"/>
  <c r="J299" i="9"/>
  <c r="KK3" i="7" s="1"/>
  <c r="K299" i="9"/>
  <c r="KK4" i="7" s="1"/>
  <c r="I299" i="9"/>
  <c r="KK2" i="7" s="1"/>
  <c r="F301" i="9" l="1"/>
  <c r="B301" i="9" s="1"/>
  <c r="C301" i="9" s="1"/>
  <c r="E301" i="9"/>
  <c r="D301" i="9" s="1"/>
  <c r="G300" i="9"/>
  <c r="H300" i="9" s="1"/>
  <c r="J300" i="9"/>
  <c r="I300" i="9"/>
  <c r="K300" i="9"/>
  <c r="KL4" i="7" l="1"/>
  <c r="KL3" i="7"/>
  <c r="F302" i="9"/>
  <c r="B302" i="9" s="1"/>
  <c r="C302" i="9" s="1"/>
  <c r="E302" i="9"/>
  <c r="D302" i="9" s="1"/>
  <c r="G301" i="9"/>
  <c r="H301" i="9" s="1"/>
  <c r="K301" i="9"/>
  <c r="I301" i="9"/>
  <c r="J301" i="9"/>
  <c r="KM2" i="7" l="1"/>
  <c r="KM3" i="7"/>
  <c r="F303" i="9"/>
  <c r="B303" i="9" s="1"/>
  <c r="C303" i="9" s="1"/>
  <c r="E303" i="9"/>
  <c r="D303" i="9" s="1"/>
  <c r="G302" i="9"/>
  <c r="H302" i="9" s="1"/>
  <c r="J302" i="9"/>
  <c r="I302" i="9"/>
  <c r="K302" i="9"/>
  <c r="KN3" i="7" l="1"/>
  <c r="KN2" i="7"/>
  <c r="F304" i="9"/>
  <c r="B304" i="9" s="1"/>
  <c r="C304" i="9" s="1"/>
  <c r="E304" i="9"/>
  <c r="D304" i="9" s="1"/>
  <c r="G303" i="9"/>
  <c r="H303" i="9" s="1"/>
  <c r="J303" i="9"/>
  <c r="K303" i="9"/>
  <c r="I303" i="9"/>
  <c r="KO3" i="7" l="1"/>
  <c r="KO4" i="7"/>
  <c r="KO2" i="7"/>
  <c r="F305" i="9"/>
  <c r="B305" i="9" s="1"/>
  <c r="C305" i="9" s="1"/>
  <c r="E305" i="9"/>
  <c r="D305" i="9" s="1"/>
  <c r="G304" i="9"/>
  <c r="H304" i="9" s="1"/>
  <c r="J304" i="9"/>
  <c r="KP3" i="7" s="1"/>
  <c r="K304" i="9"/>
  <c r="KP4" i="7" s="1"/>
  <c r="I304" i="9"/>
  <c r="KP2" i="7" s="1"/>
  <c r="F306" i="9" l="1"/>
  <c r="B306" i="9" s="1"/>
  <c r="C306" i="9" s="1"/>
  <c r="E306" i="9"/>
  <c r="D306" i="9" s="1"/>
  <c r="G305" i="9"/>
  <c r="H305" i="9" s="1"/>
  <c r="J305" i="9"/>
  <c r="K305" i="9"/>
  <c r="I305" i="9"/>
  <c r="KQ4" i="7" l="1"/>
  <c r="KQ2" i="7"/>
  <c r="KQ3" i="7"/>
  <c r="F307" i="9"/>
  <c r="B307" i="9" s="1"/>
  <c r="C307" i="9" s="1"/>
  <c r="E307" i="9"/>
  <c r="D307" i="9" s="1"/>
  <c r="G306" i="9"/>
  <c r="H306" i="9" s="1"/>
  <c r="J306" i="9"/>
  <c r="KR3" i="7" s="1"/>
  <c r="I306" i="9"/>
  <c r="KR2" i="7" s="1"/>
  <c r="K306" i="9"/>
  <c r="KR4" i="7" s="1"/>
  <c r="F308" i="9" l="1"/>
  <c r="E308" i="9"/>
  <c r="D308" i="9" s="1"/>
  <c r="G307" i="9"/>
  <c r="H307" i="9" s="1"/>
  <c r="K307" i="9"/>
  <c r="KS4" i="7" s="1"/>
  <c r="J307" i="9"/>
  <c r="KS3" i="7" s="1"/>
  <c r="I307" i="9"/>
  <c r="KS2" i="7" s="1"/>
  <c r="F309" i="9" l="1"/>
  <c r="E309" i="9"/>
  <c r="D309" i="9" s="1"/>
  <c r="G308" i="9"/>
  <c r="J308" i="9"/>
  <c r="K308" i="9"/>
  <c r="I308" i="9"/>
  <c r="B308" i="9"/>
  <c r="C308" i="9" s="1"/>
  <c r="H308" i="9" s="1"/>
  <c r="KT2" i="7" l="1"/>
  <c r="KT3" i="7"/>
  <c r="KT4" i="7"/>
  <c r="F310" i="9"/>
  <c r="E310" i="9"/>
  <c r="D310" i="9" s="1"/>
  <c r="G309" i="9"/>
  <c r="I309" i="9"/>
  <c r="KU2" i="7" s="1"/>
  <c r="K309" i="9"/>
  <c r="J309" i="9"/>
  <c r="B309" i="9"/>
  <c r="C309" i="9" s="1"/>
  <c r="H309" i="9" s="1"/>
  <c r="KU3" i="7" l="1"/>
  <c r="KU4" i="7"/>
  <c r="F311" i="9"/>
  <c r="B311" i="9" s="1"/>
  <c r="C311" i="9" s="1"/>
  <c r="E311" i="9"/>
  <c r="D311" i="9" s="1"/>
  <c r="G310" i="9"/>
  <c r="I310" i="9"/>
  <c r="KV2" i="7" s="1"/>
  <c r="K310" i="9"/>
  <c r="J310" i="9"/>
  <c r="B310" i="9"/>
  <c r="C310" i="9" s="1"/>
  <c r="H310" i="9" s="1"/>
  <c r="KV3" i="7" l="1"/>
  <c r="F312" i="9"/>
  <c r="B312" i="9" s="1"/>
  <c r="C312" i="9" s="1"/>
  <c r="E312" i="9"/>
  <c r="D312" i="9" s="1"/>
  <c r="G311" i="9"/>
  <c r="H311" i="9" s="1"/>
  <c r="I311" i="9"/>
  <c r="K311" i="9"/>
  <c r="J311" i="9"/>
  <c r="KW3" i="7" l="1"/>
  <c r="KW4" i="7"/>
  <c r="KW2" i="7"/>
  <c r="F313" i="9"/>
  <c r="B313" i="9" s="1"/>
  <c r="C313" i="9" s="1"/>
  <c r="E313" i="9"/>
  <c r="D313" i="9" s="1"/>
  <c r="G312" i="9"/>
  <c r="H312" i="9" s="1"/>
  <c r="J312" i="9"/>
  <c r="K312" i="9"/>
  <c r="I312" i="9"/>
  <c r="KX3" i="7" l="1"/>
  <c r="KX2" i="7"/>
  <c r="KX4" i="7"/>
  <c r="F314" i="9"/>
  <c r="B314" i="9" s="1"/>
  <c r="C314" i="9" s="1"/>
  <c r="E314" i="9"/>
  <c r="D314" i="9" s="1"/>
  <c r="G313" i="9"/>
  <c r="H313" i="9" s="1"/>
  <c r="I313" i="9"/>
  <c r="J313" i="9"/>
  <c r="K313" i="9"/>
  <c r="KY3" i="7" l="1"/>
  <c r="KY2" i="7"/>
  <c r="KY4" i="7"/>
  <c r="F315" i="9"/>
  <c r="B315" i="9" s="1"/>
  <c r="C315" i="9" s="1"/>
  <c r="E315" i="9"/>
  <c r="D315" i="9" s="1"/>
  <c r="G314" i="9"/>
  <c r="H314" i="9" s="1"/>
  <c r="I314" i="9"/>
  <c r="J314" i="9"/>
  <c r="K314" i="9"/>
  <c r="KZ3" i="7" l="1"/>
  <c r="KZ2" i="7"/>
  <c r="KZ4" i="7"/>
  <c r="F316" i="9"/>
  <c r="B316" i="9" s="1"/>
  <c r="C316" i="9" s="1"/>
  <c r="E316" i="9"/>
  <c r="D316" i="9" s="1"/>
  <c r="G315" i="9"/>
  <c r="H315" i="9" s="1"/>
  <c r="I315" i="9"/>
  <c r="LA2" i="7" s="1"/>
  <c r="J315" i="9"/>
  <c r="LA3" i="7" s="1"/>
  <c r="K315" i="9"/>
  <c r="LA4" i="7" s="1"/>
  <c r="F317" i="9" l="1"/>
  <c r="B317" i="9" s="1"/>
  <c r="C317" i="9" s="1"/>
  <c r="E317" i="9"/>
  <c r="D317" i="9" s="1"/>
  <c r="G316" i="9"/>
  <c r="H316" i="9" s="1"/>
  <c r="I316" i="9"/>
  <c r="J316" i="9"/>
  <c r="K316" i="9"/>
  <c r="LB4" i="7" l="1"/>
  <c r="LB3" i="7"/>
  <c r="F318" i="9"/>
  <c r="B318" i="9" s="1"/>
  <c r="C318" i="9" s="1"/>
  <c r="E318" i="9"/>
  <c r="D318" i="9" s="1"/>
  <c r="G317" i="9"/>
  <c r="H317" i="9" s="1"/>
  <c r="K317" i="9"/>
  <c r="I317" i="9"/>
  <c r="J317" i="9"/>
  <c r="LC2" i="7" l="1"/>
  <c r="LC4" i="7"/>
  <c r="LC3" i="7"/>
  <c r="F319" i="9"/>
  <c r="B319" i="9" s="1"/>
  <c r="C319" i="9" s="1"/>
  <c r="E319" i="9"/>
  <c r="D319" i="9" s="1"/>
  <c r="G318" i="9"/>
  <c r="H318" i="9" s="1"/>
  <c r="J318" i="9"/>
  <c r="LD3" i="7" s="1"/>
  <c r="K318" i="9"/>
  <c r="LD4" i="7" s="1"/>
  <c r="I318" i="9"/>
  <c r="LD2" i="7" s="1"/>
  <c r="F320" i="9" l="1"/>
  <c r="B320" i="9" s="1"/>
  <c r="C320" i="9" s="1"/>
  <c r="E320" i="9"/>
  <c r="D320" i="9" s="1"/>
  <c r="G319" i="9"/>
  <c r="H319" i="9" s="1"/>
  <c r="I319" i="9"/>
  <c r="J319" i="9"/>
  <c r="K319" i="9"/>
  <c r="LE3" i="7" l="1"/>
  <c r="LE4" i="7"/>
  <c r="LE2" i="7"/>
  <c r="F321" i="9"/>
  <c r="B321" i="9" s="1"/>
  <c r="C321" i="9" s="1"/>
  <c r="E321" i="9"/>
  <c r="D321" i="9" s="1"/>
  <c r="G320" i="9"/>
  <c r="H320" i="9" s="1"/>
  <c r="K320" i="9"/>
  <c r="LF4" i="7" s="1"/>
  <c r="I320" i="9"/>
  <c r="LF2" i="7" s="1"/>
  <c r="J320" i="9"/>
  <c r="LF3" i="7" s="1"/>
  <c r="F322" i="9" l="1"/>
  <c r="B322" i="9" s="1"/>
  <c r="C322" i="9" s="1"/>
  <c r="E322" i="9"/>
  <c r="D322" i="9" s="1"/>
  <c r="G321" i="9"/>
  <c r="H321" i="9" s="1"/>
  <c r="K321" i="9"/>
  <c r="I321" i="9"/>
  <c r="J321" i="9"/>
  <c r="LG2" i="7" l="1"/>
  <c r="LG4" i="7"/>
  <c r="F323" i="9"/>
  <c r="E323" i="9"/>
  <c r="D323" i="9" s="1"/>
  <c r="G322" i="9"/>
  <c r="H322" i="9" s="1"/>
  <c r="J322" i="9"/>
  <c r="I322" i="9"/>
  <c r="K322" i="9"/>
  <c r="LH2" i="7" l="1"/>
  <c r="LH3" i="7"/>
  <c r="LH4" i="7"/>
  <c r="F324" i="9"/>
  <c r="E324" i="9"/>
  <c r="D324" i="9" s="1"/>
  <c r="G323" i="9"/>
  <c r="K323" i="9"/>
  <c r="LI4" i="7" s="1"/>
  <c r="I323" i="9"/>
  <c r="J323" i="9"/>
  <c r="B323" i="9"/>
  <c r="C323" i="9" s="1"/>
  <c r="H323" i="9" s="1"/>
  <c r="LI3" i="7" l="1"/>
  <c r="LI2" i="7"/>
  <c r="F325" i="9"/>
  <c r="G324" i="9"/>
  <c r="E325" i="9"/>
  <c r="D325" i="9" s="1"/>
  <c r="K324" i="9"/>
  <c r="LJ4" i="7" s="1"/>
  <c r="I324" i="9"/>
  <c r="J324" i="9"/>
  <c r="B324" i="9"/>
  <c r="C324" i="9" s="1"/>
  <c r="H324" i="9" l="1"/>
  <c r="LJ3" i="7"/>
  <c r="LJ2" i="7"/>
  <c r="F326" i="9"/>
  <c r="B326" i="9" s="1"/>
  <c r="C326" i="9" s="1"/>
  <c r="G325" i="9"/>
  <c r="E326" i="9"/>
  <c r="D326" i="9" s="1"/>
  <c r="I325" i="9"/>
  <c r="K325" i="9"/>
  <c r="J325" i="9"/>
  <c r="B325" i="9"/>
  <c r="C325" i="9" s="1"/>
  <c r="H325" i="9" s="1"/>
  <c r="LK2" i="7" l="1"/>
  <c r="LK3" i="7"/>
  <c r="F327" i="9"/>
  <c r="B327" i="9" s="1"/>
  <c r="C327" i="9" s="1"/>
  <c r="E327" i="9"/>
  <c r="D327" i="9" s="1"/>
  <c r="G326" i="9"/>
  <c r="H326" i="9" s="1"/>
  <c r="K326" i="9"/>
  <c r="I326" i="9"/>
  <c r="J326" i="9"/>
  <c r="LL3" i="7" l="1"/>
  <c r="LL2" i="7"/>
  <c r="F328" i="9"/>
  <c r="B328" i="9" s="1"/>
  <c r="C328" i="9" s="1"/>
  <c r="E328" i="9"/>
  <c r="D328" i="9" s="1"/>
  <c r="G327" i="9"/>
  <c r="H327" i="9" s="1"/>
  <c r="K327" i="9"/>
  <c r="I327" i="9"/>
  <c r="J327" i="9"/>
  <c r="LM2" i="7" l="1"/>
  <c r="LM4" i="7"/>
  <c r="LM3" i="7"/>
  <c r="F329" i="9"/>
  <c r="B329" i="9" s="1"/>
  <c r="C329" i="9" s="1"/>
  <c r="G328" i="9"/>
  <c r="H328" i="9" s="1"/>
  <c r="E329" i="9"/>
  <c r="D329" i="9" s="1"/>
  <c r="K328" i="9"/>
  <c r="J328" i="9"/>
  <c r="I328" i="9"/>
  <c r="LN4" i="7" l="1"/>
  <c r="LN2" i="7"/>
  <c r="LN3" i="7"/>
  <c r="F330" i="9"/>
  <c r="B330" i="9" s="1"/>
  <c r="C330" i="9" s="1"/>
  <c r="G329" i="9"/>
  <c r="H329" i="9" s="1"/>
  <c r="E330" i="9"/>
  <c r="D330" i="9" s="1"/>
  <c r="K329" i="9"/>
  <c r="I329" i="9"/>
  <c r="J329" i="9"/>
  <c r="LO3" i="7" l="1"/>
  <c r="LO4" i="7"/>
  <c r="LO2" i="7"/>
  <c r="F331" i="9"/>
  <c r="B331" i="9" s="1"/>
  <c r="C331" i="9" s="1"/>
  <c r="E331" i="9"/>
  <c r="D331" i="9" s="1"/>
  <c r="G330" i="9"/>
  <c r="H330" i="9" s="1"/>
  <c r="I330" i="9"/>
  <c r="LP2" i="7" s="1"/>
  <c r="J330" i="9"/>
  <c r="LP3" i="7" s="1"/>
  <c r="K330" i="9"/>
  <c r="LP4" i="7" s="1"/>
  <c r="F332" i="9" l="1"/>
  <c r="B332" i="9" s="1"/>
  <c r="C332" i="9" s="1"/>
  <c r="E332" i="9"/>
  <c r="D332" i="9" s="1"/>
  <c r="G331" i="9"/>
  <c r="H331" i="9" s="1"/>
  <c r="J331" i="9"/>
  <c r="I331" i="9"/>
  <c r="K331" i="9"/>
  <c r="LQ2" i="7" l="1"/>
  <c r="LQ4" i="7"/>
  <c r="LQ3" i="7"/>
  <c r="F333" i="9"/>
  <c r="B333" i="9" s="1"/>
  <c r="C333" i="9" s="1"/>
  <c r="G332" i="9"/>
  <c r="H332" i="9" s="1"/>
  <c r="E333" i="9"/>
  <c r="D333" i="9" s="1"/>
  <c r="J332" i="9"/>
  <c r="I332" i="9"/>
  <c r="K332" i="9"/>
  <c r="LR2" i="7" l="1"/>
  <c r="LR3" i="7"/>
  <c r="LR4" i="7"/>
  <c r="F334" i="9"/>
  <c r="B334" i="9" s="1"/>
  <c r="C334" i="9" s="1"/>
  <c r="G333" i="9"/>
  <c r="H333" i="9" s="1"/>
  <c r="E334" i="9"/>
  <c r="D334" i="9" s="1"/>
  <c r="I333" i="9"/>
  <c r="K333" i="9"/>
  <c r="J333" i="9"/>
  <c r="LS2" i="7" l="1"/>
  <c r="LS3" i="7"/>
  <c r="F335" i="9"/>
  <c r="B335" i="9" s="1"/>
  <c r="C335" i="9" s="1"/>
  <c r="E335" i="9"/>
  <c r="D335" i="9" s="1"/>
  <c r="G334" i="9"/>
  <c r="H334" i="9" s="1"/>
  <c r="J334" i="9"/>
  <c r="I334" i="9"/>
  <c r="K334" i="9"/>
  <c r="LT2" i="7" l="1"/>
  <c r="LT3" i="7"/>
  <c r="LT4" i="7"/>
  <c r="F336" i="9"/>
  <c r="B336" i="9" s="1"/>
  <c r="C336" i="9" s="1"/>
  <c r="E336" i="9"/>
  <c r="D336" i="9" s="1"/>
  <c r="G335" i="9"/>
  <c r="H335" i="9" s="1"/>
  <c r="J335" i="9"/>
  <c r="K335" i="9"/>
  <c r="I335" i="9"/>
  <c r="LU3" i="7" l="1"/>
  <c r="LU2" i="7"/>
  <c r="LU4" i="7"/>
  <c r="F337" i="9"/>
  <c r="B337" i="9" s="1"/>
  <c r="C337" i="9" s="1"/>
  <c r="G336" i="9"/>
  <c r="H336" i="9" s="1"/>
  <c r="E337" i="9"/>
  <c r="D337" i="9" s="1"/>
  <c r="K336" i="9"/>
  <c r="J336" i="9"/>
  <c r="I336" i="9"/>
  <c r="LV4" i="7" l="1"/>
  <c r="LV2" i="7"/>
  <c r="F338" i="9"/>
  <c r="G337" i="9"/>
  <c r="H337" i="9" s="1"/>
  <c r="E338" i="9"/>
  <c r="D338" i="9" s="1"/>
  <c r="J337" i="9"/>
  <c r="K337" i="9"/>
  <c r="I337" i="9"/>
  <c r="LW4" i="7" l="1"/>
  <c r="LW2" i="7"/>
  <c r="F339" i="9"/>
  <c r="E339" i="9"/>
  <c r="D339" i="9" s="1"/>
  <c r="G338" i="9"/>
  <c r="J338" i="9"/>
  <c r="LX3" i="7" s="1"/>
  <c r="I338" i="9"/>
  <c r="K338" i="9"/>
  <c r="B338" i="9"/>
  <c r="C338" i="9" s="1"/>
  <c r="H338" i="9" s="1"/>
  <c r="LX4" i="7" l="1"/>
  <c r="LX2" i="7"/>
  <c r="F340" i="9"/>
  <c r="E340" i="9"/>
  <c r="D340" i="9" s="1"/>
  <c r="G339" i="9"/>
  <c r="K339" i="9"/>
  <c r="LY4" i="7" s="1"/>
  <c r="I339" i="9"/>
  <c r="LY2" i="7" s="1"/>
  <c r="J339" i="9"/>
  <c r="B339" i="9"/>
  <c r="C339" i="9" s="1"/>
  <c r="H339" i="9" s="1"/>
  <c r="LY3" i="7" l="1"/>
  <c r="F341" i="9"/>
  <c r="G340" i="9"/>
  <c r="E341" i="9"/>
  <c r="D341" i="9" s="1"/>
  <c r="J340" i="9"/>
  <c r="K340" i="9"/>
  <c r="I340" i="9"/>
  <c r="B340" i="9"/>
  <c r="C340" i="9" s="1"/>
  <c r="H340" i="9" l="1"/>
  <c r="LZ3" i="7" s="1"/>
  <c r="F342" i="9"/>
  <c r="G341" i="9"/>
  <c r="E342" i="9"/>
  <c r="D342" i="9" s="1"/>
  <c r="I341" i="9"/>
  <c r="J341" i="9"/>
  <c r="K341" i="9"/>
  <c r="B341" i="9"/>
  <c r="C341" i="9" s="1"/>
  <c r="LZ4" i="7" l="1"/>
  <c r="LZ2" i="7"/>
  <c r="MA3" i="7"/>
  <c r="H341" i="9"/>
  <c r="MA2" i="7" s="1"/>
  <c r="MA4" i="7"/>
  <c r="F343" i="9"/>
  <c r="B343" i="9" s="1"/>
  <c r="C343" i="9" s="1"/>
  <c r="E343" i="9"/>
  <c r="D343" i="9" s="1"/>
  <c r="G342" i="9"/>
  <c r="I342" i="9"/>
  <c r="K342" i="9"/>
  <c r="J342" i="9"/>
  <c r="B342" i="9"/>
  <c r="C342" i="9" s="1"/>
  <c r="H342" i="9" s="1"/>
  <c r="MB2" i="7" l="1"/>
  <c r="MB3" i="7"/>
  <c r="F344" i="9"/>
  <c r="B344" i="9" s="1"/>
  <c r="C344" i="9" s="1"/>
  <c r="E344" i="9"/>
  <c r="D344" i="9" s="1"/>
  <c r="G343" i="9"/>
  <c r="H343" i="9" s="1"/>
  <c r="I343" i="9"/>
  <c r="K343" i="9"/>
  <c r="J343" i="9"/>
  <c r="MC4" i="7" l="1"/>
  <c r="MC3" i="7"/>
  <c r="MC2" i="7"/>
  <c r="F345" i="9"/>
  <c r="B345" i="9" s="1"/>
  <c r="C345" i="9" s="1"/>
  <c r="G344" i="9"/>
  <c r="H344" i="9" s="1"/>
  <c r="E345" i="9"/>
  <c r="D345" i="9" s="1"/>
  <c r="K344" i="9"/>
  <c r="J344" i="9"/>
  <c r="I344" i="9"/>
  <c r="MD3" i="7" l="1"/>
  <c r="MD4" i="7"/>
  <c r="MD2" i="7"/>
  <c r="F346" i="9"/>
  <c r="B346" i="9" s="1"/>
  <c r="C346" i="9" s="1"/>
  <c r="G345" i="9"/>
  <c r="H345" i="9" s="1"/>
  <c r="E346" i="9"/>
  <c r="D346" i="9" s="1"/>
  <c r="I345" i="9"/>
  <c r="J345" i="9"/>
  <c r="K345" i="9"/>
  <c r="ME2" i="7" l="1"/>
  <c r="ME3" i="7"/>
  <c r="ME4" i="7"/>
  <c r="F347" i="9"/>
  <c r="B347" i="9" s="1"/>
  <c r="C347" i="9" s="1"/>
  <c r="E347" i="9"/>
  <c r="D347" i="9" s="1"/>
  <c r="G346" i="9"/>
  <c r="H346" i="9" s="1"/>
  <c r="I346" i="9"/>
  <c r="J346" i="9"/>
  <c r="K346" i="9"/>
  <c r="MF3" i="7" l="1"/>
  <c r="MF2" i="7"/>
  <c r="MF4" i="7"/>
  <c r="F348" i="9"/>
  <c r="E348" i="9"/>
  <c r="D348" i="9" s="1"/>
  <c r="G347" i="9"/>
  <c r="H347" i="9" s="1"/>
  <c r="I347" i="9"/>
  <c r="J347" i="9"/>
  <c r="K347" i="9"/>
  <c r="MG4" i="7" l="1"/>
  <c r="MG2" i="7"/>
  <c r="MG3" i="7"/>
  <c r="F349" i="9"/>
  <c r="G348" i="9"/>
  <c r="E349" i="9"/>
  <c r="D349" i="9" s="1"/>
  <c r="I348" i="9"/>
  <c r="MH2" i="7" s="1"/>
  <c r="J348" i="9"/>
  <c r="K348" i="9"/>
  <c r="B348" i="9"/>
  <c r="C348" i="9" s="1"/>
  <c r="H348" i="9" s="1"/>
  <c r="MH4" i="7" l="1"/>
  <c r="MH3" i="7"/>
  <c r="F350" i="9"/>
  <c r="G349" i="9"/>
  <c r="E350" i="9"/>
  <c r="D350" i="9" s="1"/>
  <c r="I349" i="9"/>
  <c r="MI2" i="7" s="1"/>
  <c r="K349" i="9"/>
  <c r="J349" i="9"/>
  <c r="B349" i="9"/>
  <c r="C349" i="9" s="1"/>
  <c r="H349" i="9" l="1"/>
  <c r="MI3" i="7"/>
  <c r="MI4" i="7"/>
  <c r="F351" i="9"/>
  <c r="E351" i="9"/>
  <c r="D351" i="9" s="1"/>
  <c r="G350" i="9"/>
  <c r="J350" i="9"/>
  <c r="MJ3" i="7" s="1"/>
  <c r="K350" i="9"/>
  <c r="I350" i="9"/>
  <c r="B350" i="9"/>
  <c r="C350" i="9" s="1"/>
  <c r="H350" i="9" s="1"/>
  <c r="MJ2" i="7" l="1"/>
  <c r="MJ4" i="7"/>
  <c r="F352" i="9"/>
  <c r="E352" i="9"/>
  <c r="D352" i="9" s="1"/>
  <c r="G351" i="9"/>
  <c r="I351" i="9"/>
  <c r="MK2" i="7" s="1"/>
  <c r="J351" i="9"/>
  <c r="K351" i="9"/>
  <c r="B351" i="9"/>
  <c r="C351" i="9" s="1"/>
  <c r="H351" i="9" s="1"/>
  <c r="MK4" i="7" l="1"/>
  <c r="MK3" i="7"/>
  <c r="F353" i="9"/>
  <c r="B353" i="9" s="1"/>
  <c r="C353" i="9" s="1"/>
  <c r="G352" i="9"/>
  <c r="E353" i="9"/>
  <c r="D353" i="9" s="1"/>
  <c r="K352" i="9"/>
  <c r="J352" i="9"/>
  <c r="I352" i="9"/>
  <c r="B352" i="9"/>
  <c r="C352" i="9" s="1"/>
  <c r="ML4" i="7" l="1"/>
  <c r="ML2" i="7"/>
  <c r="H352" i="9"/>
  <c r="ML3" i="7"/>
  <c r="F354" i="9"/>
  <c r="B354" i="9" s="1"/>
  <c r="C354" i="9" s="1"/>
  <c r="G353" i="9"/>
  <c r="H353" i="9" s="1"/>
  <c r="E354" i="9"/>
  <c r="D354" i="9" s="1"/>
  <c r="K353" i="9"/>
  <c r="MM4" i="7" s="1"/>
  <c r="J353" i="9"/>
  <c r="I353" i="9"/>
  <c r="MM2" i="7" l="1"/>
  <c r="F355" i="9"/>
  <c r="B355" i="9" s="1"/>
  <c r="C355" i="9" s="1"/>
  <c r="E355" i="9"/>
  <c r="D355" i="9" s="1"/>
  <c r="G354" i="9"/>
  <c r="H354" i="9" s="1"/>
  <c r="J354" i="9"/>
  <c r="I354" i="9"/>
  <c r="K354" i="9"/>
  <c r="MN2" i="7" l="1"/>
  <c r="MN4" i="7"/>
  <c r="MN3" i="7"/>
  <c r="F356" i="9"/>
  <c r="E356" i="9"/>
  <c r="D356" i="9" s="1"/>
  <c r="G355" i="9"/>
  <c r="H355" i="9" s="1"/>
  <c r="K355" i="9"/>
  <c r="I355" i="9"/>
  <c r="J355" i="9"/>
  <c r="MO2" i="7" l="1"/>
  <c r="MO4" i="7"/>
  <c r="MO3" i="7"/>
  <c r="F357" i="9"/>
  <c r="G356" i="9"/>
  <c r="E357" i="9"/>
  <c r="D357" i="9" s="1"/>
  <c r="K356" i="9"/>
  <c r="MP4" i="7" s="1"/>
  <c r="I356" i="9"/>
  <c r="J356" i="9"/>
  <c r="B356" i="9"/>
  <c r="C356" i="9" s="1"/>
  <c r="H356" i="9" s="1"/>
  <c r="MP3" i="7" l="1"/>
  <c r="MP2" i="7"/>
  <c r="F358" i="9"/>
  <c r="G357" i="9"/>
  <c r="E358" i="9"/>
  <c r="D358" i="9" s="1"/>
  <c r="K357" i="9"/>
  <c r="I357" i="9"/>
  <c r="J357" i="9"/>
  <c r="B357" i="9"/>
  <c r="C357" i="9" s="1"/>
  <c r="H357" i="9" l="1"/>
  <c r="MQ3" i="7"/>
  <c r="MQ2" i="7"/>
  <c r="F359" i="9"/>
  <c r="B359" i="9" s="1"/>
  <c r="C359" i="9" s="1"/>
  <c r="E359" i="9"/>
  <c r="D359" i="9" s="1"/>
  <c r="G358" i="9"/>
  <c r="K358" i="9"/>
  <c r="I358" i="9"/>
  <c r="J358" i="9"/>
  <c r="B358" i="9"/>
  <c r="C358" i="9" s="1"/>
  <c r="H358" i="9" s="1"/>
  <c r="MR3" i="7" l="1"/>
  <c r="MR2" i="7"/>
  <c r="F360" i="9"/>
  <c r="B360" i="9" s="1"/>
  <c r="C360" i="9" s="1"/>
  <c r="E360" i="9"/>
  <c r="D360" i="9" s="1"/>
  <c r="G359" i="9"/>
  <c r="H359" i="9" s="1"/>
  <c r="K359" i="9"/>
  <c r="I359" i="9"/>
  <c r="J359" i="9"/>
  <c r="MS2" i="7" l="1"/>
  <c r="MS4" i="7"/>
  <c r="MS3" i="7"/>
  <c r="F361" i="9"/>
  <c r="B361" i="9" s="1"/>
  <c r="C361" i="9" s="1"/>
  <c r="G360" i="9"/>
  <c r="H360" i="9" s="1"/>
  <c r="E361" i="9"/>
  <c r="D361" i="9" s="1"/>
  <c r="J360" i="9"/>
  <c r="K360" i="9"/>
  <c r="I360" i="9"/>
  <c r="MT4" i="7" l="1"/>
  <c r="MT3" i="7"/>
  <c r="MT2" i="7"/>
  <c r="F362" i="9"/>
  <c r="B362" i="9" s="1"/>
  <c r="C362" i="9" s="1"/>
  <c r="G361" i="9"/>
  <c r="H361" i="9" s="1"/>
  <c r="E362" i="9"/>
  <c r="D362" i="9" s="1"/>
  <c r="K361" i="9"/>
  <c r="I361" i="9"/>
  <c r="J361" i="9"/>
  <c r="MU4" i="7" l="1"/>
  <c r="MU3" i="7"/>
  <c r="MU2" i="7"/>
  <c r="F363" i="9"/>
  <c r="B363" i="9" s="1"/>
  <c r="C363" i="9" s="1"/>
  <c r="E363" i="9"/>
  <c r="D363" i="9" s="1"/>
  <c r="G362" i="9"/>
  <c r="H362" i="9" s="1"/>
  <c r="I362" i="9"/>
  <c r="J362" i="9"/>
  <c r="K362" i="9"/>
  <c r="MV3" i="7" l="1"/>
  <c r="MV2" i="7"/>
  <c r="MV4" i="7"/>
  <c r="F364" i="9"/>
  <c r="B364" i="9" s="1"/>
  <c r="C364" i="9" s="1"/>
  <c r="E364" i="9"/>
  <c r="D364" i="9" s="1"/>
  <c r="G363" i="9"/>
  <c r="H363" i="9" s="1"/>
  <c r="J363" i="9"/>
  <c r="K363" i="9"/>
  <c r="I363" i="9"/>
  <c r="MW4" i="7" l="1"/>
  <c r="MW3" i="7"/>
  <c r="MW2" i="7"/>
  <c r="F365" i="9"/>
  <c r="B365" i="9" s="1"/>
  <c r="C365" i="9" s="1"/>
  <c r="G364" i="9"/>
  <c r="H364" i="9" s="1"/>
  <c r="E365" i="9"/>
  <c r="D365" i="9" s="1"/>
  <c r="J364" i="9"/>
  <c r="MX3" i="7" s="1"/>
  <c r="K364" i="9"/>
  <c r="MX4" i="7" s="1"/>
  <c r="I364" i="9"/>
  <c r="MX2" i="7" s="1"/>
  <c r="F366" i="9" l="1"/>
  <c r="B366" i="9" s="1"/>
  <c r="C366" i="9" s="1"/>
  <c r="G365" i="9"/>
  <c r="H365" i="9" s="1"/>
  <c r="E366" i="9"/>
  <c r="D366" i="9" s="1"/>
  <c r="I365" i="9"/>
  <c r="K365" i="9"/>
  <c r="J365" i="9"/>
  <c r="MY3" i="7" l="1"/>
  <c r="MY2" i="7"/>
  <c r="F367" i="9"/>
  <c r="B367" i="9" s="1"/>
  <c r="C367" i="9" s="1"/>
  <c r="E367" i="9"/>
  <c r="D367" i="9" s="1"/>
  <c r="G366" i="9"/>
  <c r="H366" i="9" s="1"/>
  <c r="J366" i="9"/>
  <c r="I366" i="9"/>
  <c r="K366" i="9"/>
  <c r="MZ2" i="7" l="1"/>
  <c r="MZ3" i="7"/>
  <c r="F368" i="9"/>
  <c r="B368" i="9" s="1"/>
  <c r="C368" i="9" s="1"/>
  <c r="E368" i="9"/>
  <c r="D368" i="9" s="1"/>
  <c r="G367" i="9"/>
  <c r="H367" i="9" s="1"/>
  <c r="J367" i="9"/>
  <c r="K367" i="9"/>
  <c r="I367" i="9"/>
  <c r="NA4" i="7" l="1"/>
  <c r="NA3" i="7"/>
  <c r="NA2" i="7"/>
  <c r="F369" i="9"/>
  <c r="B369" i="9" s="1"/>
  <c r="C369" i="9" s="1"/>
  <c r="G368" i="9"/>
  <c r="H368" i="9" s="1"/>
  <c r="E369" i="9"/>
  <c r="D369" i="9" s="1"/>
  <c r="J368" i="9"/>
  <c r="K368" i="9"/>
  <c r="I368" i="9"/>
  <c r="NB2" i="7" l="1"/>
  <c r="NB3" i="7"/>
  <c r="NB4" i="7"/>
  <c r="F370" i="9"/>
  <c r="G369" i="9"/>
  <c r="H369" i="9" s="1"/>
  <c r="E370" i="9"/>
  <c r="D370" i="9" s="1"/>
  <c r="J369" i="9"/>
  <c r="K369" i="9"/>
  <c r="I369" i="9"/>
  <c r="NC3" i="7" l="1"/>
  <c r="NC2" i="7"/>
  <c r="NC4" i="7"/>
  <c r="F371" i="9"/>
  <c r="E371" i="9"/>
  <c r="D371" i="9" s="1"/>
  <c r="G370" i="9"/>
  <c r="J370" i="9"/>
  <c r="I370" i="9"/>
  <c r="K370" i="9"/>
  <c r="B370" i="9"/>
  <c r="C370" i="9" s="1"/>
  <c r="H370" i="9" s="1"/>
  <c r="ND2" i="7" l="1"/>
  <c r="ND3" i="7"/>
  <c r="ND4" i="7"/>
  <c r="F372" i="9"/>
  <c r="E372" i="9"/>
  <c r="D372" i="9" s="1"/>
  <c r="G371" i="9"/>
  <c r="K371" i="9"/>
  <c r="J371" i="9"/>
  <c r="I371" i="9"/>
  <c r="B371" i="9"/>
  <c r="C371" i="9" s="1"/>
  <c r="H371" i="9" s="1"/>
  <c r="NE3" i="7" l="1"/>
  <c r="NE4" i="7"/>
  <c r="NE2" i="7"/>
  <c r="F373" i="9"/>
  <c r="B373" i="9" s="1"/>
  <c r="C373" i="9" s="1"/>
  <c r="G372" i="9"/>
  <c r="E373" i="9"/>
  <c r="D373" i="9" s="1"/>
  <c r="J372" i="9"/>
  <c r="NF3" i="7" s="1"/>
  <c r="K372" i="9"/>
  <c r="I372" i="9"/>
  <c r="NF2" i="7" s="1"/>
  <c r="B372" i="9"/>
  <c r="C372" i="9" s="1"/>
  <c r="H372" i="9" s="1"/>
  <c r="NF4" i="7" l="1"/>
  <c r="F374" i="9"/>
  <c r="B374" i="9" s="1"/>
  <c r="C374" i="9" s="1"/>
  <c r="G373" i="9"/>
  <c r="H373" i="9" s="1"/>
  <c r="E374" i="9"/>
  <c r="D374" i="9" s="1"/>
  <c r="I373" i="9"/>
  <c r="K373" i="9"/>
  <c r="J373" i="9"/>
  <c r="NG3" i="7" l="1"/>
  <c r="NG4" i="7"/>
  <c r="NG2" i="7"/>
  <c r="F375" i="9"/>
  <c r="B375" i="9" s="1"/>
  <c r="C375" i="9" s="1"/>
  <c r="E375" i="9"/>
  <c r="D375" i="9" s="1"/>
  <c r="G374" i="9"/>
  <c r="H374" i="9" s="1"/>
  <c r="I374" i="9"/>
  <c r="K374" i="9"/>
  <c r="J374" i="9"/>
  <c r="NH3" i="7" l="1"/>
  <c r="NH2" i="7"/>
  <c r="F376" i="9"/>
  <c r="B376" i="9" s="1"/>
  <c r="C376" i="9" s="1"/>
  <c r="G375" i="9"/>
  <c r="H375" i="9" s="1"/>
  <c r="E376" i="9"/>
  <c r="D376" i="9" s="1"/>
  <c r="I375" i="9"/>
  <c r="NI2" i="7" s="1"/>
  <c r="K375" i="9"/>
  <c r="J375" i="9"/>
  <c r="NI3" i="7" s="1"/>
  <c r="NI4" i="7" l="1"/>
  <c r="F377" i="9"/>
  <c r="B377" i="9" s="1"/>
  <c r="C377" i="9" s="1"/>
  <c r="E377" i="9"/>
  <c r="D377" i="9" s="1"/>
  <c r="G376" i="9"/>
  <c r="H376" i="9" s="1"/>
  <c r="K376" i="9"/>
  <c r="NJ4" i="7" s="1"/>
  <c r="J376" i="9"/>
  <c r="I376" i="9"/>
  <c r="NJ2" i="7" s="1"/>
  <c r="F378" i="9" l="1"/>
  <c r="B378" i="9" s="1"/>
  <c r="C378" i="9" s="1"/>
  <c r="G377" i="9"/>
  <c r="H377" i="9" s="1"/>
  <c r="E378" i="9"/>
  <c r="D378" i="9" s="1"/>
  <c r="I377" i="9"/>
  <c r="J377" i="9"/>
  <c r="K377" i="9"/>
  <c r="NK3" i="7" l="1"/>
  <c r="NK4" i="7"/>
  <c r="NK2" i="7"/>
  <c r="F379" i="9"/>
  <c r="B379" i="9" s="1"/>
  <c r="C379" i="9" s="1"/>
  <c r="E379" i="9"/>
  <c r="D379" i="9" s="1"/>
  <c r="G378" i="9"/>
  <c r="H378" i="9" s="1"/>
  <c r="I378" i="9"/>
  <c r="NL2" i="7" s="1"/>
  <c r="J378" i="9"/>
  <c r="NL3" i="7" s="1"/>
  <c r="K378" i="9"/>
  <c r="NL4" i="7" s="1"/>
  <c r="F380" i="9" l="1"/>
  <c r="B380" i="9" s="1"/>
  <c r="C380" i="9" s="1"/>
  <c r="G379" i="9"/>
  <c r="H379" i="9" s="1"/>
  <c r="E380" i="9"/>
  <c r="D380" i="9" s="1"/>
  <c r="I379" i="9"/>
  <c r="J379" i="9"/>
  <c r="K379" i="9"/>
  <c r="NM3" i="7" l="1"/>
  <c r="NM4" i="7"/>
  <c r="NM2" i="7"/>
  <c r="F381" i="9"/>
  <c r="B381" i="9" s="1"/>
  <c r="C381" i="9" s="1"/>
  <c r="E381" i="9"/>
  <c r="D381" i="9" s="1"/>
  <c r="G380" i="9"/>
  <c r="H380" i="9" s="1"/>
  <c r="I380" i="9"/>
  <c r="J380" i="9"/>
  <c r="K380" i="9"/>
  <c r="NN4" i="7" l="1"/>
  <c r="NN3" i="7"/>
  <c r="NN2" i="7"/>
  <c r="F382" i="9"/>
  <c r="B382" i="9" s="1"/>
  <c r="C382" i="9" s="1"/>
  <c r="G381" i="9"/>
  <c r="H381" i="9" s="1"/>
  <c r="E382" i="9"/>
  <c r="D382" i="9" s="1"/>
  <c r="K381" i="9"/>
  <c r="I381" i="9"/>
  <c r="J381" i="9"/>
  <c r="NO4" i="7" l="1"/>
  <c r="NO3" i="7"/>
  <c r="NO2" i="7"/>
  <c r="F383" i="9"/>
  <c r="B383" i="9" s="1"/>
  <c r="C383" i="9" s="1"/>
  <c r="E383" i="9"/>
  <c r="D383" i="9" s="1"/>
  <c r="G382" i="9"/>
  <c r="H382" i="9" s="1"/>
  <c r="J382" i="9"/>
  <c r="K382" i="9"/>
  <c r="I382" i="9"/>
  <c r="NP4" i="7" l="1"/>
  <c r="NP3" i="7"/>
  <c r="NP2" i="7"/>
  <c r="F384" i="9"/>
  <c r="G383" i="9"/>
  <c r="H383" i="9" s="1"/>
  <c r="E384" i="9"/>
  <c r="D384" i="9" s="1"/>
  <c r="I383" i="9"/>
  <c r="J383" i="9"/>
  <c r="K383" i="9"/>
  <c r="NQ2" i="7" l="1"/>
  <c r="NQ4" i="7"/>
  <c r="NQ3" i="7"/>
  <c r="F385" i="9"/>
  <c r="E385" i="9"/>
  <c r="D385" i="9" s="1"/>
  <c r="G384" i="9"/>
  <c r="J384" i="9"/>
  <c r="K384" i="9"/>
  <c r="I384" i="9"/>
  <c r="B384" i="9"/>
  <c r="C384" i="9" s="1"/>
  <c r="H384" i="9" s="1"/>
  <c r="NR2" i="7" l="1"/>
  <c r="NR4" i="7"/>
  <c r="F386" i="9"/>
  <c r="G385" i="9"/>
  <c r="E386" i="9"/>
  <c r="D386" i="9" s="1"/>
  <c r="K385" i="9"/>
  <c r="NS4" i="7" s="1"/>
  <c r="J385" i="9"/>
  <c r="I385" i="9"/>
  <c r="B385" i="9"/>
  <c r="C385" i="9" s="1"/>
  <c r="H385" i="9" l="1"/>
  <c r="NS2" i="7"/>
  <c r="F387" i="9"/>
  <c r="E387" i="9"/>
  <c r="D387" i="9" s="1"/>
  <c r="G386" i="9"/>
  <c r="J386" i="9"/>
  <c r="NT3" i="7" s="1"/>
  <c r="I386" i="9"/>
  <c r="NT2" i="7" s="1"/>
  <c r="K386" i="9"/>
  <c r="B386" i="9"/>
  <c r="C386" i="9" s="1"/>
  <c r="H386" i="9" s="1"/>
  <c r="NT4" i="7" l="1"/>
  <c r="F388" i="9"/>
  <c r="B388" i="9" s="1"/>
  <c r="C388" i="9" s="1"/>
  <c r="G387" i="9"/>
  <c r="E388" i="9"/>
  <c r="D388" i="9" s="1"/>
  <c r="K387" i="9"/>
  <c r="J387" i="9"/>
  <c r="I387" i="9"/>
  <c r="B387" i="9"/>
  <c r="C387" i="9" s="1"/>
  <c r="H387" i="9" l="1"/>
  <c r="NU4" i="7" s="1"/>
  <c r="F389" i="9"/>
  <c r="B389" i="9" s="1"/>
  <c r="C389" i="9" s="1"/>
  <c r="E389" i="9"/>
  <c r="D389" i="9" s="1"/>
  <c r="G388" i="9"/>
  <c r="H388" i="9" s="1"/>
  <c r="K388" i="9"/>
  <c r="I388" i="9"/>
  <c r="J388" i="9"/>
  <c r="NU3" i="7" l="1"/>
  <c r="NU2" i="7"/>
  <c r="NV2" i="7"/>
  <c r="NV3" i="7"/>
  <c r="NV4" i="7"/>
  <c r="F390" i="9"/>
  <c r="B390" i="9" s="1"/>
  <c r="C390" i="9" s="1"/>
  <c r="G389" i="9"/>
  <c r="H389" i="9" s="1"/>
  <c r="E390" i="9"/>
  <c r="D390" i="9" s="1"/>
  <c r="K389" i="9"/>
  <c r="I389" i="9"/>
  <c r="J389" i="9"/>
  <c r="NW2" i="7" l="1"/>
  <c r="NW3" i="7"/>
  <c r="F391" i="9"/>
  <c r="B391" i="9" s="1"/>
  <c r="C391" i="9" s="1"/>
  <c r="E391" i="9"/>
  <c r="D391" i="9" s="1"/>
  <c r="G390" i="9"/>
  <c r="H390" i="9" s="1"/>
  <c r="K390" i="9"/>
  <c r="I390" i="9"/>
  <c r="J390" i="9"/>
  <c r="NX3" i="7" l="1"/>
  <c r="NX2" i="7"/>
  <c r="F392" i="9"/>
  <c r="B392" i="9" s="1"/>
  <c r="C392" i="9" s="1"/>
  <c r="G391" i="9"/>
  <c r="H391" i="9" s="1"/>
  <c r="E392" i="9"/>
  <c r="D392" i="9" s="1"/>
  <c r="K391" i="9"/>
  <c r="I391" i="9"/>
  <c r="J391" i="9"/>
  <c r="NY2" i="7" l="1"/>
  <c r="NY4" i="7"/>
  <c r="NY3" i="7"/>
  <c r="F393" i="9"/>
  <c r="B393" i="9" s="1"/>
  <c r="C393" i="9" s="1"/>
  <c r="E393" i="9"/>
  <c r="D393" i="9" s="1"/>
  <c r="G392" i="9"/>
  <c r="H392" i="9" s="1"/>
  <c r="K392" i="9"/>
  <c r="NZ4" i="7" s="1"/>
  <c r="J392" i="9"/>
  <c r="NZ3" i="7" s="1"/>
  <c r="I392" i="9"/>
  <c r="NZ2" i="7" s="1"/>
  <c r="F394" i="9" l="1"/>
  <c r="B394" i="9" s="1"/>
  <c r="C394" i="9" s="1"/>
  <c r="G393" i="9"/>
  <c r="H393" i="9" s="1"/>
  <c r="E394" i="9"/>
  <c r="D394" i="9" s="1"/>
  <c r="K393" i="9"/>
  <c r="I393" i="9"/>
  <c r="J393" i="9"/>
  <c r="OA4" i="7" l="1"/>
  <c r="OA3" i="7"/>
  <c r="OA2" i="7"/>
  <c r="F395" i="9"/>
  <c r="B395" i="9" s="1"/>
  <c r="C395" i="9" s="1"/>
  <c r="E395" i="9"/>
  <c r="D395" i="9" s="1"/>
  <c r="G394" i="9"/>
  <c r="H394" i="9" s="1"/>
  <c r="I394" i="9"/>
  <c r="OB2" i="7" s="1"/>
  <c r="J394" i="9"/>
  <c r="OB3" i="7" s="1"/>
  <c r="K394" i="9"/>
  <c r="OB4" i="7" s="1"/>
  <c r="G395" i="9" l="1"/>
  <c r="H395" i="9" s="1"/>
  <c r="E396" i="9"/>
  <c r="D396" i="9" s="1"/>
  <c r="F396" i="9"/>
  <c r="B396" i="9" s="1"/>
  <c r="C396" i="9" s="1"/>
  <c r="I395" i="9"/>
  <c r="OC2" i="7" s="1"/>
  <c r="J395" i="9"/>
  <c r="OC3" i="7" s="1"/>
  <c r="K395" i="9"/>
  <c r="OC4" i="7" s="1"/>
  <c r="G396" i="9" l="1"/>
  <c r="H396" i="9" s="1"/>
  <c r="F397" i="9"/>
  <c r="B397" i="9" s="1"/>
  <c r="C397" i="9" s="1"/>
  <c r="E397" i="9"/>
  <c r="D397" i="9" s="1"/>
  <c r="J396" i="9"/>
  <c r="I396" i="9"/>
  <c r="K396" i="9"/>
  <c r="OD3" i="7" l="1"/>
  <c r="OD4" i="7"/>
  <c r="OD2" i="7"/>
  <c r="G397" i="9"/>
  <c r="H397" i="9" s="1"/>
  <c r="E398" i="9"/>
  <c r="D398" i="9" s="1"/>
  <c r="F398" i="9"/>
  <c r="K397" i="9"/>
  <c r="I397" i="9"/>
  <c r="J397" i="9"/>
  <c r="OE2" i="7" l="1"/>
  <c r="OE3" i="7"/>
  <c r="G398" i="9"/>
  <c r="F399" i="9"/>
  <c r="E399" i="9"/>
  <c r="D399" i="9" s="1"/>
  <c r="J398" i="9"/>
  <c r="OF3" i="7" s="1"/>
  <c r="I398" i="9"/>
  <c r="K398" i="9"/>
  <c r="B398" i="9"/>
  <c r="C398" i="9" s="1"/>
  <c r="H398" i="9" l="1"/>
  <c r="OF4" i="7"/>
  <c r="OF2" i="7"/>
  <c r="G399" i="9"/>
  <c r="E400" i="9"/>
  <c r="D400" i="9" s="1"/>
  <c r="F400" i="9"/>
  <c r="J399" i="9"/>
  <c r="K399" i="9"/>
  <c r="I399" i="9"/>
  <c r="B399" i="9"/>
  <c r="C399" i="9" s="1"/>
  <c r="H399" i="9" l="1"/>
  <c r="OG3" i="7" s="1"/>
  <c r="G400" i="9"/>
  <c r="F401" i="9"/>
  <c r="E401" i="9"/>
  <c r="D401" i="9" s="1"/>
  <c r="K400" i="9"/>
  <c r="OH4" i="7" s="1"/>
  <c r="J400" i="9"/>
  <c r="OH3" i="7" s="1"/>
  <c r="I400" i="9"/>
  <c r="OH2" i="7" s="1"/>
  <c r="B400" i="9"/>
  <c r="C400" i="9" s="1"/>
  <c r="H400" i="9" s="1"/>
  <c r="OG4" i="7" l="1"/>
  <c r="OG2" i="7"/>
  <c r="G401" i="9"/>
  <c r="E402" i="9"/>
  <c r="D402" i="9" s="1"/>
  <c r="F402" i="9"/>
  <c r="B402" i="9" s="1"/>
  <c r="C402" i="9" s="1"/>
  <c r="J401" i="9"/>
  <c r="K401" i="9"/>
  <c r="I401" i="9"/>
  <c r="B401" i="9"/>
  <c r="C401" i="9" s="1"/>
  <c r="H401" i="9" s="1"/>
  <c r="OI2" i="7" l="1"/>
  <c r="OI4" i="7"/>
  <c r="G402" i="9"/>
  <c r="H402" i="9" s="1"/>
  <c r="F403" i="9"/>
  <c r="B403" i="9" s="1"/>
  <c r="C403" i="9" s="1"/>
  <c r="E403" i="9"/>
  <c r="D403" i="9" s="1"/>
  <c r="J402" i="9"/>
  <c r="I402" i="9"/>
  <c r="K402" i="9"/>
  <c r="OJ2" i="7" l="1"/>
  <c r="OJ4" i="7"/>
  <c r="OJ3" i="7"/>
  <c r="G403" i="9"/>
  <c r="H403" i="9" s="1"/>
  <c r="E404" i="9"/>
  <c r="D404" i="9" s="1"/>
  <c r="F404" i="9"/>
  <c r="B404" i="9" s="1"/>
  <c r="C404" i="9" s="1"/>
  <c r="K403" i="9"/>
  <c r="I403" i="9"/>
  <c r="J403" i="9"/>
  <c r="OK2" i="7" l="1"/>
  <c r="OK4" i="7"/>
  <c r="OK3" i="7"/>
  <c r="G404" i="9"/>
  <c r="H404" i="9" s="1"/>
  <c r="F405" i="9"/>
  <c r="B405" i="9" s="1"/>
  <c r="C405" i="9" s="1"/>
  <c r="E405" i="9"/>
  <c r="D405" i="9" s="1"/>
  <c r="J404" i="9"/>
  <c r="K404" i="9"/>
  <c r="I404" i="9"/>
  <c r="OL3" i="7" l="1"/>
  <c r="OL2" i="7"/>
  <c r="OL4" i="7"/>
  <c r="G405" i="9"/>
  <c r="H405" i="9" s="1"/>
  <c r="E406" i="9"/>
  <c r="D406" i="9" s="1"/>
  <c r="F406" i="9"/>
  <c r="B406" i="9" s="1"/>
  <c r="C406" i="9" s="1"/>
  <c r="I405" i="9"/>
  <c r="K405" i="9"/>
  <c r="J405" i="9"/>
  <c r="OM2" i="7" l="1"/>
  <c r="OM3" i="7"/>
  <c r="G406" i="9"/>
  <c r="H406" i="9" s="1"/>
  <c r="F407" i="9"/>
  <c r="B407" i="9" s="1"/>
  <c r="C407" i="9" s="1"/>
  <c r="E407" i="9"/>
  <c r="D407" i="9" s="1"/>
  <c r="I406" i="9"/>
  <c r="J406" i="9"/>
  <c r="K406" i="9"/>
  <c r="ON3" i="7" l="1"/>
  <c r="ON2" i="7"/>
  <c r="G407" i="9"/>
  <c r="H407" i="9" s="1"/>
  <c r="E408" i="9"/>
  <c r="D408" i="9" s="1"/>
  <c r="F408" i="9"/>
  <c r="B408" i="9" s="1"/>
  <c r="C408" i="9" s="1"/>
  <c r="I407" i="9"/>
  <c r="K407" i="9"/>
  <c r="J407" i="9"/>
  <c r="OO3" i="7" l="1"/>
  <c r="OO4" i="7"/>
  <c r="OO2" i="7"/>
  <c r="G408" i="9"/>
  <c r="H408" i="9" s="1"/>
  <c r="F409" i="9"/>
  <c r="B409" i="9" s="1"/>
  <c r="C409" i="9" s="1"/>
  <c r="E409" i="9"/>
  <c r="D409" i="9" s="1"/>
  <c r="J408" i="9"/>
  <c r="K408" i="9"/>
  <c r="I408" i="9"/>
  <c r="OP4" i="7" l="1"/>
  <c r="OP2" i="7"/>
  <c r="OP3" i="7"/>
  <c r="G409" i="9"/>
  <c r="H409" i="9" s="1"/>
  <c r="E410" i="9"/>
  <c r="D410" i="9" s="1"/>
  <c r="F410" i="9"/>
  <c r="B410" i="9" s="1"/>
  <c r="C410" i="9" s="1"/>
  <c r="I409" i="9"/>
  <c r="J409" i="9"/>
  <c r="K409" i="9"/>
  <c r="OQ2" i="7" l="1"/>
  <c r="OQ4" i="7"/>
  <c r="OQ3" i="7"/>
  <c r="G410" i="9"/>
  <c r="H410" i="9" s="1"/>
  <c r="F411" i="9"/>
  <c r="B411" i="9" s="1"/>
  <c r="C411" i="9" s="1"/>
  <c r="E411" i="9"/>
  <c r="D411" i="9" s="1"/>
  <c r="I410" i="9"/>
  <c r="J410" i="9"/>
  <c r="K410" i="9"/>
  <c r="OR4" i="7" l="1"/>
  <c r="OR2" i="7"/>
  <c r="OR3" i="7"/>
  <c r="G411" i="9"/>
  <c r="H411" i="9" s="1"/>
  <c r="E412" i="9"/>
  <c r="D412" i="9" s="1"/>
  <c r="F412" i="9"/>
  <c r="J411" i="9"/>
  <c r="K411" i="9"/>
  <c r="I411" i="9"/>
  <c r="OS2" i="7" l="1"/>
  <c r="OS3" i="7"/>
  <c r="OS4" i="7"/>
  <c r="G412" i="9"/>
  <c r="F413" i="9"/>
  <c r="E413" i="9"/>
  <c r="D413" i="9" s="1"/>
  <c r="I412" i="9"/>
  <c r="OT2" i="7" s="1"/>
  <c r="J412" i="9"/>
  <c r="K412" i="9"/>
  <c r="B412" i="9"/>
  <c r="C412" i="9" s="1"/>
  <c r="H412" i="9" l="1"/>
  <c r="OT4" i="7"/>
  <c r="OT3" i="7"/>
  <c r="G413" i="9"/>
  <c r="E414" i="9"/>
  <c r="D414" i="9" s="1"/>
  <c r="F414" i="9"/>
  <c r="I413" i="9"/>
  <c r="OU2" i="7" s="1"/>
  <c r="K413" i="9"/>
  <c r="J413" i="9"/>
  <c r="B413" i="9"/>
  <c r="C413" i="9" s="1"/>
  <c r="H413" i="9" s="1"/>
  <c r="OU3" i="7" l="1"/>
  <c r="OU4" i="7"/>
  <c r="G414" i="9"/>
  <c r="F415" i="9"/>
  <c r="E415" i="9"/>
  <c r="D415" i="9" s="1"/>
  <c r="J414" i="9"/>
  <c r="OV3" i="7" s="1"/>
  <c r="K414" i="9"/>
  <c r="I414" i="9"/>
  <c r="B414" i="9"/>
  <c r="C414" i="9" s="1"/>
  <c r="H414" i="9" l="1"/>
  <c r="OV2" i="7"/>
  <c r="OV4" i="7"/>
  <c r="G415" i="9"/>
  <c r="E416" i="9"/>
  <c r="D416" i="9" s="1"/>
  <c r="F416" i="9"/>
  <c r="B416" i="9" s="1"/>
  <c r="C416" i="9" s="1"/>
  <c r="I415" i="9"/>
  <c r="OW2" i="7" s="1"/>
  <c r="J415" i="9"/>
  <c r="K415" i="9"/>
  <c r="B415" i="9"/>
  <c r="C415" i="9" s="1"/>
  <c r="H415" i="9" s="1"/>
  <c r="OW4" i="7" l="1"/>
  <c r="OW3" i="7"/>
  <c r="G416" i="9"/>
  <c r="H416" i="9" s="1"/>
  <c r="E417" i="9"/>
  <c r="D417" i="9" s="1"/>
  <c r="F417" i="9"/>
  <c r="B417" i="9" s="1"/>
  <c r="C417" i="9" s="1"/>
  <c r="K416" i="9"/>
  <c r="J416" i="9"/>
  <c r="I416" i="9"/>
  <c r="OX2" i="7" l="1"/>
  <c r="OX4" i="7"/>
  <c r="E418" i="9"/>
  <c r="D418" i="9" s="1"/>
  <c r="G417" i="9"/>
  <c r="H417" i="9" s="1"/>
  <c r="F418" i="9"/>
  <c r="B418" i="9" s="1"/>
  <c r="C418" i="9" s="1"/>
  <c r="K417" i="9"/>
  <c r="J417" i="9"/>
  <c r="I417" i="9"/>
  <c r="OY4" i="7" l="1"/>
  <c r="OY2" i="7"/>
  <c r="F419" i="9"/>
  <c r="B419" i="9" s="1"/>
  <c r="C419" i="9" s="1"/>
  <c r="G418" i="9"/>
  <c r="H418" i="9" s="1"/>
  <c r="E419" i="9"/>
  <c r="D419" i="9" s="1"/>
  <c r="J418" i="9"/>
  <c r="OZ3" i="7" s="1"/>
  <c r="K418" i="9"/>
  <c r="I418" i="9"/>
  <c r="OZ2" i="7" s="1"/>
  <c r="OZ4" i="7" l="1"/>
  <c r="G419" i="9"/>
  <c r="H419" i="9" s="1"/>
  <c r="F420" i="9"/>
  <c r="B420" i="9" s="1"/>
  <c r="C420" i="9" s="1"/>
  <c r="E420" i="9"/>
  <c r="D420" i="9" s="1"/>
  <c r="K419" i="9"/>
  <c r="PA4" i="7" s="1"/>
  <c r="J419" i="9"/>
  <c r="PA3" i="7" s="1"/>
  <c r="I419" i="9"/>
  <c r="PA2" i="7" s="1"/>
  <c r="G420" i="9" l="1"/>
  <c r="H420" i="9" s="1"/>
  <c r="F421" i="9"/>
  <c r="B421" i="9" s="1"/>
  <c r="C421" i="9" s="1"/>
  <c r="E421" i="9"/>
  <c r="D421" i="9" s="1"/>
  <c r="K420" i="9"/>
  <c r="I420" i="9"/>
  <c r="J420" i="9"/>
  <c r="PB2" i="7" l="1"/>
  <c r="PB3" i="7"/>
  <c r="PB4" i="7"/>
  <c r="E422" i="9"/>
  <c r="D422" i="9" s="1"/>
  <c r="F422" i="9"/>
  <c r="B422" i="9" s="1"/>
  <c r="C422" i="9" s="1"/>
  <c r="G421" i="9"/>
  <c r="H421" i="9" s="1"/>
  <c r="I421" i="9"/>
  <c r="K421" i="9"/>
  <c r="J421" i="9"/>
  <c r="PC3" i="7" l="1"/>
  <c r="PC2" i="7"/>
  <c r="PC4" i="7"/>
  <c r="F423" i="9"/>
  <c r="B423" i="9" s="1"/>
  <c r="C423" i="9" s="1"/>
  <c r="E423" i="9"/>
  <c r="D423" i="9" s="1"/>
  <c r="G422" i="9"/>
  <c r="H422" i="9" s="1"/>
  <c r="K422" i="9"/>
  <c r="I422" i="9"/>
  <c r="J422" i="9"/>
  <c r="PD3" i="7" l="1"/>
  <c r="PD2" i="7"/>
  <c r="E424" i="9"/>
  <c r="D424" i="9" s="1"/>
  <c r="F424" i="9"/>
  <c r="B424" i="9" s="1"/>
  <c r="C424" i="9" s="1"/>
  <c r="G423" i="9"/>
  <c r="H423" i="9" s="1"/>
  <c r="K423" i="9"/>
  <c r="I423" i="9"/>
  <c r="J423" i="9"/>
  <c r="PE2" i="7" l="1"/>
  <c r="PE4" i="7"/>
  <c r="PE3" i="7"/>
  <c r="G424" i="9"/>
  <c r="H424" i="9" s="1"/>
  <c r="E425" i="9"/>
  <c r="D425" i="9" s="1"/>
  <c r="F425" i="9"/>
  <c r="B425" i="9" s="1"/>
  <c r="C425" i="9" s="1"/>
  <c r="J424" i="9"/>
  <c r="K424" i="9"/>
  <c r="I424" i="9"/>
  <c r="PF3" i="7" l="1"/>
  <c r="PF2" i="7"/>
  <c r="PF4" i="7"/>
  <c r="E426" i="9"/>
  <c r="D426" i="9" s="1"/>
  <c r="G425" i="9"/>
  <c r="H425" i="9" s="1"/>
  <c r="F426" i="9"/>
  <c r="B426" i="9" s="1"/>
  <c r="C426" i="9" s="1"/>
  <c r="K425" i="9"/>
  <c r="I425" i="9"/>
  <c r="J425" i="9"/>
  <c r="PG4" i="7" l="1"/>
  <c r="PG3" i="7"/>
  <c r="PG2" i="7"/>
  <c r="F427" i="9"/>
  <c r="G426" i="9"/>
  <c r="H426" i="9" s="1"/>
  <c r="E427" i="9"/>
  <c r="D427" i="9" s="1"/>
  <c r="I426" i="9"/>
  <c r="J426" i="9"/>
  <c r="K426" i="9"/>
  <c r="PH3" i="7" l="1"/>
  <c r="PH4" i="7"/>
  <c r="PH2" i="7"/>
  <c r="F428" i="9"/>
  <c r="G427" i="9"/>
  <c r="E428" i="9"/>
  <c r="D428" i="9" s="1"/>
  <c r="I427" i="9"/>
  <c r="J427" i="9"/>
  <c r="K427" i="9"/>
  <c r="B427" i="9"/>
  <c r="C427" i="9" s="1"/>
  <c r="H427" i="9" s="1"/>
  <c r="PI3" i="7" l="1"/>
  <c r="PI2" i="7"/>
  <c r="PI4" i="7"/>
  <c r="G428" i="9"/>
  <c r="F429" i="9"/>
  <c r="E429" i="9"/>
  <c r="D429" i="9" s="1"/>
  <c r="J428" i="9"/>
  <c r="I428" i="9"/>
  <c r="K428" i="9"/>
  <c r="B428" i="9"/>
  <c r="C428" i="9" s="1"/>
  <c r="H428" i="9" l="1"/>
  <c r="PJ3" i="7" s="1"/>
  <c r="E430" i="9"/>
  <c r="D430" i="9" s="1"/>
  <c r="F430" i="9"/>
  <c r="G429" i="9"/>
  <c r="I429" i="9"/>
  <c r="K429" i="9"/>
  <c r="J429" i="9"/>
  <c r="B429" i="9"/>
  <c r="C429" i="9" s="1"/>
  <c r="H429" i="9" s="1"/>
  <c r="PK2" i="7" l="1"/>
  <c r="PJ4" i="7"/>
  <c r="PK3" i="7"/>
  <c r="PJ2" i="7"/>
  <c r="PK4" i="7"/>
  <c r="F431" i="9"/>
  <c r="B431" i="9" s="1"/>
  <c r="C431" i="9" s="1"/>
  <c r="E431" i="9"/>
  <c r="D431" i="9" s="1"/>
  <c r="G430" i="9"/>
  <c r="J430" i="9"/>
  <c r="PL3" i="7" s="1"/>
  <c r="I430" i="9"/>
  <c r="K430" i="9"/>
  <c r="B430" i="9"/>
  <c r="C430" i="9" s="1"/>
  <c r="H430" i="9" s="1"/>
  <c r="PL2" i="7" l="1"/>
  <c r="E432" i="9"/>
  <c r="D432" i="9" s="1"/>
  <c r="G431" i="9"/>
  <c r="H431" i="9" s="1"/>
  <c r="F432" i="9"/>
  <c r="B432" i="9" s="1"/>
  <c r="C432" i="9" s="1"/>
  <c r="J431" i="9"/>
  <c r="K431" i="9"/>
  <c r="I431" i="9"/>
  <c r="PM2" i="7" l="1"/>
  <c r="PM4" i="7"/>
  <c r="PM3" i="7"/>
  <c r="G432" i="9"/>
  <c r="H432" i="9" s="1"/>
  <c r="E433" i="9"/>
  <c r="D433" i="9" s="1"/>
  <c r="F433" i="9"/>
  <c r="B433" i="9" s="1"/>
  <c r="C433" i="9" s="1"/>
  <c r="K432" i="9"/>
  <c r="I432" i="9"/>
  <c r="J432" i="9"/>
  <c r="PN2" i="7" l="1"/>
  <c r="PN3" i="7"/>
  <c r="PN4" i="7"/>
  <c r="E434" i="9"/>
  <c r="D434" i="9" s="1"/>
  <c r="G433" i="9"/>
  <c r="H433" i="9" s="1"/>
  <c r="F434" i="9"/>
  <c r="B434" i="9" s="1"/>
  <c r="C434" i="9" s="1"/>
  <c r="J433" i="9"/>
  <c r="K433" i="9"/>
  <c r="I433" i="9"/>
  <c r="PO2" i="7" l="1"/>
  <c r="PO3" i="7"/>
  <c r="PO4" i="7"/>
  <c r="F435" i="9"/>
  <c r="B435" i="9" s="1"/>
  <c r="C435" i="9" s="1"/>
  <c r="G434" i="9"/>
  <c r="H434" i="9" s="1"/>
  <c r="E435" i="9"/>
  <c r="D435" i="9" s="1"/>
  <c r="J434" i="9"/>
  <c r="I434" i="9"/>
  <c r="K434" i="9"/>
  <c r="PP3" i="7" l="1"/>
  <c r="PP4" i="7"/>
  <c r="PP2" i="7"/>
  <c r="G435" i="9"/>
  <c r="H435" i="9" s="1"/>
  <c r="F436" i="9"/>
  <c r="B436" i="9" s="1"/>
  <c r="C436" i="9" s="1"/>
  <c r="E436" i="9"/>
  <c r="D436" i="9" s="1"/>
  <c r="K435" i="9"/>
  <c r="J435" i="9"/>
  <c r="I435" i="9"/>
  <c r="PQ4" i="7" l="1"/>
  <c r="PQ2" i="7"/>
  <c r="PQ3" i="7"/>
  <c r="G436" i="9"/>
  <c r="H436" i="9" s="1"/>
  <c r="F437" i="9"/>
  <c r="B437" i="9" s="1"/>
  <c r="C437" i="9" s="1"/>
  <c r="E437" i="9"/>
  <c r="D437" i="9" s="1"/>
  <c r="J436" i="9"/>
  <c r="K436" i="9"/>
  <c r="I436" i="9"/>
  <c r="PR3" i="7" l="1"/>
  <c r="PR2" i="7"/>
  <c r="PR4" i="7"/>
  <c r="E438" i="9"/>
  <c r="D438" i="9" s="1"/>
  <c r="F438" i="9"/>
  <c r="B438" i="9" s="1"/>
  <c r="C438" i="9" s="1"/>
  <c r="G437" i="9"/>
  <c r="H437" i="9" s="1"/>
  <c r="K437" i="9"/>
  <c r="I437" i="9"/>
  <c r="J437" i="9"/>
  <c r="PS3" i="7" l="1"/>
  <c r="PS2" i="7"/>
  <c r="F439" i="9"/>
  <c r="B439" i="9" s="1"/>
  <c r="C439" i="9" s="1"/>
  <c r="E439" i="9"/>
  <c r="D439" i="9" s="1"/>
  <c r="G438" i="9"/>
  <c r="H438" i="9" s="1"/>
  <c r="I438" i="9"/>
  <c r="K438" i="9"/>
  <c r="J438" i="9"/>
  <c r="PT3" i="7" l="1"/>
  <c r="PT2" i="7"/>
  <c r="E440" i="9"/>
  <c r="D440" i="9" s="1"/>
  <c r="G439" i="9"/>
  <c r="H439" i="9" s="1"/>
  <c r="F440" i="9"/>
  <c r="B440" i="9" s="1"/>
  <c r="C440" i="9" s="1"/>
  <c r="I439" i="9"/>
  <c r="K439" i="9"/>
  <c r="J439" i="9"/>
  <c r="PU4" i="7" l="1"/>
  <c r="PU2" i="7"/>
  <c r="PU3" i="7"/>
  <c r="G440" i="9"/>
  <c r="H440" i="9" s="1"/>
  <c r="F441" i="9"/>
  <c r="B441" i="9" s="1"/>
  <c r="C441" i="9" s="1"/>
  <c r="E441" i="9"/>
  <c r="D441" i="9" s="1"/>
  <c r="J440" i="9"/>
  <c r="K440" i="9"/>
  <c r="I440" i="9"/>
  <c r="PV4" i="7" l="1"/>
  <c r="PV2" i="7"/>
  <c r="PV3" i="7"/>
  <c r="E442" i="9"/>
  <c r="D442" i="9" s="1"/>
  <c r="G441" i="9"/>
  <c r="H441" i="9" s="1"/>
  <c r="F442" i="9"/>
  <c r="I441" i="9"/>
  <c r="J441" i="9"/>
  <c r="K441" i="9"/>
  <c r="PW3" i="7" l="1"/>
  <c r="PW4" i="7"/>
  <c r="PW2" i="7"/>
  <c r="F443" i="9"/>
  <c r="E443" i="9"/>
  <c r="D443" i="9" s="1"/>
  <c r="G442" i="9"/>
  <c r="I442" i="9"/>
  <c r="J442" i="9"/>
  <c r="K442" i="9"/>
  <c r="B442" i="9"/>
  <c r="C442" i="9" s="1"/>
  <c r="H442" i="9" s="1"/>
  <c r="PX3" i="7" l="1"/>
  <c r="PX2" i="7"/>
  <c r="PX4" i="7"/>
  <c r="F444" i="9"/>
  <c r="G443" i="9"/>
  <c r="E444" i="9"/>
  <c r="D444" i="9" s="1"/>
  <c r="J443" i="9"/>
  <c r="I443" i="9"/>
  <c r="K443" i="9"/>
  <c r="B443" i="9"/>
  <c r="C443" i="9" s="1"/>
  <c r="H443" i="9" l="1"/>
  <c r="PY3" i="7" s="1"/>
  <c r="G444" i="9"/>
  <c r="E445" i="9"/>
  <c r="D445" i="9" s="1"/>
  <c r="F445" i="9"/>
  <c r="B445" i="9" s="1"/>
  <c r="C445" i="9" s="1"/>
  <c r="I444" i="9"/>
  <c r="J444" i="9"/>
  <c r="K444" i="9"/>
  <c r="B444" i="9"/>
  <c r="C444" i="9" s="1"/>
  <c r="PY4" i="7" l="1"/>
  <c r="PY2" i="7"/>
  <c r="H444" i="9"/>
  <c r="PZ2" i="7" s="1"/>
  <c r="E446" i="9"/>
  <c r="D446" i="9" s="1"/>
  <c r="F446" i="9"/>
  <c r="B446" i="9" s="1"/>
  <c r="C446" i="9" s="1"/>
  <c r="G445" i="9"/>
  <c r="H445" i="9" s="1"/>
  <c r="K445" i="9"/>
  <c r="I445" i="9"/>
  <c r="J445" i="9"/>
  <c r="PZ3" i="7" l="1"/>
  <c r="QA4" i="7"/>
  <c r="PZ4" i="7"/>
  <c r="QA2" i="7"/>
  <c r="QA3" i="7"/>
  <c r="F447" i="9"/>
  <c r="B447" i="9" s="1"/>
  <c r="C447" i="9" s="1"/>
  <c r="G446" i="9"/>
  <c r="H446" i="9" s="1"/>
  <c r="E447" i="9"/>
  <c r="D447" i="9" s="1"/>
  <c r="J446" i="9"/>
  <c r="K446" i="9"/>
  <c r="I446" i="9"/>
  <c r="QB4" i="7" l="1"/>
  <c r="QB2" i="7"/>
  <c r="QB3" i="7"/>
  <c r="F448" i="9"/>
  <c r="B448" i="9" s="1"/>
  <c r="C448" i="9" s="1"/>
  <c r="E448" i="9"/>
  <c r="D448" i="9" s="1"/>
  <c r="G447" i="9"/>
  <c r="H447" i="9" s="1"/>
  <c r="I447" i="9"/>
  <c r="J447" i="9"/>
  <c r="K447" i="9"/>
  <c r="QC3" i="7" l="1"/>
  <c r="QC2" i="7"/>
  <c r="QC4" i="7"/>
  <c r="G448" i="9"/>
  <c r="H448" i="9" s="1"/>
  <c r="E449" i="9"/>
  <c r="D449" i="9" s="1"/>
  <c r="F449" i="9"/>
  <c r="B449" i="9" s="1"/>
  <c r="C449" i="9" s="1"/>
  <c r="J448" i="9"/>
  <c r="K448" i="9"/>
  <c r="I448" i="9"/>
  <c r="QD4" i="7" l="1"/>
  <c r="QD3" i="7"/>
  <c r="QD2" i="7"/>
  <c r="E450" i="9"/>
  <c r="D450" i="9" s="1"/>
  <c r="F450" i="9"/>
  <c r="B450" i="9" s="1"/>
  <c r="C450" i="9" s="1"/>
  <c r="G449" i="9"/>
  <c r="H449" i="9" s="1"/>
  <c r="K449" i="9"/>
  <c r="QE4" i="7" s="1"/>
  <c r="I449" i="9"/>
  <c r="QE2" i="7" s="1"/>
  <c r="J449" i="9"/>
  <c r="F451" i="9" l="1"/>
  <c r="B451" i="9" s="1"/>
  <c r="C451" i="9" s="1"/>
  <c r="G450" i="9"/>
  <c r="H450" i="9" s="1"/>
  <c r="E451" i="9"/>
  <c r="D451" i="9" s="1"/>
  <c r="J450" i="9"/>
  <c r="I450" i="9"/>
  <c r="K450" i="9"/>
  <c r="QF2" i="7" l="1"/>
  <c r="QF4" i="7"/>
  <c r="QF3" i="7"/>
  <c r="E452" i="9"/>
  <c r="D452" i="9" s="1"/>
  <c r="G451" i="9"/>
  <c r="H451" i="9" s="1"/>
  <c r="F452" i="9"/>
  <c r="B452" i="9" s="1"/>
  <c r="C452" i="9" s="1"/>
  <c r="K451" i="9"/>
  <c r="J451" i="9"/>
  <c r="I451" i="9"/>
  <c r="QG4" i="7" l="1"/>
  <c r="QG2" i="7"/>
  <c r="QG3" i="7"/>
  <c r="G452" i="9"/>
  <c r="H452" i="9" s="1"/>
  <c r="F453" i="9"/>
  <c r="B453" i="9" s="1"/>
  <c r="C453" i="9" s="1"/>
  <c r="E453" i="9"/>
  <c r="D453" i="9" s="1"/>
  <c r="K452" i="9"/>
  <c r="I452" i="9"/>
  <c r="J452" i="9"/>
  <c r="QH4" i="7" l="1"/>
  <c r="QH3" i="7"/>
  <c r="QH2" i="7"/>
  <c r="E454" i="9"/>
  <c r="D454" i="9" s="1"/>
  <c r="G453" i="9"/>
  <c r="H453" i="9" s="1"/>
  <c r="F454" i="9"/>
  <c r="B454" i="9" s="1"/>
  <c r="C454" i="9" s="1"/>
  <c r="I453" i="9"/>
  <c r="J453" i="9"/>
  <c r="K453" i="9"/>
  <c r="QI3" i="7" l="1"/>
  <c r="QI2" i="7"/>
  <c r="QI4" i="7"/>
  <c r="F455" i="9"/>
  <c r="B455" i="9" s="1"/>
  <c r="C455" i="9" s="1"/>
  <c r="E455" i="9"/>
  <c r="D455" i="9" s="1"/>
  <c r="G454" i="9"/>
  <c r="H454" i="9" s="1"/>
  <c r="K454" i="9"/>
  <c r="I454" i="9"/>
  <c r="J454" i="9"/>
  <c r="QJ3" i="7" l="1"/>
  <c r="QJ2" i="7"/>
  <c r="G455" i="9"/>
  <c r="H455" i="9" s="1"/>
  <c r="E456" i="9"/>
  <c r="D456" i="9" s="1"/>
  <c r="F456" i="9"/>
  <c r="B456" i="9" s="1"/>
  <c r="C456" i="9" s="1"/>
  <c r="K455" i="9"/>
  <c r="I455" i="9"/>
  <c r="J455" i="9"/>
  <c r="QK4" i="7" l="1"/>
  <c r="QK2" i="7"/>
  <c r="QK3" i="7"/>
  <c r="G456" i="9"/>
  <c r="H456" i="9" s="1"/>
  <c r="F457" i="9"/>
  <c r="E457" i="9"/>
  <c r="D457" i="9" s="1"/>
  <c r="K456" i="9"/>
  <c r="J456" i="9"/>
  <c r="I456" i="9"/>
  <c r="QL2" i="7" l="1"/>
  <c r="QL4" i="7"/>
  <c r="E458" i="9"/>
  <c r="D458" i="9" s="1"/>
  <c r="G457" i="9"/>
  <c r="F458" i="9"/>
  <c r="K457" i="9"/>
  <c r="QM4" i="7" s="1"/>
  <c r="I457" i="9"/>
  <c r="J457" i="9"/>
  <c r="B457" i="9"/>
  <c r="C457" i="9" s="1"/>
  <c r="H457" i="9" l="1"/>
  <c r="QM3" i="7"/>
  <c r="QM2" i="7"/>
  <c r="F459" i="9"/>
  <c r="E459" i="9"/>
  <c r="D459" i="9" s="1"/>
  <c r="G458" i="9"/>
  <c r="I458" i="9"/>
  <c r="QN2" i="7" s="1"/>
  <c r="J458" i="9"/>
  <c r="K458" i="9"/>
  <c r="B458" i="9"/>
  <c r="C458" i="9" s="1"/>
  <c r="H458" i="9" s="1"/>
  <c r="QN4" i="7" l="1"/>
  <c r="QN3" i="7"/>
  <c r="F460" i="9"/>
  <c r="B460" i="9" s="1"/>
  <c r="C460" i="9" s="1"/>
  <c r="G459" i="9"/>
  <c r="E460" i="9"/>
  <c r="D460" i="9" s="1"/>
  <c r="I459" i="9"/>
  <c r="J459" i="9"/>
  <c r="QO3" i="7" s="1"/>
  <c r="K459" i="9"/>
  <c r="B459" i="9"/>
  <c r="C459" i="9" s="1"/>
  <c r="H459" i="9" l="1"/>
  <c r="QO4" i="7"/>
  <c r="G460" i="9"/>
  <c r="H460" i="9" s="1"/>
  <c r="E461" i="9"/>
  <c r="D461" i="9" s="1"/>
  <c r="F461" i="9"/>
  <c r="B461" i="9" s="1"/>
  <c r="C461" i="9" s="1"/>
  <c r="J460" i="9"/>
  <c r="I460" i="9"/>
  <c r="K460" i="9"/>
  <c r="QP4" i="7" l="1"/>
  <c r="QP3" i="7"/>
  <c r="E462" i="9"/>
  <c r="D462" i="9" s="1"/>
  <c r="F462" i="9"/>
  <c r="B462" i="9" s="1"/>
  <c r="C462" i="9" s="1"/>
  <c r="G461" i="9"/>
  <c r="H461" i="9" s="1"/>
  <c r="J461" i="9"/>
  <c r="I461" i="9"/>
  <c r="K461" i="9"/>
  <c r="QQ2" i="7" l="1"/>
  <c r="QQ3" i="7"/>
  <c r="QQ4" i="7"/>
  <c r="F463" i="9"/>
  <c r="B463" i="9" s="1"/>
  <c r="C463" i="9" s="1"/>
  <c r="G462" i="9"/>
  <c r="H462" i="9" s="1"/>
  <c r="E463" i="9"/>
  <c r="D463" i="9" s="1"/>
  <c r="I462" i="9"/>
  <c r="K462" i="9"/>
  <c r="J462" i="9"/>
  <c r="QR3" i="7" l="1"/>
  <c r="QR2" i="7"/>
  <c r="QR4" i="7"/>
  <c r="F464" i="9"/>
  <c r="B464" i="9" s="1"/>
  <c r="C464" i="9" s="1"/>
  <c r="E464" i="9"/>
  <c r="D464" i="9" s="1"/>
  <c r="G463" i="9"/>
  <c r="H463" i="9" s="1"/>
  <c r="J463" i="9"/>
  <c r="I463" i="9"/>
  <c r="K463" i="9"/>
  <c r="QS2" i="7" l="1"/>
  <c r="QS3" i="7"/>
  <c r="G464" i="9"/>
  <c r="H464" i="9" s="1"/>
  <c r="E465" i="9"/>
  <c r="D465" i="9" s="1"/>
  <c r="F465" i="9"/>
  <c r="B465" i="9" s="1"/>
  <c r="C465" i="9" s="1"/>
  <c r="J464" i="9"/>
  <c r="K464" i="9"/>
  <c r="I464" i="9"/>
  <c r="QT4" i="7" l="1"/>
  <c r="QT3" i="7"/>
  <c r="QT2" i="7"/>
  <c r="E466" i="9"/>
  <c r="D466" i="9" s="1"/>
  <c r="F466" i="9"/>
  <c r="B466" i="9" s="1"/>
  <c r="C466" i="9" s="1"/>
  <c r="G465" i="9"/>
  <c r="H465" i="9" s="1"/>
  <c r="I465" i="9"/>
  <c r="K465" i="9"/>
  <c r="J465" i="9"/>
  <c r="QU2" i="7" l="1"/>
  <c r="QU3" i="7"/>
  <c r="QU4" i="7"/>
  <c r="F467" i="9"/>
  <c r="B467" i="9" s="1"/>
  <c r="C467" i="9" s="1"/>
  <c r="G466" i="9"/>
  <c r="H466" i="9" s="1"/>
  <c r="E467" i="9"/>
  <c r="D467" i="9" s="1"/>
  <c r="J466" i="9"/>
  <c r="I466" i="9"/>
  <c r="K466" i="9"/>
  <c r="QV4" i="7" l="1"/>
  <c r="QV3" i="7"/>
  <c r="QV2" i="7"/>
  <c r="E468" i="9"/>
  <c r="D468" i="9" s="1"/>
  <c r="G467" i="9"/>
  <c r="H467" i="9" s="1"/>
  <c r="F468" i="9"/>
  <c r="B468" i="9" s="1"/>
  <c r="C468" i="9" s="1"/>
  <c r="I467" i="9"/>
  <c r="J467" i="9"/>
  <c r="K467" i="9"/>
  <c r="QW2" i="7" l="1"/>
  <c r="QW4" i="7"/>
  <c r="QW3" i="7"/>
  <c r="G468" i="9"/>
  <c r="H468" i="9" s="1"/>
  <c r="F469" i="9"/>
  <c r="B469" i="9" s="1"/>
  <c r="C469" i="9" s="1"/>
  <c r="E469" i="9"/>
  <c r="D469" i="9" s="1"/>
  <c r="K468" i="9"/>
  <c r="J468" i="9"/>
  <c r="I468" i="9"/>
  <c r="QX4" i="7" l="1"/>
  <c r="QX2" i="7"/>
  <c r="QX3" i="7"/>
  <c r="E470" i="9"/>
  <c r="D470" i="9" s="1"/>
  <c r="G469" i="9"/>
  <c r="H469" i="9" s="1"/>
  <c r="F470" i="9"/>
  <c r="B470" i="9" s="1"/>
  <c r="C470" i="9" s="1"/>
  <c r="K469" i="9"/>
  <c r="J469" i="9"/>
  <c r="I469" i="9"/>
  <c r="QY2" i="7" l="1"/>
  <c r="QY4" i="7"/>
  <c r="QY3" i="7"/>
  <c r="F471" i="9"/>
  <c r="B471" i="9" s="1"/>
  <c r="C471" i="9" s="1"/>
  <c r="E471" i="9"/>
  <c r="D471" i="9" s="1"/>
  <c r="G470" i="9"/>
  <c r="H470" i="9" s="1"/>
  <c r="K470" i="9"/>
  <c r="J470" i="9"/>
  <c r="I470" i="9"/>
  <c r="QZ2" i="7" l="1"/>
  <c r="QZ3" i="7"/>
  <c r="QZ4" i="7"/>
  <c r="G471" i="9"/>
  <c r="H471" i="9" s="1"/>
  <c r="E472" i="9"/>
  <c r="D472" i="9" s="1"/>
  <c r="F472" i="9"/>
  <c r="J471" i="9"/>
  <c r="K471" i="9"/>
  <c r="I471" i="9"/>
  <c r="RA4" i="7" l="1"/>
  <c r="RA3" i="7"/>
  <c r="RA2" i="7"/>
  <c r="G472" i="9"/>
  <c r="F473" i="9"/>
  <c r="E473" i="9"/>
  <c r="D473" i="9" s="1"/>
  <c r="J472" i="9"/>
  <c r="K472" i="9"/>
  <c r="I472" i="9"/>
  <c r="B472" i="9"/>
  <c r="C472" i="9" s="1"/>
  <c r="RB2" i="7" l="1"/>
  <c r="H472" i="9"/>
  <c r="RB3" i="7" s="1"/>
  <c r="E474" i="9"/>
  <c r="D474" i="9" s="1"/>
  <c r="G473" i="9"/>
  <c r="F474" i="9"/>
  <c r="K473" i="9"/>
  <c r="I473" i="9"/>
  <c r="J473" i="9"/>
  <c r="B473" i="9"/>
  <c r="C473" i="9" s="1"/>
  <c r="H473" i="9" l="1"/>
  <c r="RC3" i="7" s="1"/>
  <c r="RB4" i="7"/>
  <c r="RC2" i="7"/>
  <c r="F475" i="9"/>
  <c r="B475" i="9" s="1"/>
  <c r="C475" i="9" s="1"/>
  <c r="E475" i="9"/>
  <c r="D475" i="9" s="1"/>
  <c r="G474" i="9"/>
  <c r="I474" i="9"/>
  <c r="RD2" i="7" s="1"/>
  <c r="K474" i="9"/>
  <c r="J474" i="9"/>
  <c r="B474" i="9"/>
  <c r="C474" i="9" s="1"/>
  <c r="H474" i="9" s="1"/>
  <c r="RC4" i="7" l="1"/>
  <c r="RD3" i="7"/>
  <c r="RD4" i="7"/>
  <c r="F476" i="9"/>
  <c r="B476" i="9" s="1"/>
  <c r="C476" i="9" s="1"/>
  <c r="G475" i="9"/>
  <c r="H475" i="9" s="1"/>
  <c r="E476" i="9"/>
  <c r="D476" i="9" s="1"/>
  <c r="J475" i="9"/>
  <c r="K475" i="9"/>
  <c r="I475" i="9"/>
  <c r="RE4" i="7" l="1"/>
  <c r="RE3" i="7"/>
  <c r="RE2" i="7"/>
  <c r="G476" i="9"/>
  <c r="H476" i="9" s="1"/>
  <c r="E477" i="9"/>
  <c r="D477" i="9" s="1"/>
  <c r="F477" i="9"/>
  <c r="B477" i="9" s="1"/>
  <c r="C477" i="9" s="1"/>
  <c r="J476" i="9"/>
  <c r="I476" i="9"/>
  <c r="RF2" i="7" s="1"/>
  <c r="K476" i="9"/>
  <c r="RF4" i="7" s="1"/>
  <c r="RF3" i="7" l="1"/>
  <c r="E478" i="9"/>
  <c r="D478" i="9" s="1"/>
  <c r="F478" i="9"/>
  <c r="B478" i="9" s="1"/>
  <c r="C478" i="9" s="1"/>
  <c r="G477" i="9"/>
  <c r="H477" i="9" s="1"/>
  <c r="I477" i="9"/>
  <c r="K477" i="9"/>
  <c r="J477" i="9"/>
  <c r="RG3" i="7" l="1"/>
  <c r="RG4" i="7"/>
  <c r="RG2" i="7"/>
  <c r="F479" i="9"/>
  <c r="B479" i="9" s="1"/>
  <c r="C479" i="9" s="1"/>
  <c r="G478" i="9"/>
  <c r="H478" i="9" s="1"/>
  <c r="E479" i="9"/>
  <c r="D479" i="9" s="1"/>
  <c r="K478" i="9"/>
  <c r="J478" i="9"/>
  <c r="I478" i="9"/>
  <c r="RH2" i="7" l="1"/>
  <c r="RH3" i="7"/>
  <c r="RH4" i="7"/>
  <c r="F480" i="9"/>
  <c r="B480" i="9" s="1"/>
  <c r="C480" i="9" s="1"/>
  <c r="E480" i="9"/>
  <c r="D480" i="9" s="1"/>
  <c r="G479" i="9"/>
  <c r="H479" i="9" s="1"/>
  <c r="J479" i="9"/>
  <c r="K479" i="9"/>
  <c r="I479" i="9"/>
  <c r="RI2" i="7" l="1"/>
  <c r="RI4" i="7"/>
  <c r="RI3" i="7"/>
  <c r="G480" i="9"/>
  <c r="H480" i="9" s="1"/>
  <c r="E481" i="9"/>
  <c r="D481" i="9" s="1"/>
  <c r="F481" i="9"/>
  <c r="B481" i="9" s="1"/>
  <c r="C481" i="9" s="1"/>
  <c r="I480" i="9"/>
  <c r="K480" i="9"/>
  <c r="J480" i="9"/>
  <c r="RJ3" i="7" l="1"/>
  <c r="RJ2" i="7"/>
  <c r="RJ4" i="7"/>
  <c r="E482" i="9"/>
  <c r="D482" i="9" s="1"/>
  <c r="F482" i="9"/>
  <c r="B482" i="9" s="1"/>
  <c r="C482" i="9" s="1"/>
  <c r="G481" i="9"/>
  <c r="H481" i="9" s="1"/>
  <c r="K481" i="9"/>
  <c r="I481" i="9"/>
  <c r="J481" i="9"/>
  <c r="RK3" i="7" l="1"/>
  <c r="RK2" i="7"/>
  <c r="RK4" i="7"/>
  <c r="F483" i="9"/>
  <c r="B483" i="9" s="1"/>
  <c r="C483" i="9" s="1"/>
  <c r="G482" i="9"/>
  <c r="H482" i="9" s="1"/>
  <c r="E483" i="9"/>
  <c r="D483" i="9" s="1"/>
  <c r="J482" i="9"/>
  <c r="K482" i="9"/>
  <c r="I482" i="9"/>
  <c r="RL2" i="7" l="1"/>
  <c r="RL3" i="7"/>
  <c r="RL4" i="7"/>
  <c r="E484" i="9"/>
  <c r="D484" i="9" s="1"/>
  <c r="G483" i="9"/>
  <c r="H483" i="9" s="1"/>
  <c r="F484" i="9"/>
  <c r="B484" i="9" s="1"/>
  <c r="C484" i="9" s="1"/>
  <c r="K483" i="9"/>
  <c r="I483" i="9"/>
  <c r="J483" i="9"/>
  <c r="RM4" i="7" l="1"/>
  <c r="RM3" i="7"/>
  <c r="RM2" i="7"/>
  <c r="G484" i="9"/>
  <c r="H484" i="9" s="1"/>
  <c r="F485" i="9"/>
  <c r="B485" i="9" s="1"/>
  <c r="C485" i="9" s="1"/>
  <c r="E485" i="9"/>
  <c r="D485" i="9" s="1"/>
  <c r="J484" i="9"/>
  <c r="I484" i="9"/>
  <c r="K484" i="9"/>
  <c r="RN3" i="7" l="1"/>
  <c r="RN4" i="7"/>
  <c r="RN2" i="7"/>
  <c r="E486" i="9"/>
  <c r="D486" i="9" s="1"/>
  <c r="G485" i="9"/>
  <c r="H485" i="9" s="1"/>
  <c r="F486" i="9"/>
  <c r="B486" i="9" s="1"/>
  <c r="C486" i="9" s="1"/>
  <c r="J485" i="9"/>
  <c r="K485" i="9"/>
  <c r="I485" i="9"/>
  <c r="RO4" i="7" l="1"/>
  <c r="RO2" i="7"/>
  <c r="F487" i="9"/>
  <c r="E487" i="9"/>
  <c r="D487" i="9" s="1"/>
  <c r="G486" i="9"/>
  <c r="H486" i="9" s="1"/>
  <c r="J486" i="9"/>
  <c r="K486" i="9"/>
  <c r="I486" i="9"/>
  <c r="RP4" i="7" l="1"/>
  <c r="RP2" i="7"/>
  <c r="RP3" i="7"/>
  <c r="G487" i="9"/>
  <c r="E488" i="9"/>
  <c r="D488" i="9" s="1"/>
  <c r="F488" i="9"/>
  <c r="K487" i="9"/>
  <c r="I487" i="9"/>
  <c r="J487" i="9"/>
  <c r="B487" i="9"/>
  <c r="C487" i="9" s="1"/>
  <c r="H487" i="9" s="1"/>
  <c r="RQ3" i="7" l="1"/>
  <c r="RQ2" i="7"/>
  <c r="RQ4" i="7"/>
  <c r="G488" i="9"/>
  <c r="F489" i="9"/>
  <c r="E489" i="9"/>
  <c r="D489" i="9" s="1"/>
  <c r="J488" i="9"/>
  <c r="RR3" i="7" s="1"/>
  <c r="I488" i="9"/>
  <c r="K488" i="9"/>
  <c r="B488" i="9"/>
  <c r="C488" i="9" s="1"/>
  <c r="H488" i="9" s="1"/>
  <c r="RR4" i="7" l="1"/>
  <c r="RR2" i="7"/>
  <c r="E490" i="9"/>
  <c r="D490" i="9" s="1"/>
  <c r="G489" i="9"/>
  <c r="F490" i="9"/>
  <c r="B490" i="9" s="1"/>
  <c r="C490" i="9" s="1"/>
  <c r="K489" i="9"/>
  <c r="J489" i="9"/>
  <c r="I489" i="9"/>
  <c r="B489" i="9"/>
  <c r="C489" i="9" s="1"/>
  <c r="RS4" i="7" l="1"/>
  <c r="RS2" i="7"/>
  <c r="H489" i="9"/>
  <c r="RS3" i="7"/>
  <c r="F491" i="9"/>
  <c r="B491" i="9" s="1"/>
  <c r="C491" i="9" s="1"/>
  <c r="E491" i="9"/>
  <c r="D491" i="9" s="1"/>
  <c r="G490" i="9"/>
  <c r="H490" i="9" s="1"/>
  <c r="K490" i="9"/>
  <c r="I490" i="9"/>
  <c r="J490" i="9"/>
  <c r="RT3" i="7" l="1"/>
  <c r="RT2" i="7"/>
  <c r="RT4" i="7"/>
  <c r="F492" i="9"/>
  <c r="B492" i="9" s="1"/>
  <c r="C492" i="9" s="1"/>
  <c r="G491" i="9"/>
  <c r="H491" i="9" s="1"/>
  <c r="E492" i="9"/>
  <c r="D492" i="9" s="1"/>
  <c r="I491" i="9"/>
  <c r="K491" i="9"/>
  <c r="J491" i="9"/>
  <c r="RU2" i="7" l="1"/>
  <c r="RU3" i="7"/>
  <c r="RU4" i="7"/>
  <c r="G492" i="9"/>
  <c r="H492" i="9" s="1"/>
  <c r="E493" i="9"/>
  <c r="D493" i="9" s="1"/>
  <c r="F493" i="9"/>
  <c r="B493" i="9" s="1"/>
  <c r="C493" i="9" s="1"/>
  <c r="K492" i="9"/>
  <c r="I492" i="9"/>
  <c r="J492" i="9"/>
  <c r="RV2" i="7" l="1"/>
  <c r="RV4" i="7"/>
  <c r="RV3" i="7"/>
  <c r="E494" i="9"/>
  <c r="D494" i="9" s="1"/>
  <c r="F494" i="9"/>
  <c r="B494" i="9" s="1"/>
  <c r="C494" i="9" s="1"/>
  <c r="G493" i="9"/>
  <c r="H493" i="9" s="1"/>
  <c r="I493" i="9"/>
  <c r="RW2" i="7" s="1"/>
  <c r="K493" i="9"/>
  <c r="RW4" i="7" s="1"/>
  <c r="J493" i="9"/>
  <c r="RW3" i="7" s="1"/>
  <c r="F495" i="9" l="1"/>
  <c r="B495" i="9" s="1"/>
  <c r="C495" i="9" s="1"/>
  <c r="G494" i="9"/>
  <c r="H494" i="9" s="1"/>
  <c r="E495" i="9"/>
  <c r="D495" i="9" s="1"/>
  <c r="J494" i="9"/>
  <c r="K494" i="9"/>
  <c r="I494" i="9"/>
  <c r="RX2" i="7" l="1"/>
  <c r="RX3" i="7"/>
  <c r="F496" i="9"/>
  <c r="B496" i="9" s="1"/>
  <c r="C496" i="9" s="1"/>
  <c r="E496" i="9"/>
  <c r="D496" i="9" s="1"/>
  <c r="G495" i="9"/>
  <c r="H495" i="9" s="1"/>
  <c r="J495" i="9"/>
  <c r="I495" i="9"/>
  <c r="K495" i="9"/>
  <c r="RY3" i="7" l="1"/>
  <c r="RY2" i="7"/>
  <c r="RY4" i="7"/>
  <c r="G496" i="9"/>
  <c r="H496" i="9" s="1"/>
  <c r="E497" i="9"/>
  <c r="D497" i="9" s="1"/>
  <c r="F497" i="9"/>
  <c r="B497" i="9" s="1"/>
  <c r="C497" i="9" s="1"/>
  <c r="K496" i="9"/>
  <c r="J496" i="9"/>
  <c r="I496" i="9"/>
  <c r="RZ4" i="7" l="1"/>
  <c r="RZ2" i="7"/>
  <c r="RZ3" i="7"/>
  <c r="E498" i="9"/>
  <c r="D498" i="9" s="1"/>
  <c r="F498" i="9"/>
  <c r="B498" i="9" s="1"/>
  <c r="C498" i="9" s="1"/>
  <c r="G497" i="9"/>
  <c r="H497" i="9" s="1"/>
  <c r="I497" i="9"/>
  <c r="K497" i="9"/>
  <c r="J497" i="9"/>
  <c r="SA2" i="7" l="1"/>
  <c r="SA3" i="7"/>
  <c r="SA4" i="7"/>
  <c r="F499" i="9"/>
  <c r="B499" i="9" s="1"/>
  <c r="C499" i="9" s="1"/>
  <c r="G498" i="9"/>
  <c r="H498" i="9" s="1"/>
  <c r="E499" i="9"/>
  <c r="D499" i="9" s="1"/>
  <c r="J498" i="9"/>
  <c r="I498" i="9"/>
  <c r="K498" i="9"/>
  <c r="SB2" i="7" l="1"/>
  <c r="SB4" i="7"/>
  <c r="E500" i="9"/>
  <c r="D500" i="9" s="1"/>
  <c r="G499" i="9"/>
  <c r="H499" i="9" s="1"/>
  <c r="F500" i="9"/>
  <c r="B500" i="9" s="1"/>
  <c r="C500" i="9" s="1"/>
  <c r="I499" i="9"/>
  <c r="J499" i="9"/>
  <c r="K499" i="9"/>
  <c r="SC3" i="7" l="1"/>
  <c r="SC2" i="7"/>
  <c r="SC4" i="7"/>
  <c r="G500" i="9"/>
  <c r="H500" i="9" s="1"/>
  <c r="F501" i="9"/>
  <c r="B501" i="9" s="1"/>
  <c r="C501" i="9" s="1"/>
  <c r="E501" i="9"/>
  <c r="D501" i="9" s="1"/>
  <c r="K500" i="9"/>
  <c r="I500" i="9"/>
  <c r="J500" i="9"/>
  <c r="SD3" i="7" l="1"/>
  <c r="G501" i="9"/>
  <c r="H501" i="9" s="1"/>
  <c r="J501" i="9"/>
  <c r="I501" i="9"/>
  <c r="K501" i="9"/>
  <c r="SE3" i="7" l="1"/>
  <c r="SE2" i="7"/>
  <c r="SE4" i="7"/>
  <c r="JD4" i="7"/>
  <c r="NR3" i="7"/>
  <c r="FR3" i="7"/>
  <c r="QO2" i="7"/>
  <c r="FB2" i="7"/>
  <c r="LL4" i="7"/>
  <c r="BW4" i="7"/>
  <c r="AU3" i="7"/>
  <c r="CM2" i="7"/>
  <c r="PT4" i="7"/>
  <c r="SB3" i="7"/>
  <c r="PD4" i="7"/>
  <c r="OI3" i="7"/>
  <c r="HH4" i="7"/>
  <c r="AA3" i="7"/>
  <c r="LV3" i="7"/>
  <c r="FL4" i="7"/>
  <c r="OX3" i="7"/>
  <c r="GQ4" i="7"/>
  <c r="HL4" i="7"/>
  <c r="MR4" i="7"/>
  <c r="DT4" i="7"/>
  <c r="RO3" i="7"/>
  <c r="QS4" i="7"/>
  <c r="MY4" i="7"/>
  <c r="FV2" i="7"/>
  <c r="HS4" i="7"/>
  <c r="GT3" i="7"/>
  <c r="EU4" i="7"/>
  <c r="PS4" i="7"/>
  <c r="NH4" i="7"/>
  <c r="AH3" i="7"/>
  <c r="QJ4" i="7"/>
  <c r="GV4" i="7"/>
  <c r="KH3" i="7"/>
  <c r="LB2" i="7"/>
  <c r="GM4" i="7"/>
  <c r="GK4" i="7"/>
  <c r="FY4" i="7"/>
  <c r="EB4" i="7"/>
  <c r="GY4" i="7"/>
  <c r="FG2" i="7"/>
  <c r="HW3" i="7"/>
  <c r="O3" i="7"/>
  <c r="EN4" i="7"/>
  <c r="OY3" i="7"/>
  <c r="AF4" i="7"/>
  <c r="IK4" i="7"/>
  <c r="JX3" i="7"/>
  <c r="HW2" i="7"/>
  <c r="HP3" i="7"/>
  <c r="AJ4" i="7"/>
  <c r="MB4" i="7"/>
  <c r="IW4" i="7"/>
  <c r="OE4" i="7"/>
  <c r="NS3" i="7"/>
  <c r="JK4" i="7"/>
  <c r="JX4" i="7"/>
  <c r="MQ4" i="7"/>
  <c r="DC4" i="7"/>
  <c r="KL2" i="7"/>
  <c r="JO4" i="7"/>
  <c r="IT4" i="7"/>
  <c r="BC4" i="7"/>
  <c r="DS4" i="7"/>
  <c r="HE4" i="7"/>
  <c r="QE3" i="7"/>
  <c r="KB3" i="7"/>
  <c r="IY4" i="7"/>
  <c r="CH2" i="7"/>
  <c r="FS4" i="7"/>
  <c r="SD4" i="7"/>
  <c r="ON4" i="7"/>
  <c r="HC4" i="7"/>
  <c r="MZ4" i="7"/>
  <c r="LS4" i="7"/>
  <c r="NJ3" i="7"/>
  <c r="GF4" i="7"/>
  <c r="SD2" i="7"/>
  <c r="LG3" i="7"/>
  <c r="GH3" i="7"/>
  <c r="BF3" i="7"/>
  <c r="KM4" i="7"/>
  <c r="GA2" i="7"/>
  <c r="FK4" i="7"/>
  <c r="LK4" i="7"/>
  <c r="KF4" i="7"/>
  <c r="IR4" i="7"/>
  <c r="II3" i="7"/>
  <c r="NW4" i="7"/>
  <c r="AO4" i="7"/>
  <c r="BK3" i="7"/>
  <c r="OM4" i="7"/>
  <c r="KV4" i="7"/>
  <c r="NX4" i="7"/>
  <c r="T4" i="7"/>
  <c r="EM4" i="7"/>
  <c r="ID2" i="7"/>
  <c r="RX4" i="7"/>
  <c r="DL4" i="7"/>
  <c r="EV4" i="7"/>
  <c r="JQ4" i="7"/>
  <c r="MM3" i="7"/>
  <c r="QL3" i="7"/>
  <c r="QP2" i="7"/>
  <c r="GO4" i="7"/>
  <c r="PL4" i="7"/>
  <c r="LW3" i="7"/>
  <c r="KE4" i="7"/>
  <c r="ID3" i="7"/>
  <c r="KN4"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<sst xmlns="http://schemas.openxmlformats.org/spreadsheetml/2006/main" count="5909" uniqueCount="1102">
  <si>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</si>
  <si>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</si>
  <si>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</si>
  <si>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</si>
  <si>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</si>
  <si>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</si>
  <si>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</si>
  <si>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</si>
  <si>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</si>
  <si>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</si>
  <si>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</si>
  <si>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</si>
  <si>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</si>
  <si>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</si>
  <si>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</si>
  <si>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</si>
  <si>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</si>
  <si>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</si>
  <si>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</si>
  <si>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</si>
  <si>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</si>
  <si>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</si>
  <si>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</si>
  <si>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</si>
  <si>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</si>
  <si>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</si>
  <si>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</si>
  <si>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</si>
  <si>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</si>
  <si>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</si>
  <si>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</si>
  <si>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</si>
  <si>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</si>
  <si>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</si>
  <si>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</si>
  <si>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</si>
  <si>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</si>
  <si>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</si>
  <si>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</si>
  <si>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</si>
  <si>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</si>
  <si>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</si>
  <si>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</si>
  <si>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</si>
  <si>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</si>
  <si>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</si>
  <si>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</si>
  <si>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</si>
  <si>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</si>
  <si>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</si>
  <si>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</si>
  <si>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</si>
  <si>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</si>
  <si>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</si>
  <si>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</si>
  <si>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</si>
  <si>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</si>
  <si>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</si>
  <si>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</si>
  <si>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</si>
  <si>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</si>
  <si>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</si>
  <si>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</si>
  <si>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</si>
  <si>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</si>
  <si>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</si>
  <si>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</si>
  <si>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</si>
  <si>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</si>
  <si>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</si>
  <si>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</si>
  <si>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</si>
  <si>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</si>
  <si>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</si>
  <si>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</si>
  <si>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</si>
  <si>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</si>
  <si>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</si>
  <si>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</si>
  <si>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</si>
  <si>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</si>
  <si>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</si>
  <si>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</si>
  <si>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</si>
  <si>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</si>
  <si>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</si>
  <si>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</si>
  <si>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</si>
  <si>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</si>
  <si>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</si>
  <si>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</si>
  <si>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</si>
  <si>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</si>
  <si>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</si>
  <si>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</si>
  <si>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</si>
  <si>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</si>
  <si>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</si>
  <si>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</si>
  <si>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</si>
  <si>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</si>
  <si>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</si>
  <si>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</si>
  <si>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</si>
  <si>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</si>
  <si>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</si>
  <si>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</si>
  <si>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</si>
  <si>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</si>
  <si>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</si>
  <si>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</si>
  <si>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</si>
  <si>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</si>
  <si>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</si>
  <si>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</si>
  <si>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</si>
  <si>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</si>
  <si>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</si>
  <si>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</si>
  <si>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</si>
  <si>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</si>
  <si>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</si>
  <si>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</si>
  <si>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</si>
  <si>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</si>
  <si>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</si>
  <si>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</si>
  <si>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</si>
  <si>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</si>
  <si>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</si>
  <si>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</si>
  <si>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</si>
  <si>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</si>
  <si>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</si>
  <si>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</si>
  <si>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</si>
  <si>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</si>
  <si>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</si>
  <si>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</si>
  <si>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</si>
  <si>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</si>
  <si>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</si>
  <si>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</si>
  <si>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</si>
  <si>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</si>
  <si>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</si>
  <si>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</si>
  <si>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</si>
  <si>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</si>
  <si>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</si>
  <si>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</si>
  <si>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</si>
  <si>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</si>
  <si>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</si>
  <si>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</si>
  <si>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</si>
  <si>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</si>
  <si>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</si>
  <si>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</si>
  <si>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</si>
  <si>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</si>
  <si>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</si>
  <si>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</si>
  <si>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</si>
  <si>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</si>
  <si>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</si>
  <si>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</si>
  <si>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</si>
  <si>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</si>
  <si>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</si>
  <si>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</si>
  <si>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</si>
  <si>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</si>
  <si>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</si>
  <si>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</si>
  <si>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</si>
  <si>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</si>
  <si>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</si>
  <si>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</si>
  <si>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</si>
  <si>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</si>
  <si>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</si>
  <si>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</si>
  <si>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</si>
  <si>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</si>
  <si>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</si>
  <si>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</si>
  <si>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</si>
  <si>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</si>
  <si>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</si>
  <si>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</si>
  <si>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</si>
  <si>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</si>
  <si>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</si>
  <si>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</si>
  <si>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</si>
  <si>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</si>
  <si>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</si>
  <si>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</si>
  <si>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</si>
  <si>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</si>
  <si>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</si>
  <si>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</si>
  <si>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</si>
  <si>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</si>
  <si>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</si>
  <si>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</si>
  <si>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</si>
  <si>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</si>
  <si>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</si>
  <si>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</si>
  <si>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</si>
  <si>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</si>
  <si>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</si>
  <si>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</si>
  <si>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</si>
  <si>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</si>
  <si>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</si>
  <si>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</si>
  <si>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</si>
  <si>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</si>
  <si>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</si>
  <si>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</si>
  <si>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</si>
  <si>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</si>
  <si>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</si>
  <si>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</si>
  <si>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</si>
  <si>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</si>
  <si>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</si>
  <si>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</si>
  <si>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</si>
  <si>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</si>
  <si>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</si>
  <si>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</si>
  <si>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</si>
  <si>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</si>
  <si>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</si>
  <si>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</si>
  <si>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</si>
  <si>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</si>
  <si>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</si>
  <si>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</si>
  <si>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</si>
  <si>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</si>
  <si>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</si>
  <si>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</si>
  <si>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</si>
  <si>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</si>
  <si>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</si>
  <si>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</si>
  <si>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</si>
  <si>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</si>
  <si>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</si>
  <si>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</si>
  <si>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</si>
  <si>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</si>
  <si>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</si>
  <si>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</si>
  <si>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</si>
  <si>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</si>
  <si>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</si>
  <si>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</si>
  <si>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</si>
  <si>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</si>
  <si>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</si>
  <si>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</si>
  <si>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</si>
  <si>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</si>
  <si>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</si>
  <si>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Service Operations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</si>
  <si>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</si>
  <si>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</si>
  <si>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</si>
  <si>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</si>
  <si>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</si>
  <si>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</si>
  <si>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</si>
  <si>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</si>
  <si>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</si>
  <si>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</si>
  <si>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</si>
  <si>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</si>
  <si>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</si>
  <si>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</si>
  <si>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</si>
  <si>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</si>
  <si>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</si>
  <si>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</si>
  <si>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</si>
  <si>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</si>
  <si>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</si>
  <si>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</si>
  <si>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</si>
  <si>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</si>
  <si>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</si>
  <si>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</si>
  <si>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</si>
  <si>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</si>
  <si>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</si>
  <si>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</si>
  <si>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</si>
  <si>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</si>
  <si>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</si>
  <si>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</si>
  <si>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</si>
  <si>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</si>
  <si>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</si>
  <si>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</si>
  <si>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</si>
  <si>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</si>
  <si>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</si>
  <si>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</si>
  <si>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</si>
  <si>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</si>
  <si>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</si>
  <si>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</si>
  <si>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</si>
  <si>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</si>
  <si>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</si>
  <si>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</si>
  <si>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</si>
  <si>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</si>
  <si>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</si>
  <si>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</si>
  <si>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</si>
  <si>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</si>
  <si>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</si>
  <si>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</si>
  <si>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</si>
  <si>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</si>
  <si>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</si>
  <si>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</si>
  <si>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</si>
  <si>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</si>
  <si>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</si>
  <si>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</si>
  <si>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</si>
  <si>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</si>
  <si>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</si>
  <si>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</si>
  <si>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</si>
  <si>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</si>
  <si>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</si>
  <si>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</si>
  <si>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</si>
  <si>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</si>
  <si>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</si>
  <si>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</si>
  <si>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</si>
  <si>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</si>
  <si>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</si>
  <si>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</si>
  <si>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</si>
  <si>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</si>
  <si>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</si>
  <si>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</si>
  <si>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</si>
  <si>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</si>
  <si>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</si>
  <si>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</si>
  <si>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</si>
  <si>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</si>
  <si>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</si>
  <si>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</si>
  <si>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</si>
  <si>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</si>
  <si>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</si>
  <si>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</si>
  <si>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</si>
  <si>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</si>
  <si>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</si>
  <si>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</si>
  <si>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</si>
  <si>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</si>
  <si>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</si>
  <si>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</si>
  <si>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</si>
  <si>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</si>
  <si>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</si>
  <si>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</si>
  <si>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</si>
  <si>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</si>
  <si>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</si>
  <si>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</si>
  <si>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</si>
  <si>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</si>
  <si>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</si>
  <si>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</si>
  <si>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</si>
  <si>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</si>
  <si>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</si>
  <si>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</si>
  <si>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</si>
  <si>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</si>
  <si>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</si>
  <si>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</si>
  <si>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</si>
  <si>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</si>
  <si>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</si>
  <si>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</si>
  <si>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</si>
  <si>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</si>
  <si>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</si>
  <si>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</si>
  <si>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</si>
  <si>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</si>
  <si>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</si>
  <si>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</si>
  <si>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</si>
  <si>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</si>
  <si>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</si>
  <si>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</si>
  <si>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</si>
  <si>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</si>
  <si>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</si>
  <si>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</si>
  <si>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</si>
  <si>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</si>
  <si>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</si>
  <si>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</si>
  <si>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</si>
  <si>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</si>
  <si>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</si>
  <si>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</si>
  <si>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</si>
  <si>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</si>
  <si>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</si>
  <si>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</si>
  <si>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</si>
  <si>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</si>
  <si>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</si>
  <si>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</si>
  <si>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</si>
  <si>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</si>
  <si>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</si>
  <si>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</si>
  <si>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</si>
  <si>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</si>
  <si>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</si>
  <si>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</si>
  <si>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</si>
  <si>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</si>
  <si>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</si>
  <si>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</si>
  <si>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</si>
  <si>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</si>
  <si>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</si>
  <si>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</si>
  <si>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</si>
  <si>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</si>
  <si>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</si>
  <si>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</si>
  <si>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</si>
  <si>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</si>
  <si>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</si>
  <si>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</si>
  <si>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</si>
  <si>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</si>
  <si>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</si>
  <si>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</si>
  <si>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</si>
  <si>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</si>
  <si>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</si>
  <si>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</si>
  <si>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</si>
  <si>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</si>
  <si>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</si>
  <si>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</si>
  <si>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</si>
  <si>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</si>
  <si>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</si>
  <si>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</si>
  <si>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</si>
  <si>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</si>
  <si>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</si>
  <si>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</si>
  <si>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</si>
  <si>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</si>
  <si>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</si>
  <si>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</si>
  <si>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</si>
  <si>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</si>
  <si>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</si>
  <si>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</si>
  <si>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</si>
  <si>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</si>
  <si>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</si>
  <si>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</si>
  <si>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</si>
  <si>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</si>
  <si>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</si>
  <si>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</si>
  <si>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</si>
  <si>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</si>
  <si>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</si>
  <si>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</si>
  <si>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</si>
  <si>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</si>
  <si>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</si>
  <si>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</si>
  <si>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</si>
  <si>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</si>
  <si>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</si>
  <si>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</si>
  <si>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</si>
  <si>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</si>
  <si>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</si>
  <si>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</si>
  <si>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</si>
  <si>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</si>
  <si>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</si>
  <si>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</si>
  <si>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</si>
  <si>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</si>
  <si>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</si>
  <si>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</si>
  <si>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</si>
  <si>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</si>
  <si>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</si>
  <si>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</si>
  <si>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</si>
  <si>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</si>
  <si>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</si>
  <si>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</si>
  <si>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</si>
  <si>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</si>
  <si>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</si>
  <si>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</si>
  <si>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</si>
  <si>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</si>
  <si>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</si>
  <si>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</si>
  <si>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</si>
  <si>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</si>
  <si>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</si>
  <si>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</si>
  <si>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</si>
  <si>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</si>
  <si>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</si>
  <si>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</si>
  <si>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</si>
  <si>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</si>
  <si>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</si>
  <si>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</si>
  <si>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</si>
  <si>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</si>
  <si>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</si>
  <si>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</si>
  <si>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</si>
  <si>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</si>
  <si>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</si>
  <si>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</si>
  <si>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</si>
  <si>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</si>
  <si>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</si>
  <si>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</si>
  <si>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</si>
  <si>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</si>
  <si>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</si>
  <si>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</si>
  <si>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</si>
  <si>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</si>
  <si>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</si>
  <si>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</si>
  <si>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</si>
  <si>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</si>
  <si>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</si>
  <si>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</si>
  <si>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</si>
  <si>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</si>
  <si>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</si>
  <si>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</si>
  <si>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</si>
  <si>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</si>
  <si>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</si>
  <si>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</si>
  <si>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</si>
  <si>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</si>
  <si>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</si>
  <si>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</si>
  <si>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</si>
  <si>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</si>
  <si>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</si>
  <si>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</si>
  <si>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</si>
  <si>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</si>
  <si>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</si>
  <si>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</si>
  <si>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</si>
  <si>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</si>
  <si>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</si>
  <si>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</si>
  <si>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</si>
  <si>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</si>
  <si>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</si>
  <si>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</si>
  <si>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</si>
  <si>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</si>
  <si>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</si>
  <si>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</si>
  <si>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</si>
  <si>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</si>
  <si>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</si>
  <si>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</si>
  <si>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</si>
  <si>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</si>
  <si>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</si>
  <si>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</si>
  <si>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</si>
  <si>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</si>
  <si>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</si>
  <si>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</si>
  <si>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</si>
  <si>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</si>
  <si>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</si>
  <si>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</si>
  <si>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</si>
  <si>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</si>
  <si>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</si>
  <si>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</si>
  <si>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</si>
  <si>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</si>
  <si>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</si>
  <si>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</si>
  <si>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</si>
  <si>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</si>
  <si>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</si>
  <si>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</si>
  <si>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</si>
  <si>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</si>
  <si>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</si>
  <si>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</si>
  <si>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</si>
  <si>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</si>
  <si>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</si>
  <si>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</si>
  <si>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</si>
  <si>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</si>
  <si>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</si>
  <si>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</si>
  <si>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</si>
  <si>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</si>
  <si>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</si>
  <si>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</si>
  <si>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</si>
  <si>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</si>
  <si>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</si>
  <si>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</si>
  <si>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</si>
  <si>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</si>
  <si>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</si>
  <si>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</si>
  <si>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</si>
  <si>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</si>
  <si>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</si>
  <si>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</si>
  <si>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</si>
  <si>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</si>
  <si>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</si>
  <si>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</si>
  <si>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</si>
  <si>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</si>
  <si>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</si>
  <si>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</si>
  <si>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</si>
  <si>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</si>
  <si>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</si>
  <si>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</si>
  <si>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</si>
  <si>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</si>
  <si>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</si>
  <si>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</si>
  <si>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</si>
  <si>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</si>
  <si>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</si>
  <si>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</si>
  <si>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</si>
  <si>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</si>
  <si>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</si>
  <si>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</si>
  <si>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</si>
  <si>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</si>
  <si>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</si>
  <si>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</si>
  <si>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</si>
  <si>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</si>
  <si>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</si>
  <si>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</si>
  <si>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</si>
  <si>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</si>
  <si>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</si>
  <si>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</si>
  <si>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</si>
  <si>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</si>
  <si>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</si>
  <si>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</si>
  <si>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</si>
  <si>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</si>
  <si>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</si>
  <si>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</si>
  <si>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</si>
  <si>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</si>
  <si>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</si>
  <si>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</si>
  <si>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</si>
  <si>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</si>
  <si>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</si>
  <si>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</si>
  <si>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</si>
  <si>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</si>
  <si>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</si>
  <si>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</si>
  <si>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</si>
  <si>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</si>
  <si>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</si>
  <si>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</si>
  <si>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</si>
  <si>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</si>
  <si>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</si>
  <si>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</si>
  <si>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</si>
  <si>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</si>
  <si>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</si>
  <si>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</si>
  <si>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</si>
  <si>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</si>
  <si>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</si>
  <si>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</si>
  <si>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</si>
  <si>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</si>
  <si>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</si>
  <si>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</si>
  <si>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</si>
  <si>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</si>
  <si>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</si>
  <si>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</si>
  <si>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</si>
  <si>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</si>
  <si>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</si>
  <si>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</si>
  <si>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</si>
  <si>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</si>
  <si>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</si>
  <si>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</si>
  <si>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</si>
  <si>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</si>
  <si>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</si>
  <si>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</si>
  <si>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</si>
  <si>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</si>
  <si>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</si>
  <si>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</si>
  <si>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</si>
  <si>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</si>
  <si>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</si>
  <si>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</si>
  <si>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</si>
  <si>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</si>
  <si>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</si>
  <si>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</si>
  <si>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</si>
  <si>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</si>
  <si>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</si>
  <si>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</si>
  <si>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</si>
  <si>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</si>
  <si>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</si>
  <si>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</si>
  <si>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</si>
  <si>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</si>
  <si>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</si>
  <si>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</si>
  <si>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</si>
  <si>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</si>
  <si>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</si>
  <si>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</si>
  <si>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</si>
  <si>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</si>
  <si>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</si>
  <si>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</si>
  <si>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</si>
  <si>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</si>
  <si>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</si>
  <si>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</si>
  <si>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</si>
  <si>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</si>
  <si>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</si>
  <si>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</si>
  <si>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</si>
  <si>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</si>
  <si>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</si>
  <si>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</si>
  <si>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</si>
  <si>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</si>
  <si>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</si>
  <si>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</si>
  <si>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</si>
  <si>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</si>
  <si>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</si>
  <si>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</si>
  <si>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</si>
  <si>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</si>
  <si>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</si>
  <si>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</si>
  <si>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</si>
  <si>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</si>
  <si>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</si>
  <si>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</si>
  <si>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</si>
  <si>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</si>
  <si>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</si>
  <si>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</si>
  <si>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</si>
  <si>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</si>
  <si>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</si>
  <si>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</si>
  <si>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</si>
  <si>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</si>
  <si>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</si>
  <si>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</si>
  <si>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</si>
  <si>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</si>
  <si>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</si>
  <si>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</si>
  <si>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</si>
  <si>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</si>
  <si>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</si>
  <si>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</si>
  <si>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</si>
  <si>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</si>
  <si>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</si>
  <si>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</si>
  <si>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</si>
  <si>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</si>
  <si>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</si>
  <si>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</si>
  <si>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</si>
  <si>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</si>
  <si>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</si>
  <si>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</si>
  <si>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</si>
  <si>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</si>
  <si>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</si>
  <si>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</si>
  <si>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</si>
  <si>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</si>
  <si>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</si>
  <si>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r>
      <rPr>
        <b/>
        <sz val="9"/>
        <color theme="1"/>
        <rFont val="Calibri Light"/>
        <family val="2"/>
        <scheme val="major"/>
      </rPr>
      <t>Useful Strength</t>
    </r>
    <r>
      <rPr>
        <sz val="9"/>
        <color theme="1"/>
        <rFont val="Calibri Light"/>
        <family val="2"/>
        <scheme val="major"/>
      </rPr>
      <t xml:space="preserve"> – indicates a strength that is important to the person and can be used for strength-based planning process.</t>
    </r>
  </si>
  <si>
    <r>
      <rPr>
        <b/>
        <sz val="9"/>
        <color theme="1"/>
        <rFont val="Calibri Light"/>
        <family val="2"/>
        <scheme val="major"/>
      </rPr>
      <t>Strength to Build</t>
    </r>
    <r>
      <rPr>
        <sz val="9"/>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</si>
  <si>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9"/>
        <color theme="1"/>
        <rFont val="Calibri Light"/>
        <family val="2"/>
        <scheme val="major"/>
      </rPr>
      <t>0 = No Evidence of Need</t>
    </r>
    <r>
      <rPr>
        <sz val="9"/>
        <color theme="1"/>
        <rFont val="Calibri Light"/>
        <family val="2"/>
        <scheme val="major"/>
      </rPr>
      <t xml:space="preserve"> - no reason to believe/assume this is a need. This area may also be a strength of the family.</t>
    </r>
  </si>
  <si>
    <r>
      <rPr>
        <b/>
        <sz val="9"/>
        <color theme="1"/>
        <rFont val="Calibri Light"/>
        <family val="2"/>
        <scheme val="major"/>
      </rPr>
      <t>1 = Watchful Waiting / Prevention</t>
    </r>
    <r>
      <rPr>
        <sz val="9"/>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</si>
  <si>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9"/>
        <color theme="1"/>
        <rFont val="Calibri Light"/>
        <family val="2"/>
        <scheme val="major"/>
      </rPr>
      <t>2 =Action Needed</t>
    </r>
    <r>
      <rPr>
        <sz val="9"/>
        <color theme="1"/>
        <rFont val="Calibri Light"/>
        <family val="2"/>
        <scheme val="major"/>
      </rPr>
      <t xml:space="preserve"> - something must be done, the need is sufficiently problematic and is interfering with child safety in a notable way.</t>
    </r>
  </si>
  <si>
    <r>
      <rPr>
        <b/>
        <sz val="9"/>
        <color theme="1"/>
        <rFont val="Calibri Light"/>
        <family val="2"/>
        <scheme val="major"/>
      </rPr>
      <t>3 = Immediate / Intensive Action Needed</t>
    </r>
    <r>
      <rPr>
        <sz val="9"/>
        <color theme="1"/>
        <rFont val="Calibri Light"/>
        <family val="2"/>
        <scheme val="major"/>
      </rPr>
      <t xml:space="preserve"> - requires immediate or intensive effort to address. Dangerous or disabling levels of needs.</t>
    </r>
  </si>
  <si>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</si>
  <si>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</si>
  <si>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</si>
  <si>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</si>
  <si>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</si>
  <si>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</si>
  <si>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</si>
  <si>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</si>
  <si>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</si>
  <si>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</si>
  <si>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</si>
  <si>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</si>
  <si>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</si>
  <si>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</si>
  <si>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</si>
  <si>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</si>
  <si>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</si>
  <si>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</si>
  <si>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</si>
  <si>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</si>
  <si>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</si>
  <si>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</si>
  <si>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</si>
  <si>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</si>
  <si>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</si>
  <si>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</si>
  <si>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</si>
  <si>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</si>
  <si>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</si>
  <si>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</si>
  <si>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</si>
  <si>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</si>
  <si>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</si>
  <si>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</si>
  <si>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</si>
  <si>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</si>
  <si>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</si>
  <si>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</si>
  <si>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</si>
  <si>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</si>
  <si>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</si>
  <si>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</si>
  <si>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</si>
  <si>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</si>
  <si>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</si>
  <si>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</si>
  <si>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</si>
  <si>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</si>
  <si>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</si>
  <si>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</si>
  <si>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</si>
  <si>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</si>
  <si>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</si>
  <si>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</si>
  <si>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</si>
  <si>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</si>
  <si>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</si>
  <si>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</si>
  <si>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</si>
  <si>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</si>
  <si>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</si>
  <si>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</si>
  <si>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</si>
  <si>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</si>
  <si>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</si>
  <si>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</si>
  <si>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</si>
  <si>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</si>
  <si>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</si>
  <si>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</si>
  <si>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</si>
  <si>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</si>
  <si>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</si>
  <si>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</si>
  <si>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</si>
  <si>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</si>
  <si>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</si>
  <si>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</si>
  <si>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</si>
  <si>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</si>
  <si>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</si>
  <si>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</si>
  <si>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</si>
  <si>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</si>
  <si>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</si>
  <si>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</si>
  <si>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</si>
  <si>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</si>
  <si>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</si>
  <si>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</si>
  <si>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</si>
  <si>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</si>
  <si>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</si>
  <si>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</si>
  <si>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</si>
  <si>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</si>
  <si>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mn</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</si>
  <si>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</si>
  <si>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</si>
  <si>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</si>
  <si>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</si>
  <si>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</si>
  <si>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</si>
  <si>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</si>
  <si>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</si>
  <si>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</si>
  <si>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</si>
  <si>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</si>
  <si>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</si>
  <si>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</si>
  <si>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</si>
  <si>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</si>
  <si>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</si>
  <si>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</si>
  <si>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</si>
  <si>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</si>
  <si>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</si>
  <si>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</si>
  <si>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</si>
  <si>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</si>
  <si>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</si>
  <si>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</si>
  <si>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</si>
  <si>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</si>
  <si>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</si>
  <si>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</si>
  <si>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</si>
  <si>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</si>
  <si>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</si>
  <si>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Amanda Clemons Parenting &amp; Therapy Inc.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</si>
  <si>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</si>
  <si>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</si>
  <si>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</si>
  <si>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</si>
  <si>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</si>
  <si>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</si>
  <si>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</si>
  <si>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</si>
  <si>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</si>
  <si>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</si>
  <si>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</si>
  <si>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</si>
  <si>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</si>
  <si>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</si>
  <si>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</si>
  <si>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</si>
  <si>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</si>
  <si>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</si>
  <si>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Advocacy Center of Grays Harbor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</si>
  <si>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</si>
  <si>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</si>
  <si>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</si>
  <si>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</si>
  <si>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</si>
  <si>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</si>
  <si>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</si>
  <si>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</si>
  <si>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</si>
  <si>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</si>
  <si>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</si>
  <si>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</si>
  <si>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</si>
  <si>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</si>
  <si>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</si>
  <si>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Evergreen Counseling Services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</si>
  <si>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</si>
  <si>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</si>
  <si>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</si>
  <si>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</si>
  <si>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</si>
  <si>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</si>
  <si>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</si>
  <si>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</si>
  <si>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</si>
  <si>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</si>
  <si>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</si>
  <si>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</si>
  <si>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</si>
  <si>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</si>
  <si>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</si>
  <si>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</si>
  <si>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</si>
  <si>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</si>
  <si>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</si>
  <si>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</si>
  <si>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</si>
  <si>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</si>
  <si>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</si>
  <si>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</si>
  <si>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</si>
  <si>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</si>
  <si>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</si>
  <si>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</si>
  <si>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</si>
  <si>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</si>
  <si>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</si>
  <si>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</si>
  <si>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</si>
  <si>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</si>
  <si>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</si>
  <si>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</si>
  <si>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</si>
  <si>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</si>
  <si>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</si>
  <si>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</si>
  <si>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</si>
  <si>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</si>
  <si>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</si>
  <si>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</si>
  <si>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</si>
  <si>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</si>
  <si>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</si>
  <si>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</si>
  <si>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</si>
  <si>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</si>
  <si>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</si>
  <si>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</si>
  <si>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</si>
  <si>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</si>
  <si>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</si>
  <si>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</si>
  <si>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</si>
  <si>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</si>
  <si>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</si>
  <si>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</si>
  <si>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</si>
  <si>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</si>
  <si>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</si>
  <si>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</si>
  <si>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</si>
  <si>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</si>
  <si>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</si>
  <si>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</si>
  <si>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</si>
  <si>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</si>
  <si>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</si>
  <si>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</si>
  <si>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</si>
  <si>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</si>
  <si>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</si>
  <si>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</si>
  <si>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</si>
  <si>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</si>
  <si>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</si>
  <si>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</si>
  <si>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t>Hi everybody</t>
  </si>
  <si>
    <t>Life Transitions</t>
  </si>
  <si>
    <t>RUCS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</si>
</sst>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44"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9"/>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b/>
      <sz val="9"/>
      <color theme="1"/>
      <name val="Calibri Light"/>
      <family val="2"/>
      <scheme val="major"/>
    </font>
    <font>
      <sz val="9"/>
      <color theme="1"/>
      <name val="Calibri Light"/>
      <family val="2"/>
      <scheme val="major"/>
    </font>
    <font>
      <b/>
      <sz val="11"/>
      <name val="Calibri"/>
      <family val="2"/>
    </font>
    <font>
      <sz val="10"/>
      <color theme="1"/>
      <name val="Calibri"/>
      <family val="2"/>
      <scheme val="min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11"/>
      <color rgb="FF000000"/>
      <name val="Calibri"/>
      <family val="2"/>
    </font>
    <font>
      <sz val="10"/>
      <color rgb="FF000000"/>
      <name val="Calibri"/>
      <family val="2"/>
    </font>
    <font>
      <sz val="13"/>
      <color rgb="FF000000"/>
      <name val="Calibri"/>
      <family val="2"/>
    </font>
    <font>
      <sz val="9"/>
      <color indexed="81"/>
      <name val="Tahoma"/>
      <family val="2"/>
    </font>
    <font>
      <b/>
      <sz val="9"/>
      <color indexed="81"/>
      <name val="Tahoma"/>
      <family val="2"/>
    </font>
    <font>
      <sz val="13"/>
      <color rgb="FF000000"/>
      <name val="Calibri Light"/>
      <family val="2"/>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2">
    <xf numFmtId="0" fontId="0" fillId="0" borderId="0"/>
    <xf numFmtId="0" fontId="18" fillId="0" borderId="0" applyNumberFormat="0" applyFill="0" applyBorder="0" applyAlignment="0" applyProtection="0"/>
  </cellStyleXfs>
  <cellXfs count="290">
    <xf numFmtId="0" fontId="0" fillId="0" borderId="0" xfId="0"/>
    <xf numFmtId="0" fontId="0" fillId="0" borderId="0" xfId="0" applyFill="1"/>
    <xf numFmtId="0" fontId="0" fillId="0" borderId="0" xfId="0" applyAlignment="1">
      <alignment horizontal="center"/>
    </xf>
    <xf numFmtId="0" fontId="0" fillId="4" borderId="0" xfId="0" applyFill="1"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0" fillId="4" borderId="0" xfId="0" applyFill="1" applyBorder="1" applyAlignment="1">
      <alignment horizontal="center"/>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6" fillId="5" borderId="0" xfId="0" applyFont="1" applyFill="1"/>
    <xf numFmtId="0" fontId="16" fillId="5" borderId="0" xfId="0" applyFont="1" applyFill="1" applyAlignment="1">
      <alignment horizontal="right"/>
    </xf>
    <xf numFmtId="0" fontId="16"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5" fillId="2" borderId="9" xfId="0" applyFont="1" applyFill="1" applyBorder="1" applyAlignment="1">
      <alignment horizontal="centerContinuous" vertical="center"/>
    </xf>
    <xf numFmtId="14" fontId="8" fillId="2" borderId="10" xfId="0" applyNumberFormat="1" applyFont="1" applyFill="1" applyBorder="1" applyAlignment="1" applyProtection="1">
      <alignment horizontal="center" vertical="center"/>
      <protection locked="0"/>
    </xf>
    <xf numFmtId="0" fontId="8" fillId="2" borderId="2" xfId="0" applyFont="1" applyFill="1" applyBorder="1" applyAlignment="1">
      <alignment horizontal="center" vertical="center" wrapText="1"/>
    </xf>
    <xf numFmtId="0" fontId="8" fillId="2" borderId="3" xfId="0" applyFont="1" applyFill="1" applyBorder="1" applyAlignment="1">
      <alignment horizontal="center" vertical="center" wrapText="1"/>
    </xf>
    <xf numFmtId="0" fontId="15" fillId="2" borderId="7" xfId="0" applyFont="1" applyFill="1" applyBorder="1" applyAlignment="1">
      <alignment horizontal="centerContinuous" vertical="center"/>
    </xf>
    <xf numFmtId="0" fontId="3" fillId="2" borderId="0" xfId="0" applyFont="1" applyFill="1" applyBorder="1" applyAlignment="1">
      <alignment horizontal="left" vertical="center"/>
    </xf>
    <xf numFmtId="0" fontId="3" fillId="2" borderId="0" xfId="0" applyFont="1" applyFill="1" applyBorder="1" applyAlignment="1">
      <alignment horizontal="left" vertical="center" wrapText="1"/>
    </xf>
    <xf numFmtId="0" fontId="1" fillId="5" borderId="0" xfId="0" applyFont="1" applyFill="1" applyAlignment="1">
      <alignment horizontal="center"/>
    </xf>
    <xf numFmtId="0" fontId="15" fillId="2" borderId="7" xfId="0" applyFont="1" applyFill="1" applyBorder="1" applyAlignment="1">
      <alignment horizontal="centerContinuous" vertical="center" wrapText="1"/>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8"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12" borderId="0" xfId="0" applyFont="1" applyFill="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0" fillId="4" borderId="16" xfId="0" applyFill="1" applyBorder="1" applyAlignment="1">
      <alignment wrapText="1"/>
    </xf>
    <xf numFmtId="0" fontId="0" fillId="4" borderId="17" xfId="0" applyFill="1" applyBorder="1" applyAlignment="1">
      <alignment horizontal="center"/>
    </xf>
    <xf numFmtId="0" fontId="13" fillId="8" borderId="13" xfId="0" applyFont="1" applyFill="1" applyBorder="1"/>
    <xf numFmtId="0" fontId="16" fillId="5" borderId="0" xfId="0" applyFont="1" applyFill="1" applyBorder="1" applyAlignment="1">
      <alignment horizontal="right"/>
    </xf>
    <xf numFmtId="0" fontId="16" fillId="5" borderId="0" xfId="0" applyFont="1" applyFill="1" applyBorder="1" applyAlignment="1">
      <alignment horizontal="left"/>
    </xf>
    <xf numFmtId="0" fontId="1" fillId="5" borderId="0" xfId="0" applyFont="1" applyFill="1" applyAlignment="1"/>
    <xf numFmtId="0" fontId="8" fillId="2" borderId="2" xfId="0" applyFont="1" applyFill="1" applyBorder="1" applyAlignment="1">
      <alignment vertical="center" wrapText="1"/>
    </xf>
    <xf numFmtId="14" fontId="8" fillId="8" borderId="0" xfId="0" applyNumberFormat="1" applyFont="1" applyFill="1" applyBorder="1" applyAlignment="1">
      <alignment vertical="center" wrapText="1"/>
    </xf>
    <xf numFmtId="0" fontId="0" fillId="4" borderId="18" xfId="0" applyFill="1" applyBorder="1" applyAlignment="1">
      <alignment horizontal="center"/>
    </xf>
    <xf numFmtId="0" fontId="19"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3" fillId="2" borderId="5" xfId="0" applyFont="1" applyFill="1" applyBorder="1" applyAlignment="1">
      <alignment horizontal="right" vertical="center" wrapText="1" indent="2"/>
    </xf>
    <xf numFmtId="0" fontId="16" fillId="5" borderId="13" xfId="0" applyFont="1" applyFill="1" applyBorder="1"/>
    <xf numFmtId="0" fontId="5" fillId="8" borderId="13" xfId="0" applyFont="1" applyFill="1" applyBorder="1" applyAlignment="1">
      <alignment wrapText="1"/>
    </xf>
    <xf numFmtId="0" fontId="0" fillId="0" borderId="18" xfId="0" applyFont="1" applyBorder="1" applyAlignment="1" applyProtection="1">
      <alignment horizontal="center"/>
      <protection locked="0"/>
    </xf>
    <xf numFmtId="0" fontId="0" fillId="0" borderId="0" xfId="0" applyFont="1" applyBorder="1" applyAlignment="1" applyProtection="1">
      <alignment horizontal="center"/>
      <protection locked="0"/>
    </xf>
    <xf numFmtId="0" fontId="0" fillId="0" borderId="17" xfId="0" applyFont="1" applyBorder="1" applyAlignment="1" applyProtection="1">
      <alignment horizontal="center"/>
      <protection locked="0"/>
    </xf>
    <xf numFmtId="0" fontId="0" fillId="12" borderId="18" xfId="0" applyFont="1" applyFill="1" applyBorder="1" applyAlignment="1" applyProtection="1">
      <alignment horizontal="center"/>
      <protection locked="0"/>
    </xf>
    <xf numFmtId="0" fontId="0" fillId="12" borderId="0" xfId="0" applyFont="1" applyFill="1" applyBorder="1" applyAlignment="1" applyProtection="1">
      <alignment horizontal="center"/>
      <protection locked="0"/>
    </xf>
    <xf numFmtId="0" fontId="0" fillId="12" borderId="17" xfId="0" applyFont="1" applyFill="1" applyBorder="1" applyAlignment="1" applyProtection="1">
      <alignment horizontal="center"/>
      <protection locked="0"/>
    </xf>
    <xf numFmtId="0" fontId="3" fillId="2" borderId="18" xfId="0" applyFont="1" applyFill="1" applyBorder="1" applyAlignment="1" applyProtection="1">
      <alignment horizontal="center" vertical="center" wrapText="1"/>
    </xf>
    <xf numFmtId="0" fontId="3" fillId="2" borderId="16" xfId="0" applyFont="1" applyFill="1" applyBorder="1" applyAlignment="1" applyProtection="1">
      <alignment horizontal="left" vertical="center" wrapText="1"/>
    </xf>
    <xf numFmtId="0" fontId="3" fillId="2" borderId="0" xfId="0" applyFont="1" applyFill="1" applyBorder="1" applyAlignment="1" applyProtection="1">
      <alignment horizontal="center" vertical="center" wrapText="1"/>
    </xf>
    <xf numFmtId="0" fontId="3" fillId="2" borderId="17" xfId="0" applyFont="1" applyFill="1" applyBorder="1" applyAlignment="1" applyProtection="1">
      <alignment horizontal="center" vertical="center" wrapText="1"/>
    </xf>
    <xf numFmtId="0" fontId="0" fillId="14" borderId="0" xfId="0" applyFont="1" applyFill="1" applyBorder="1" applyAlignment="1" applyProtection="1">
      <alignment horizontal="center"/>
    </xf>
    <xf numFmtId="0" fontId="0" fillId="14" borderId="17" xfId="0" applyFont="1" applyFill="1" applyBorder="1" applyAlignment="1" applyProtection="1">
      <alignment horizontal="center"/>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22" fillId="2" borderId="5" xfId="0" applyFont="1" applyFill="1" applyBorder="1" applyAlignment="1">
      <alignment horizontal="right" vertical="center" wrapText="1" indent="2"/>
    </xf>
    <xf numFmtId="0" fontId="0" fillId="5" borderId="5" xfId="0" applyFill="1" applyBorder="1"/>
    <xf numFmtId="0" fontId="24" fillId="0" borderId="0" xfId="0" applyFont="1" applyFill="1" applyAlignment="1" applyProtection="1">
      <alignment vertical="center"/>
      <protection locked="0"/>
    </xf>
    <xf numFmtId="0" fontId="25" fillId="11" borderId="0" xfId="0" applyFont="1" applyFill="1" applyAlignment="1">
      <alignment horizontal="left" vertical="center" indent="2"/>
    </xf>
    <xf numFmtId="0" fontId="26" fillId="11" borderId="0" xfId="0" applyFont="1" applyFill="1" applyAlignment="1">
      <alignment vertical="center"/>
    </xf>
    <xf numFmtId="0" fontId="24" fillId="9" borderId="0" xfId="0" applyFont="1" applyFill="1" applyAlignment="1">
      <alignment horizontal="left" vertical="center"/>
    </xf>
    <xf numFmtId="0" fontId="24" fillId="9" borderId="0" xfId="0" applyFont="1" applyFill="1" applyAlignment="1">
      <alignment vertical="center"/>
    </xf>
    <xf numFmtId="0" fontId="27" fillId="9" borderId="0" xfId="0" applyFont="1" applyFill="1"/>
    <xf numFmtId="0" fontId="27" fillId="0" borderId="0" xfId="0" applyFont="1" applyProtection="1">
      <protection locked="0"/>
    </xf>
    <xf numFmtId="0" fontId="28" fillId="6" borderId="0" xfId="0" applyFont="1" applyFill="1"/>
    <xf numFmtId="0" fontId="29" fillId="9" borderId="0" xfId="0" applyFont="1" applyFill="1" applyBorder="1" applyAlignment="1">
      <alignment horizontal="left" wrapText="1"/>
    </xf>
    <xf numFmtId="0" fontId="30" fillId="0" borderId="0" xfId="0" applyFont="1" applyProtection="1">
      <protection locked="0"/>
    </xf>
    <xf numFmtId="0" fontId="27" fillId="5" borderId="0" xfId="0" applyFont="1" applyFill="1" applyProtection="1"/>
    <xf numFmtId="0" fontId="27" fillId="5" borderId="0" xfId="0" applyFont="1" applyFill="1" applyAlignment="1" applyProtection="1">
      <alignment wrapText="1"/>
    </xf>
    <xf numFmtId="0" fontId="30" fillId="5" borderId="0" xfId="0" applyFont="1" applyFill="1" applyAlignment="1" applyProtection="1">
      <alignment horizontal="left" wrapText="1"/>
    </xf>
    <xf numFmtId="0" fontId="27" fillId="0" borderId="0" xfId="0" applyFont="1" applyFill="1" applyAlignment="1" applyProtection="1">
      <alignment vertical="center"/>
    </xf>
    <xf numFmtId="0" fontId="27" fillId="9" borderId="0" xfId="0" applyFont="1" applyFill="1" applyProtection="1">
      <protection locked="0"/>
    </xf>
    <xf numFmtId="0" fontId="27" fillId="9" borderId="0" xfId="0" applyFont="1" applyFill="1" applyBorder="1" applyAlignment="1">
      <alignment horizontal="left"/>
    </xf>
    <xf numFmtId="0" fontId="27" fillId="0" borderId="0" xfId="0" applyFont="1"/>
    <xf numFmtId="0" fontId="32" fillId="11" borderId="0" xfId="0" applyFont="1" applyFill="1" applyAlignment="1">
      <alignment horizontal="left" vertical="center" indent="2"/>
    </xf>
    <xf numFmtId="0" fontId="27" fillId="5" borderId="0" xfId="0" applyFont="1" applyFill="1"/>
    <xf numFmtId="0" fontId="30" fillId="2" borderId="4" xfId="0" applyFont="1" applyFill="1" applyBorder="1" applyAlignment="1">
      <alignment vertical="center"/>
    </xf>
    <xf numFmtId="0" fontId="30" fillId="2" borderId="5" xfId="0" applyFont="1" applyFill="1" applyBorder="1" applyAlignment="1">
      <alignment horizontal="left" vertical="center"/>
    </xf>
    <xf numFmtId="0" fontId="30" fillId="2" borderId="6" xfId="0" applyFont="1" applyFill="1" applyBorder="1" applyAlignment="1">
      <alignment horizontal="left" vertical="center"/>
    </xf>
    <xf numFmtId="0" fontId="30" fillId="2" borderId="5" xfId="0" applyFont="1" applyFill="1" applyBorder="1" applyAlignment="1" applyProtection="1">
      <alignment horizontal="left" vertical="center"/>
    </xf>
    <xf numFmtId="0" fontId="33" fillId="5" borderId="0" xfId="0" applyFont="1" applyFill="1" applyAlignment="1">
      <alignment vertical="center"/>
    </xf>
    <xf numFmtId="0" fontId="27" fillId="5" borderId="0" xfId="0" applyFont="1" applyFill="1" applyBorder="1"/>
    <xf numFmtId="0" fontId="34" fillId="7" borderId="4" xfId="0" applyFont="1" applyFill="1" applyBorder="1" applyAlignment="1">
      <alignment vertical="center"/>
    </xf>
    <xf numFmtId="0" fontId="28" fillId="6" borderId="0" xfId="0" applyFont="1" applyFill="1" applyProtection="1"/>
    <xf numFmtId="0" fontId="30" fillId="8" borderId="0" xfId="0" applyFont="1" applyFill="1" applyAlignment="1" applyProtection="1">
      <alignment horizontal="center" vertical="center"/>
    </xf>
    <xf numFmtId="0" fontId="30" fillId="5" borderId="0" xfId="0" applyFont="1" applyFill="1" applyAlignment="1" applyProtection="1">
      <alignment horizontal="centerContinuous"/>
    </xf>
    <xf numFmtId="0" fontId="30" fillId="5" borderId="0" xfId="0" applyFont="1" applyFill="1" applyAlignment="1">
      <alignment horizontal="center"/>
    </xf>
    <xf numFmtId="0" fontId="30" fillId="8" borderId="0" xfId="0" applyFont="1" applyFill="1" applyAlignment="1">
      <alignment horizontal="center" vertical="center"/>
    </xf>
    <xf numFmtId="0" fontId="27" fillId="10" borderId="0" xfId="0" applyFont="1" applyFill="1"/>
    <xf numFmtId="0" fontId="27" fillId="8" borderId="0" xfId="0" applyFont="1" applyFill="1" applyAlignment="1">
      <alignment vertical="center"/>
    </xf>
    <xf numFmtId="0" fontId="30" fillId="10" borderId="0" xfId="0" applyFont="1" applyFill="1" applyAlignment="1">
      <alignment horizontal="left"/>
    </xf>
    <xf numFmtId="14" fontId="27" fillId="10" borderId="0" xfId="0" applyNumberFormat="1" applyFont="1" applyFill="1"/>
    <xf numFmtId="0" fontId="30" fillId="8" borderId="0" xfId="0" applyFont="1" applyFill="1" applyAlignment="1">
      <alignment vertical="center"/>
    </xf>
    <xf numFmtId="0" fontId="30" fillId="3" borderId="0" xfId="0" applyFont="1" applyFill="1"/>
    <xf numFmtId="0" fontId="30" fillId="2" borderId="0" xfId="0" applyFont="1" applyFill="1" applyAlignment="1">
      <alignment horizontal="center" vertical="center"/>
    </xf>
    <xf numFmtId="0" fontId="27" fillId="0" borderId="0" xfId="0" applyFont="1" applyAlignment="1">
      <alignment horizontal="left" vertical="center" wrapText="1"/>
    </xf>
    <xf numFmtId="0" fontId="30" fillId="5" borderId="0" xfId="0" applyFont="1" applyFill="1" applyAlignment="1">
      <alignment vertical="center" wrapText="1"/>
    </xf>
    <xf numFmtId="0" fontId="30" fillId="2" borderId="0" xfId="0" applyFont="1" applyFill="1" applyAlignment="1">
      <alignment horizontal="center" vertical="center" wrapText="1"/>
    </xf>
    <xf numFmtId="0" fontId="30" fillId="5" borderId="0" xfId="0" applyFont="1" applyFill="1" applyBorder="1" applyAlignment="1">
      <alignment vertical="center" wrapText="1"/>
    </xf>
    <xf numFmtId="0" fontId="27" fillId="5" borderId="0" xfId="0" applyFont="1" applyFill="1" applyAlignment="1">
      <alignment horizontal="left" vertical="center" wrapText="1"/>
    </xf>
    <xf numFmtId="0" fontId="27" fillId="13" borderId="0" xfId="0" applyFont="1" applyFill="1" applyAlignment="1">
      <alignment vertical="center" wrapText="1"/>
    </xf>
    <xf numFmtId="0" fontId="27" fillId="9" borderId="0" xfId="0" applyFont="1" applyFill="1" applyAlignment="1">
      <alignment vertical="center"/>
    </xf>
    <xf numFmtId="0" fontId="0" fillId="0" borderId="2" xfId="0" applyFont="1" applyBorder="1"/>
    <xf numFmtId="0" fontId="0" fillId="0" borderId="19" xfId="0" applyFont="1" applyBorder="1" applyAlignment="1" applyProtection="1">
      <alignment horizontal="center"/>
      <protection locked="0"/>
    </xf>
    <xf numFmtId="0" fontId="0" fillId="14" borderId="21" xfId="0" applyFont="1" applyFill="1" applyBorder="1" applyAlignment="1" applyProtection="1">
      <alignment horizontal="center"/>
    </xf>
    <xf numFmtId="0" fontId="22" fillId="2" borderId="13" xfId="0" applyFont="1" applyFill="1" applyBorder="1" applyAlignment="1">
      <alignment horizontal="left" vertical="center"/>
    </xf>
    <xf numFmtId="0" fontId="0" fillId="0" borderId="13" xfId="0" applyFont="1" applyBorder="1" applyAlignment="1">
      <alignment horizontal="left" indent="1"/>
    </xf>
    <xf numFmtId="0" fontId="0" fillId="12" borderId="13" xfId="0" applyFont="1" applyFill="1" applyBorder="1" applyAlignment="1">
      <alignment horizontal="left" indent="1"/>
    </xf>
    <xf numFmtId="0" fontId="3" fillId="2" borderId="13" xfId="0" applyFont="1" applyFill="1" applyBorder="1" applyAlignment="1">
      <alignment horizontal="left" vertical="center"/>
    </xf>
    <xf numFmtId="0" fontId="0" fillId="0" borderId="10" xfId="0" applyFont="1" applyBorder="1" applyAlignment="1">
      <alignment horizontal="left" indent="1"/>
    </xf>
    <xf numFmtId="0" fontId="31" fillId="0" borderId="5" xfId="0" applyFont="1" applyBorder="1" applyAlignment="1" applyProtection="1">
      <alignment horizontal="centerContinuous" vertical="center" wrapText="1"/>
    </xf>
    <xf numFmtId="0" fontId="27" fillId="0" borderId="8" xfId="0" applyFont="1" applyBorder="1" applyAlignment="1">
      <alignment horizontal="centerContinuous" vertical="center" wrapText="1"/>
    </xf>
    <xf numFmtId="0" fontId="27" fillId="0" borderId="6" xfId="0" applyFont="1" applyBorder="1" applyAlignment="1">
      <alignment horizontal="centerContinuous" vertical="center" wrapText="1"/>
    </xf>
    <xf numFmtId="0" fontId="27" fillId="0" borderId="0" xfId="0" applyFont="1" applyBorder="1" applyAlignment="1" applyProtection="1">
      <alignment horizontal="left" vertical="center" wrapText="1"/>
      <protection locked="0"/>
    </xf>
    <xf numFmtId="14" fontId="27" fillId="0" borderId="14" xfId="0" applyNumberFormat="1" applyFont="1" applyBorder="1" applyAlignment="1" applyProtection="1">
      <alignment horizontal="left" vertical="center" wrapText="1"/>
      <protection locked="0"/>
    </xf>
    <xf numFmtId="0" fontId="27" fillId="0" borderId="2" xfId="0" applyFont="1" applyBorder="1" applyAlignment="1" applyProtection="1">
      <alignment horizontal="left" vertical="center" wrapText="1"/>
      <protection locked="0"/>
    </xf>
    <xf numFmtId="14" fontId="27" fillId="0" borderId="3" xfId="0" applyNumberFormat="1" applyFont="1" applyBorder="1" applyAlignment="1" applyProtection="1">
      <alignment horizontal="left" vertical="center" wrapText="1"/>
      <protection locked="0"/>
    </xf>
    <xf numFmtId="0" fontId="28" fillId="0" borderId="0" xfId="0" applyFont="1" applyBorder="1" applyAlignment="1" applyProtection="1">
      <alignment horizontal="left" vertical="center" wrapText="1"/>
      <protection locked="0"/>
    </xf>
    <xf numFmtId="0" fontId="28" fillId="0" borderId="2" xfId="0" applyFont="1" applyBorder="1" applyAlignment="1" applyProtection="1">
      <alignment horizontal="left" vertical="center" wrapText="1"/>
      <protection locked="0"/>
    </xf>
    <xf numFmtId="0" fontId="3" fillId="9" borderId="6" xfId="0" applyFont="1" applyFill="1" applyBorder="1" applyAlignment="1" applyProtection="1">
      <alignment horizontal="left" vertical="center" wrapText="1"/>
      <protection locked="0"/>
    </xf>
    <xf numFmtId="0" fontId="27" fillId="0" borderId="0" xfId="0" applyFont="1" applyAlignment="1" applyProtection="1">
      <alignment wrapText="1"/>
      <protection locked="0"/>
    </xf>
    <xf numFmtId="0" fontId="0" fillId="14" borderId="22" xfId="0" applyFont="1" applyFill="1" applyBorder="1" applyAlignment="1" applyProtection="1">
      <alignment horizontal="center"/>
    </xf>
    <xf numFmtId="0" fontId="0" fillId="0" borderId="16" xfId="0" applyFont="1" applyBorder="1" applyAlignment="1" applyProtection="1">
      <alignment wrapText="1"/>
      <protection locked="0"/>
    </xf>
    <xf numFmtId="0" fontId="0" fillId="12" borderId="16" xfId="0" applyFont="1" applyFill="1" applyBorder="1" applyAlignment="1" applyProtection="1">
      <alignment wrapText="1"/>
      <protection locked="0"/>
    </xf>
    <xf numFmtId="0" fontId="0" fillId="0" borderId="20" xfId="0" applyFont="1" applyBorder="1" applyAlignment="1" applyProtection="1">
      <alignment wrapText="1"/>
      <protection locked="0"/>
    </xf>
    <xf numFmtId="0" fontId="5" fillId="0" borderId="0" xfId="0" applyFont="1" applyAlignment="1">
      <alignment wrapText="1"/>
    </xf>
    <xf numFmtId="0" fontId="27"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21"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7" fillId="0" borderId="0" xfId="0" applyFont="1" applyBorder="1" applyAlignment="1" applyProtection="1">
      <alignment vertical="center" wrapText="1"/>
      <protection locked="0"/>
    </xf>
    <xf numFmtId="0" fontId="27" fillId="0" borderId="2" xfId="0" applyFont="1" applyBorder="1" applyAlignment="1" applyProtection="1">
      <alignment vertical="center" wrapText="1"/>
      <protection locked="0"/>
    </xf>
    <xf numFmtId="0" fontId="27" fillId="5" borderId="0" xfId="0" applyFont="1" applyFill="1" applyAlignment="1">
      <alignment vertical="center"/>
    </xf>
    <xf numFmtId="0" fontId="27" fillId="5" borderId="0" xfId="0" applyFont="1" applyFill="1" applyAlignment="1" applyProtection="1">
      <alignment vertical="center"/>
    </xf>
    <xf numFmtId="0" fontId="27" fillId="5" borderId="0" xfId="0" applyFont="1" applyFill="1" applyBorder="1" applyAlignment="1">
      <alignment vertical="center"/>
    </xf>
    <xf numFmtId="0" fontId="27" fillId="5" borderId="0" xfId="0" applyFont="1" applyFill="1" applyBorder="1" applyAlignment="1" applyProtection="1">
      <alignment vertical="center"/>
    </xf>
    <xf numFmtId="0" fontId="28" fillId="6" borderId="0" xfId="0" applyFont="1" applyFill="1" applyAlignment="1">
      <alignment vertical="center"/>
    </xf>
    <xf numFmtId="0" fontId="28" fillId="6" borderId="0" xfId="0" applyFont="1" applyFill="1" applyAlignment="1" applyProtection="1">
      <alignment vertical="center"/>
    </xf>
    <xf numFmtId="0" fontId="26" fillId="11" borderId="0" xfId="0" applyFont="1" applyFill="1" applyAlignment="1" applyProtection="1">
      <alignment vertical="center"/>
    </xf>
    <xf numFmtId="0" fontId="27" fillId="0" borderId="8" xfId="0" applyFont="1" applyBorder="1" applyAlignment="1" applyProtection="1">
      <alignment horizontal="centerContinuous" vertical="center" wrapText="1"/>
    </xf>
    <xf numFmtId="49" fontId="27" fillId="0" borderId="0" xfId="0" applyNumberFormat="1" applyFont="1" applyBorder="1" applyAlignment="1" applyProtection="1">
      <alignment vertical="center"/>
    </xf>
    <xf numFmtId="49" fontId="27" fillId="0" borderId="2" xfId="0" applyNumberFormat="1" applyFont="1" applyBorder="1" applyAlignment="1" applyProtection="1">
      <alignment vertical="center"/>
    </xf>
    <xf numFmtId="49" fontId="28" fillId="0" borderId="0" xfId="0" applyNumberFormat="1" applyFont="1" applyBorder="1" applyAlignment="1" applyProtection="1">
      <alignment vertical="center"/>
    </xf>
    <xf numFmtId="49" fontId="28" fillId="0" borderId="2" xfId="0" applyNumberFormat="1" applyFont="1" applyBorder="1" applyAlignment="1" applyProtection="1">
      <alignment vertical="center"/>
    </xf>
    <xf numFmtId="0" fontId="27" fillId="9" borderId="0" xfId="0" applyFont="1" applyFill="1" applyProtection="1"/>
    <xf numFmtId="0" fontId="27" fillId="0" borderId="0" xfId="0" applyFont="1" applyProtection="1"/>
    <xf numFmtId="0" fontId="35" fillId="5" borderId="0" xfId="0" applyFont="1" applyFill="1" applyAlignment="1" applyProtection="1">
      <alignment horizontal="left"/>
    </xf>
    <xf numFmtId="0" fontId="35" fillId="5" borderId="0" xfId="0" applyFont="1" applyFill="1" applyAlignment="1" applyProtection="1">
      <alignment horizontal="left" indent="1"/>
    </xf>
    <xf numFmtId="0" fontId="27" fillId="9" borderId="0" xfId="0" applyFont="1" applyFill="1" applyAlignment="1">
      <alignment wrapText="1"/>
    </xf>
    <xf numFmtId="0" fontId="27" fillId="0" borderId="0" xfId="0" applyFont="1" applyAlignment="1">
      <alignment wrapText="1"/>
    </xf>
    <xf numFmtId="0" fontId="32" fillId="11" borderId="0" xfId="0" applyFont="1" applyFill="1" applyAlignment="1" applyProtection="1">
      <alignment horizontal="left" vertical="center" indent="2"/>
    </xf>
    <xf numFmtId="0" fontId="26" fillId="11" borderId="0" xfId="0" applyFont="1" applyFill="1" applyAlignment="1" applyProtection="1">
      <alignment vertical="center" wrapText="1"/>
    </xf>
    <xf numFmtId="0" fontId="28" fillId="6" borderId="0" xfId="0" applyFont="1" applyFill="1" applyAlignment="1" applyProtection="1">
      <alignment wrapText="1"/>
    </xf>
    <xf numFmtId="0" fontId="30" fillId="2" borderId="0" xfId="0" applyFont="1" applyFill="1" applyBorder="1" applyAlignment="1">
      <alignment vertical="center" wrapText="1"/>
    </xf>
    <xf numFmtId="0" fontId="0" fillId="9" borderId="0" xfId="0" applyFill="1" applyAlignment="1">
      <alignment wrapText="1"/>
    </xf>
    <xf numFmtId="0" fontId="28" fillId="6" borderId="0" xfId="0" applyFont="1" applyFill="1" applyAlignment="1" applyProtection="1">
      <alignment horizontal="left"/>
    </xf>
    <xf numFmtId="0" fontId="27" fillId="5" borderId="0" xfId="0" applyFont="1" applyFill="1" applyAlignment="1" applyProtection="1">
      <alignment horizontal="left"/>
    </xf>
    <xf numFmtId="0" fontId="27" fillId="5" borderId="0" xfId="0" applyFont="1" applyFill="1" applyAlignment="1" applyProtection="1">
      <alignment horizontal="left" wrapText="1"/>
    </xf>
    <xf numFmtId="0" fontId="27" fillId="9" borderId="0" xfId="0" applyFont="1" applyFill="1" applyAlignment="1">
      <alignment horizontal="left"/>
    </xf>
    <xf numFmtId="0" fontId="27" fillId="0" borderId="0" xfId="0" applyFont="1" applyAlignment="1">
      <alignment horizontal="left"/>
    </xf>
    <xf numFmtId="0" fontId="0" fillId="5" borderId="10" xfId="0" applyFill="1" applyBorder="1"/>
    <xf numFmtId="0" fontId="28" fillId="6" borderId="0" xfId="0" applyFont="1" applyFill="1" applyAlignment="1" applyProtection="1"/>
    <xf numFmtId="14" fontId="0" fillId="0" borderId="0" xfId="0" applyNumberFormat="1" applyAlignment="1">
      <alignment horizontal="left"/>
    </xf>
    <xf numFmtId="0" fontId="30" fillId="16" borderId="0" xfId="0" applyFont="1" applyFill="1" applyAlignment="1">
      <alignment wrapText="1"/>
    </xf>
    <xf numFmtId="0" fontId="30" fillId="16" borderId="0" xfId="0" applyFont="1" applyFill="1" applyAlignment="1" applyProtection="1">
      <alignment wrapText="1"/>
    </xf>
    <xf numFmtId="0" fontId="27" fillId="0" borderId="0" xfId="0" applyFont="1" applyFill="1" applyAlignment="1" applyProtection="1">
      <alignment horizontal="center" vertical="center" wrapText="1"/>
      <protection locked="0"/>
    </xf>
    <xf numFmtId="0" fontId="27" fillId="0" borderId="0" xfId="0" applyFont="1" applyFill="1" applyAlignment="1" applyProtection="1">
      <alignment vertical="center" wrapText="1"/>
      <protection locked="0"/>
    </xf>
    <xf numFmtId="0" fontId="27" fillId="9" borderId="0" xfId="0" applyFont="1" applyFill="1" applyAlignment="1">
      <alignment horizontal="left" wrapText="1"/>
    </xf>
    <xf numFmtId="0" fontId="27" fillId="0" borderId="0" xfId="0" applyFont="1" applyFill="1" applyAlignment="1">
      <alignment vertical="center" wrapText="1"/>
    </xf>
    <xf numFmtId="49" fontId="27" fillId="0" borderId="0" xfId="0" quotePrefix="1" applyNumberFormat="1" applyFont="1" applyBorder="1" applyAlignment="1" applyProtection="1">
      <alignment vertical="center"/>
    </xf>
    <xf numFmtId="0" fontId="0" fillId="2" borderId="6" xfId="0" applyFill="1" applyBorder="1" applyAlignment="1">
      <alignment horizontal="left" wrapText="1"/>
    </xf>
    <xf numFmtId="0" fontId="0" fillId="2" borderId="4" xfId="0" applyFill="1" applyBorder="1" applyAlignment="1">
      <alignment horizontal="left"/>
    </xf>
    <xf numFmtId="0" fontId="0" fillId="2" borderId="5" xfId="0" applyFill="1" applyBorder="1" applyAlignment="1">
      <alignment horizontal="left"/>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21" fillId="0" borderId="0" xfId="0" applyFont="1" applyFill="1" applyBorder="1"/>
    <xf numFmtId="0" fontId="20" fillId="2" borderId="0" xfId="0" applyFont="1" applyFill="1" applyBorder="1"/>
    <xf numFmtId="0" fontId="23" fillId="0" borderId="0" xfId="0" applyFont="1" applyFill="1" applyBorder="1" applyAlignment="1">
      <alignment wrapText="1"/>
    </xf>
    <xf numFmtId="0" fontId="27" fillId="0" borderId="0" xfId="0" applyFont="1" applyAlignment="1">
      <alignment horizontal="left" vertical="center" wrapText="1"/>
    </xf>
    <xf numFmtId="0" fontId="28" fillId="0" borderId="9" xfId="0" applyFont="1" applyBorder="1" applyAlignment="1" applyProtection="1">
      <alignment horizontal="left" vertical="center" wrapText="1"/>
      <protection locked="0"/>
    </xf>
    <xf numFmtId="0" fontId="28" fillId="0" borderId="13" xfId="0" applyFont="1" applyBorder="1" applyAlignment="1" applyProtection="1">
      <alignment horizontal="left" vertical="center" wrapText="1"/>
      <protection locked="0"/>
    </xf>
    <xf numFmtId="0" fontId="28" fillId="0" borderId="10" xfId="0" applyFont="1" applyBorder="1" applyAlignment="1" applyProtection="1">
      <alignment horizontal="left" vertical="center" wrapText="1"/>
      <protection locked="0"/>
    </xf>
    <xf numFmtId="0" fontId="27" fillId="0" borderId="9" xfId="0" applyFont="1" applyFill="1" applyBorder="1" applyAlignment="1" applyProtection="1">
      <alignment horizontal="left" vertical="center" wrapText="1"/>
      <protection locked="0"/>
    </xf>
    <xf numFmtId="0" fontId="27" fillId="0" borderId="13" xfId="0" applyFont="1" applyFill="1" applyBorder="1" applyAlignment="1" applyProtection="1">
      <alignment horizontal="left" vertical="center" wrapText="1"/>
      <protection locked="0"/>
    </xf>
    <xf numFmtId="0" fontId="27" fillId="0" borderId="10" xfId="0" applyFont="1" applyFill="1" applyBorder="1" applyAlignment="1" applyProtection="1">
      <alignment horizontal="left" vertical="center" wrapText="1"/>
      <protection locked="0"/>
    </xf>
    <xf numFmtId="0" fontId="31" fillId="0" borderId="2" xfId="0" applyFont="1" applyBorder="1" applyAlignment="1" applyProtection="1">
      <alignment horizontal="center" vertical="center" wrapText="1"/>
    </xf>
    <xf numFmtId="0" fontId="30" fillId="16" borderId="0" xfId="0" applyFont="1" applyFill="1" applyAlignment="1">
      <alignment wrapText="1"/>
    </xf>
    <xf numFmtId="0" fontId="27" fillId="0" borderId="0" xfId="0" applyFont="1" applyFill="1" applyAlignment="1">
      <alignment vertical="center" wrapText="1"/>
    </xf>
    <xf numFmtId="0" fontId="27" fillId="0" borderId="0" xfId="0" applyFont="1" applyFill="1" applyAlignment="1" applyProtection="1">
      <alignment vertical="center" wrapText="1"/>
    </xf>
    <xf numFmtId="0" fontId="30" fillId="16" borderId="0" xfId="0" applyFont="1" applyFill="1" applyAlignment="1" applyProtection="1">
      <alignment wrapText="1"/>
    </xf>
    <xf numFmtId="0" fontId="27" fillId="0" borderId="0" xfId="0" applyFont="1" applyAlignment="1" applyProtection="1">
      <alignment wrapText="1"/>
      <protection locked="0"/>
    </xf>
    <xf numFmtId="0" fontId="34" fillId="15" borderId="0" xfId="0" applyFont="1" applyFill="1" applyAlignment="1" applyProtection="1">
      <alignment wrapText="1"/>
    </xf>
    <xf numFmtId="0" fontId="30" fillId="17" borderId="0" xfId="0" applyFont="1" applyFill="1" applyAlignment="1" applyProtection="1">
      <alignment wrapText="1"/>
      <protection locked="0"/>
    </xf>
    <xf numFmtId="0" fontId="27" fillId="0" borderId="0" xfId="0" applyFont="1" applyFill="1" applyAlignment="1" applyProtection="1">
      <alignment wrapText="1"/>
      <protection locked="0"/>
    </xf>
  </cellXfs>
  <cellStyles count="2">
    <cellStyle name="Hyperlink" xfId="1" builtinId="8"/>
    <cellStyle name="Normal" xfId="0" builtinId="0"/>
  </cellStyles>
  <dxfs count="36">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35"/>
    </tableStyle>
    <tableStyle name="Table Style 1" pivot="0" count="0"/>
  </tableStyles>
  <colors>
    <mruColors>
      <color rgb="FFDBE5F1"/>
      <color rgb="FF2A5CAA"/>
      <color rgb="FFFF8989"/>
      <color rgb="FF767676"/>
      <color rgb="FF009CDE"/>
      <color rgb="FF213368"/>
      <color rgb="FF800000"/>
      <color rgb="FF757975"/>
      <color rgb="FF0060A8"/>
      <color rgb="FF4684C2"/>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styles" Target="styles.xml"/><Relationship Id="rId3" Type="http://schemas.openxmlformats.org/officeDocument/2006/relationships/worksheet" Target="worksheets/sheet1.xml"/><Relationship Id="rId21" Type="http://schemas.openxmlformats.org/officeDocument/2006/relationships/customXml" Target="../customXml/item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theme" Target="theme/theme1.xml"/><Relationship Id="rId25" Type="http://schemas.microsoft.com/office/2006/relationships/vbaProject" Target="vbaProject.bin"/><Relationship Id="rId2" Type="http://schemas.openxmlformats.org/officeDocument/2006/relationships/chartsheet" Target="chartsheets/sheet2.xml"/><Relationship Id="rId16" Type="http://schemas.openxmlformats.org/officeDocument/2006/relationships/worksheet" Target="worksheets/sheet14.xml"/><Relationship Id="rId20" Type="http://schemas.openxmlformats.org/officeDocument/2006/relationships/calcChain" Target="calcChain.xml"/><Relationship Id="rId1" Type="http://schemas.openxmlformats.org/officeDocument/2006/relationships/chartsheet" Target="chart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customXml" Target="../customXml/item4.xml"/><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customXml" Target="../customXml/item3.xml"/><Relationship Id="rId10" Type="http://schemas.openxmlformats.org/officeDocument/2006/relationships/worksheet" Target="worksheets/sheet8.xml"/><Relationship Id="rId19" Type="http://schemas.openxmlformats.org/officeDocument/2006/relationships/sharedStrings" Target="sharedStrings.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'Face Sheet'!$B$10</c:f>
              <c:strCache>
                <c:ptCount val="1"/>
                <c:pt idx="0">
                  <c:v>DATE OF FAMILY PLAN FOR CHANGE</c:v>
                </c:pt>
              </c:strCache>
            </c:strRef>
          </c:tx>
          <c:spPr>
            <a:solidFill>
              <a:schemeClr val="accent1"/>
            </a:solidFill>
            <a:ln>
              <a:noFill/>
            </a:ln>
            <a:effectLst/>
          </c:spPr>
          <c:invertIfNegative val="0"/>
          <c:val>
            <c:numRef>
              <c:f>'Face Sheet'!$C$10:$E$10</c:f>
              <c:numCache>
                <c:formatCode>General</c:formatCode>
                <c:ptCount val="3"/>
                <c:pt idx="1">
                  <c:v>0</c:v>
                </c:pt>
                <c:pt idx="2">
                  <c:v>1</c:v>
                </c:pt>
              </c:numCache>
            </c:numRef>
          </c:val>
        </c:ser>
        <c:ser>
          <c:idx val="1"/>
          <c:order val="1"/>
          <c:tx>
            <c:strRef>
              <c:f>'Face Sheet'!$B$11</c:f>
              <c:strCache>
                <c:ptCount val="1"/>
                <c:pt idx="0">
                  <c:v>DATE OF TRANSITION PLANNING</c:v>
                </c:pt>
              </c:strCache>
            </c:strRef>
          </c:tx>
          <c:spPr>
            <a:solidFill>
              <a:schemeClr val="accent2"/>
            </a:solidFill>
            <a:ln>
              <a:noFill/>
            </a:ln>
            <a:effectLst/>
          </c:spPr>
          <c:invertIfNegative val="0"/>
          <c:val>
            <c:numRef>
              <c:f>'Face Sheet'!$C$11:$E$11</c:f>
              <c:numCache>
                <c:formatCode>General</c:formatCode>
                <c:ptCount val="3"/>
                <c:pt idx="1">
                  <c:v>0</c:v>
                </c:pt>
                <c:pt idx="2">
                  <c:v>1</c:v>
                </c:pt>
              </c:numCache>
            </c:numRef>
          </c:val>
        </c:ser>
        <c:ser>
          <c:idx val="2"/>
          <c:order val="2"/>
          <c:tx>
            <c:strRef>
              <c:f>'Face Sheet'!$B$12</c:f>
              <c:strCache>
                <c:ptCount val="1"/>
                <c:pt idx="0">
                  <c:v>DATE OF END OF SERVICE SUMMARY</c:v>
                </c:pt>
              </c:strCache>
            </c:strRef>
          </c:tx>
          <c:spPr>
            <a:solidFill>
              <a:schemeClr val="accent3"/>
            </a:solidFill>
            <a:ln>
              <a:noFill/>
            </a:ln>
            <a:effectLst/>
          </c:spPr>
          <c:invertIfNegative val="0"/>
          <c:val>
            <c:numRef>
              <c:f>'Face Sheet'!$C$12:$E$12</c:f>
              <c:numCache>
                <c:formatCode>General</c:formatCode>
                <c:ptCount val="3"/>
              </c:numCache>
            </c:numRef>
          </c:val>
        </c:ser>
        <c:dLbls>
          <c:showLegendKey val="0"/>
          <c:showVal val="0"/>
          <c:showCatName val="0"/>
          <c:showSerName val="0"/>
          <c:showPercent val="0"/>
          <c:showBubbleSize val="0"/>
        </c:dLbls>
        <c:gapWidth val="219"/>
        <c:overlap val="-27"/>
        <c:axId val="409965536"/>
        <c:axId val="409966096"/>
      </c:barChart>
      <c:catAx>
        <c:axId val="4099655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66096"/>
        <c:crosses val="autoZero"/>
        <c:auto val="1"/>
        <c:lblAlgn val="ctr"/>
        <c:lblOffset val="100"/>
        <c:noMultiLvlLbl val="0"/>
      </c:catAx>
      <c:valAx>
        <c:axId val="409966096"/>
        <c:scaling>
          <c:orientation val="minMax"/>
        </c:scaling>
        <c:delete val="0"/>
        <c:axPos val="l"/>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65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'Face Sheet'!$B$1:$B$7</c:f>
              <c:strCache>
                <c:ptCount val="7"/>
                <c:pt idx="0">
                  <c:v>Family Plan for Change - Face Sheet</c:v>
                </c:pt>
                <c:pt idx="1">
                  <c:v>SERVICE TYPE</c:v>
                </c:pt>
                <c:pt idx="2">
                  <c:v>SERVICE PROVIDER</c:v>
                </c:pt>
                <c:pt idx="3">
                  <c:v>AGENCY PROVIDING SERVICE</c:v>
                </c:pt>
                <c:pt idx="4">
                  <c:v>OFFICE</c:v>
                </c:pt>
                <c:pt idx="5">
                  <c:v>PROVIDER PHONE NUMBER (xxx-xxx-xxxx)</c:v>
                </c:pt>
                <c:pt idx="6">
                  <c:v>PROVIDER EMAIL ADDRESS</c:v>
                </c:pt>
              </c:strCache>
            </c:strRef>
          </c:cat>
          <c:val>
            <c:numRef>
              <c:f>'Face Sheet'!$C$1:$C$7</c:f>
              <c:numCache>
                <c:formatCode>General</c:formatCode>
                <c:ptCount val="7"/>
              </c:numCache>
            </c:numRef>
          </c:val>
        </c:ser>
        <c:ser>
          <c:idx val="1"/>
          <c:order val="1"/>
          <c:spPr>
            <a:solidFill>
              <a:schemeClr val="accent2"/>
            </a:solidFill>
            <a:ln>
              <a:noFill/>
            </a:ln>
            <a:effectLst/>
          </c:spPr>
          <c:invertIfNegative val="0"/>
          <c:cat>
            <c:strRef>
              <c:f>'Face Sheet'!$B$1:$B$7</c:f>
              <c:strCache>
                <c:ptCount val="7"/>
                <c:pt idx="0">
                  <c:v>Family Plan for Change - Face Sheet</c:v>
                </c:pt>
                <c:pt idx="1">
                  <c:v>SERVICE TYPE</c:v>
                </c:pt>
                <c:pt idx="2">
                  <c:v>SERVICE PROVIDER</c:v>
                </c:pt>
                <c:pt idx="3">
                  <c:v>AGENCY PROVIDING SERVICE</c:v>
                </c:pt>
                <c:pt idx="4">
                  <c:v>OFFICE</c:v>
                </c:pt>
                <c:pt idx="5">
                  <c:v>PROVIDER PHONE NUMBER (xxx-xxx-xxxx)</c:v>
                </c:pt>
                <c:pt idx="6">
                  <c:v>PROVIDER EMAIL ADDRESS</c:v>
                </c:pt>
              </c:strCache>
            </c:strRef>
          </c:cat>
          <c:val>
            <c:numRef>
              <c:f>'Face Sheet'!$D$1:$D$7</c:f>
              <c:numCache>
                <c:formatCode>General</c:formatCode>
                <c:ptCount val="7"/>
                <c:pt idx="1">
                  <c:v>0</c:v>
                </c:pt>
                <c:pt idx="2">
                  <c:v>0</c:v>
                </c:pt>
                <c:pt idx="3">
                  <c:v>0</c:v>
                </c:pt>
                <c:pt idx="4">
                  <c:v>0</c:v>
                </c:pt>
              </c:numCache>
            </c:numRef>
          </c:val>
        </c:ser>
        <c:ser>
          <c:idx val="2"/>
          <c:order val="2"/>
          <c:spPr>
            <a:solidFill>
              <a:schemeClr val="accent3"/>
            </a:solidFill>
            <a:ln>
              <a:noFill/>
            </a:ln>
            <a:effectLst/>
          </c:spPr>
          <c:invertIfNegative val="0"/>
          <c:cat>
            <c:strRef>
              <c:f>'Face Sheet'!$B$1:$B$7</c:f>
              <c:strCache>
                <c:ptCount val="7"/>
                <c:pt idx="0">
                  <c:v>Family Plan for Change - Face Sheet</c:v>
                </c:pt>
                <c:pt idx="1">
                  <c:v>SERVICE TYPE</c:v>
                </c:pt>
                <c:pt idx="2">
                  <c:v>SERVICE PROVIDER</c:v>
                </c:pt>
                <c:pt idx="3">
                  <c:v>AGENCY PROVIDING SERVICE</c:v>
                </c:pt>
                <c:pt idx="4">
                  <c:v>OFFICE</c:v>
                </c:pt>
                <c:pt idx="5">
                  <c:v>PROVIDER PHONE NUMBER (xxx-xxx-xxxx)</c:v>
                </c:pt>
                <c:pt idx="6">
                  <c:v>PROVIDER EMAIL ADDRESS</c:v>
                </c:pt>
              </c:strCache>
            </c:strRef>
          </c:cat>
          <c:val>
            <c:numRef>
              <c:f>'Face Sheet'!$E$1:$E$7</c:f>
              <c:numCache>
                <c:formatCode>General</c:formatCode>
                <c:ptCount val="7"/>
              </c:numCache>
            </c:numRef>
          </c:val>
        </c:ser>
        <c:dLbls>
          <c:showLegendKey val="0"/>
          <c:showVal val="0"/>
          <c:showCatName val="0"/>
          <c:showSerName val="0"/>
          <c:showPercent val="0"/>
          <c:showBubbleSize val="0"/>
        </c:dLbls>
        <c:gapWidth val="219"/>
        <c:overlap val="-27"/>
        <c:axId val="410500512"/>
        <c:axId val="410501072"/>
      </c:barChart>
      <c:catAx>
        <c:axId val="410500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01072"/>
        <c:crosses val="autoZero"/>
        <c:auto val="1"/>
        <c:lblAlgn val="ctr"/>
        <c:lblOffset val="100"/>
        <c:noMultiLvlLbl val="0"/>
      </c:catAx>
      <c:valAx>
        <c:axId val="4105010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00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&lt;No 1st Assm't&gt;</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ser>
        <c:dLbls>
          <c:showLegendKey val="0"/>
          <c:showVal val="0"/>
          <c:showCatName val="0"/>
          <c:showSerName val="0"/>
          <c:showPercent val="0"/>
          <c:showBubbleSize val="0"/>
        </c:dLbls>
        <c:gapWidth val="219"/>
        <c:overlap val="-27"/>
        <c:axId val="413766928"/>
        <c:axId val="413767488"/>
      </c:barChart>
      <c:catAx>
        <c:axId val="413766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67488"/>
        <c:crosses val="autoZero"/>
        <c:auto val="1"/>
        <c:lblAlgn val="ctr"/>
        <c:lblOffset val="100"/>
        <c:noMultiLvlLbl val="0"/>
      </c:catAx>
      <c:valAx>
        <c:axId val="41376748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76692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&lt;No 1st Assm't&gt;</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#N/A</c:v>
                </c:pt>
                <c:pt idx="1">
                  <c:v>#N/A</c:v>
                </c:pt>
                <c:pt idx="2">
                  <c:v>#N/A</c:v>
                </c:pt>
                <c:pt idx="3">
                  <c:v>#N/A</c:v>
                </c:pt>
                <c:pt idx="4">
                  <c:v>#N/A</c:v>
                </c:pt>
                <c:pt idx="5">
                  <c:v>#N/A</c:v>
                </c:pt>
                <c:pt idx="6">
                  <c:v>#N/A</c:v>
                </c:pt>
                <c:pt idx="7">
                  <c:v>#N/A</c:v>
                </c:pt>
              </c:numCache>
            </c:numRef>
          </c:val>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ser>
        <c:dLbls>
          <c:showLegendKey val="0"/>
          <c:showVal val="0"/>
          <c:showCatName val="0"/>
          <c:showSerName val="0"/>
          <c:showPercent val="0"/>
          <c:showBubbleSize val="0"/>
        </c:dLbls>
        <c:gapWidth val="219"/>
        <c:overlap val="-27"/>
        <c:axId val="413680416"/>
        <c:axId val="413680976"/>
      </c:barChart>
      <c:catAx>
        <c:axId val="41368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80976"/>
        <c:crosses val="autoZero"/>
        <c:auto val="1"/>
        <c:lblAlgn val="ctr"/>
        <c:lblOffset val="100"/>
        <c:noMultiLvlLbl val="0"/>
      </c:catAx>
      <c:valAx>
        <c:axId val="41368097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68041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&lt;No 1st Assm't&gt;</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13850992"/>
        <c:axId val="413656496"/>
      </c:barChart>
      <c:catAx>
        <c:axId val="413850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413656496"/>
        <c:crosses val="autoZero"/>
        <c:auto val="1"/>
        <c:lblAlgn val="ctr"/>
        <c:lblOffset val="100"/>
        <c:noMultiLvlLbl val="0"/>
      </c:catAx>
      <c:valAx>
        <c:axId val="41365649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8509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&lt;No 1st Assm't&gt;</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14983344"/>
        <c:axId val="414983904"/>
      </c:barChart>
      <c:catAx>
        <c:axId val="414983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983904"/>
        <c:crosses val="autoZero"/>
        <c:auto val="1"/>
        <c:lblAlgn val="ctr"/>
        <c:lblOffset val="100"/>
        <c:noMultiLvlLbl val="0"/>
      </c:catAx>
      <c:valAx>
        <c:axId val="41498390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98334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&lt;No 1st Assm't&gt;</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15037152"/>
        <c:axId val="415037712"/>
      </c:barChart>
      <c:catAx>
        <c:axId val="415037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37712"/>
        <c:crosses val="autoZero"/>
        <c:auto val="1"/>
        <c:lblAlgn val="ctr"/>
        <c:lblOffset val="100"/>
        <c:noMultiLvlLbl val="0"/>
      </c:catAx>
      <c:valAx>
        <c:axId val="4150377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3715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&lt;No 1st Assm't&gt;</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ser>
        <c:dLbls>
          <c:showLegendKey val="0"/>
          <c:showVal val="0"/>
          <c:showCatName val="0"/>
          <c:showSerName val="0"/>
          <c:showPercent val="0"/>
          <c:showBubbleSize val="0"/>
        </c:dLbls>
        <c:gapWidth val="219"/>
        <c:overlap val="-27"/>
        <c:axId val="415074576"/>
        <c:axId val="415075136"/>
      </c:barChart>
      <c:catAx>
        <c:axId val="41507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75136"/>
        <c:crosses val="autoZero"/>
        <c:auto val="1"/>
        <c:lblAlgn val="ctr"/>
        <c:lblOffset val="100"/>
        <c:noMultiLvlLbl val="0"/>
      </c:catAx>
      <c:valAx>
        <c:axId val="415075136"/>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074576"/>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&lt;No 1st Assm't&gt;</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15759040"/>
        <c:axId val="415759600"/>
      </c:barChart>
      <c:catAx>
        <c:axId val="41575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5759600"/>
        <c:crosses val="autoZero"/>
        <c:auto val="1"/>
        <c:lblAlgn val="ctr"/>
        <c:lblOffset val="100"/>
        <c:noMultiLvlLbl val="0"/>
      </c:catAx>
      <c:valAx>
        <c:axId val="41575960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75904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&lt;No 1st Assm't&gt;</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15763520"/>
        <c:axId val="415764080"/>
      </c:barChart>
      <c:catAx>
        <c:axId val="415763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5764080"/>
        <c:crosses val="autoZero"/>
        <c:auto val="1"/>
        <c:lblAlgn val="ctr"/>
        <c:lblOffset val="100"/>
        <c:noMultiLvlLbl val="0"/>
      </c:catAx>
      <c:valAx>
        <c:axId val="41576408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76352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&lt;No 1st Assm't&gt;</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15553280"/>
        <c:axId val="415553840"/>
      </c:barChart>
      <c:catAx>
        <c:axId val="415553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5553840"/>
        <c:crosses val="autoZero"/>
        <c:auto val="1"/>
        <c:lblAlgn val="ctr"/>
        <c:lblOffset val="100"/>
        <c:noMultiLvlLbl val="0"/>
      </c:catAx>
      <c:valAx>
        <c:axId val="415553840"/>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553280"/>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&lt;No 1st Assm't&gt;</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15887872"/>
        <c:axId val="415888432"/>
      </c:barChart>
      <c:catAx>
        <c:axId val="415887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5888432"/>
        <c:crosses val="autoZero"/>
        <c:auto val="1"/>
        <c:lblAlgn val="ctr"/>
        <c:lblOffset val="100"/>
        <c:noMultiLvlLbl val="0"/>
      </c:catAx>
      <c:valAx>
        <c:axId val="4158884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88787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&lt;No 1st Assm't&gt;</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15892352"/>
        <c:axId val="415892912"/>
      </c:barChart>
      <c:catAx>
        <c:axId val="415892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5892912"/>
        <c:crosses val="autoZero"/>
        <c:auto val="1"/>
        <c:lblAlgn val="ctr"/>
        <c:lblOffset val="100"/>
        <c:noMultiLvlLbl val="0"/>
      </c:catAx>
      <c:valAx>
        <c:axId val="4158929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89235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&lt;No 1st Assm't&gt;</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ser>
        <c:dLbls>
          <c:showLegendKey val="0"/>
          <c:showVal val="0"/>
          <c:showCatName val="0"/>
          <c:showSerName val="0"/>
          <c:showPercent val="0"/>
          <c:showBubbleSize val="0"/>
        </c:dLbls>
        <c:gapWidth val="219"/>
        <c:overlap val="-27"/>
        <c:axId val="416020064"/>
        <c:axId val="416020624"/>
      </c:barChart>
      <c:catAx>
        <c:axId val="416020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6020624"/>
        <c:crosses val="autoZero"/>
        <c:auto val="1"/>
        <c:lblAlgn val="ctr"/>
        <c:lblOffset val="100"/>
        <c:noMultiLvlLbl val="0"/>
      </c:catAx>
      <c:valAx>
        <c:axId val="416020624"/>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20064"/>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Chart1"/>
  <sheetViews>
    <sheetView zoomScale="154" workbookViewId="0" zoomToFit="1"/>
  </sheetViews>
  <sheetProtection content="1" objects="1"/>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sheetPr codeName="Chart2"/>
  <sheetViews>
    <sheetView zoomScale="154" workbookViewId="0" zoomToFit="1"/>
  </sheetViews>
  <sheetProtection content="1" objects="1"/>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CheckBox" checked="Checked" fmlaLink="$A$4" noThreeD="1"/>
</file>

<file path=xl/ctrlProps/ctrlProp30.xml><?xml version="1.0" encoding="utf-8"?>
<formControlPr xmlns="http://schemas.microsoft.com/office/spreadsheetml/2009/9/main" objectType="CheckBox" fmlaLink="$A$12" lockText="1" noThreeD="1"/>
</file>

<file path=xl/ctrlProps/ctrlProp31.xml><?xml version="1.0" encoding="utf-8"?>
<formControlPr xmlns="http://schemas.microsoft.com/office/spreadsheetml/2009/9/main" objectType="CheckBox" fmlaLink="$A$20" lockText="1" noThreeD="1"/>
</file>

<file path=xl/ctrlProps/ctrlProp32.xml><?xml version="1.0" encoding="utf-8"?>
<formControlPr xmlns="http://schemas.microsoft.com/office/spreadsheetml/2009/9/main" objectType="CheckBox" fmlaLink="$A$28" lockText="1" noThreeD="1"/>
</file>

<file path=xl/ctrlProps/ctrlProp33.xml><?xml version="1.0" encoding="utf-8"?>
<formControlPr xmlns="http://schemas.microsoft.com/office/spreadsheetml/2009/9/main" objectType="CheckBox" fmlaLink="$A$36" lockText="1" noThreeD="1"/>
</file>

<file path=xl/ctrlProps/ctrlProp34.xml><?xml version="1.0" encoding="utf-8"?>
<formControlPr xmlns="http://schemas.microsoft.com/office/spreadsheetml/2009/9/main" objectType="CheckBox" fmlaLink="$A$44" lockText="1" noThreeD="1"/>
</file>

<file path=xl/ctrlProps/ctrlProp35.xml><?xml version="1.0" encoding="utf-8"?>
<formControlPr xmlns="http://schemas.microsoft.com/office/spreadsheetml/2009/9/main" objectType="CheckBox" fmlaLink="$A$52" lockText="1" noThreeD="1"/>
</file>

<file path=xl/ctrlProps/ctrlProp36.xml><?xml version="1.0" encoding="utf-8"?>
<formControlPr xmlns="http://schemas.microsoft.com/office/spreadsheetml/2009/9/main" objectType="CheckBox" fmlaLink="$A$60" lockText="1" noThreeD="1"/>
</file>

<file path=xl/ctrlProps/ctrlProp37.xml><?xml version="1.0" encoding="utf-8"?>
<formControlPr xmlns="http://schemas.microsoft.com/office/spreadsheetml/2009/9/main" objectType="CheckBox" fmlaLink="$A$68"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chart" Target="../charts/chart14.xml"/><Relationship Id="rId5" Type="http://schemas.openxmlformats.org/officeDocument/2006/relationships/chart" Target="../charts/chart13.xml"/><Relationship Id="rId4" Type="http://schemas.openxmlformats.org/officeDocument/2006/relationships/chart" Target="../charts/chart12.xml"/></Relationships>
</file>

<file path=xl/drawings/drawing1.xml><?xml version="1.0" encoding="utf-8"?>
<xdr:wsDr xmlns:xdr="http://schemas.openxmlformats.org/drawingml/2006/spreadsheetDrawing" xmlns:a="http://schemas.openxmlformats.org/drawingml/2006/main">
  <xdr:absoluteAnchor>
    <xdr:pos x="0" y="0"/>
    <xdr:ext cx="8665276" cy="629021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65276" cy="629021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22</xdr:row>
          <xdr:rowOff>142875</xdr:rowOff>
        </xdr:from>
        <xdr:to>
          <xdr:col>3</xdr:col>
          <xdr:colOff>514350</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17</xdr:row>
          <xdr:rowOff>152400</xdr:rowOff>
        </xdr:from>
        <xdr:to>
          <xdr:col>3</xdr:col>
          <xdr:colOff>514350</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1857375</xdr:colOff>
          <xdr:row>20</xdr:row>
          <xdr:rowOff>47625</xdr:rowOff>
        </xdr:from>
        <xdr:to>
          <xdr:col>3</xdr:col>
          <xdr:colOff>514350</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781050</xdr:colOff>
          <xdr:row>24</xdr:row>
          <xdr:rowOff>133350</xdr:rowOff>
        </xdr:from>
        <xdr:to>
          <xdr:col>4</xdr:col>
          <xdr:colOff>2362200</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104775</xdr:rowOff>
        </xdr:from>
        <xdr:to>
          <xdr:col>2</xdr:col>
          <xdr:colOff>466725</xdr:colOff>
          <xdr:row>25</xdr:row>
          <xdr:rowOff>0</xdr:rowOff>
        </xdr:to>
        <xdr:sp macro="" textlink="">
          <xdr:nvSpPr>
            <xdr:cNvPr id="18453" name="Button 21" hidden="1">
              <a:extLst>
                <a:ext uri="{63B3BB69-23CF-44E3-9099-C40C66FF867C}">
                  <a14:compatExt spid="_x0000_s184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95250</xdr:rowOff>
        </xdr:from>
        <xdr:to>
          <xdr:col>2</xdr:col>
          <xdr:colOff>466725</xdr:colOff>
          <xdr:row>28</xdr:row>
          <xdr:rowOff>180975</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104775</xdr:rowOff>
        </xdr:from>
        <xdr:to>
          <xdr:col>2</xdr:col>
          <xdr:colOff>466725</xdr:colOff>
          <xdr:row>27</xdr:row>
          <xdr:rowOff>0</xdr:rowOff>
        </xdr:to>
        <xdr:sp macro="" textlink="">
          <xdr:nvSpPr>
            <xdr:cNvPr id="18456" name="Button 24" hidden="1">
              <a:extLst>
                <a:ext uri="{63B3BB69-23CF-44E3-9099-C40C66FF867C}">
                  <a14:compatExt spid="_x0000_s184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17</xdr:row>
          <xdr:rowOff>19050</xdr:rowOff>
        </xdr:from>
        <xdr:to>
          <xdr:col>0</xdr:col>
          <xdr:colOff>209550</xdr:colOff>
          <xdr:row>17</xdr:row>
          <xdr:rowOff>180975</xdr:rowOff>
        </xdr:to>
        <xdr:sp macro="" textlink="">
          <xdr:nvSpPr>
            <xdr:cNvPr id="2072" name="CB_FF" hidden="1">
              <a:extLst>
                <a:ext uri="{63B3BB69-23CF-44E3-9099-C40C66FF867C}">
                  <a14:compatExt spid="_x0000_s20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28</xdr:row>
          <xdr:rowOff>19050</xdr:rowOff>
        </xdr:from>
        <xdr:to>
          <xdr:col>0</xdr:col>
          <xdr:colOff>209550</xdr:colOff>
          <xdr:row>29</xdr:row>
          <xdr:rowOff>0</xdr:rowOff>
        </xdr:to>
        <xdr:sp macro="" textlink="">
          <xdr:nvSpPr>
            <xdr:cNvPr id="2073" name="CB_CGA" hidden="1">
              <a:extLst>
                <a:ext uri="{63B3BB69-23CF-44E3-9099-C40C66FF867C}">
                  <a14:compatExt spid="_x0000_s20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381000</xdr:colOff>
          <xdr:row>0</xdr:row>
          <xdr:rowOff>57150</xdr:rowOff>
        </xdr:from>
        <xdr:to>
          <xdr:col>32</xdr:col>
          <xdr:colOff>1857375</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200025</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2038350</xdr:colOff>
          <xdr:row>0</xdr:row>
          <xdr:rowOff>57150</xdr:rowOff>
        </xdr:from>
        <xdr:to>
          <xdr:col>34</xdr:col>
          <xdr:colOff>133350</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34</xdr:col>
          <xdr:colOff>304800</xdr:colOff>
          <xdr:row>0</xdr:row>
          <xdr:rowOff>57150</xdr:rowOff>
        </xdr:from>
        <xdr:to>
          <xdr:col>45</xdr:col>
          <xdr:colOff>266700</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45</xdr:col>
          <xdr:colOff>457200</xdr:colOff>
          <xdr:row>0</xdr:row>
          <xdr:rowOff>57150</xdr:rowOff>
        </xdr:from>
        <xdr:to>
          <xdr:col>48</xdr:col>
          <xdr:colOff>76200</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466725</xdr:colOff>
          <xdr:row>103</xdr:row>
          <xdr:rowOff>104775</xdr:rowOff>
        </xdr:from>
        <xdr:to>
          <xdr:col>29</xdr:col>
          <xdr:colOff>1714500</xdr:colOff>
          <xdr:row>105</xdr:row>
          <xdr:rowOff>19050</xdr:rowOff>
        </xdr:to>
        <xdr:sp macro="" textlink="">
          <xdr:nvSpPr>
            <xdr:cNvPr id="2114" name="Button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2276475</xdr:colOff>
          <xdr:row>0</xdr:row>
          <xdr:rowOff>57150</xdr:rowOff>
        </xdr:from>
        <xdr:to>
          <xdr:col>38</xdr:col>
          <xdr:colOff>371475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80437</xdr:colOff>
      <xdr:row>0</xdr:row>
      <xdr:rowOff>180975</xdr:rowOff>
    </xdr:from>
    <xdr:to>
      <xdr:col>9</xdr:col>
      <xdr:colOff>77932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42338</xdr:colOff>
      <xdr:row>18</xdr:row>
      <xdr:rowOff>0</xdr:rowOff>
    </xdr:from>
    <xdr:to>
      <xdr:col>9</xdr:col>
      <xdr:colOff>39832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246444</xdr:colOff>
      <xdr:row>0</xdr:row>
      <xdr:rowOff>180974</xdr:rowOff>
    </xdr:from>
    <xdr:to>
      <xdr:col>18</xdr:col>
      <xdr:colOff>243939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246444</xdr:colOff>
      <xdr:row>17</xdr:row>
      <xdr:rowOff>190499</xdr:rowOff>
    </xdr:from>
    <xdr:to>
      <xdr:col>18</xdr:col>
      <xdr:colOff>243939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18</xdr:col>
          <xdr:colOff>323850</xdr:colOff>
          <xdr:row>0</xdr:row>
          <xdr:rowOff>171450</xdr:rowOff>
        </xdr:from>
        <xdr:to>
          <xdr:col>20</xdr:col>
          <xdr:colOff>333375</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114396</xdr:colOff>
      <xdr:row>0</xdr:row>
      <xdr:rowOff>103443</xdr:rowOff>
    </xdr:from>
    <xdr:to>
      <xdr:col>9</xdr:col>
      <xdr:colOff>215470</xdr:colOff>
      <xdr:row>16</xdr:row>
      <xdr:rowOff>177209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76297</xdr:colOff>
      <xdr:row>17</xdr:row>
      <xdr:rowOff>167677</xdr:rowOff>
    </xdr:from>
    <xdr:to>
      <xdr:col>9</xdr:col>
      <xdr:colOff>177373</xdr:colOff>
      <xdr:row>34</xdr:row>
      <xdr:rowOff>45696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64975</xdr:colOff>
      <xdr:row>0</xdr:row>
      <xdr:rowOff>103442</xdr:rowOff>
    </xdr:from>
    <xdr:to>
      <xdr:col>18</xdr:col>
      <xdr:colOff>161443</xdr:colOff>
      <xdr:row>16</xdr:row>
      <xdr:rowOff>177207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45925</xdr:colOff>
      <xdr:row>17</xdr:row>
      <xdr:rowOff>167677</xdr:rowOff>
    </xdr:from>
    <xdr:to>
      <xdr:col>18</xdr:col>
      <xdr:colOff>142393</xdr:colOff>
      <xdr:row>34</xdr:row>
      <xdr:rowOff>45695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100221</xdr:colOff>
      <xdr:row>0</xdr:row>
      <xdr:rowOff>103443</xdr:rowOff>
    </xdr:from>
    <xdr:to>
      <xdr:col>27</xdr:col>
      <xdr:colOff>201778</xdr:colOff>
      <xdr:row>16</xdr:row>
      <xdr:rowOff>169747</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100220</xdr:colOff>
      <xdr:row>17</xdr:row>
      <xdr:rowOff>167677</xdr:rowOff>
    </xdr:from>
    <xdr:to>
      <xdr:col>27</xdr:col>
      <xdr:colOff>197171</xdr:colOff>
      <xdr:row>34</xdr:row>
      <xdr:rowOff>45695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25</xdr:col>
          <xdr:colOff>171450</xdr:colOff>
          <xdr:row>1</xdr:row>
          <xdr:rowOff>152400</xdr:rowOff>
        </xdr:from>
        <xdr:to>
          <xdr:col>27</xdr:col>
          <xdr:colOff>180975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4</xdr:row>
          <xdr:rowOff>28575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219075</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18</xdr:row>
          <xdr:rowOff>180975</xdr:rowOff>
        </xdr:from>
        <xdr:to>
          <xdr:col>3</xdr:col>
          <xdr:colOff>619125</xdr:colOff>
          <xdr:row>19</xdr:row>
          <xdr:rowOff>104775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190500</xdr:rowOff>
        </xdr:from>
        <xdr:to>
          <xdr:col>3</xdr:col>
          <xdr:colOff>609600</xdr:colOff>
          <xdr:row>28</xdr:row>
          <xdr:rowOff>28575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34</xdr:row>
          <xdr:rowOff>180975</xdr:rowOff>
        </xdr:from>
        <xdr:to>
          <xdr:col>3</xdr:col>
          <xdr:colOff>619125</xdr:colOff>
          <xdr:row>35</xdr:row>
          <xdr:rowOff>104775</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42</xdr:row>
          <xdr:rowOff>161925</xdr:rowOff>
        </xdr:from>
        <xdr:to>
          <xdr:col>3</xdr:col>
          <xdr:colOff>619125</xdr:colOff>
          <xdr:row>43</xdr:row>
          <xdr:rowOff>85725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50</xdr:row>
          <xdr:rowOff>180975</xdr:rowOff>
        </xdr:from>
        <xdr:to>
          <xdr:col>3</xdr:col>
          <xdr:colOff>619125</xdr:colOff>
          <xdr:row>52</xdr:row>
          <xdr:rowOff>9525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58</xdr:row>
          <xdr:rowOff>171450</xdr:rowOff>
        </xdr:from>
        <xdr:to>
          <xdr:col>3</xdr:col>
          <xdr:colOff>609600</xdr:colOff>
          <xdr:row>60</xdr:row>
          <xdr:rowOff>0</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66</xdr:row>
          <xdr:rowOff>190500</xdr:rowOff>
        </xdr:from>
        <xdr:to>
          <xdr:col>3</xdr:col>
          <xdr:colOff>619125</xdr:colOff>
          <xdr:row>68</xdr:row>
          <xdr:rowOff>28575</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3.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2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3.xml"/><Relationship Id="rId13" Type="http://schemas.openxmlformats.org/officeDocument/2006/relationships/ctrlProp" Target="../ctrlProps/ctrlProp38.xml"/><Relationship Id="rId3" Type="http://schemas.openxmlformats.org/officeDocument/2006/relationships/vmlDrawing" Target="../drawings/vmlDrawing7.vml"/><Relationship Id="rId7" Type="http://schemas.openxmlformats.org/officeDocument/2006/relationships/ctrlProp" Target="../ctrlProps/ctrlProp32.xml"/><Relationship Id="rId12" Type="http://schemas.openxmlformats.org/officeDocument/2006/relationships/ctrlProp" Target="../ctrlProps/ctrlProp37.xml"/><Relationship Id="rId2" Type="http://schemas.openxmlformats.org/officeDocument/2006/relationships/drawing" Target="../drawings/drawing9.xml"/><Relationship Id="rId16" Type="http://schemas.openxmlformats.org/officeDocument/2006/relationships/ctrlProp" Target="../ctrlProps/ctrlProp41.xml"/><Relationship Id="rId1" Type="http://schemas.openxmlformats.org/officeDocument/2006/relationships/printerSettings" Target="../printerSettings/printerSettings9.bin"/><Relationship Id="rId6" Type="http://schemas.openxmlformats.org/officeDocument/2006/relationships/ctrlProp" Target="../ctrlProps/ctrlProp31.xml"/><Relationship Id="rId11" Type="http://schemas.openxmlformats.org/officeDocument/2006/relationships/ctrlProp" Target="../ctrlProps/ctrlProp36.xml"/><Relationship Id="rId5" Type="http://schemas.openxmlformats.org/officeDocument/2006/relationships/ctrlProp" Target="../ctrlProps/ctrlProp30.xml"/><Relationship Id="rId15" Type="http://schemas.openxmlformats.org/officeDocument/2006/relationships/ctrlProp" Target="../ctrlProps/ctrlProp40.xml"/><Relationship Id="rId10" Type="http://schemas.openxmlformats.org/officeDocument/2006/relationships/ctrlProp" Target="../ctrlProps/ctrlProp35.xml"/><Relationship Id="rId4" Type="http://schemas.openxmlformats.org/officeDocument/2006/relationships/ctrlProp" Target="../ctrlProps/ctrlProp29.xml"/><Relationship Id="rId9" Type="http://schemas.openxmlformats.org/officeDocument/2006/relationships/ctrlProp" Target="../ctrlProps/ctrlProp34.xml"/><Relationship Id="rId14" Type="http://schemas.openxmlformats.org/officeDocument/2006/relationships/ctrlProp" Target="../ctrlProps/ctrlProp3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4"/>
  <sheetViews>
    <sheetView tabSelected="1" topLeftCell="A4" zoomScaleNormal="100" workbookViewId="0">
      <selection activeCell="E4" sqref="E4"/>
    </sheetView>
  </sheetViews>
  <sheetFormatPr defaultRowHeight="15" x14ac:dyDescent="0.25"/>
  <cols>
    <col min="1" max="1" width="4.85546875" customWidth="1"/>
    <col min="2" max="2" width="37.5703125" customWidth="1"/>
    <col min="3" max="3" width="38.85546875" customWidth="1"/>
    <col min="4" max="4" width="59.28515625" bestFit="1" customWidth="1"/>
    <col min="5" max="5" width="36" customWidth="1"/>
    <col min="6" max="6" width="4.28515625" customWidth="1"/>
    <col min="8" max="8" width="161.42578125" style="216" hidden="1" customWidth="1"/>
    <col min="36" max="39" width="9.140625" customWidth="1"/>
  </cols>
  <sheetData>
    <row r="1" spans="1:36" ht="21" customHeight="1" x14ac:dyDescent="0.25">
      <c r="A1" s="66"/>
      <c r="B1" s="270" t="s">
        <v>313</v>
      </c>
      <c r="C1" s="270"/>
      <c r="D1" s="270"/>
      <c r="E1" s="270"/>
      <c r="F1" s="67"/>
      <c r="G1" s="68"/>
      <c r="I1" s="68"/>
      <c r="J1" s="68"/>
      <c r="K1" s="68"/>
      <c r="L1" s="68"/>
      <c r="M1" s="68"/>
      <c r="N1" s="68"/>
      <c r="O1" s="68"/>
      <c r="P1" s="68"/>
      <c r="Q1" s="68"/>
      <c r="R1" s="68"/>
      <c r="S1" s="68"/>
      <c r="T1" s="68"/>
      <c r="U1" s="68"/>
      <c r="V1" s="68"/>
      <c r="W1" s="68"/>
      <c r="X1" s="68"/>
      <c r="Y1" s="68"/>
      <c r="Z1" s="68"/>
      <c r="AA1" s="68"/>
      <c r="AB1" s="68"/>
      <c r="AC1" s="68"/>
      <c r="AD1" s="68"/>
      <c r="AE1" s="68"/>
      <c r="AF1" s="68"/>
      <c r="AG1" s="68"/>
      <c r="AH1" s="68"/>
      <c r="AI1" s="68"/>
      <c r="AJ1" s="68"/>
    </row>
    <row r="2" spans="1:36" x14ac:dyDescent="0.25">
      <c r="A2" s="69"/>
      <c r="B2" s="70" t="s">
        <v>857</v>
      </c>
      <c r="C2" s="71"/>
      <c r="D2" s="72" t="s">
        <v>315</v>
      </c>
      <c r="E2" s="74"/>
      <c r="F2" s="69"/>
      <c r="G2" s="68"/>
      <c r="I2" s="68"/>
      <c r="J2" s="68"/>
      <c r="K2" s="68"/>
      <c r="L2" s="68"/>
      <c r="M2" s="68"/>
      <c r="N2" s="68"/>
      <c r="O2" s="68"/>
      <c r="P2" s="68"/>
      <c r="Q2" s="68"/>
      <c r="R2" s="68"/>
      <c r="S2" s="68"/>
      <c r="T2" s="68"/>
      <c r="U2" s="68"/>
      <c r="V2" s="68"/>
      <c r="W2" s="68"/>
      <c r="X2" s="68"/>
      <c r="Y2" s="68"/>
      <c r="Z2" s="68"/>
      <c r="AA2" s="68"/>
      <c r="AB2" s="68"/>
      <c r="AC2" s="68"/>
      <c r="AD2" s="68"/>
      <c r="AE2" s="68"/>
      <c r="AF2" s="68"/>
      <c r="AG2" s="68"/>
      <c r="AH2" s="68"/>
      <c r="AI2" s="68"/>
      <c r="AJ2" s="68"/>
    </row>
    <row r="3" spans="1:36" x14ac:dyDescent="0.25">
      <c r="A3" s="69"/>
      <c r="B3" s="72" t="s">
        <v>858</v>
      </c>
      <c r="C3" s="76"/>
      <c r="D3" s="73" t="s">
        <v>316</v>
      </c>
      <c r="E3" s="75"/>
      <c r="F3" s="69"/>
      <c r="G3" s="68"/>
      <c r="I3" s="68"/>
      <c r="J3" s="68"/>
      <c r="K3" s="68"/>
      <c r="L3" s="68"/>
      <c r="M3" s="68"/>
      <c r="N3" s="68"/>
      <c r="O3" s="68"/>
      <c r="P3" s="68"/>
      <c r="Q3" s="68"/>
      <c r="R3" s="68"/>
      <c r="S3" s="68"/>
      <c r="T3" s="68"/>
      <c r="U3" s="68"/>
      <c r="V3" s="68"/>
      <c r="W3" s="68"/>
      <c r="X3" s="68"/>
      <c r="Y3" s="68"/>
      <c r="Z3" s="68"/>
      <c r="AA3" s="68"/>
      <c r="AB3" s="68"/>
      <c r="AC3" s="68"/>
      <c r="AD3" s="68"/>
      <c r="AE3" s="68"/>
      <c r="AF3" s="68"/>
      <c r="AG3" s="68"/>
      <c r="AH3" s="68"/>
      <c r="AI3" s="68"/>
      <c r="AJ3" s="68"/>
    </row>
    <row r="4" spans="1:36" x14ac:dyDescent="0.25">
      <c r="A4" s="69"/>
      <c r="B4" s="72" t="s">
        <v>318</v>
      </c>
      <c r="C4" s="76"/>
      <c r="D4" s="73" t="s">
        <v>317</v>
      </c>
      <c r="E4" s="76"/>
      <c r="F4" s="69"/>
      <c r="G4" s="68"/>
      <c r="I4" s="68"/>
      <c r="J4" s="68"/>
      <c r="K4" s="68"/>
      <c r="L4" s="68"/>
      <c r="M4" s="68"/>
      <c r="N4" s="68"/>
      <c r="O4" s="68"/>
      <c r="P4" s="68"/>
      <c r="Q4" s="68"/>
      <c r="R4" s="68"/>
      <c r="S4" s="68"/>
      <c r="T4" s="68"/>
      <c r="U4" s="68"/>
      <c r="V4" s="68"/>
      <c r="W4" s="68"/>
      <c r="X4" s="68"/>
      <c r="Y4" s="68"/>
      <c r="Z4" s="68"/>
      <c r="AA4" s="68"/>
      <c r="AB4" s="68"/>
      <c r="AC4" s="68"/>
      <c r="AD4" s="68"/>
      <c r="AE4" s="68"/>
      <c r="AF4" s="68"/>
      <c r="AG4" s="68"/>
      <c r="AH4" s="68"/>
      <c r="AI4" s="68"/>
      <c r="AJ4" s="68"/>
    </row>
    <row r="5" spans="1:36" x14ac:dyDescent="0.25">
      <c r="A5" s="69"/>
      <c r="B5" s="72" t="s">
        <v>320</v>
      </c>
      <c r="C5" s="78"/>
      <c r="D5" s="124" t="s">
        <v>954</v>
      </c>
      <c r="E5" s="134"/>
      <c r="F5" s="82"/>
      <c r="G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row>
    <row r="6" spans="1:36" x14ac:dyDescent="0.25">
      <c r="A6" s="69"/>
      <c r="B6" s="77" t="s">
        <v>319</v>
      </c>
      <c r="C6" s="128"/>
      <c r="D6" s="74"/>
      <c r="E6" s="74"/>
      <c r="F6" s="69"/>
      <c r="G6" s="68"/>
      <c r="I6" s="68"/>
      <c r="J6" s="68"/>
      <c r="K6" s="68"/>
      <c r="L6" s="68"/>
      <c r="M6" s="68"/>
      <c r="N6" s="68"/>
      <c r="O6" s="68"/>
      <c r="P6" s="68"/>
      <c r="Q6" s="68"/>
      <c r="R6" s="68"/>
      <c r="S6" s="68"/>
      <c r="T6" s="68"/>
      <c r="U6" s="68"/>
      <c r="V6" s="68"/>
      <c r="W6" s="68"/>
      <c r="X6" s="68"/>
      <c r="Y6" s="68"/>
      <c r="Z6" s="68"/>
      <c r="AA6" s="68"/>
      <c r="AB6" s="68"/>
      <c r="AC6" s="68"/>
      <c r="AD6" s="68"/>
      <c r="AE6" s="68"/>
      <c r="AF6" s="68"/>
      <c r="AG6" s="68"/>
      <c r="AH6" s="68"/>
      <c r="AI6" s="68"/>
      <c r="AJ6" s="68"/>
    </row>
    <row r="7" spans="1:36" x14ac:dyDescent="0.25">
      <c r="A7" s="69"/>
      <c r="B7" s="73" t="s">
        <v>859</v>
      </c>
      <c r="C7" s="79"/>
      <c r="D7" s="74"/>
      <c r="E7" s="74"/>
      <c r="F7" s="69"/>
      <c r="G7" s="68"/>
      <c r="I7" s="68"/>
      <c r="J7" s="68"/>
      <c r="K7" s="68"/>
      <c r="L7" s="68"/>
      <c r="M7" s="68"/>
      <c r="N7" s="68"/>
      <c r="O7" s="68"/>
      <c r="P7" s="68"/>
      <c r="Q7" s="68"/>
      <c r="R7" s="68"/>
      <c r="S7" s="68"/>
      <c r="T7" s="68"/>
      <c r="U7" s="68"/>
      <c r="V7" s="68"/>
      <c r="W7" s="68"/>
      <c r="X7" s="68"/>
      <c r="Y7" s="68"/>
      <c r="Z7" s="68"/>
      <c r="AA7" s="68"/>
      <c r="AB7" s="68"/>
      <c r="AC7" s="68"/>
      <c r="AD7" s="68"/>
      <c r="AE7" s="68"/>
      <c r="AF7" s="68"/>
      <c r="AG7" s="68"/>
      <c r="AH7" s="68"/>
      <c r="AI7" s="68"/>
      <c r="AJ7" s="68"/>
    </row>
    <row r="8" spans="1:36" x14ac:dyDescent="0.25">
      <c r="A8" s="80"/>
      <c r="B8" s="81"/>
      <c r="C8" s="6"/>
      <c r="D8" s="74"/>
      <c r="E8" s="74"/>
      <c r="F8" s="69"/>
      <c r="G8" s="68"/>
      <c r="I8" s="68"/>
      <c r="J8" s="68"/>
      <c r="K8" s="68"/>
      <c r="L8" s="68"/>
      <c r="M8" s="68"/>
      <c r="N8" s="68"/>
      <c r="O8" s="68"/>
      <c r="P8" s="68"/>
      <c r="Q8" s="68"/>
      <c r="R8" s="68"/>
      <c r="S8" s="68"/>
      <c r="T8" s="68"/>
      <c r="U8" s="68"/>
      <c r="V8" s="68"/>
      <c r="W8" s="68"/>
      <c r="X8" s="68"/>
      <c r="Y8" s="68"/>
      <c r="Z8" s="68"/>
      <c r="AA8" s="68"/>
      <c r="AB8" s="68"/>
      <c r="AC8" s="68"/>
      <c r="AD8" s="68"/>
      <c r="AE8" s="68"/>
      <c r="AF8" s="68"/>
      <c r="AG8" s="68"/>
      <c r="AH8" s="68"/>
      <c r="AI8" s="68"/>
      <c r="AJ8" s="68"/>
    </row>
    <row r="9" spans="1:36" x14ac:dyDescent="0.25">
      <c r="A9" s="80"/>
      <c r="B9" s="83"/>
      <c r="C9" s="83"/>
      <c r="D9" s="83"/>
      <c r="E9" s="83"/>
      <c r="F9" s="82"/>
      <c r="G9" s="68"/>
      <c r="I9" s="68"/>
      <c r="J9" s="68"/>
      <c r="K9" s="68"/>
      <c r="L9" s="68"/>
      <c r="M9" s="68"/>
      <c r="N9" s="68"/>
      <c r="O9" s="68"/>
      <c r="P9" s="68"/>
      <c r="Q9" s="68"/>
      <c r="R9" s="68"/>
      <c r="S9" s="68"/>
      <c r="T9" s="68"/>
      <c r="U9" s="68"/>
      <c r="V9" s="68"/>
      <c r="W9" s="68"/>
      <c r="X9" s="68"/>
      <c r="Y9" s="68"/>
      <c r="Z9" s="68"/>
      <c r="AA9" s="68"/>
      <c r="AB9" s="68"/>
      <c r="AC9" s="68"/>
      <c r="AD9" s="68"/>
      <c r="AE9" s="68"/>
      <c r="AF9" s="68"/>
      <c r="AG9" s="68"/>
      <c r="AH9" s="68"/>
      <c r="AI9" s="68"/>
      <c r="AJ9" s="68"/>
    </row>
    <row r="10" spans="1:36" x14ac:dyDescent="0.25">
      <c r="A10" s="69"/>
      <c r="B10" s="77" t="s">
        <v>957</v>
      </c>
      <c r="C10" s="132"/>
      <c r="D10" s="125" t="s">
        <v>955</v>
      </c>
      <c r="E10" s="126">
        <v>1</v>
      </c>
      <c r="F10" s="69"/>
      <c r="G10" s="68"/>
      <c r="I10" s="68"/>
      <c r="J10" s="68"/>
      <c r="K10" s="68"/>
      <c r="L10" s="68"/>
      <c r="M10" s="68"/>
      <c r="N10" s="68"/>
      <c r="O10" s="68"/>
      <c r="P10" s="68"/>
      <c r="Q10" s="68"/>
      <c r="R10" s="68"/>
      <c r="S10" s="68"/>
      <c r="T10" s="68"/>
      <c r="U10" s="68"/>
      <c r="V10" s="68"/>
      <c r="W10" s="68"/>
      <c r="X10" s="68"/>
      <c r="Y10" s="68"/>
      <c r="Z10" s="68"/>
      <c r="AA10" s="68"/>
      <c r="AB10" s="68"/>
      <c r="AC10" s="68"/>
      <c r="AD10" s="68"/>
      <c r="AE10" s="68"/>
      <c r="AF10" s="68"/>
      <c r="AG10" s="68"/>
      <c r="AH10" s="68"/>
      <c r="AI10" s="68"/>
      <c r="AJ10" s="68"/>
    </row>
    <row r="11" spans="1:36" x14ac:dyDescent="0.25">
      <c r="A11" s="69"/>
      <c r="B11" s="77" t="s">
        <v>958</v>
      </c>
      <c r="C11" s="132"/>
      <c r="D11" s="125" t="s">
        <v>956</v>
      </c>
      <c r="E11" s="127">
        <v>1</v>
      </c>
      <c r="F11" s="69"/>
      <c r="G11" s="68"/>
      <c r="I11" s="68"/>
      <c r="J11" s="68"/>
      <c r="K11" s="68"/>
      <c r="L11" s="68"/>
      <c r="M11" s="68"/>
      <c r="N11" s="68"/>
      <c r="O11" s="68"/>
      <c r="P11" s="68"/>
      <c r="Q11" s="68"/>
      <c r="R11" s="68"/>
      <c r="S11" s="68"/>
      <c r="T11" s="68"/>
      <c r="U11" s="68"/>
      <c r="V11" s="68"/>
      <c r="W11" s="68"/>
      <c r="X11" s="68"/>
      <c r="Y11" s="68"/>
      <c r="Z11" s="68"/>
      <c r="AA11" s="68"/>
      <c r="AB11" s="68"/>
      <c r="AC11" s="68"/>
      <c r="AD11" s="68"/>
      <c r="AE11" s="68"/>
      <c r="AF11" s="68"/>
      <c r="AG11" s="68"/>
      <c r="AH11" s="68"/>
      <c r="AI11" s="68"/>
      <c r="AJ11" s="68"/>
    </row>
    <row r="12" spans="1:36" x14ac:dyDescent="0.25">
      <c r="A12" s="69"/>
      <c r="B12" s="77" t="s">
        <v>959</v>
      </c>
      <c r="C12" s="132"/>
      <c r="D12" s="6"/>
      <c r="E12" s="81"/>
      <c r="F12" s="82"/>
      <c r="G12" s="68"/>
      <c r="I12" s="68"/>
      <c r="J12" s="68"/>
      <c r="K12" s="68"/>
      <c r="L12" s="68"/>
      <c r="M12" s="68"/>
      <c r="N12" s="68"/>
      <c r="O12" s="68"/>
      <c r="P12" s="68"/>
      <c r="Q12" s="68"/>
      <c r="R12" s="68"/>
      <c r="S12" s="68"/>
      <c r="T12" s="68"/>
      <c r="U12" s="68"/>
      <c r="V12" s="68"/>
      <c r="W12" s="68"/>
      <c r="X12" s="68"/>
      <c r="Y12" s="68"/>
      <c r="Z12" s="68"/>
      <c r="AA12" s="68"/>
      <c r="AB12" s="68"/>
      <c r="AC12" s="68"/>
      <c r="AD12" s="68"/>
      <c r="AE12" s="68"/>
      <c r="AF12" s="68"/>
      <c r="AG12" s="68"/>
      <c r="AH12" s="68"/>
      <c r="AI12" s="68"/>
      <c r="AJ12" s="68"/>
    </row>
    <row r="13" spans="1:36" x14ac:dyDescent="0.25">
      <c r="A13" s="80"/>
      <c r="B13" s="83"/>
      <c r="C13" s="83"/>
      <c r="D13" s="83"/>
      <c r="E13" s="83"/>
      <c r="F13" s="82"/>
      <c r="G13" s="68"/>
      <c r="I13" s="68"/>
      <c r="J13" s="68"/>
      <c r="K13" s="68"/>
      <c r="L13" s="68"/>
      <c r="M13" s="68"/>
      <c r="N13" s="68"/>
      <c r="O13" s="68"/>
      <c r="P13" s="68"/>
      <c r="Q13" s="68"/>
      <c r="R13" s="68"/>
      <c r="S13" s="68"/>
      <c r="T13" s="68"/>
      <c r="U13" s="68"/>
      <c r="V13" s="68"/>
      <c r="W13" s="68"/>
      <c r="X13" s="68"/>
      <c r="Y13" s="68"/>
      <c r="Z13" s="68"/>
      <c r="AA13" s="68"/>
      <c r="AB13" s="68"/>
      <c r="AC13" s="68"/>
      <c r="AD13" s="68"/>
      <c r="AE13" s="68"/>
      <c r="AF13" s="68"/>
      <c r="AG13" s="68"/>
      <c r="AH13" s="68"/>
      <c r="AI13" s="68"/>
      <c r="AJ13" s="68"/>
    </row>
    <row r="14" spans="1:36" x14ac:dyDescent="0.25">
      <c r="A14" s="69"/>
      <c r="B14" s="258" t="s">
        <v>321</v>
      </c>
      <c r="C14" s="259"/>
      <c r="D14" s="259"/>
      <c r="E14" s="260"/>
      <c r="F14" s="69"/>
      <c r="G14" s="68"/>
      <c r="H14" s="217" t="s">
        <v>940</v>
      </c>
      <c r="I14" s="68"/>
      <c r="J14" s="68"/>
      <c r="K14" s="68"/>
      <c r="L14" s="68"/>
      <c r="M14" s="68"/>
      <c r="N14" s="68"/>
      <c r="O14" s="68"/>
      <c r="P14" s="68"/>
      <c r="Q14" s="68"/>
      <c r="R14" s="68"/>
      <c r="S14" s="68"/>
      <c r="T14" s="68"/>
      <c r="U14" s="68"/>
      <c r="V14" s="68"/>
      <c r="W14" s="68"/>
      <c r="X14" s="68"/>
      <c r="Y14" s="68"/>
      <c r="Z14" s="68"/>
      <c r="AA14" s="68"/>
      <c r="AB14" s="68"/>
      <c r="AC14" s="68"/>
      <c r="AD14" s="68"/>
      <c r="AE14" s="68"/>
      <c r="AF14" s="68"/>
      <c r="AG14" s="68"/>
      <c r="AH14" s="68"/>
      <c r="AI14" s="68"/>
      <c r="AJ14" s="68"/>
    </row>
    <row r="15" spans="1:36" x14ac:dyDescent="0.25">
      <c r="A15" s="69"/>
      <c r="B15" s="261"/>
      <c r="C15" s="262"/>
      <c r="D15" s="262"/>
      <c r="E15" s="263"/>
      <c r="F15" s="69"/>
      <c r="G15" s="68"/>
      <c r="H15" s="217">
        <f>FamilyGoals</f>
        <v>0</v>
      </c>
      <c r="I15" s="68"/>
      <c r="J15" s="68"/>
      <c r="K15" s="68"/>
      <c r="L15" s="68"/>
      <c r="M15" s="68"/>
      <c r="N15" s="68"/>
      <c r="O15" s="68"/>
      <c r="P15" s="68"/>
      <c r="Q15" s="68"/>
      <c r="R15" s="68"/>
      <c r="S15" s="68"/>
      <c r="T15" s="68"/>
      <c r="U15" s="68"/>
      <c r="V15" s="68"/>
      <c r="W15" s="68"/>
      <c r="X15" s="68"/>
      <c r="Y15" s="68"/>
      <c r="Z15" s="68"/>
      <c r="AA15" s="68"/>
      <c r="AB15" s="68"/>
      <c r="AC15" s="68"/>
      <c r="AD15" s="68"/>
      <c r="AE15" s="68"/>
      <c r="AF15" s="68"/>
      <c r="AG15" s="68"/>
      <c r="AH15" s="68"/>
      <c r="AI15" s="68"/>
      <c r="AJ15" s="68"/>
    </row>
    <row r="16" spans="1:36" x14ac:dyDescent="0.25">
      <c r="A16" s="69"/>
      <c r="B16" s="264" t="s">
        <v>322</v>
      </c>
      <c r="C16" s="265"/>
      <c r="D16" s="265"/>
      <c r="E16" s="266"/>
      <c r="F16" s="69"/>
      <c r="G16" s="68"/>
      <c r="I16" s="68"/>
      <c r="J16" s="68"/>
      <c r="K16" s="68"/>
      <c r="L16" s="68"/>
      <c r="M16" s="68"/>
      <c r="N16" s="68"/>
      <c r="O16" s="68"/>
      <c r="P16" s="68"/>
      <c r="Q16" s="68"/>
      <c r="R16" s="68"/>
      <c r="S16" s="68"/>
      <c r="T16" s="68"/>
      <c r="U16" s="68"/>
      <c r="V16" s="68"/>
      <c r="W16" s="68"/>
      <c r="X16" s="68"/>
      <c r="Y16" s="68"/>
      <c r="Z16" s="68"/>
      <c r="AA16" s="68"/>
      <c r="AB16" s="68"/>
      <c r="AC16" s="68"/>
      <c r="AD16" s="68"/>
      <c r="AE16" s="68"/>
      <c r="AF16" s="68"/>
      <c r="AG16" s="68"/>
      <c r="AH16" s="68"/>
      <c r="AI16" s="68"/>
      <c r="AJ16" s="68"/>
    </row>
    <row r="17" spans="1:50" x14ac:dyDescent="0.25">
      <c r="A17" s="69"/>
      <c r="B17" s="267"/>
      <c r="C17" s="268"/>
      <c r="D17" s="268"/>
      <c r="E17" s="269"/>
      <c r="F17" s="69"/>
      <c r="G17" s="68"/>
      <c r="H17" s="217">
        <f>FamilyStrengths</f>
        <v>0</v>
      </c>
      <c r="I17" s="68"/>
      <c r="J17" s="68"/>
      <c r="K17" s="68"/>
      <c r="L17" s="68"/>
      <c r="M17" s="68"/>
      <c r="N17" s="68"/>
      <c r="O17" s="68"/>
      <c r="P17" s="68"/>
      <c r="Q17" s="68"/>
      <c r="R17" s="68"/>
      <c r="S17" s="68"/>
      <c r="T17" s="68"/>
      <c r="U17" s="68"/>
      <c r="V17" s="68"/>
      <c r="W17" s="68"/>
      <c r="X17" s="68"/>
      <c r="Y17" s="68"/>
      <c r="Z17" s="68"/>
      <c r="AA17" s="68"/>
      <c r="AB17" s="68"/>
      <c r="AC17" s="68"/>
      <c r="AD17" s="68"/>
      <c r="AE17" s="68"/>
      <c r="AF17" s="68"/>
      <c r="AG17" s="68"/>
      <c r="AH17" s="68"/>
      <c r="AI17" s="68"/>
      <c r="AJ17" s="68"/>
    </row>
    <row r="18" spans="1:50" x14ac:dyDescent="0.25">
      <c r="A18" s="80"/>
      <c r="B18" s="81"/>
      <c r="C18" s="81"/>
      <c r="D18" s="81"/>
      <c r="E18" s="81"/>
      <c r="F18" s="82"/>
      <c r="G18" s="68"/>
      <c r="I18" s="68"/>
      <c r="J18" s="68"/>
      <c r="K18" s="68"/>
      <c r="L18" s="68"/>
      <c r="M18" s="68"/>
      <c r="N18" s="68"/>
      <c r="O18" s="68"/>
      <c r="P18" s="68"/>
      <c r="Q18" s="6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c r="AX18" s="68"/>
    </row>
    <row r="19" spans="1:50" x14ac:dyDescent="0.25">
      <c r="A19" s="80"/>
      <c r="B19" s="8"/>
      <c r="C19" s="8"/>
      <c r="D19" s="8"/>
      <c r="E19" s="8"/>
      <c r="F19" s="82"/>
      <c r="G19" s="68"/>
      <c r="I19" s="68"/>
      <c r="J19" s="68"/>
      <c r="K19" s="68"/>
      <c r="L19" s="68"/>
      <c r="M19" s="68"/>
      <c r="N19" s="68"/>
      <c r="O19" s="68"/>
      <c r="P19" s="68"/>
      <c r="Q19" s="68"/>
      <c r="R19" s="68"/>
      <c r="S19" s="68"/>
      <c r="T19" s="68"/>
      <c r="U19" s="68"/>
      <c r="V19" s="68"/>
      <c r="W19" s="68"/>
      <c r="X19" s="68"/>
      <c r="Y19" s="68"/>
      <c r="Z19" s="68"/>
      <c r="AA19" s="68"/>
      <c r="AB19" s="68"/>
      <c r="AC19" s="68"/>
      <c r="AD19" s="68"/>
      <c r="AE19" s="68"/>
      <c r="AF19" s="68"/>
      <c r="AG19" s="68"/>
      <c r="AH19" s="68"/>
      <c r="AI19" s="68"/>
      <c r="AJ19" s="68"/>
    </row>
    <row r="20" spans="1:50" x14ac:dyDescent="0.25">
      <c r="A20" s="80"/>
      <c r="B20" s="8"/>
      <c r="C20" s="8"/>
      <c r="D20" s="8"/>
      <c r="E20" s="8"/>
      <c r="F20" s="82"/>
      <c r="G20" s="68"/>
      <c r="I20" s="68"/>
      <c r="J20" s="68"/>
      <c r="K20" s="68"/>
      <c r="L20" s="68"/>
      <c r="M20" s="68"/>
      <c r="N20" s="68"/>
      <c r="O20" s="68"/>
      <c r="P20" s="68"/>
      <c r="Q20" s="68"/>
      <c r="R20" s="68"/>
      <c r="S20" s="68"/>
      <c r="T20" s="68"/>
      <c r="U20" s="68"/>
      <c r="V20" s="68"/>
      <c r="W20" s="68"/>
      <c r="X20" s="68"/>
      <c r="Y20" s="68"/>
      <c r="Z20" s="68"/>
      <c r="AA20" s="68"/>
      <c r="AB20" s="68"/>
      <c r="AC20" s="68"/>
      <c r="AD20" s="68"/>
      <c r="AE20" s="68"/>
      <c r="AF20" s="68"/>
      <c r="AG20" s="68"/>
      <c r="AH20" s="68"/>
      <c r="AI20" s="68"/>
      <c r="AJ20" s="68"/>
    </row>
    <row r="21" spans="1:50" x14ac:dyDescent="0.25">
      <c r="A21" s="80"/>
      <c r="B21" s="8"/>
      <c r="C21" s="8"/>
      <c r="D21" s="8"/>
      <c r="E21" s="8"/>
      <c r="F21" s="82"/>
      <c r="G21" s="68"/>
      <c r="I21" s="68"/>
      <c r="J21" s="68"/>
      <c r="K21" s="68"/>
      <c r="L21" s="68"/>
      <c r="M21" s="68"/>
      <c r="N21" s="68"/>
      <c r="O21" s="68"/>
      <c r="P21" s="68"/>
      <c r="Q21" s="68"/>
      <c r="R21" s="68"/>
      <c r="S21" s="68"/>
      <c r="T21" s="68"/>
      <c r="U21" s="68"/>
      <c r="V21" s="68"/>
      <c r="W21" s="68"/>
      <c r="X21" s="68"/>
      <c r="Y21" s="68"/>
      <c r="Z21" s="68"/>
      <c r="AA21" s="68"/>
      <c r="AB21" s="68"/>
      <c r="AC21" s="68"/>
      <c r="AD21" s="68"/>
      <c r="AE21" s="68"/>
      <c r="AF21" s="68"/>
      <c r="AG21" s="68"/>
      <c r="AH21" s="68"/>
      <c r="AI21" s="68"/>
      <c r="AJ21" s="68"/>
    </row>
    <row r="22" spans="1:50" x14ac:dyDescent="0.25">
      <c r="A22" s="80"/>
      <c r="B22" s="8"/>
      <c r="C22" s="8"/>
      <c r="D22" s="8"/>
      <c r="E22" s="8"/>
      <c r="F22" s="82"/>
      <c r="G22" s="68"/>
      <c r="I22" s="68"/>
      <c r="J22" s="68"/>
      <c r="K22" s="68"/>
      <c r="L22" s="68"/>
      <c r="M22" s="68"/>
      <c r="N22" s="68"/>
      <c r="O22" s="68"/>
      <c r="P22" s="68"/>
      <c r="Q22" s="68"/>
      <c r="R22" s="68"/>
      <c r="S22" s="68"/>
      <c r="T22" s="68"/>
      <c r="U22" s="68"/>
      <c r="V22" s="68"/>
      <c r="W22" s="68"/>
      <c r="X22" s="68"/>
      <c r="Y22" s="68"/>
      <c r="Z22" s="68"/>
      <c r="AA22" s="68"/>
      <c r="AB22" s="68"/>
      <c r="AC22" s="68"/>
      <c r="AD22" s="68"/>
      <c r="AE22" s="68"/>
      <c r="AF22" s="68"/>
      <c r="AG22" s="68"/>
      <c r="AH22" s="68"/>
      <c r="AI22" s="68"/>
      <c r="AJ22" s="68"/>
    </row>
    <row r="23" spans="1:50" x14ac:dyDescent="0.25">
      <c r="A23" s="80"/>
      <c r="B23" s="8"/>
      <c r="C23" s="8"/>
      <c r="D23" s="8"/>
      <c r="E23" s="8"/>
      <c r="F23" s="82"/>
      <c r="G23" s="68"/>
      <c r="I23" s="68"/>
      <c r="J23" s="68"/>
      <c r="K23" s="68"/>
      <c r="L23" s="68"/>
      <c r="M23" s="68"/>
      <c r="N23" s="68"/>
      <c r="O23" s="68"/>
      <c r="P23" s="68"/>
      <c r="Q23" s="68"/>
      <c r="R23" s="68"/>
      <c r="S23" s="68"/>
      <c r="T23" s="68"/>
      <c r="U23" s="68"/>
      <c r="V23" s="68"/>
      <c r="W23" s="68"/>
      <c r="X23" s="68"/>
      <c r="Y23" s="68"/>
      <c r="Z23" s="68"/>
      <c r="AA23" s="68"/>
      <c r="AB23" s="68"/>
      <c r="AC23" s="68"/>
      <c r="AD23" s="68"/>
      <c r="AE23" s="68"/>
      <c r="AF23" s="68"/>
      <c r="AG23" s="68"/>
      <c r="AH23" s="68"/>
      <c r="AI23" s="68"/>
      <c r="AJ23" s="68"/>
    </row>
    <row r="24" spans="1:50" x14ac:dyDescent="0.25">
      <c r="A24" s="80"/>
      <c r="B24" s="8"/>
      <c r="C24" s="8"/>
      <c r="D24" s="8"/>
      <c r="E24" s="8"/>
      <c r="F24" s="82"/>
      <c r="G24" s="68"/>
      <c r="I24" s="68"/>
      <c r="J24" s="68"/>
      <c r="K24" s="68"/>
      <c r="L24" s="68"/>
      <c r="M24" s="68"/>
      <c r="N24" s="68"/>
      <c r="O24" s="68"/>
      <c r="P24" s="68"/>
      <c r="Q24" s="68"/>
      <c r="R24" s="68"/>
      <c r="S24" s="68"/>
      <c r="T24" s="68"/>
      <c r="U24" s="68"/>
      <c r="V24" s="68"/>
      <c r="W24" s="68"/>
      <c r="X24" s="68"/>
      <c r="Y24" s="68"/>
      <c r="Z24" s="68"/>
      <c r="AA24" s="68"/>
      <c r="AB24" s="68"/>
      <c r="AC24" s="68"/>
      <c r="AD24" s="68"/>
      <c r="AE24" s="68"/>
      <c r="AF24" s="68"/>
      <c r="AG24" s="68"/>
      <c r="AH24" s="68"/>
      <c r="AI24" s="68"/>
      <c r="AJ24" s="68"/>
    </row>
    <row r="25" spans="1:50" x14ac:dyDescent="0.25">
      <c r="A25" s="80"/>
      <c r="B25" s="8"/>
      <c r="C25" s="8"/>
      <c r="D25" s="8"/>
      <c r="E25" s="8"/>
      <c r="F25" s="82"/>
      <c r="G25" s="68"/>
      <c r="I25" s="68"/>
      <c r="J25" s="68"/>
      <c r="K25" s="68"/>
      <c r="L25" s="68"/>
      <c r="M25" s="68"/>
      <c r="N25" s="68"/>
      <c r="O25" s="68"/>
      <c r="P25" s="68"/>
      <c r="Q25" s="68"/>
      <c r="R25" s="68"/>
      <c r="S25" s="68"/>
      <c r="T25" s="68"/>
      <c r="U25" s="68"/>
      <c r="V25" s="68"/>
      <c r="W25" s="68"/>
      <c r="X25" s="68"/>
      <c r="Y25" s="68"/>
      <c r="Z25" s="68"/>
      <c r="AA25" s="68"/>
      <c r="AB25" s="68"/>
      <c r="AC25" s="68"/>
      <c r="AD25" s="68"/>
      <c r="AE25" s="68"/>
      <c r="AF25" s="68"/>
      <c r="AG25" s="68"/>
      <c r="AH25" s="68"/>
      <c r="AI25" s="68"/>
      <c r="AJ25" s="68"/>
    </row>
    <row r="26" spans="1:50" x14ac:dyDescent="0.25">
      <c r="A26" s="80"/>
      <c r="B26" s="8"/>
      <c r="C26" s="8"/>
      <c r="D26" s="8"/>
      <c r="E26" s="8"/>
      <c r="F26" s="82"/>
      <c r="G26" s="68"/>
      <c r="I26" s="68"/>
      <c r="J26" s="68"/>
      <c r="K26" s="68"/>
      <c r="L26" s="68"/>
      <c r="M26" s="68"/>
      <c r="N26" s="68"/>
      <c r="O26" s="68"/>
      <c r="P26" s="68"/>
      <c r="Q26" s="68"/>
      <c r="R26" s="68"/>
      <c r="S26" s="68"/>
      <c r="T26" s="68"/>
      <c r="U26" s="68"/>
      <c r="V26" s="68"/>
      <c r="W26" s="68"/>
      <c r="X26" s="68"/>
      <c r="Y26" s="68"/>
      <c r="Z26" s="68"/>
      <c r="AA26" s="68"/>
      <c r="AB26" s="68"/>
      <c r="AC26" s="68"/>
      <c r="AD26" s="68"/>
      <c r="AE26" s="68"/>
      <c r="AF26" s="68"/>
      <c r="AG26" s="68"/>
      <c r="AH26" s="68"/>
      <c r="AI26" s="68"/>
      <c r="AJ26" s="68"/>
    </row>
    <row r="27" spans="1:50" x14ac:dyDescent="0.25">
      <c r="A27" s="80"/>
      <c r="B27" s="8"/>
      <c r="C27" s="8"/>
      <c r="D27" s="8"/>
      <c r="E27" s="8"/>
      <c r="F27" s="82"/>
      <c r="G27" s="68"/>
      <c r="I27" s="68"/>
      <c r="J27" s="68"/>
      <c r="K27" s="68"/>
      <c r="L27" s="68"/>
      <c r="M27" s="68"/>
      <c r="N27" s="68"/>
      <c r="O27" s="68"/>
      <c r="P27" s="68"/>
      <c r="Q27" s="68"/>
      <c r="R27" s="68"/>
      <c r="S27" s="68"/>
      <c r="T27" s="68"/>
      <c r="U27" s="68"/>
      <c r="V27" s="68"/>
      <c r="W27" s="68"/>
      <c r="X27" s="68"/>
      <c r="Y27" s="68"/>
      <c r="Z27" s="68"/>
      <c r="AA27" s="68"/>
      <c r="AB27" s="68"/>
      <c r="AC27" s="68"/>
      <c r="AD27" s="68"/>
      <c r="AE27" s="68"/>
      <c r="AF27" s="68"/>
      <c r="AG27" s="68"/>
      <c r="AH27" s="68"/>
      <c r="AI27" s="68"/>
      <c r="AJ27" s="68"/>
    </row>
    <row r="28" spans="1:50" x14ac:dyDescent="0.25">
      <c r="A28" s="80"/>
      <c r="B28" s="8"/>
      <c r="C28" s="8"/>
      <c r="D28" s="8"/>
      <c r="E28" s="8"/>
      <c r="F28" s="82"/>
      <c r="G28" s="68"/>
      <c r="I28" s="68"/>
      <c r="J28" s="68"/>
      <c r="K28" s="68"/>
      <c r="L28" s="68"/>
      <c r="M28" s="68"/>
      <c r="N28" s="68"/>
      <c r="O28" s="68"/>
      <c r="P28" s="68"/>
      <c r="Q28" s="68"/>
      <c r="R28" s="68"/>
      <c r="S28" s="68"/>
      <c r="T28" s="68"/>
      <c r="U28" s="68"/>
      <c r="V28" s="68"/>
      <c r="W28" s="68"/>
      <c r="X28" s="68"/>
      <c r="Y28" s="68"/>
      <c r="Z28" s="68"/>
      <c r="AA28" s="68"/>
      <c r="AB28" s="68"/>
      <c r="AC28" s="68"/>
      <c r="AD28" s="68"/>
      <c r="AE28" s="68"/>
      <c r="AF28" s="68"/>
      <c r="AG28" s="68"/>
      <c r="AH28" s="68"/>
      <c r="AI28" s="68"/>
      <c r="AJ28" s="68"/>
    </row>
    <row r="29" spans="1:50" x14ac:dyDescent="0.25">
      <c r="A29" s="80"/>
      <c r="B29" s="8"/>
      <c r="C29" s="8"/>
      <c r="D29" s="8"/>
      <c r="E29" s="8"/>
      <c r="F29" s="82"/>
      <c r="G29" s="68"/>
      <c r="I29" s="68"/>
      <c r="J29" s="68"/>
      <c r="K29" s="68"/>
      <c r="L29" s="68"/>
      <c r="M29" s="68"/>
      <c r="N29" s="68"/>
      <c r="O29" s="68"/>
      <c r="P29" s="68"/>
      <c r="Q29" s="68"/>
      <c r="R29" s="68"/>
      <c r="S29" s="68"/>
      <c r="T29" s="68"/>
      <c r="U29" s="68"/>
      <c r="V29" s="68"/>
      <c r="W29" s="68"/>
      <c r="X29" s="68"/>
      <c r="Y29" s="68"/>
      <c r="Z29" s="68"/>
      <c r="AA29" s="68"/>
      <c r="AB29" s="68"/>
      <c r="AC29" s="68"/>
      <c r="AD29" s="68"/>
      <c r="AE29" s="68"/>
      <c r="AF29" s="68"/>
      <c r="AG29" s="68"/>
      <c r="AH29" s="68"/>
      <c r="AI29" s="68"/>
      <c r="AJ29" s="68"/>
    </row>
    <row r="30" spans="1:50" x14ac:dyDescent="0.25">
      <c r="A30" s="248"/>
      <c r="B30" s="83"/>
      <c r="C30" s="84"/>
      <c r="D30" s="83"/>
      <c r="E30" s="83"/>
      <c r="F30" s="85"/>
      <c r="G30" s="68"/>
      <c r="I30" s="68"/>
      <c r="J30" s="68"/>
      <c r="K30" s="68"/>
      <c r="L30" s="68"/>
      <c r="M30" s="68"/>
      <c r="N30" s="68"/>
      <c r="O30" s="68"/>
      <c r="P30" s="68"/>
      <c r="Q30" s="68"/>
      <c r="R30" s="68"/>
      <c r="S30" s="68"/>
      <c r="T30" s="68"/>
      <c r="U30" s="68"/>
      <c r="V30" s="68"/>
      <c r="W30" s="68"/>
      <c r="X30" s="68"/>
      <c r="Y30" s="68"/>
      <c r="Z30" s="68"/>
      <c r="AA30" s="68"/>
      <c r="AB30" s="68"/>
      <c r="AC30" s="68"/>
      <c r="AD30" s="68"/>
      <c r="AE30" s="68"/>
      <c r="AF30" s="68"/>
      <c r="AG30" s="68"/>
      <c r="AH30" s="68"/>
      <c r="AI30" s="68"/>
      <c r="AJ30" s="68"/>
    </row>
    <row r="31" spans="1:50" x14ac:dyDescent="0.25">
      <c r="A31" s="86"/>
      <c r="B31" s="86"/>
      <c r="C31" s="86"/>
      <c r="D31" s="86"/>
      <c r="E31" s="86"/>
      <c r="F31" s="86"/>
      <c r="G31" s="68"/>
      <c r="I31" s="68"/>
      <c r="J31" s="68"/>
      <c r="K31" s="68"/>
      <c r="L31" s="68"/>
      <c r="M31" s="68"/>
      <c r="N31" s="68"/>
      <c r="O31" s="68"/>
      <c r="P31" s="68"/>
      <c r="Q31" s="68"/>
      <c r="R31" s="68"/>
      <c r="S31" s="68"/>
      <c r="T31" s="68"/>
      <c r="U31" s="68"/>
      <c r="V31" s="68"/>
      <c r="W31" s="68"/>
      <c r="X31" s="68"/>
      <c r="Y31" s="68"/>
      <c r="Z31" s="68"/>
      <c r="AA31" s="68"/>
      <c r="AB31" s="68"/>
      <c r="AC31" s="68"/>
      <c r="AD31" s="68"/>
      <c r="AE31" s="68"/>
      <c r="AF31" s="68"/>
      <c r="AG31" s="68"/>
      <c r="AH31" s="68"/>
      <c r="AI31" s="68"/>
      <c r="AJ31" s="68"/>
    </row>
    <row r="32" spans="1:50" x14ac:dyDescent="0.25">
      <c r="A32" s="86"/>
      <c r="B32" s="86"/>
      <c r="C32" s="86"/>
      <c r="D32" s="86"/>
      <c r="E32" s="86"/>
      <c r="F32" s="86"/>
      <c r="G32" s="68"/>
      <c r="I32" s="68"/>
      <c r="J32" s="68"/>
      <c r="K32" s="68"/>
      <c r="L32" s="68"/>
      <c r="M32" s="68"/>
      <c r="N32" s="68"/>
      <c r="O32" s="68"/>
      <c r="P32" s="68"/>
      <c r="Q32" s="68"/>
      <c r="R32" s="68"/>
      <c r="S32" s="68"/>
      <c r="T32" s="68"/>
      <c r="U32" s="68"/>
      <c r="V32" s="68"/>
      <c r="W32" s="68"/>
      <c r="X32" s="68"/>
      <c r="Y32" s="68"/>
      <c r="Z32" s="68"/>
      <c r="AA32" s="68"/>
      <c r="AB32" s="68"/>
      <c r="AC32" s="68"/>
      <c r="AD32" s="68"/>
      <c r="AE32" s="68"/>
      <c r="AF32" s="68"/>
      <c r="AG32" s="68"/>
      <c r="AH32" s="68"/>
      <c r="AI32" s="68"/>
      <c r="AJ32" s="68"/>
    </row>
    <row r="33" spans="1:36" x14ac:dyDescent="0.25">
      <c r="A33" s="86"/>
      <c r="B33" s="86"/>
      <c r="C33" s="86"/>
      <c r="D33" s="86"/>
      <c r="E33" s="86"/>
      <c r="F33" s="86"/>
      <c r="G33" s="68"/>
      <c r="I33" s="68"/>
      <c r="J33" s="68"/>
      <c r="K33" s="68"/>
      <c r="L33" s="68"/>
      <c r="M33" s="68"/>
      <c r="N33" s="68"/>
      <c r="O33" s="68"/>
      <c r="P33" s="68"/>
      <c r="Q33" s="68"/>
      <c r="R33" s="68"/>
      <c r="S33" s="68"/>
      <c r="T33" s="68"/>
      <c r="U33" s="68"/>
      <c r="V33" s="68"/>
      <c r="W33" s="68"/>
      <c r="X33" s="68"/>
      <c r="Y33" s="68"/>
      <c r="Z33" s="68"/>
      <c r="AA33" s="68"/>
      <c r="AB33" s="68"/>
      <c r="AC33" s="68"/>
      <c r="AD33" s="68"/>
      <c r="AE33" s="68"/>
      <c r="AF33" s="68"/>
      <c r="AG33" s="68"/>
      <c r="AH33" s="68"/>
      <c r="AI33" s="68"/>
      <c r="AJ33" s="68"/>
    </row>
    <row r="34" spans="1:36" x14ac:dyDescent="0.25">
      <c r="A34" s="68"/>
      <c r="B34" s="68"/>
      <c r="C34" s="68"/>
      <c r="D34" s="68"/>
      <c r="E34" s="68"/>
      <c r="F34" s="68"/>
      <c r="G34" s="68"/>
      <c r="I34" s="68"/>
      <c r="J34" s="68"/>
      <c r="K34" s="68"/>
      <c r="L34" s="68"/>
      <c r="M34" s="68"/>
      <c r="N34" s="68"/>
      <c r="O34" s="68"/>
      <c r="P34" s="68"/>
      <c r="Q34" s="68"/>
      <c r="R34" s="68"/>
      <c r="S34" s="68"/>
      <c r="T34" s="68"/>
      <c r="U34" s="68"/>
      <c r="V34" s="68"/>
      <c r="W34" s="68"/>
      <c r="X34" s="68"/>
      <c r="Y34" s="68"/>
      <c r="Z34" s="68"/>
      <c r="AA34" s="68"/>
      <c r="AB34" s="68"/>
      <c r="AC34" s="68"/>
      <c r="AD34" s="68"/>
      <c r="AE34" s="68"/>
      <c r="AF34" s="68"/>
      <c r="AG34" s="68"/>
      <c r="AH34" s="68"/>
      <c r="AI34" s="68"/>
      <c r="AJ34" s="68"/>
    </row>
    <row r="35" spans="1:36" x14ac:dyDescent="0.25">
      <c r="A35" s="68"/>
      <c r="B35" s="68"/>
      <c r="C35" s="68"/>
      <c r="D35" s="68"/>
      <c r="E35" s="68"/>
      <c r="F35" s="68"/>
      <c r="G35" s="68"/>
      <c r="I35" s="68"/>
      <c r="J35" s="68"/>
      <c r="K35" s="68"/>
      <c r="L35" s="68"/>
      <c r="M35" s="68"/>
      <c r="N35" s="68"/>
      <c r="O35" s="68"/>
      <c r="P35" s="68"/>
      <c r="Q35" s="68"/>
      <c r="R35" s="68"/>
      <c r="S35" s="68"/>
      <c r="T35" s="68"/>
      <c r="U35" s="68"/>
      <c r="V35" s="68"/>
      <c r="W35" s="68"/>
      <c r="X35" s="68"/>
      <c r="Y35" s="68"/>
      <c r="Z35" s="68"/>
      <c r="AA35" s="68"/>
      <c r="AB35" s="68"/>
      <c r="AC35" s="68"/>
      <c r="AD35" s="68"/>
      <c r="AE35" s="68"/>
      <c r="AF35" s="68"/>
      <c r="AG35" s="68"/>
      <c r="AH35" s="68"/>
      <c r="AI35" s="68"/>
      <c r="AJ35" s="68"/>
    </row>
    <row r="36" spans="1:36" x14ac:dyDescent="0.25">
      <c r="A36" s="68"/>
      <c r="B36" s="68"/>
      <c r="C36" s="68"/>
      <c r="D36" s="68"/>
      <c r="E36" s="68"/>
      <c r="F36" s="68"/>
      <c r="G36" s="68"/>
      <c r="I36" s="68"/>
      <c r="J36" s="68"/>
      <c r="K36" s="68"/>
      <c r="L36" s="68"/>
      <c r="M36" s="68"/>
      <c r="N36" s="68"/>
      <c r="O36" s="68"/>
      <c r="P36" s="68"/>
      <c r="Q36" s="68"/>
      <c r="R36" s="68"/>
      <c r="S36" s="68"/>
      <c r="T36" s="68"/>
      <c r="U36" s="68"/>
      <c r="V36" s="68"/>
      <c r="W36" s="68"/>
      <c r="X36" s="68"/>
      <c r="Y36" s="68"/>
      <c r="Z36" s="68"/>
      <c r="AA36" s="68"/>
      <c r="AB36" s="68"/>
      <c r="AC36" s="68"/>
      <c r="AD36" s="68"/>
      <c r="AE36" s="68"/>
      <c r="AF36" s="68"/>
      <c r="AG36" s="68"/>
      <c r="AH36" s="68"/>
      <c r="AI36" s="68"/>
      <c r="AJ36" s="68"/>
    </row>
    <row r="37" spans="1:36" x14ac:dyDescent="0.25">
      <c r="A37" s="68"/>
      <c r="B37" s="68"/>
      <c r="C37" s="68"/>
      <c r="D37" s="68"/>
      <c r="E37" s="68"/>
      <c r="F37" s="68"/>
      <c r="G37" s="68"/>
      <c r="I37" s="68"/>
      <c r="J37" s="68"/>
      <c r="K37" s="68"/>
      <c r="L37" s="68"/>
      <c r="M37" s="68"/>
      <c r="N37" s="68"/>
      <c r="O37" s="68"/>
      <c r="P37" s="68"/>
      <c r="Q37" s="68"/>
      <c r="R37" s="68"/>
      <c r="S37" s="68"/>
      <c r="T37" s="68"/>
      <c r="U37" s="68"/>
      <c r="V37" s="68"/>
      <c r="W37" s="68"/>
      <c r="X37" s="68"/>
      <c r="Y37" s="68"/>
      <c r="Z37" s="68"/>
      <c r="AA37" s="68"/>
      <c r="AB37" s="68"/>
      <c r="AC37" s="68"/>
      <c r="AD37" s="68"/>
      <c r="AE37" s="68"/>
      <c r="AF37" s="68"/>
      <c r="AG37" s="68"/>
      <c r="AH37" s="68"/>
      <c r="AI37" s="68"/>
      <c r="AJ37" s="68"/>
    </row>
    <row r="38" spans="1:36" x14ac:dyDescent="0.25">
      <c r="A38" s="68"/>
      <c r="B38" s="68"/>
      <c r="C38" s="68"/>
      <c r="D38" s="68"/>
      <c r="E38" s="68"/>
      <c r="F38" s="68"/>
      <c r="G38" s="68"/>
      <c r="I38" s="68"/>
      <c r="J38" s="68"/>
      <c r="K38" s="68"/>
      <c r="L38" s="68"/>
      <c r="M38" s="68"/>
      <c r="N38" s="68"/>
      <c r="O38" s="68"/>
      <c r="P38" s="68"/>
      <c r="Q38" s="68"/>
      <c r="R38" s="68"/>
      <c r="S38" s="68"/>
      <c r="T38" s="68"/>
      <c r="U38" s="68"/>
      <c r="V38" s="68"/>
      <c r="W38" s="68"/>
      <c r="X38" s="68"/>
      <c r="Y38" s="68"/>
      <c r="Z38" s="68"/>
      <c r="AA38" s="68"/>
      <c r="AB38" s="68"/>
      <c r="AC38" s="68"/>
      <c r="AD38" s="68"/>
      <c r="AE38" s="68"/>
      <c r="AF38" s="68"/>
      <c r="AG38" s="68"/>
      <c r="AH38" s="68"/>
      <c r="AI38" s="68"/>
      <c r="AJ38" s="68"/>
    </row>
    <row r="39" spans="1:36" x14ac:dyDescent="0.25">
      <c r="A39" s="68"/>
      <c r="B39" s="68"/>
      <c r="C39" s="68"/>
      <c r="D39" s="68"/>
      <c r="E39" s="68"/>
      <c r="F39" s="68"/>
      <c r="G39" s="68"/>
      <c r="I39" s="68"/>
      <c r="J39" s="68"/>
      <c r="K39" s="68"/>
      <c r="L39" s="68"/>
      <c r="M39" s="68"/>
      <c r="N39" s="68"/>
      <c r="O39" s="68"/>
      <c r="P39" s="68"/>
      <c r="Q39" s="68"/>
      <c r="R39" s="68"/>
      <c r="S39" s="68"/>
      <c r="T39" s="68"/>
      <c r="U39" s="68"/>
      <c r="V39" s="68"/>
      <c r="W39" s="68"/>
      <c r="X39" s="68"/>
      <c r="Y39" s="68"/>
      <c r="Z39" s="68"/>
      <c r="AA39" s="68"/>
      <c r="AB39" s="68"/>
      <c r="AC39" s="68"/>
      <c r="AD39" s="68"/>
      <c r="AE39" s="68"/>
      <c r="AF39" s="68"/>
      <c r="AG39" s="68"/>
      <c r="AH39" s="68"/>
      <c r="AI39" s="68"/>
      <c r="AJ39" s="68"/>
    </row>
    <row r="40" spans="1:36" x14ac:dyDescent="0.25">
      <c r="A40" s="68"/>
      <c r="B40" s="68"/>
      <c r="C40" s="68"/>
      <c r="D40" s="68"/>
      <c r="E40" s="68"/>
      <c r="F40" s="68"/>
      <c r="G40" s="68"/>
      <c r="I40" s="68"/>
      <c r="J40" s="68"/>
      <c r="K40" s="68"/>
      <c r="L40" s="68"/>
      <c r="M40" s="68"/>
      <c r="N40" s="68"/>
      <c r="O40" s="68"/>
      <c r="P40" s="68"/>
      <c r="Q40" s="68"/>
      <c r="R40" s="68"/>
      <c r="S40" s="68"/>
      <c r="T40" s="68"/>
      <c r="U40" s="68"/>
      <c r="V40" s="68"/>
      <c r="W40" s="68"/>
      <c r="X40" s="68"/>
      <c r="Y40" s="68"/>
      <c r="Z40" s="68"/>
      <c r="AA40" s="68"/>
      <c r="AB40" s="68"/>
      <c r="AC40" s="68"/>
      <c r="AD40" s="68"/>
      <c r="AE40" s="68"/>
      <c r="AF40" s="68"/>
      <c r="AG40" s="68"/>
      <c r="AH40" s="68"/>
      <c r="AI40" s="68"/>
      <c r="AJ40" s="68"/>
    </row>
    <row r="41" spans="1:36" x14ac:dyDescent="0.25">
      <c r="A41" s="68"/>
      <c r="B41" s="68"/>
      <c r="C41" s="68"/>
      <c r="D41" s="68"/>
      <c r="E41" s="68"/>
      <c r="F41" s="68"/>
      <c r="G41" s="68"/>
      <c r="I41" s="68"/>
      <c r="J41" s="68"/>
      <c r="K41" s="68"/>
      <c r="L41" s="68"/>
      <c r="M41" s="68"/>
      <c r="N41" s="68"/>
      <c r="O41" s="68"/>
      <c r="P41" s="68"/>
      <c r="Q41" s="68"/>
      <c r="R41" s="68"/>
      <c r="S41" s="68"/>
      <c r="T41" s="68"/>
      <c r="U41" s="68"/>
      <c r="V41" s="68"/>
      <c r="W41" s="68"/>
      <c r="X41" s="68"/>
      <c r="Y41" s="68"/>
      <c r="Z41" s="68"/>
      <c r="AA41" s="68"/>
      <c r="AB41" s="68"/>
      <c r="AC41" s="68"/>
      <c r="AD41" s="68"/>
      <c r="AE41" s="68"/>
      <c r="AF41" s="68"/>
      <c r="AG41" s="68"/>
      <c r="AH41" s="68"/>
      <c r="AI41" s="68"/>
      <c r="AJ41" s="68"/>
    </row>
    <row r="42" spans="1:36" x14ac:dyDescent="0.25">
      <c r="A42" s="68"/>
      <c r="B42" s="68"/>
      <c r="C42" s="68"/>
      <c r="D42" s="68"/>
      <c r="E42" s="68"/>
      <c r="F42" s="68"/>
      <c r="G42" s="68"/>
      <c r="I42" s="68"/>
      <c r="J42" s="68"/>
      <c r="K42" s="68"/>
      <c r="L42" s="68"/>
      <c r="M42" s="68"/>
      <c r="N42" s="68"/>
      <c r="O42" s="68"/>
      <c r="P42" s="68"/>
      <c r="Q42" s="68"/>
      <c r="R42" s="68"/>
      <c r="S42" s="68"/>
      <c r="T42" s="68"/>
      <c r="U42" s="68"/>
      <c r="V42" s="68"/>
      <c r="W42" s="68"/>
      <c r="X42" s="68"/>
      <c r="Y42" s="68"/>
      <c r="Z42" s="68"/>
      <c r="AA42" s="68"/>
      <c r="AB42" s="68"/>
      <c r="AC42" s="68"/>
      <c r="AD42" s="68"/>
      <c r="AE42" s="68"/>
      <c r="AF42" s="68"/>
      <c r="AG42" s="68"/>
      <c r="AH42" s="68"/>
      <c r="AI42" s="68"/>
      <c r="AJ42" s="68"/>
    </row>
    <row r="43" spans="1:36" x14ac:dyDescent="0.25">
      <c r="A43" s="68"/>
      <c r="B43" s="68"/>
      <c r="C43" s="68"/>
      <c r="D43" s="68"/>
      <c r="E43" s="68"/>
      <c r="F43" s="68"/>
      <c r="G43" s="68"/>
      <c r="I43" s="68"/>
      <c r="J43" s="68"/>
      <c r="K43" s="68"/>
      <c r="L43" s="68"/>
      <c r="M43" s="68"/>
      <c r="N43" s="68"/>
      <c r="O43" s="68"/>
      <c r="P43" s="68"/>
      <c r="Q43" s="68"/>
      <c r="R43" s="68"/>
      <c r="S43" s="68"/>
      <c r="T43" s="68"/>
      <c r="U43" s="68"/>
      <c r="V43" s="68"/>
      <c r="W43" s="68"/>
      <c r="X43" s="68"/>
      <c r="Y43" s="68"/>
      <c r="Z43" s="68"/>
      <c r="AA43" s="68"/>
      <c r="AB43" s="68"/>
      <c r="AC43" s="68"/>
      <c r="AD43" s="68"/>
      <c r="AE43" s="68"/>
      <c r="AF43" s="68"/>
      <c r="AG43" s="68"/>
      <c r="AH43" s="68"/>
      <c r="AI43" s="68"/>
      <c r="AJ43" s="68"/>
    </row>
    <row r="44" spans="1:36" x14ac:dyDescent="0.25">
      <c r="A44" s="68"/>
      <c r="B44" s="68"/>
      <c r="C44" s="68"/>
      <c r="D44" s="68"/>
      <c r="E44" s="68"/>
      <c r="F44" s="68"/>
      <c r="G44" s="68"/>
      <c r="I44" s="68"/>
      <c r="J44" s="68"/>
      <c r="K44" s="68"/>
      <c r="L44" s="68"/>
      <c r="M44" s="68"/>
      <c r="N44" s="68"/>
      <c r="O44" s="68"/>
      <c r="P44" s="68"/>
      <c r="Q44" s="68"/>
      <c r="R44" s="68"/>
      <c r="S44" s="68"/>
      <c r="T44" s="68"/>
      <c r="U44" s="68"/>
      <c r="V44" s="68"/>
      <c r="W44" s="68"/>
      <c r="X44" s="68"/>
      <c r="Y44" s="68"/>
      <c r="Z44" s="68"/>
      <c r="AA44" s="68"/>
      <c r="AB44" s="68"/>
      <c r="AC44" s="68"/>
      <c r="AD44" s="68"/>
      <c r="AE44" s="68"/>
      <c r="AF44" s="68"/>
      <c r="AG44" s="68"/>
      <c r="AH44" s="68"/>
      <c r="AI44" s="68"/>
      <c r="AJ44" s="68"/>
    </row>
    <row r="45" spans="1:36" x14ac:dyDescent="0.25">
      <c r="A45" s="68"/>
      <c r="B45" s="68"/>
      <c r="C45" s="68"/>
      <c r="D45" s="68"/>
      <c r="E45" s="68"/>
      <c r="F45" s="68"/>
      <c r="G45" s="68"/>
      <c r="I45" s="68"/>
      <c r="J45" s="68"/>
      <c r="K45" s="68"/>
      <c r="L45" s="68"/>
      <c r="M45" s="68"/>
      <c r="N45" s="68"/>
      <c r="O45" s="68"/>
      <c r="P45" s="68"/>
      <c r="Q45" s="68"/>
      <c r="R45" s="68"/>
      <c r="S45" s="68"/>
      <c r="T45" s="68"/>
      <c r="U45" s="68"/>
      <c r="V45" s="68"/>
      <c r="W45" s="68"/>
      <c r="X45" s="68"/>
      <c r="Y45" s="68"/>
      <c r="Z45" s="68"/>
      <c r="AA45" s="68"/>
      <c r="AB45" s="68"/>
      <c r="AC45" s="68"/>
      <c r="AD45" s="68"/>
      <c r="AE45" s="68"/>
      <c r="AF45" s="68"/>
      <c r="AG45" s="68"/>
      <c r="AH45" s="68"/>
      <c r="AI45" s="68"/>
      <c r="AJ45" s="68"/>
    </row>
    <row r="46" spans="1:36" x14ac:dyDescent="0.25">
      <c r="A46" s="68"/>
      <c r="B46" s="68"/>
      <c r="C46" s="68"/>
      <c r="D46" s="68"/>
      <c r="E46" s="68"/>
      <c r="F46" s="68"/>
      <c r="G46" s="68"/>
      <c r="I46" s="68"/>
      <c r="J46" s="68"/>
      <c r="K46" s="68"/>
      <c r="L46" s="68"/>
      <c r="M46" s="68"/>
      <c r="N46" s="68"/>
      <c r="O46" s="68"/>
      <c r="P46" s="68"/>
      <c r="Q46" s="68"/>
      <c r="R46" s="68"/>
      <c r="S46" s="68"/>
      <c r="T46" s="68"/>
      <c r="U46" s="68"/>
      <c r="V46" s="68"/>
      <c r="W46" s="68"/>
      <c r="X46" s="68"/>
      <c r="Y46" s="68"/>
      <c r="Z46" s="68"/>
      <c r="AA46" s="68"/>
      <c r="AB46" s="68"/>
      <c r="AC46" s="68"/>
      <c r="AD46" s="68"/>
      <c r="AE46" s="68"/>
      <c r="AF46" s="68"/>
      <c r="AG46" s="68"/>
      <c r="AH46" s="68"/>
      <c r="AI46" s="68"/>
      <c r="AJ46" s="68"/>
    </row>
    <row r="47" spans="1:36" x14ac:dyDescent="0.25">
      <c r="A47" s="68"/>
      <c r="B47" s="68"/>
      <c r="C47" s="68"/>
      <c r="D47" s="68"/>
      <c r="E47" s="68"/>
      <c r="F47" s="68"/>
      <c r="G47" s="68"/>
      <c r="I47" s="68"/>
      <c r="J47" s="68"/>
      <c r="K47" s="68"/>
      <c r="L47" s="68"/>
      <c r="M47" s="68"/>
      <c r="N47" s="68"/>
      <c r="O47" s="68"/>
      <c r="P47" s="68"/>
      <c r="Q47" s="68"/>
      <c r="R47" s="68"/>
      <c r="S47" s="68"/>
      <c r="T47" s="68"/>
      <c r="U47" s="68"/>
      <c r="V47" s="68"/>
      <c r="W47" s="68"/>
      <c r="X47" s="68"/>
      <c r="Y47" s="68"/>
      <c r="Z47" s="68"/>
      <c r="AA47" s="68"/>
      <c r="AB47" s="68"/>
      <c r="AC47" s="68"/>
      <c r="AD47" s="68"/>
      <c r="AE47" s="68"/>
      <c r="AF47" s="68"/>
      <c r="AG47" s="68"/>
      <c r="AH47" s="68"/>
      <c r="AI47" s="68"/>
      <c r="AJ47" s="68"/>
    </row>
    <row r="48" spans="1:36" x14ac:dyDescent="0.25">
      <c r="A48" s="68"/>
      <c r="B48" s="68"/>
      <c r="C48" s="68"/>
      <c r="D48" s="68"/>
      <c r="E48" s="68"/>
      <c r="F48" s="68"/>
      <c r="G48" s="68"/>
      <c r="I48" s="68"/>
      <c r="J48" s="68"/>
      <c r="K48" s="68"/>
      <c r="L48" s="68"/>
      <c r="M48" s="68"/>
      <c r="N48" s="68"/>
      <c r="O48" s="68"/>
      <c r="P48" s="68"/>
      <c r="Q48" s="68"/>
      <c r="R48" s="68"/>
      <c r="S48" s="68"/>
      <c r="T48" s="68"/>
      <c r="U48" s="68"/>
      <c r="V48" s="68"/>
      <c r="W48" s="68"/>
      <c r="X48" s="68"/>
      <c r="Y48" s="68"/>
      <c r="Z48" s="68"/>
      <c r="AA48" s="68"/>
      <c r="AB48" s="68"/>
      <c r="AC48" s="68"/>
      <c r="AD48" s="68"/>
      <c r="AE48" s="68"/>
      <c r="AF48" s="68"/>
      <c r="AG48" s="68"/>
      <c r="AH48" s="68"/>
      <c r="AI48" s="68"/>
      <c r="AJ48" s="68"/>
    </row>
    <row r="49" spans="1:36" x14ac:dyDescent="0.25">
      <c r="A49" s="68"/>
      <c r="B49" s="68"/>
      <c r="C49" s="68"/>
      <c r="D49" s="68"/>
      <c r="E49" s="68"/>
      <c r="F49" s="68"/>
      <c r="G49" s="68"/>
      <c r="I49" s="68"/>
      <c r="J49" s="68"/>
      <c r="K49" s="68"/>
      <c r="L49" s="68"/>
      <c r="M49" s="68"/>
      <c r="N49" s="68"/>
      <c r="O49" s="68"/>
      <c r="P49" s="68"/>
      <c r="Q49" s="68"/>
      <c r="R49" s="68"/>
      <c r="S49" s="68"/>
      <c r="T49" s="68"/>
      <c r="U49" s="68"/>
      <c r="V49" s="68"/>
      <c r="W49" s="68"/>
      <c r="X49" s="68"/>
      <c r="Y49" s="68"/>
      <c r="Z49" s="68"/>
      <c r="AA49" s="68"/>
      <c r="AB49" s="68"/>
      <c r="AC49" s="68"/>
      <c r="AD49" s="68"/>
      <c r="AE49" s="68"/>
      <c r="AF49" s="68"/>
      <c r="AG49" s="68"/>
      <c r="AH49" s="68"/>
      <c r="AI49" s="68"/>
      <c r="AJ49" s="68"/>
    </row>
    <row r="50" spans="1:36" x14ac:dyDescent="0.25">
      <c r="A50" s="68"/>
      <c r="B50" s="68"/>
      <c r="C50" s="68"/>
      <c r="D50" s="68"/>
      <c r="E50" s="68"/>
      <c r="F50" s="68"/>
      <c r="G50" s="68"/>
      <c r="I50" s="68"/>
      <c r="J50" s="68"/>
      <c r="K50" s="68"/>
      <c r="L50" s="68"/>
      <c r="M50" s="68"/>
      <c r="N50" s="68"/>
      <c r="O50" s="68"/>
      <c r="P50" s="68"/>
      <c r="Q50" s="68"/>
      <c r="R50" s="68"/>
      <c r="S50" s="68"/>
      <c r="T50" s="68"/>
      <c r="U50" s="68"/>
      <c r="V50" s="68"/>
      <c r="W50" s="68"/>
      <c r="X50" s="68"/>
      <c r="Y50" s="68"/>
      <c r="Z50" s="68"/>
      <c r="AA50" s="68"/>
      <c r="AB50" s="68"/>
      <c r="AC50" s="68"/>
      <c r="AD50" s="68"/>
      <c r="AE50" s="68"/>
      <c r="AF50" s="68"/>
      <c r="AG50" s="68"/>
      <c r="AH50" s="68"/>
      <c r="AI50" s="68"/>
      <c r="AJ50" s="68"/>
    </row>
    <row r="51" spans="1:36" x14ac:dyDescent="0.25">
      <c r="A51" s="68"/>
      <c r="B51" s="68"/>
      <c r="C51" s="68"/>
      <c r="D51" s="68"/>
      <c r="E51" s="68"/>
      <c r="F51" s="68"/>
      <c r="G51" s="68"/>
      <c r="I51" s="68"/>
      <c r="J51" s="68"/>
      <c r="K51" s="68"/>
      <c r="L51" s="68"/>
      <c r="M51" s="68"/>
      <c r="N51" s="68"/>
      <c r="O51" s="68"/>
      <c r="P51" s="68"/>
      <c r="Q51" s="68"/>
      <c r="R51" s="68"/>
      <c r="S51" s="68"/>
      <c r="T51" s="68"/>
      <c r="U51" s="68"/>
      <c r="V51" s="68"/>
      <c r="W51" s="68"/>
      <c r="X51" s="68"/>
      <c r="Y51" s="68"/>
      <c r="Z51" s="68"/>
      <c r="AA51" s="68"/>
      <c r="AB51" s="68"/>
      <c r="AC51" s="68"/>
      <c r="AD51" s="68"/>
      <c r="AE51" s="68"/>
      <c r="AF51" s="68"/>
      <c r="AG51" s="68"/>
      <c r="AH51" s="68"/>
      <c r="AI51" s="68"/>
      <c r="AJ51" s="68"/>
    </row>
    <row r="52" spans="1:36" x14ac:dyDescent="0.25">
      <c r="A52" s="68"/>
      <c r="B52" s="68"/>
      <c r="C52" s="68"/>
      <c r="D52" s="68"/>
      <c r="E52" s="68"/>
      <c r="F52" s="68"/>
      <c r="G52" s="68"/>
      <c r="I52" s="68"/>
      <c r="J52" s="68"/>
      <c r="K52" s="68"/>
      <c r="L52" s="68"/>
      <c r="M52" s="68"/>
      <c r="N52" s="68"/>
      <c r="O52" s="68"/>
      <c r="P52" s="68"/>
      <c r="Q52" s="68"/>
      <c r="R52" s="68"/>
      <c r="S52" s="68"/>
      <c r="T52" s="68"/>
      <c r="U52" s="68"/>
      <c r="V52" s="68"/>
      <c r="W52" s="68"/>
      <c r="X52" s="68"/>
      <c r="Y52" s="68"/>
      <c r="Z52" s="68"/>
      <c r="AA52" s="68"/>
      <c r="AB52" s="68"/>
      <c r="AC52" s="68"/>
      <c r="AD52" s="68"/>
      <c r="AE52" s="68"/>
      <c r="AF52" s="68"/>
      <c r="AG52" s="68"/>
      <c r="AH52" s="68"/>
      <c r="AI52" s="68"/>
      <c r="AJ52" s="68"/>
    </row>
    <row r="53" spans="1:36" x14ac:dyDescent="0.25">
      <c r="A53" s="68"/>
      <c r="B53" s="68"/>
      <c r="C53" s="68"/>
      <c r="D53" s="68"/>
      <c r="E53" s="68"/>
      <c r="F53" s="68"/>
      <c r="G53" s="68"/>
      <c r="I53" s="68"/>
      <c r="J53" s="68"/>
      <c r="K53" s="68"/>
      <c r="L53" s="68"/>
      <c r="M53" s="68"/>
      <c r="N53" s="68"/>
      <c r="O53" s="68"/>
      <c r="P53" s="68"/>
      <c r="Q53" s="68"/>
      <c r="R53" s="68"/>
      <c r="S53" s="68"/>
      <c r="T53" s="68"/>
      <c r="U53" s="68"/>
      <c r="V53" s="68"/>
      <c r="W53" s="68"/>
      <c r="X53" s="68"/>
      <c r="Y53" s="68"/>
      <c r="Z53" s="68"/>
      <c r="AA53" s="68"/>
      <c r="AB53" s="68"/>
      <c r="AC53" s="68"/>
      <c r="AD53" s="68"/>
      <c r="AE53" s="68"/>
      <c r="AF53" s="68"/>
      <c r="AG53" s="68"/>
      <c r="AH53" s="68"/>
      <c r="AI53" s="68"/>
      <c r="AJ53" s="68"/>
    </row>
    <row r="54" spans="1:36" x14ac:dyDescent="0.25">
      <c r="A54" s="68"/>
      <c r="B54" s="68"/>
      <c r="C54" s="68"/>
      <c r="D54" s="68"/>
      <c r="E54" s="68"/>
      <c r="F54" s="68"/>
      <c r="G54" s="68"/>
      <c r="I54" s="68"/>
      <c r="J54" s="68"/>
      <c r="K54" s="68"/>
      <c r="L54" s="68"/>
      <c r="M54" s="68"/>
      <c r="N54" s="68"/>
      <c r="O54" s="68"/>
      <c r="P54" s="68"/>
      <c r="Q54" s="68"/>
      <c r="R54" s="68"/>
      <c r="S54" s="68"/>
      <c r="T54" s="68"/>
      <c r="U54" s="68"/>
      <c r="V54" s="68"/>
      <c r="W54" s="68"/>
      <c r="X54" s="68"/>
      <c r="Y54" s="68"/>
      <c r="Z54" s="68"/>
      <c r="AA54" s="68"/>
      <c r="AB54" s="68"/>
      <c r="AC54" s="68"/>
      <c r="AD54" s="68"/>
      <c r="AE54" s="68"/>
      <c r="AF54" s="68"/>
      <c r="AG54" s="68"/>
      <c r="AH54" s="68"/>
      <c r="AI54" s="68"/>
      <c r="AJ54" s="68"/>
    </row>
    <row r="55" spans="1:36" x14ac:dyDescent="0.25">
      <c r="A55" s="68"/>
      <c r="B55" s="68"/>
      <c r="C55" s="68"/>
      <c r="D55" s="68"/>
      <c r="E55" s="68"/>
      <c r="F55" s="68"/>
      <c r="G55" s="68"/>
      <c r="I55" s="68"/>
      <c r="J55" s="68"/>
      <c r="K55" s="68"/>
      <c r="L55" s="68"/>
      <c r="M55" s="68"/>
      <c r="N55" s="68"/>
      <c r="O55" s="68"/>
      <c r="P55" s="68"/>
      <c r="Q55" s="68"/>
      <c r="R55" s="68"/>
      <c r="S55" s="68"/>
      <c r="T55" s="68"/>
      <c r="U55" s="68"/>
      <c r="V55" s="68"/>
      <c r="W55" s="68"/>
      <c r="X55" s="68"/>
      <c r="Y55" s="68"/>
      <c r="Z55" s="68"/>
      <c r="AA55" s="68"/>
      <c r="AB55" s="68"/>
      <c r="AC55" s="68"/>
      <c r="AD55" s="68"/>
      <c r="AE55" s="68"/>
      <c r="AF55" s="68"/>
      <c r="AG55" s="68"/>
      <c r="AH55" s="68"/>
      <c r="AI55" s="68"/>
      <c r="AJ55" s="68"/>
    </row>
    <row r="56" spans="1:36" x14ac:dyDescent="0.25">
      <c r="A56" s="68"/>
      <c r="B56" s="68"/>
      <c r="C56" s="68"/>
      <c r="D56" s="68"/>
      <c r="E56" s="68"/>
      <c r="F56" s="68"/>
      <c r="G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row>
    <row r="57" spans="1:36" x14ac:dyDescent="0.25">
      <c r="A57" s="68"/>
      <c r="B57" s="68"/>
      <c r="C57" s="68"/>
      <c r="D57" s="68"/>
      <c r="E57" s="68"/>
      <c r="F57" s="68"/>
      <c r="G57" s="68"/>
      <c r="I57" s="68"/>
      <c r="J57" s="68"/>
      <c r="K57" s="68"/>
      <c r="L57" s="68"/>
      <c r="M57" s="68"/>
      <c r="N57" s="68"/>
      <c r="O57" s="68"/>
      <c r="P57" s="68"/>
      <c r="Q57" s="68"/>
      <c r="R57" s="68"/>
      <c r="S57" s="68"/>
      <c r="T57" s="68"/>
      <c r="U57" s="68"/>
      <c r="V57" s="68"/>
      <c r="W57" s="68"/>
      <c r="X57" s="68"/>
      <c r="Y57" s="68"/>
      <c r="Z57" s="68"/>
      <c r="AA57" s="68"/>
      <c r="AB57" s="68"/>
      <c r="AC57" s="68"/>
      <c r="AD57" s="68"/>
      <c r="AE57" s="68"/>
      <c r="AF57" s="68"/>
      <c r="AG57" s="68"/>
      <c r="AH57" s="68"/>
      <c r="AI57" s="68"/>
      <c r="AJ57" s="68"/>
    </row>
    <row r="58" spans="1:36" x14ac:dyDescent="0.25">
      <c r="A58" s="68"/>
      <c r="B58" s="68"/>
      <c r="C58" s="68"/>
      <c r="D58" s="68"/>
      <c r="E58" s="68"/>
      <c r="F58" s="68"/>
      <c r="G58" s="68"/>
      <c r="I58" s="68"/>
      <c r="J58" s="68"/>
      <c r="K58" s="68"/>
      <c r="L58" s="68"/>
      <c r="M58" s="68"/>
      <c r="N58" s="68"/>
      <c r="O58" s="68"/>
      <c r="P58" s="68"/>
      <c r="Q58" s="68"/>
      <c r="R58" s="68"/>
      <c r="S58" s="68"/>
      <c r="T58" s="68"/>
      <c r="U58" s="68"/>
      <c r="V58" s="68"/>
      <c r="W58" s="68"/>
      <c r="X58" s="68"/>
      <c r="Y58" s="68"/>
      <c r="Z58" s="68"/>
      <c r="AA58" s="68"/>
      <c r="AB58" s="68"/>
      <c r="AC58" s="68"/>
      <c r="AD58" s="68"/>
      <c r="AE58" s="68"/>
      <c r="AF58" s="68"/>
      <c r="AG58" s="68"/>
      <c r="AH58" s="68"/>
      <c r="AI58" s="68"/>
      <c r="AJ58" s="68"/>
    </row>
    <row r="59" spans="1:36" x14ac:dyDescent="0.25">
      <c r="A59" s="68"/>
      <c r="B59" s="68"/>
      <c r="C59" s="68"/>
      <c r="D59" s="68"/>
      <c r="E59" s="68"/>
      <c r="F59" s="68"/>
      <c r="G59" s="68"/>
      <c r="I59" s="68"/>
      <c r="J59" s="68"/>
      <c r="K59" s="68"/>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row>
    <row r="60" spans="1:36" x14ac:dyDescent="0.25">
      <c r="A60" s="68"/>
      <c r="B60" s="68"/>
      <c r="C60" s="68"/>
      <c r="D60" s="68"/>
      <c r="E60" s="68"/>
      <c r="F60" s="68"/>
      <c r="G60" s="68"/>
      <c r="I60" s="68"/>
      <c r="J60" s="68"/>
      <c r="K60" s="68"/>
      <c r="L60" s="68"/>
      <c r="M60" s="68"/>
      <c r="N60" s="68"/>
      <c r="O60" s="68"/>
      <c r="P60" s="68"/>
      <c r="Q60" s="68"/>
      <c r="R60" s="68"/>
      <c r="S60" s="68"/>
      <c r="T60" s="68"/>
      <c r="U60" s="68"/>
      <c r="V60" s="68"/>
      <c r="W60" s="68"/>
      <c r="X60" s="68"/>
      <c r="Y60" s="68"/>
      <c r="Z60" s="68"/>
      <c r="AA60" s="68"/>
      <c r="AB60" s="68"/>
      <c r="AC60" s="68"/>
      <c r="AD60" s="68"/>
      <c r="AE60" s="68"/>
      <c r="AF60" s="68"/>
      <c r="AG60" s="68"/>
      <c r="AH60" s="68"/>
      <c r="AI60" s="68"/>
      <c r="AJ60" s="68"/>
    </row>
    <row r="61" spans="1:36" x14ac:dyDescent="0.25">
      <c r="A61" s="68"/>
      <c r="B61" s="68"/>
      <c r="C61" s="68"/>
      <c r="D61" s="68"/>
      <c r="E61" s="68"/>
      <c r="F61" s="68"/>
      <c r="G61" s="68"/>
      <c r="I61" s="68"/>
      <c r="J61" s="68"/>
      <c r="K61" s="68"/>
      <c r="L61" s="68"/>
      <c r="M61" s="68"/>
      <c r="N61" s="68"/>
      <c r="O61" s="68"/>
      <c r="P61" s="68"/>
      <c r="Q61" s="68"/>
      <c r="R61" s="68"/>
      <c r="S61" s="68"/>
      <c r="T61" s="68"/>
      <c r="U61" s="68"/>
      <c r="V61" s="68"/>
      <c r="W61" s="68"/>
      <c r="X61" s="68"/>
      <c r="Y61" s="68"/>
      <c r="Z61" s="68"/>
      <c r="AA61" s="68"/>
      <c r="AB61" s="68"/>
      <c r="AC61" s="68"/>
      <c r="AD61" s="68"/>
      <c r="AE61" s="68"/>
      <c r="AF61" s="68"/>
      <c r="AG61" s="68"/>
      <c r="AH61" s="68"/>
      <c r="AI61" s="68"/>
      <c r="AJ61" s="68"/>
    </row>
    <row r="62" spans="1:36" x14ac:dyDescent="0.25">
      <c r="A62" s="68"/>
      <c r="B62" s="68"/>
      <c r="C62" s="68"/>
      <c r="D62" s="68"/>
      <c r="E62" s="68"/>
      <c r="F62" s="68"/>
      <c r="G62" s="68"/>
      <c r="I62" s="68"/>
      <c r="J62" s="68"/>
      <c r="K62" s="68"/>
      <c r="L62" s="68"/>
      <c r="M62" s="68"/>
      <c r="N62" s="68"/>
      <c r="O62" s="68"/>
      <c r="P62" s="68"/>
      <c r="Q62" s="68"/>
      <c r="R62" s="68"/>
      <c r="S62" s="68"/>
      <c r="T62" s="68"/>
      <c r="U62" s="68"/>
      <c r="V62" s="68"/>
      <c r="W62" s="68"/>
      <c r="X62" s="68"/>
      <c r="Y62" s="68"/>
      <c r="Z62" s="68"/>
      <c r="AA62" s="68"/>
      <c r="AB62" s="68"/>
      <c r="AC62" s="68"/>
      <c r="AD62" s="68"/>
      <c r="AE62" s="68"/>
      <c r="AF62" s="68"/>
      <c r="AG62" s="68"/>
      <c r="AH62" s="68"/>
      <c r="AI62" s="68"/>
      <c r="AJ62" s="68"/>
    </row>
    <row r="63" spans="1:36" x14ac:dyDescent="0.25">
      <c r="A63" s="68"/>
      <c r="B63" s="68"/>
      <c r="C63" s="68"/>
      <c r="D63" s="68"/>
      <c r="E63" s="68"/>
      <c r="F63" s="68"/>
      <c r="G63" s="68"/>
      <c r="I63" s="68"/>
      <c r="J63" s="68"/>
      <c r="K63" s="68"/>
      <c r="L63" s="68"/>
      <c r="M63" s="68"/>
      <c r="N63" s="68"/>
      <c r="O63" s="68"/>
      <c r="P63" s="68"/>
      <c r="Q63" s="68"/>
      <c r="R63" s="68"/>
      <c r="S63" s="68"/>
      <c r="T63" s="68"/>
      <c r="U63" s="68"/>
      <c r="V63" s="68"/>
      <c r="W63" s="68"/>
      <c r="X63" s="68"/>
      <c r="Y63" s="68"/>
      <c r="Z63" s="68"/>
      <c r="AA63" s="68"/>
      <c r="AB63" s="68"/>
      <c r="AC63" s="68"/>
      <c r="AD63" s="68"/>
      <c r="AE63" s="68"/>
      <c r="AF63" s="68"/>
      <c r="AG63" s="68"/>
      <c r="AH63" s="68"/>
      <c r="AI63" s="68"/>
      <c r="AJ63" s="68"/>
    </row>
    <row r="64" spans="1:36" x14ac:dyDescent="0.25">
      <c r="A64" s="68"/>
      <c r="B64" s="68"/>
      <c r="C64" s="68"/>
      <c r="D64" s="68"/>
      <c r="E64" s="68"/>
      <c r="F64" s="68"/>
      <c r="G64" s="68"/>
      <c r="I64" s="68"/>
      <c r="J64" s="68"/>
      <c r="K64" s="68"/>
      <c r="L64" s="68"/>
      <c r="M64" s="68"/>
      <c r="N64" s="68"/>
      <c r="O64" s="68"/>
      <c r="P64" s="68"/>
      <c r="Q64" s="68"/>
      <c r="R64" s="68"/>
      <c r="S64" s="68"/>
      <c r="T64" s="68"/>
      <c r="U64" s="68"/>
      <c r="V64" s="68"/>
      <c r="W64" s="68"/>
      <c r="X64" s="68"/>
      <c r="Y64" s="68"/>
      <c r="Z64" s="68"/>
      <c r="AA64" s="68"/>
      <c r="AB64" s="68"/>
      <c r="AC64" s="68"/>
      <c r="AD64" s="68"/>
      <c r="AE64" s="68"/>
      <c r="AF64" s="68"/>
      <c r="AG64" s="68"/>
      <c r="AH64" s="68"/>
      <c r="AI64" s="68"/>
      <c r="AJ64" s="68"/>
    </row>
  </sheetData>
  <sheetProtection sheet="1" objects="1" scenarios="1" selectLockedCells="1"/>
  <dataConsolidate/>
  <mergeCells count="5">
    <mergeCell ref="B14:E14"/>
    <mergeCell ref="B15:E15"/>
    <mergeCell ref="B16:E16"/>
    <mergeCell ref="B17:E17"/>
    <mergeCell ref="B1:E1"/>
  </mergeCells>
  <dataValidations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ageMargins left="0.7" right="0.7" top="0.75" bottom="0.75" header="0.3" footer="0.3"/>
  <pageSetup scale="68"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Report">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Repo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sizeWithCells="1">
                  <from>
                    <xdr:col>2</xdr:col>
                    <xdr:colOff>1857375</xdr:colOff>
                    <xdr:row>22</xdr:row>
                    <xdr:rowOff>142875</xdr:rowOff>
                  </from>
                  <to>
                    <xdr:col>3</xdr:col>
                    <xdr:colOff>514350</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sizeWithCells="1">
                  <from>
                    <xdr:col>2</xdr:col>
                    <xdr:colOff>1857375</xdr:colOff>
                    <xdr:row>17</xdr:row>
                    <xdr:rowOff>152400</xdr:rowOff>
                  </from>
                  <to>
                    <xdr:col>3</xdr:col>
                    <xdr:colOff>514350</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sizeWithCells="1">
                  <from>
                    <xdr:col>2</xdr:col>
                    <xdr:colOff>1857375</xdr:colOff>
                    <xdr:row>20</xdr:row>
                    <xdr:rowOff>47625</xdr:rowOff>
                  </from>
                  <to>
                    <xdr:col>3</xdr:col>
                    <xdr:colOff>514350</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sizeWithCells="1">
                  <from>
                    <xdr:col>4</xdr:col>
                    <xdr:colOff>781050</xdr:colOff>
                    <xdr:row>24</xdr:row>
                    <xdr:rowOff>133350</xdr:rowOff>
                  </from>
                  <to>
                    <xdr:col>4</xdr:col>
                    <xdr:colOff>2362200</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3" r:id="rId15" name="Button 21">
              <controlPr defaultSize="0" print="0" autoFill="0" autoPict="0" macro="[0]!PrintPlan">
                <anchor moveWithCells="1" sizeWithCells="1">
                  <from>
                    <xdr:col>1</xdr:col>
                    <xdr:colOff>1638300</xdr:colOff>
                    <xdr:row>23</xdr:row>
                    <xdr:rowOff>104775</xdr:rowOff>
                  </from>
                  <to>
                    <xdr:col>2</xdr:col>
                    <xdr:colOff>466725</xdr:colOff>
                    <xdr:row>25</xdr:row>
                    <xdr:rowOff>0</xdr:rowOff>
                  </to>
                </anchor>
              </controlPr>
            </control>
          </mc:Choice>
        </mc:AlternateContent>
        <mc:AlternateContent xmlns:mc="http://schemas.openxmlformats.org/markup-compatibility/2006">
          <mc:Choice Requires="x14">
            <control shapeId="18454" r:id="rId16" name="Button 22">
              <controlPr defaultSize="0" print="0" autoFill="0" autoPict="0" macro="[0]!PrintAll">
                <anchor moveWithCells="1" sizeWithCells="1">
                  <from>
                    <xdr:col>1</xdr:col>
                    <xdr:colOff>1638300</xdr:colOff>
                    <xdr:row>27</xdr:row>
                    <xdr:rowOff>95250</xdr:rowOff>
                  </from>
                  <to>
                    <xdr:col>2</xdr:col>
                    <xdr:colOff>466725</xdr:colOff>
                    <xdr:row>28</xdr:row>
                    <xdr:rowOff>180975</xdr:rowOff>
                  </to>
                </anchor>
              </controlPr>
            </control>
          </mc:Choice>
        </mc:AlternateContent>
        <mc:AlternateContent xmlns:mc="http://schemas.openxmlformats.org/markup-compatibility/2006">
          <mc:Choice Requires="x14">
            <control shapeId="18455" r:id="rId17" name="Button 23">
              <controlPr defaultSize="0" print="0" autoFill="0" autoPict="0" macro="[0]!Goto_IntRp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6" r:id="rId18" name="Button 24">
              <controlPr defaultSize="0" print="0" autoFill="0" autoPict="0" macro="[0]!PrintIntRpt">
                <anchor moveWithCells="1" sizeWithCells="1">
                  <from>
                    <xdr:col>1</xdr:col>
                    <xdr:colOff>1638300</xdr:colOff>
                    <xdr:row>25</xdr:row>
                    <xdr:rowOff>104775</xdr:rowOff>
                  </from>
                  <to>
                    <xdr:col>2</xdr:col>
                    <xdr:colOff>466725</xdr:colOff>
                    <xdr:row>27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80" zoomScaleNormal="80" zoomScaleSheetLayoutView="75" zoomScalePageLayoutView="75" workbookViewId="0">
      <pane xSplit="31" ySplit="16" topLeftCell="AF18" activePane="bottomRight" state="frozen"/>
      <selection activeCell="E8" sqref="E8"/>
      <selection pane="topRight" activeCell="E8" sqref="E8"/>
      <selection pane="bottomLeft" activeCell="E8" sqref="E8"/>
      <selection pane="bottomRight" activeCell="AF14" sqref="AF14"/>
    </sheetView>
  </sheetViews>
  <sheetFormatPr defaultColWidth="9.140625" defaultRowHeight="15" x14ac:dyDescent="0.25"/>
  <cols>
    <col min="1" max="1" width="3.7109375" customWidth="1"/>
    <col min="2" max="2" width="37.28515625" style="10" hidden="1" customWidth="1"/>
    <col min="3" max="4" width="9.42578125" style="10" hidden="1" customWidth="1"/>
    <col min="5" max="5" width="8.42578125" style="10" hidden="1" customWidth="1"/>
    <col min="6" max="6" width="9" style="10" hidden="1" customWidth="1"/>
    <col min="7" max="7" width="11.140625" style="10" hidden="1" customWidth="1"/>
    <col min="8" max="8" width="7.5703125" style="10" hidden="1" customWidth="1"/>
    <col min="9" max="9" width="5.5703125" style="10" hidden="1" customWidth="1"/>
    <col min="10" max="10" width="34.140625" style="10" hidden="1" customWidth="1"/>
    <col min="11" max="11" width="6.85546875" style="10" hidden="1" customWidth="1"/>
    <col min="12" max="12" width="9.28515625" style="10" hidden="1" customWidth="1"/>
    <col min="13" max="15" width="13.85546875" style="10" hidden="1" customWidth="1"/>
    <col min="16" max="23" width="7" style="10" hidden="1" customWidth="1"/>
    <col min="24" max="26" width="10.28515625" style="10" hidden="1" customWidth="1"/>
    <col min="27" max="27" width="6.5703125" style="10" hidden="1" customWidth="1"/>
    <col min="28" max="28" width="23" style="17" hidden="1" customWidth="1"/>
    <col min="29" max="29" width="19.140625" customWidth="1"/>
    <col min="30" max="30" width="28.5703125" customWidth="1"/>
    <col min="31" max="31" width="2.140625" customWidth="1"/>
    <col min="32" max="32" width="9.7109375" style="2" customWidth="1"/>
    <col min="33" max="33" width="40.7109375" style="9" customWidth="1"/>
    <col min="34" max="35" width="9.7109375" style="2" customWidth="1"/>
    <col min="36" max="36" width="9.7109375" style="2" hidden="1" customWidth="1"/>
    <col min="37" max="37" width="40.7109375" style="9" hidden="1" customWidth="1"/>
    <col min="38" max="39" width="9.7109375" style="2" hidden="1" customWidth="1"/>
    <col min="40" max="40" width="9.7109375" hidden="1" customWidth="1"/>
    <col min="41" max="41" width="40.7109375" style="9" hidden="1" customWidth="1"/>
    <col min="42" max="43" width="9.7109375" style="88" hidden="1" customWidth="1"/>
    <col min="44" max="44" width="3.7109375" customWidth="1"/>
  </cols>
  <sheetData>
    <row r="1" spans="1:44" ht="35.25" customHeight="1" x14ac:dyDescent="0.25">
      <c r="A1" s="102" t="s">
        <v>298</v>
      </c>
      <c r="B1" s="103"/>
      <c r="C1" s="103"/>
      <c r="D1" s="103"/>
      <c r="E1" s="103"/>
      <c r="F1" s="103"/>
      <c r="G1" s="103"/>
      <c r="H1" s="103"/>
      <c r="I1" s="103"/>
      <c r="J1" s="103"/>
      <c r="K1" s="103"/>
      <c r="L1" s="103"/>
      <c r="M1" s="103"/>
      <c r="N1" s="103"/>
      <c r="O1" s="103"/>
      <c r="P1" s="103"/>
      <c r="Q1" s="103"/>
      <c r="R1" s="103"/>
      <c r="S1" s="103"/>
      <c r="T1" s="103"/>
      <c r="U1" s="103"/>
      <c r="V1" s="103"/>
      <c r="W1" s="103"/>
      <c r="X1" s="103"/>
      <c r="Y1" s="103"/>
      <c r="Z1" s="103"/>
      <c r="AA1" s="103"/>
      <c r="AB1" s="103"/>
      <c r="AC1" s="104"/>
      <c r="AD1" s="104"/>
      <c r="AE1" s="104"/>
      <c r="AF1" s="105"/>
      <c r="AG1" s="106"/>
      <c r="AH1" s="105"/>
      <c r="AI1" s="105"/>
      <c r="AJ1" s="104" t="s">
        <v>860</v>
      </c>
      <c r="AK1" s="106"/>
      <c r="AL1" s="105"/>
      <c r="AM1" s="105"/>
      <c r="AN1" s="104"/>
      <c r="AO1" s="106"/>
      <c r="AP1" s="107"/>
      <c r="AQ1" s="107"/>
      <c r="AR1" s="7"/>
    </row>
    <row r="2" spans="1:44" ht="4.1500000000000004" customHeight="1" x14ac:dyDescent="0.25">
      <c r="A2" s="39"/>
      <c r="B2" s="6"/>
      <c r="C2" s="6"/>
      <c r="D2" s="6"/>
      <c r="E2" s="6"/>
      <c r="F2" s="6"/>
      <c r="G2" s="6"/>
      <c r="H2" s="6"/>
      <c r="I2" s="6"/>
      <c r="J2" s="6"/>
      <c r="K2" s="6"/>
      <c r="L2" s="6"/>
      <c r="M2" s="6"/>
      <c r="N2" s="6"/>
      <c r="O2" s="6"/>
      <c r="P2" s="6"/>
      <c r="Q2" s="6"/>
      <c r="R2" s="6"/>
      <c r="S2" s="6"/>
      <c r="T2" s="6"/>
      <c r="U2" s="6"/>
      <c r="V2" s="6"/>
      <c r="W2" s="6"/>
      <c r="X2" s="6"/>
      <c r="Y2" s="6"/>
      <c r="Z2" s="6"/>
      <c r="AA2" s="6"/>
      <c r="AB2" s="40"/>
      <c r="AC2" s="48"/>
      <c r="AD2" s="48"/>
      <c r="AE2" s="48"/>
      <c r="AF2" s="48"/>
      <c r="AG2" s="49"/>
      <c r="AH2" s="48"/>
      <c r="AI2" s="48"/>
      <c r="AJ2" s="48"/>
      <c r="AK2" s="49"/>
      <c r="AL2" s="48"/>
      <c r="AM2" s="48"/>
      <c r="AN2" s="6"/>
      <c r="AO2" s="49"/>
      <c r="AP2" s="7"/>
      <c r="AQ2" s="7"/>
      <c r="AR2" s="7"/>
    </row>
    <row r="3" spans="1:44" ht="26.25" customHeight="1" x14ac:dyDescent="0.25">
      <c r="A3" s="39"/>
      <c r="B3" s="6"/>
      <c r="C3" s="6"/>
      <c r="D3" s="6"/>
      <c r="E3" s="6"/>
      <c r="F3" s="6"/>
      <c r="G3" s="6"/>
      <c r="H3" s="6"/>
      <c r="I3" s="6"/>
      <c r="J3" s="6"/>
      <c r="K3" s="6"/>
      <c r="L3" s="6"/>
      <c r="M3" s="6"/>
      <c r="N3" s="6"/>
      <c r="O3" s="6"/>
      <c r="P3" s="6"/>
      <c r="Q3" s="6"/>
      <c r="R3" s="6"/>
      <c r="S3" s="6"/>
      <c r="T3" s="6"/>
      <c r="U3" s="6"/>
      <c r="V3" s="6"/>
      <c r="W3" s="6"/>
      <c r="X3" s="6"/>
      <c r="Y3" s="6"/>
      <c r="Z3" s="6"/>
      <c r="AA3" s="6"/>
      <c r="AB3" s="40"/>
      <c r="AC3" s="273" t="s">
        <v>299</v>
      </c>
      <c r="AD3" s="273"/>
      <c r="AE3" s="273"/>
      <c r="AF3" s="273"/>
      <c r="AG3" s="273"/>
      <c r="AH3" s="273"/>
      <c r="AI3" s="273"/>
      <c r="AJ3" s="273"/>
      <c r="AK3" s="273"/>
      <c r="AL3" s="273"/>
      <c r="AM3" s="273"/>
      <c r="AN3" s="273"/>
      <c r="AO3" s="273"/>
      <c r="AP3" s="273"/>
      <c r="AQ3" s="273"/>
      <c r="AR3" s="7"/>
    </row>
    <row r="4" spans="1:44" x14ac:dyDescent="0.25">
      <c r="A4" s="39"/>
      <c r="B4" s="8"/>
      <c r="C4" s="8"/>
      <c r="D4" s="8"/>
      <c r="E4" s="8"/>
      <c r="F4" s="8"/>
      <c r="G4" s="8"/>
      <c r="H4" s="8"/>
      <c r="I4" s="8"/>
      <c r="J4" s="8"/>
      <c r="K4" s="8"/>
      <c r="L4" s="8"/>
      <c r="M4" s="8"/>
      <c r="N4" s="8"/>
      <c r="O4" s="8"/>
      <c r="P4" s="6"/>
      <c r="Q4" s="8"/>
      <c r="R4" s="52" t="s">
        <v>174</v>
      </c>
      <c r="S4" s="6" t="s">
        <v>79</v>
      </c>
      <c r="T4" s="6"/>
      <c r="U4" s="8"/>
      <c r="V4" s="8"/>
      <c r="W4" s="6"/>
      <c r="X4" s="8"/>
      <c r="Y4" s="8"/>
      <c r="Z4" s="8"/>
      <c r="AA4" s="8"/>
      <c r="AB4" s="53"/>
      <c r="AC4" s="39"/>
      <c r="AD4" s="39"/>
      <c r="AE4" s="50"/>
      <c r="AF4" s="62"/>
      <c r="AG4" s="62"/>
      <c r="AH4" s="62"/>
      <c r="AI4" s="62"/>
      <c r="AJ4" s="50"/>
      <c r="AK4" s="51"/>
      <c r="AL4" s="62"/>
      <c r="AM4" s="62"/>
      <c r="AN4" s="51"/>
      <c r="AO4" s="51"/>
      <c r="AP4" s="98"/>
      <c r="AQ4" s="98"/>
      <c r="AR4" s="7"/>
    </row>
    <row r="5" spans="1:44" x14ac:dyDescent="0.25">
      <c r="A5" s="39"/>
      <c r="B5" s="13"/>
      <c r="C5" s="13"/>
      <c r="D5" s="13"/>
      <c r="E5" s="13"/>
      <c r="F5" s="11"/>
      <c r="G5" s="11"/>
      <c r="H5" s="11"/>
      <c r="I5" s="11"/>
      <c r="J5" s="11"/>
      <c r="K5" s="11"/>
      <c r="L5" s="11"/>
      <c r="M5" s="11"/>
      <c r="N5" s="11"/>
      <c r="O5" s="11"/>
      <c r="Q5" s="12"/>
      <c r="R5" s="36" t="s">
        <v>161</v>
      </c>
      <c r="S5" s="37">
        <f>IF(dateAssess3&lt;&gt;"", 3, IF(dateAssess2&lt;&gt;"", 2, IF(dateAssess1&lt;&gt;"", 1, 0)))</f>
        <v>0</v>
      </c>
      <c r="T5" s="37"/>
      <c r="U5" s="12"/>
      <c r="V5" s="12"/>
      <c r="X5" s="11"/>
      <c r="Y5" s="11"/>
      <c r="Z5" s="11"/>
      <c r="AA5" s="11"/>
      <c r="AB5" s="18"/>
      <c r="AC5" s="272" t="s">
        <v>300</v>
      </c>
      <c r="AD5" s="272"/>
      <c r="AE5" s="272"/>
      <c r="AF5" s="272"/>
      <c r="AG5" s="272"/>
      <c r="AH5" s="272"/>
      <c r="AI5" s="272"/>
      <c r="AJ5" s="272"/>
      <c r="AK5" s="272"/>
      <c r="AL5" s="272"/>
      <c r="AM5" s="272"/>
      <c r="AN5" s="272"/>
      <c r="AO5" s="272"/>
      <c r="AP5" s="272"/>
      <c r="AQ5" s="272"/>
      <c r="AR5" s="7"/>
    </row>
    <row r="6" spans="1:44" x14ac:dyDescent="0.25">
      <c r="A6" s="39"/>
      <c r="B6" s="13"/>
      <c r="C6" s="13"/>
      <c r="D6" s="13"/>
      <c r="E6" s="13"/>
      <c r="F6" s="11"/>
      <c r="G6" s="11"/>
      <c r="H6" s="11"/>
      <c r="I6" s="11"/>
      <c r="J6" s="11"/>
      <c r="K6" s="11"/>
      <c r="L6" s="11"/>
      <c r="M6" s="11"/>
      <c r="N6" s="11"/>
      <c r="O6" s="11"/>
      <c r="Q6" s="12"/>
      <c r="R6" s="36"/>
      <c r="S6" s="37"/>
      <c r="T6" s="37"/>
      <c r="U6" s="12"/>
      <c r="V6" s="12"/>
      <c r="X6" s="11"/>
      <c r="Y6" s="11"/>
      <c r="Z6" s="11"/>
      <c r="AA6" s="11"/>
      <c r="AB6" s="18"/>
      <c r="AC6" s="271" t="s">
        <v>848</v>
      </c>
      <c r="AD6" s="271"/>
      <c r="AE6" s="271"/>
      <c r="AF6" s="271"/>
      <c r="AG6" s="271"/>
      <c r="AH6" s="271"/>
      <c r="AI6" s="271"/>
      <c r="AJ6" s="271"/>
      <c r="AK6" s="271"/>
      <c r="AL6" s="271"/>
      <c r="AM6" s="271"/>
      <c r="AN6" s="271"/>
      <c r="AO6" s="271"/>
      <c r="AP6" s="271"/>
      <c r="AQ6" s="271"/>
      <c r="AR6" s="7"/>
    </row>
    <row r="7" spans="1:44" x14ac:dyDescent="0.25">
      <c r="A7" s="39"/>
      <c r="B7" s="13"/>
      <c r="C7" s="13"/>
      <c r="D7" s="13"/>
      <c r="E7" s="13"/>
      <c r="F7" s="11"/>
      <c r="G7" s="11"/>
      <c r="H7" s="11"/>
      <c r="I7" s="11"/>
      <c r="J7" s="11"/>
      <c r="K7" s="11"/>
      <c r="L7" s="11"/>
      <c r="M7" s="11"/>
      <c r="N7" s="11"/>
      <c r="O7" s="11"/>
      <c r="Q7" s="12"/>
      <c r="R7" s="36"/>
      <c r="S7" s="37"/>
      <c r="T7" s="37"/>
      <c r="U7" s="12"/>
      <c r="V7" s="12"/>
      <c r="X7" s="11"/>
      <c r="Y7" s="11"/>
      <c r="Z7" s="11"/>
      <c r="AA7" s="11"/>
      <c r="AB7" s="18"/>
      <c r="AC7" s="271" t="s">
        <v>849</v>
      </c>
      <c r="AD7" s="271"/>
      <c r="AE7" s="271"/>
      <c r="AF7" s="271"/>
      <c r="AG7" s="271"/>
      <c r="AH7" s="271"/>
      <c r="AI7" s="271"/>
      <c r="AJ7" s="271"/>
      <c r="AK7" s="271"/>
      <c r="AL7" s="271"/>
      <c r="AM7" s="271"/>
      <c r="AN7" s="271"/>
      <c r="AO7" s="271"/>
      <c r="AP7" s="271"/>
      <c r="AQ7" s="271"/>
      <c r="AR7" s="7"/>
    </row>
    <row r="8" spans="1:44" x14ac:dyDescent="0.25">
      <c r="A8" s="39"/>
      <c r="B8" s="13"/>
      <c r="C8" s="13"/>
      <c r="D8" s="13"/>
      <c r="E8" s="13"/>
      <c r="F8" s="11"/>
      <c r="G8" s="11"/>
      <c r="H8" s="11"/>
      <c r="I8" s="11"/>
      <c r="J8" s="11"/>
      <c r="K8" s="11"/>
      <c r="L8" s="11"/>
      <c r="M8" s="11"/>
      <c r="N8" s="11"/>
      <c r="O8" s="11"/>
      <c r="Q8" s="12"/>
      <c r="R8" s="36"/>
      <c r="S8" s="37"/>
      <c r="T8" s="37"/>
      <c r="U8" s="12"/>
      <c r="V8" s="12"/>
      <c r="X8" s="11"/>
      <c r="Y8" s="11"/>
      <c r="Z8" s="11"/>
      <c r="AA8" s="11"/>
      <c r="AB8" s="18"/>
      <c r="AC8" s="271" t="s">
        <v>850</v>
      </c>
      <c r="AD8" s="271"/>
      <c r="AE8" s="271"/>
      <c r="AF8" s="271"/>
      <c r="AG8" s="271"/>
      <c r="AH8" s="271"/>
      <c r="AI8" s="271"/>
      <c r="AJ8" s="271"/>
      <c r="AK8" s="271"/>
      <c r="AL8" s="271"/>
      <c r="AM8" s="271"/>
      <c r="AN8" s="271"/>
      <c r="AO8" s="271"/>
      <c r="AP8" s="271"/>
      <c r="AQ8" s="271"/>
      <c r="AR8" s="7"/>
    </row>
    <row r="9" spans="1:44" x14ac:dyDescent="0.25">
      <c r="A9" s="39"/>
      <c r="B9" s="13"/>
      <c r="C9" s="13"/>
      <c r="D9" s="13"/>
      <c r="E9" s="13"/>
      <c r="F9" s="11"/>
      <c r="G9" s="11"/>
      <c r="H9" s="11"/>
      <c r="I9" s="11"/>
      <c r="J9" s="11"/>
      <c r="K9" s="11"/>
      <c r="L9" s="11"/>
      <c r="M9" s="11"/>
      <c r="N9" s="11"/>
      <c r="O9" s="11"/>
      <c r="Q9" s="12"/>
      <c r="R9" s="36"/>
      <c r="S9" s="37"/>
      <c r="T9" s="37"/>
      <c r="U9" s="12"/>
      <c r="V9" s="12"/>
      <c r="X9" s="11"/>
      <c r="Y9" s="11"/>
      <c r="Z9" s="11"/>
      <c r="AA9" s="11"/>
      <c r="AB9" s="18"/>
      <c r="AC9" s="271" t="s">
        <v>851</v>
      </c>
      <c r="AD9" s="271"/>
      <c r="AE9" s="271"/>
      <c r="AF9" s="271"/>
      <c r="AG9" s="271"/>
      <c r="AH9" s="271"/>
      <c r="AI9" s="271"/>
      <c r="AJ9" s="271"/>
      <c r="AK9" s="271"/>
      <c r="AL9" s="271"/>
      <c r="AM9" s="271"/>
      <c r="AN9" s="271"/>
      <c r="AO9" s="271"/>
      <c r="AP9" s="271"/>
      <c r="AQ9" s="271"/>
      <c r="AR9" s="7"/>
    </row>
    <row r="10" spans="1:44" x14ac:dyDescent="0.25">
      <c r="A10" s="39"/>
      <c r="B10" s="13"/>
      <c r="C10" s="13"/>
      <c r="D10" s="13"/>
      <c r="E10" s="13"/>
      <c r="F10" s="11"/>
      <c r="G10" s="11"/>
      <c r="H10" s="11"/>
      <c r="I10" s="11"/>
      <c r="J10" s="11"/>
      <c r="K10" s="11"/>
      <c r="L10" s="11"/>
      <c r="M10" s="11"/>
      <c r="N10" s="11"/>
      <c r="O10" s="11"/>
      <c r="Q10" s="12"/>
      <c r="R10" s="36"/>
      <c r="S10" s="37"/>
      <c r="T10" s="37"/>
      <c r="U10" s="12"/>
      <c r="V10" s="12"/>
      <c r="X10" s="11"/>
      <c r="Y10" s="11"/>
      <c r="Z10" s="11"/>
      <c r="AA10" s="11"/>
      <c r="AB10" s="18"/>
      <c r="AC10" s="271" t="s">
        <v>852</v>
      </c>
      <c r="AD10" s="271"/>
      <c r="AE10" s="271"/>
      <c r="AF10" s="271"/>
      <c r="AG10" s="271"/>
      <c r="AH10" s="271"/>
      <c r="AI10" s="271"/>
      <c r="AJ10" s="271"/>
      <c r="AK10" s="271"/>
      <c r="AL10" s="271"/>
      <c r="AM10" s="271"/>
      <c r="AN10" s="271"/>
      <c r="AO10" s="271"/>
      <c r="AP10" s="271"/>
      <c r="AQ10" s="271"/>
      <c r="AR10" s="7"/>
    </row>
    <row r="11" spans="1:44" x14ac:dyDescent="0.25">
      <c r="A11" s="39"/>
      <c r="L11" s="36" t="s">
        <v>148</v>
      </c>
      <c r="M11" s="38" t="str">
        <f>IF(dateAssess3&lt;&gt;"",dateAssess3,IF(dateAssess2&lt;&gt;"",dateAssess2,IF(dateAssess1&lt;&gt;"",dateAssess1,"")))</f>
        <v/>
      </c>
      <c r="T11" s="38"/>
      <c r="AC11" s="271" t="s">
        <v>853</v>
      </c>
      <c r="AD11" s="271"/>
      <c r="AE11" s="271"/>
      <c r="AF11" s="271"/>
      <c r="AG11" s="271"/>
      <c r="AH11" s="271"/>
      <c r="AI11" s="271"/>
      <c r="AJ11" s="271"/>
      <c r="AK11" s="271"/>
      <c r="AL11" s="271"/>
      <c r="AM11" s="271"/>
      <c r="AN11" s="271"/>
      <c r="AO11" s="271"/>
      <c r="AP11" s="271"/>
      <c r="AQ11" s="271"/>
      <c r="AR11" s="7"/>
    </row>
    <row r="12" spans="1:44" x14ac:dyDescent="0.25">
      <c r="A12" s="39"/>
      <c r="L12" s="10" t="s">
        <v>146</v>
      </c>
      <c r="M12" s="10">
        <f>MATCH(M11, DatesRow, 0)</f>
        <v>32</v>
      </c>
      <c r="T12" s="38"/>
      <c r="AC12" s="49"/>
      <c r="AD12" s="49"/>
      <c r="AE12" s="49"/>
      <c r="AF12" s="49"/>
      <c r="AG12" s="49"/>
      <c r="AH12" s="48"/>
      <c r="AI12" s="48"/>
      <c r="AJ12" s="48"/>
      <c r="AK12" s="51"/>
      <c r="AL12" s="48"/>
      <c r="AM12" s="48"/>
      <c r="AN12" s="6"/>
      <c r="AO12" s="49"/>
      <c r="AP12" s="7"/>
      <c r="AQ12" s="7"/>
      <c r="AR12" s="7"/>
    </row>
    <row r="13" spans="1:44" ht="18.75" x14ac:dyDescent="0.3">
      <c r="A13" s="41"/>
      <c r="B13" s="45"/>
      <c r="C13" s="45" t="s">
        <v>855</v>
      </c>
      <c r="D13" s="45"/>
      <c r="E13" s="45"/>
      <c r="F13" s="110" t="s">
        <v>685</v>
      </c>
      <c r="G13" s="45"/>
      <c r="H13" s="45"/>
      <c r="I13" s="45"/>
      <c r="J13" s="45"/>
      <c r="K13" s="96"/>
      <c r="L13" s="97" t="s">
        <v>675</v>
      </c>
      <c r="M13" s="46"/>
      <c r="N13" s="46"/>
      <c r="O13" s="46"/>
      <c r="P13" s="45" t="s">
        <v>674</v>
      </c>
      <c r="Q13" s="42"/>
      <c r="R13" s="42"/>
      <c r="S13" s="42"/>
      <c r="T13" s="42"/>
      <c r="U13" s="42"/>
      <c r="V13" s="42"/>
      <c r="W13" s="42"/>
      <c r="X13" s="47" t="s">
        <v>673</v>
      </c>
      <c r="Y13" s="46"/>
      <c r="Z13" s="46"/>
      <c r="AA13" s="46"/>
      <c r="AB13" s="47" t="s">
        <v>670</v>
      </c>
      <c r="AC13" s="41"/>
      <c r="AD13" s="43"/>
      <c r="AE13" s="44"/>
      <c r="AF13" s="55" t="str">
        <f>"Family Plan for Change"&amp;IF(dateAssess1="",""," - "&amp;TEXT(dateAssess1,"M/D/YYYY"))</f>
        <v>Family Plan for Change</v>
      </c>
      <c r="AG13" s="63"/>
      <c r="AH13" s="59"/>
      <c r="AI13" s="59"/>
      <c r="AJ13" s="55" t="str">
        <f>"Transition Planning"&amp;IF(dateAssess2="",""," - "&amp;TEXT(dateAssess2,"M/D/YYYY"))</f>
        <v>Transition Planning</v>
      </c>
      <c r="AK13" s="63"/>
      <c r="AL13" s="59"/>
      <c r="AM13" s="59"/>
      <c r="AN13" s="55" t="str">
        <f>"End of Service Summary"&amp;IF(dateAssess3="",""," - "&amp;TEXT(dateAssess3,"M/D/YYYY"))</f>
        <v>End of Service Summary</v>
      </c>
      <c r="AO13" s="63"/>
      <c r="AP13" s="59"/>
      <c r="AQ13" s="59"/>
      <c r="AR13" s="130"/>
    </row>
    <row r="14" spans="1:44" ht="30.75" x14ac:dyDescent="0.3">
      <c r="A14" s="41"/>
      <c r="B14" s="205" t="s">
        <v>692</v>
      </c>
      <c r="C14" s="205" t="s">
        <v>856</v>
      </c>
      <c r="D14" s="205" t="s">
        <v>162</v>
      </c>
      <c r="E14" s="205" t="s">
        <v>51</v>
      </c>
      <c r="F14" s="206" t="s">
        <v>54</v>
      </c>
      <c r="G14" s="205" t="s">
        <v>164</v>
      </c>
      <c r="H14" s="205" t="s">
        <v>682</v>
      </c>
      <c r="I14" s="205" t="s">
        <v>162</v>
      </c>
      <c r="J14" s="205" t="s">
        <v>51</v>
      </c>
      <c r="K14" s="207" t="s">
        <v>53</v>
      </c>
      <c r="L14" s="208" t="s">
        <v>854</v>
      </c>
      <c r="M14" s="207" t="s">
        <v>261</v>
      </c>
      <c r="N14" s="207" t="s">
        <v>679</v>
      </c>
      <c r="O14" s="207" t="s">
        <v>680</v>
      </c>
      <c r="P14" s="209" t="s">
        <v>933</v>
      </c>
      <c r="Q14" s="210" t="s">
        <v>932</v>
      </c>
      <c r="R14" s="207" t="s">
        <v>147</v>
      </c>
      <c r="S14" s="210" t="s">
        <v>145</v>
      </c>
      <c r="T14" s="210" t="s">
        <v>676</v>
      </c>
      <c r="U14" s="210" t="s">
        <v>931</v>
      </c>
      <c r="V14" s="210" t="s">
        <v>677</v>
      </c>
      <c r="W14" s="210" t="s">
        <v>930</v>
      </c>
      <c r="X14" s="208" t="s">
        <v>260</v>
      </c>
      <c r="Y14" s="207" t="s">
        <v>671</v>
      </c>
      <c r="Z14" s="207" t="s">
        <v>672</v>
      </c>
      <c r="AA14" s="208" t="s">
        <v>52</v>
      </c>
      <c r="AB14" s="211" t="s">
        <v>163</v>
      </c>
      <c r="AC14" s="43" t="s">
        <v>1</v>
      </c>
      <c r="AD14" s="43"/>
      <c r="AE14" s="44"/>
      <c r="AF14" s="56" t="s">
        <v>50</v>
      </c>
      <c r="AG14" s="57" t="s">
        <v>46</v>
      </c>
      <c r="AH14" s="57" t="s">
        <v>296</v>
      </c>
      <c r="AI14" s="58" t="s">
        <v>297</v>
      </c>
      <c r="AJ14" s="56" t="s">
        <v>50</v>
      </c>
      <c r="AK14" s="57" t="s">
        <v>46</v>
      </c>
      <c r="AL14" s="57" t="s">
        <v>296</v>
      </c>
      <c r="AM14" s="57" t="s">
        <v>297</v>
      </c>
      <c r="AN14" s="56" t="s">
        <v>50</v>
      </c>
      <c r="AO14" s="57" t="s">
        <v>46</v>
      </c>
      <c r="AP14" s="99" t="s">
        <v>296</v>
      </c>
      <c r="AQ14" s="99" t="s">
        <v>297</v>
      </c>
      <c r="AR14" s="130"/>
    </row>
    <row r="15" spans="1:44" s="35" customFormat="1" ht="18.75" hidden="1" x14ac:dyDescent="0.3">
      <c r="A15" s="27"/>
      <c r="B15" s="28"/>
      <c r="C15" s="28"/>
      <c r="D15" s="28"/>
      <c r="E15" s="28"/>
      <c r="F15" s="111"/>
      <c r="G15" s="28"/>
      <c r="H15" s="28"/>
      <c r="I15" s="28"/>
      <c r="J15" s="28"/>
      <c r="K15" s="29"/>
      <c r="L15" s="89"/>
      <c r="M15" s="29"/>
      <c r="N15" s="29"/>
      <c r="O15" s="29"/>
      <c r="P15" s="92"/>
      <c r="Q15" s="30"/>
      <c r="R15" s="29"/>
      <c r="S15" s="30"/>
      <c r="T15" s="30"/>
      <c r="U15" s="30"/>
      <c r="V15" s="30"/>
      <c r="W15" s="30"/>
      <c r="X15" s="89"/>
      <c r="Y15" s="29"/>
      <c r="Z15" s="29"/>
      <c r="AA15" s="89"/>
      <c r="AB15" s="31"/>
      <c r="AC15" s="31"/>
      <c r="AD15" s="32"/>
      <c r="AE15" s="33"/>
      <c r="AF15" s="64" t="str">
        <f>IF(dateAssess1="", "", dateAssess1)</f>
        <v/>
      </c>
      <c r="AG15" s="14"/>
      <c r="AH15" s="34" t="str">
        <f>IF(COUNTA(AH18:AH210)&gt;0, "x", "")</f>
        <v/>
      </c>
      <c r="AI15" s="65" t="str">
        <f>IF(COUNTA(AI18:AI210)&gt;0, "x", "")</f>
        <v/>
      </c>
      <c r="AJ15" s="64" t="str">
        <f>IF(dateAssess2="", "", dateAssess2)</f>
        <v/>
      </c>
      <c r="AK15" s="14"/>
      <c r="AL15" s="34" t="str">
        <f>IF(COUNTA(AL18:AL210)&gt;0, "x", "")</f>
        <v/>
      </c>
      <c r="AM15" s="34" t="str">
        <f>IF(COUNTA(AM18:AM210)&gt;0, "x", "")</f>
        <v/>
      </c>
      <c r="AN15" s="64" t="str">
        <f>IF(dateAssess3="", "", dateAssess3)</f>
        <v/>
      </c>
      <c r="AO15" s="14"/>
      <c r="AP15" s="100" t="str">
        <f>IF(COUNTA(AP18:AP210)&gt;0, "x", "")</f>
        <v/>
      </c>
      <c r="AQ15" s="100" t="str">
        <f>IF(COUNTA(AQ18:AQ210)&gt;0, "x", "")</f>
        <v/>
      </c>
      <c r="AR15" s="131" t="str">
        <f>IF(COUNTA(AR18:AR210)&gt;0, "x", "")</f>
        <v/>
      </c>
    </row>
    <row r="16" spans="1:44" s="35" customFormat="1" ht="18.75" hidden="1" x14ac:dyDescent="0.3">
      <c r="A16" s="27"/>
      <c r="B16" s="28"/>
      <c r="C16" s="28"/>
      <c r="D16" s="28"/>
      <c r="E16" s="28"/>
      <c r="F16" s="111"/>
      <c r="G16" s="28"/>
      <c r="H16" s="28"/>
      <c r="I16" s="28"/>
      <c r="J16" s="28"/>
      <c r="K16" s="29"/>
      <c r="L16" s="89"/>
      <c r="M16" s="29"/>
      <c r="N16" s="29"/>
      <c r="O16" s="29"/>
      <c r="P16" s="92"/>
      <c r="Q16" s="30"/>
      <c r="R16" s="29"/>
      <c r="S16" s="30"/>
      <c r="T16" s="30"/>
      <c r="U16" s="30"/>
      <c r="V16" s="30"/>
      <c r="W16" s="30"/>
      <c r="X16" s="89"/>
      <c r="Y16" s="29"/>
      <c r="Z16" s="29"/>
      <c r="AA16" s="89"/>
      <c r="AB16" s="31"/>
      <c r="AC16" s="31"/>
      <c r="AD16" s="32"/>
      <c r="AE16" s="33"/>
      <c r="AF16" s="129" t="s">
        <v>80</v>
      </c>
      <c r="AG16" s="14"/>
      <c r="AH16" s="34"/>
      <c r="AI16" s="65"/>
      <c r="AJ16" s="129" t="s">
        <v>133</v>
      </c>
      <c r="AK16" s="14"/>
      <c r="AL16" s="34"/>
      <c r="AM16" s="34"/>
      <c r="AN16" s="129" t="s">
        <v>134</v>
      </c>
      <c r="AO16" s="14"/>
      <c r="AP16" s="100"/>
      <c r="AQ16" s="100"/>
      <c r="AR16" s="131"/>
    </row>
    <row r="17" spans="1:44" x14ac:dyDescent="0.25">
      <c r="A17" s="41"/>
      <c r="B17" s="25" t="str">
        <f>J17&amp;"_"&amp;G17</f>
        <v>0_0</v>
      </c>
      <c r="C17" s="25"/>
      <c r="D17" s="25"/>
      <c r="E17" s="25"/>
      <c r="F17" s="95">
        <f>IF(K17=0, IF(ISNUMBER(F15), F15+1, 1), F15)</f>
        <v>1</v>
      </c>
      <c r="G17" s="25">
        <f>IF(K17=0, 0, IF(K17=1, G15+1, G15))</f>
        <v>0</v>
      </c>
      <c r="H17" s="25" t="str">
        <f>IF(OR(I17="FF", I17="CGA"), "FF/CGA", I17)</f>
        <v/>
      </c>
      <c r="I17" s="25" t="str">
        <f>IF(NOT(ISERROR(SEARCH("Family Functioning", J17))), "FF", IF(NOT(ISERROR(SEARCH("Caregiver Advocacy", J17))), "CGA", IF(NOT(ISERROR(SEARCH("Caregiver Functioning", J17))), "CGF", IF(NOT(ISERROR(SEARCH("Child Functioning", J17))), "CF", ""))))</f>
        <v/>
      </c>
      <c r="J17" s="25">
        <f>IFERROR(IF(K17=0, AC17, J15), "")</f>
        <v>0</v>
      </c>
      <c r="K17" s="25">
        <f>Indents(AC17)</f>
        <v>0</v>
      </c>
      <c r="L17" s="90"/>
      <c r="N17" s="25"/>
      <c r="O17" s="25"/>
      <c r="P17" s="90"/>
      <c r="X17" s="90"/>
      <c r="AA17" s="90"/>
      <c r="AC17" s="3"/>
      <c r="AD17" s="3"/>
      <c r="AE17" s="3"/>
      <c r="AF17" s="101"/>
      <c r="AG17" s="93"/>
      <c r="AH17" s="15"/>
      <c r="AI17" s="94"/>
      <c r="AJ17" s="101"/>
      <c r="AK17" s="93"/>
      <c r="AL17" s="15"/>
      <c r="AM17" s="94"/>
      <c r="AN17" s="101"/>
      <c r="AO17" s="93"/>
      <c r="AP17" s="15"/>
      <c r="AQ17" s="94"/>
      <c r="AR17" s="130"/>
    </row>
    <row r="18" spans="1:44" x14ac:dyDescent="0.25">
      <c r="A18" s="41"/>
      <c r="B18" s="25" t="str">
        <f t="shared" ref="B18:B81" si="0">J18&amp;"_"&amp;G18</f>
        <v>Family Functioning_0</v>
      </c>
      <c r="C18" s="25" t="str">
        <f>IF(H18&lt;&gt;H19, H18, "")</f>
        <v/>
      </c>
      <c r="D18" s="25" t="str">
        <f t="shared" ref="D18:E81" si="1">IF(I18&lt;&gt;I19, I18, "")</f>
        <v/>
      </c>
      <c r="E18" s="25" t="str">
        <f t="shared" si="1"/>
        <v/>
      </c>
      <c r="F18" s="95">
        <f t="shared" ref="F18:F28" si="2">IF(K18=0, IF(ISNUMBER(F17), F17+1, 1), F17)</f>
        <v>2</v>
      </c>
      <c r="G18" s="25">
        <f t="shared" ref="G18:G28" si="3">IF(K18=0, 0, IF(K18=1, G17+1, G17))</f>
        <v>0</v>
      </c>
      <c r="H18" s="25" t="str">
        <f>IF(OR(I18="FF", I18="CGA"), "FF/CGA", I18)</f>
        <v>FF/CGA</v>
      </c>
      <c r="I18" s="25" t="str">
        <f>IF(NOT(ISERROR(SEARCH("Family Functioning", J18))), "FF", IF(NOT(ISERROR(SEARCH("Caregiver Advocacy", J18))), "CGA", IF(NOT(ISERROR(SEARCH("Caregiver Functioning", J18))), "CGF", IF(NOT(ISERROR(SEARCH("Child Functioning", J18))), "CF", ""))))</f>
        <v>FF</v>
      </c>
      <c r="J18" s="25" t="str">
        <f t="shared" ref="J18:J49" si="4">IF(K18=0, AC18, J17)</f>
        <v>Family Functioning</v>
      </c>
      <c r="K18" s="108">
        <v>0</v>
      </c>
      <c r="L18" s="95" t="str">
        <f ca="1">IF($J18=$J17, L17, "")&amp;IF(P18=1, IF(L17="",  "", ", ")&amp;$AC18, "")</f>
        <v/>
      </c>
      <c r="M18" s="25" t="str">
        <f ca="1">IF($J18=$J17, M17, "")&amp;IF(Q18=1, IF(M17="",  "", ", ")&amp;$AC18, "")</f>
        <v/>
      </c>
      <c r="N18" s="25" t="str">
        <f ca="1">IF($H18=$H17, N17, "")&amp;IF(U18=1, IF(N17="",  "", ", ")&amp;$AC18, "")</f>
        <v/>
      </c>
      <c r="O18" s="25" t="str">
        <f ca="1">IF($H18=$H17, O17, "")&amp;IF(W18=1, IF(O17="",  "", ", ")&amp;$AC18, "")</f>
        <v/>
      </c>
      <c r="P18" s="91" t="str">
        <f ca="1">IFERROR(IF(AND($X18=3, ISNUMBER($X18)), COUNTIFS(X$18:X18, "=3", $AC$18:$AC18, $AC18), "-"), "err")</f>
        <v>-</v>
      </c>
      <c r="Q18" s="26" t="str">
        <f ca="1">IFERROR(IF(AND($X18=2, ISNUMBER($X18)), COUNTIFS(X$18:X18, "=2", $AC$18:$AC18, $AC18), "-"), "err")</f>
        <v>-</v>
      </c>
      <c r="R18" s="25">
        <f ca="1">R17+IF(AND(S18&lt;&gt;"-", S18&gt;0), 1, 0)</f>
        <v>0</v>
      </c>
      <c r="S18" s="26" t="str">
        <f ca="1">IFERROR(IF(AND($X18&gt;=2, ISNUMBER($X18)), COUNTIFS(X$18:X18, "&gt;=2", $AC$18:$AC18, $AC18), "-"), "err")</f>
        <v>-</v>
      </c>
      <c r="T18" s="25">
        <f ca="1">T17+IF(AND(U18&lt;&gt;"-", U18&gt;0), 1, 0)</f>
        <v>0</v>
      </c>
      <c r="U18" s="26" t="str">
        <f ca="1">IFERROR(IF(Y18="Yes", COUNTIFS(Y$18:Y18, "Yes", $AC$18:$AC18, $AC18), "-"), "err")</f>
        <v>-</v>
      </c>
      <c r="V18" s="25">
        <f ca="1">V17+IF(AND(W18&lt;&gt;"-", W18&gt;0), 1, 0)</f>
        <v>0</v>
      </c>
      <c r="W18" s="26" t="str">
        <f ca="1">IFERROR(IF($Z18="Yes", COUNTIFS(Z$18:Z18, "Yes", $AC$18:AC18, $AC18), "-"), "err")</f>
        <v>-</v>
      </c>
      <c r="X18" s="91">
        <f t="shared" ref="X18:X114" ca="1" si="5">INDIRECT(ADDRESS(ROW(), lastAssessCol))</f>
        <v>0</v>
      </c>
      <c r="Y18" s="26" t="str">
        <f t="shared" ref="Y18:Y49" ca="1" si="6">T(INDIRECT(ADDRESS(ROW(), lastAssessCol+2)))</f>
        <v/>
      </c>
      <c r="Z18" s="26" t="str">
        <f t="shared" ref="Z18:Z49" ca="1" si="7">T(INDIRECT(ADDRESS(ROW(), lastAssessCol+3)))</f>
        <v/>
      </c>
      <c r="AA18" s="91">
        <v>0</v>
      </c>
      <c r="AC18" s="183" t="s">
        <v>3</v>
      </c>
      <c r="AD18" s="61"/>
      <c r="AE18" s="61"/>
      <c r="AF18" s="118"/>
      <c r="AG18" s="119"/>
      <c r="AH18" s="120"/>
      <c r="AI18" s="121"/>
      <c r="AJ18" s="118"/>
      <c r="AK18" s="119"/>
      <c r="AL18" s="120"/>
      <c r="AM18" s="121"/>
      <c r="AN18" s="118"/>
      <c r="AO18" s="119"/>
      <c r="AP18" s="120"/>
      <c r="AQ18" s="121"/>
      <c r="AR18" s="130"/>
    </row>
    <row r="19" spans="1:44" x14ac:dyDescent="0.25">
      <c r="A19" s="41"/>
      <c r="B19" s="25" t="str">
        <f t="shared" si="0"/>
        <v>Family Functioning_1</v>
      </c>
      <c r="C19" s="25" t="str">
        <f t="shared" ref="C19:C82" si="8">IF(H19&lt;&gt;H20, H19, "")</f>
        <v/>
      </c>
      <c r="D19" s="25" t="str">
        <f t="shared" si="1"/>
        <v/>
      </c>
      <c r="E19" s="25" t="str">
        <f t="shared" si="1"/>
        <v/>
      </c>
      <c r="F19" s="95">
        <f t="shared" si="2"/>
        <v>2</v>
      </c>
      <c r="G19" s="25">
        <f t="shared" si="3"/>
        <v>1</v>
      </c>
      <c r="H19" s="25" t="str">
        <f t="shared" ref="H19:H82" si="9">IF(OR(I19="FF", I19="CGA"), "FF/CGA", I19)</f>
        <v>FF/CGA</v>
      </c>
      <c r="I19" s="25" t="str">
        <f t="shared" ref="I19:I82" si="10">IF(NOT(ISERROR(SEARCH("Family Functioning", J19))), "FF", IF(NOT(ISERROR(SEARCH("Caregiver Advocacy", J19))), "CGA", IF(NOT(ISERROR(SEARCH("Caregiver Functioning", J19))), "CGF", IF(NOT(ISERROR(SEARCH("Child Functioning", J19))), "CF", ""))))</f>
        <v>FF</v>
      </c>
      <c r="J19" s="25" t="str">
        <f t="shared" si="4"/>
        <v>Family Functioning</v>
      </c>
      <c r="K19" s="108">
        <v>1</v>
      </c>
      <c r="L19" s="95" t="str">
        <f t="shared" ref="L19:L82" ca="1" si="11">IF($J19=$J18, L18, "")&amp;IF(P19=1, IF(L18="",  "", ", ")&amp;$AC19, "")</f>
        <v/>
      </c>
      <c r="M19" s="25" t="str">
        <f t="shared" ref="M19:M82" ca="1" si="12">IF($J19=$J18, M18, "")&amp;IF(Q19=1, IF(M18="",  "", ", ")&amp;$AC19, "")</f>
        <v/>
      </c>
      <c r="N19" s="25" t="str">
        <f t="shared" ref="N19:N82" ca="1" si="13">IF($H19=$H18, N18, "")&amp;IF(U19=1, IF(N18="",  "", ", ")&amp;$AC19, "")</f>
        <v/>
      </c>
      <c r="O19" s="25" t="str">
        <f t="shared" ref="O19:O82" ca="1" si="14">IF($H19=$H18, O18, "")&amp;IF(W19=1, IF(O18="",  "", ", ")&amp;$AC19, "")</f>
        <v/>
      </c>
      <c r="P19" s="91" t="str">
        <f ca="1">IFERROR(IF(AND($X19=3, ISNUMBER($X19)), COUNTIFS(X$18:X19, "=3", $AC$18:$AC19, $AC19), "-"), "err")</f>
        <v>-</v>
      </c>
      <c r="Q19" s="26" t="str">
        <f ca="1">IFERROR(IF(AND($X19=2, ISNUMBER($X19)), COUNTIFS(X$18:X19, "=2", $AC$18:$AC19, $AC19), "-"), "err")</f>
        <v>-</v>
      </c>
      <c r="R19" s="25">
        <f t="shared" ref="R19:R82" ca="1" si="15">R18+IF(AND(S19&lt;&gt;"-", S19&gt;0), 1, 0)</f>
        <v>0</v>
      </c>
      <c r="S19" s="26" t="str">
        <f ca="1">IFERROR(IF(AND($X19&gt;=2, ISNUMBER($X19)), COUNTIFS(X$18:X19, "&gt;=2", $AC$18:$AC19, $AC19), "-"), "err")</f>
        <v>-</v>
      </c>
      <c r="T19" s="25">
        <f t="shared" ref="T19:T82" ca="1" si="16">T18+IF(AND(U19&lt;&gt;"-", U19&gt;0), 1, 0)</f>
        <v>0</v>
      </c>
      <c r="U19" s="26" t="str">
        <f ca="1">IFERROR(IF(Y19="Yes", COUNTIFS(Y$18:Y19, "Yes", $AC$18:$AC19, $AC19), "-"), "err")</f>
        <v>-</v>
      </c>
      <c r="V19" s="25">
        <f t="shared" ref="V19:V82" ca="1" si="17">V18+IF(AND(W19&lt;&gt;"-", W19&gt;0), 1, 0)</f>
        <v>0</v>
      </c>
      <c r="W19" s="26" t="str">
        <f ca="1">IFERROR(IF($Z19="Yes", COUNTIFS(Z$18:Z19, "Yes", $AC$18:AC19, $AC19), "-"), "err")</f>
        <v>-</v>
      </c>
      <c r="X19" s="91">
        <f t="shared" ca="1" si="5"/>
        <v>0</v>
      </c>
      <c r="Y19" s="26" t="str">
        <f t="shared" ca="1" si="6"/>
        <v/>
      </c>
      <c r="Z19" s="26" t="str">
        <f t="shared" ca="1" si="7"/>
        <v/>
      </c>
      <c r="AA19" s="91">
        <f t="shared" ref="AA19:AA50" si="18">AA18+IF(AB19=0, 0, 1)</f>
        <v>1</v>
      </c>
      <c r="AB19" s="17" t="s">
        <v>263</v>
      </c>
      <c r="AC19" s="184" t="s">
        <v>263</v>
      </c>
      <c r="AD19" s="54"/>
      <c r="AE19" s="54"/>
      <c r="AF19" s="112"/>
      <c r="AG19" s="200"/>
      <c r="AH19" s="113"/>
      <c r="AI19" s="114"/>
      <c r="AJ19" s="112"/>
      <c r="AK19" s="200"/>
      <c r="AL19" s="113"/>
      <c r="AM19" s="114"/>
      <c r="AN19" s="112"/>
      <c r="AO19" s="200"/>
      <c r="AP19" s="113"/>
      <c r="AQ19" s="114"/>
      <c r="AR19" s="130"/>
    </row>
    <row r="20" spans="1:44" x14ac:dyDescent="0.25">
      <c r="A20" s="41"/>
      <c r="B20" s="25" t="str">
        <f t="shared" si="0"/>
        <v>Family Functioning_2</v>
      </c>
      <c r="C20" s="25" t="str">
        <f t="shared" si="8"/>
        <v/>
      </c>
      <c r="D20" s="25" t="str">
        <f t="shared" si="1"/>
        <v/>
      </c>
      <c r="E20" s="25" t="str">
        <f t="shared" si="1"/>
        <v/>
      </c>
      <c r="F20" s="95">
        <f t="shared" si="2"/>
        <v>2</v>
      </c>
      <c r="G20" s="25">
        <f t="shared" si="3"/>
        <v>2</v>
      </c>
      <c r="H20" s="25" t="str">
        <f t="shared" si="9"/>
        <v>FF/CGA</v>
      </c>
      <c r="I20" s="25" t="str">
        <f t="shared" si="10"/>
        <v>FF</v>
      </c>
      <c r="J20" s="25" t="str">
        <f t="shared" si="4"/>
        <v>Family Functioning</v>
      </c>
      <c r="K20" s="108">
        <v>1</v>
      </c>
      <c r="L20" s="95" t="str">
        <f t="shared" ca="1" si="11"/>
        <v/>
      </c>
      <c r="M20" s="25" t="str">
        <f t="shared" ca="1" si="12"/>
        <v/>
      </c>
      <c r="N20" s="25" t="str">
        <f t="shared" ca="1" si="13"/>
        <v/>
      </c>
      <c r="O20" s="25" t="str">
        <f t="shared" ca="1" si="14"/>
        <v/>
      </c>
      <c r="P20" s="91" t="str">
        <f>IFERROR(IF(AND($X20=3, ISNUMBER($X20)), COUNTIFS(X$18:X20, "=3", $AC$18:$AC20, $AC20), "-"), "err")</f>
        <v>-</v>
      </c>
      <c r="Q20" s="26" t="str">
        <f>IFERROR(IF(AND($X20=2, ISNUMBER($X20)), COUNTIFS(X$18:X20, "=2", $AC$18:$AC20, $AC20), "-"), "err")</f>
        <v>-</v>
      </c>
      <c r="R20" s="25">
        <f t="shared" ca="1" si="15"/>
        <v>0</v>
      </c>
      <c r="S20" s="26" t="str">
        <f>IFERROR(IF(AND($X20&gt;=2, ISNUMBER($X20)), COUNTIFS(X$18:X20, "&gt;=2", $AC$18:$AC20, $AC20), "-"), "err")</f>
        <v>-</v>
      </c>
      <c r="T20" s="25">
        <f t="shared" ca="1" si="16"/>
        <v>0</v>
      </c>
      <c r="U20" s="26" t="str">
        <f ca="1">IFERROR(IF(Y20="Yes", COUNTIFS(Y$18:Y20, "Yes", $AC$18:$AC20, $AC20), "-"), "err")</f>
        <v>-</v>
      </c>
      <c r="V20" s="25">
        <f t="shared" ca="1" si="17"/>
        <v>0</v>
      </c>
      <c r="W20" s="26" t="str">
        <f ca="1">IFERROR(IF($Z20="Yes", COUNTIFS(Z$18:Z20, "Yes", $AC$18:AC20, $AC20), "-"), "err")</f>
        <v>-</v>
      </c>
      <c r="X20" s="91" t="s">
        <v>950</v>
      </c>
      <c r="Y20" s="26" t="str">
        <f t="shared" ca="1" si="6"/>
        <v/>
      </c>
      <c r="Z20" s="26" t="str">
        <f t="shared" ca="1" si="7"/>
        <v/>
      </c>
      <c r="AA20" s="91">
        <f t="shared" si="18"/>
        <v>2</v>
      </c>
      <c r="AB20" s="17" t="s">
        <v>264</v>
      </c>
      <c r="AC20" s="185" t="s">
        <v>264</v>
      </c>
      <c r="AD20" s="87"/>
      <c r="AE20" s="87"/>
      <c r="AF20" s="115"/>
      <c r="AG20" s="201"/>
      <c r="AH20" s="122"/>
      <c r="AI20" s="123"/>
      <c r="AJ20" s="115"/>
      <c r="AK20" s="201"/>
      <c r="AL20" s="122"/>
      <c r="AM20" s="123"/>
      <c r="AN20" s="115"/>
      <c r="AO20" s="201"/>
      <c r="AP20" s="122"/>
      <c r="AQ20" s="123"/>
      <c r="AR20" s="130"/>
    </row>
    <row r="21" spans="1:44" x14ac:dyDescent="0.25">
      <c r="A21" s="41"/>
      <c r="B21" s="25" t="str">
        <f t="shared" si="0"/>
        <v>Family Functioning_3</v>
      </c>
      <c r="C21" s="25" t="str">
        <f t="shared" si="8"/>
        <v/>
      </c>
      <c r="D21" s="25" t="str">
        <f t="shared" si="1"/>
        <v/>
      </c>
      <c r="E21" s="25" t="str">
        <f t="shared" si="1"/>
        <v/>
      </c>
      <c r="F21" s="95">
        <f t="shared" si="2"/>
        <v>2</v>
      </c>
      <c r="G21" s="25">
        <f t="shared" si="3"/>
        <v>3</v>
      </c>
      <c r="H21" s="25" t="str">
        <f t="shared" si="9"/>
        <v>FF/CGA</v>
      </c>
      <c r="I21" s="25" t="str">
        <f t="shared" si="10"/>
        <v>FF</v>
      </c>
      <c r="J21" s="25" t="str">
        <f t="shared" si="4"/>
        <v>Family Functioning</v>
      </c>
      <c r="K21" s="108">
        <v>1</v>
      </c>
      <c r="L21" s="95" t="str">
        <f t="shared" ca="1" si="11"/>
        <v/>
      </c>
      <c r="M21" s="25" t="str">
        <f t="shared" ca="1" si="12"/>
        <v/>
      </c>
      <c r="N21" s="25" t="str">
        <f t="shared" ca="1" si="13"/>
        <v/>
      </c>
      <c r="O21" s="25" t="str">
        <f t="shared" ca="1" si="14"/>
        <v/>
      </c>
      <c r="P21" s="91" t="str">
        <f ca="1">IFERROR(IF(AND($X21=3, ISNUMBER($X21)), COUNTIFS(X$18:X21, "=3", $AC$18:$AC21, $AC21), "-"), "err")</f>
        <v>-</v>
      </c>
      <c r="Q21" s="26" t="str">
        <f ca="1">IFERROR(IF(AND($X21=2, ISNUMBER($X21)), COUNTIFS(X$18:X21, "=2", $AC$18:$AC21, $AC21), "-"), "err")</f>
        <v>-</v>
      </c>
      <c r="R21" s="25">
        <f t="shared" ca="1" si="15"/>
        <v>0</v>
      </c>
      <c r="S21" s="26" t="str">
        <f ca="1">IFERROR(IF(AND($X21&gt;=2, ISNUMBER($X21)), COUNTIFS(X$18:X21, "&gt;=2", $AC$18:$AC21, $AC21), "-"), "err")</f>
        <v>-</v>
      </c>
      <c r="T21" s="25">
        <f t="shared" ca="1" si="16"/>
        <v>0</v>
      </c>
      <c r="U21" s="26" t="str">
        <f ca="1">IFERROR(IF(Y21="Yes", COUNTIFS(Y$18:Y21, "Yes", $AC$18:$AC21, $AC21), "-"), "err")</f>
        <v>-</v>
      </c>
      <c r="V21" s="25">
        <f t="shared" ca="1" si="17"/>
        <v>0</v>
      </c>
      <c r="W21" s="26" t="str">
        <f ca="1">IFERROR(IF($Z21="Yes", COUNTIFS(Z$18:Z21, "Yes", $AC$18:AC21, $AC21), "-"), "err")</f>
        <v>-</v>
      </c>
      <c r="X21" s="91">
        <f t="shared" ca="1" si="5"/>
        <v>0</v>
      </c>
      <c r="Y21" s="26" t="str">
        <f t="shared" ca="1" si="6"/>
        <v/>
      </c>
      <c r="Z21" s="26" t="str">
        <f t="shared" ca="1" si="7"/>
        <v/>
      </c>
      <c r="AA21" s="91">
        <f t="shared" si="18"/>
        <v>3</v>
      </c>
      <c r="AB21" s="17" t="s">
        <v>45</v>
      </c>
      <c r="AC21" s="184" t="s">
        <v>45</v>
      </c>
      <c r="AD21" s="54"/>
      <c r="AE21" s="54"/>
      <c r="AF21" s="112"/>
      <c r="AG21" s="200"/>
      <c r="AH21" s="113"/>
      <c r="AI21" s="114"/>
      <c r="AJ21" s="112"/>
      <c r="AK21" s="200"/>
      <c r="AL21" s="113"/>
      <c r="AM21" s="114"/>
      <c r="AN21" s="112"/>
      <c r="AO21" s="200"/>
      <c r="AP21" s="113"/>
      <c r="AQ21" s="114"/>
      <c r="AR21" s="130"/>
    </row>
    <row r="22" spans="1:44" x14ac:dyDescent="0.25">
      <c r="A22" s="41"/>
      <c r="B22" s="25" t="str">
        <f t="shared" si="0"/>
        <v>Family Functioning_4</v>
      </c>
      <c r="C22" s="25" t="str">
        <f t="shared" si="8"/>
        <v/>
      </c>
      <c r="D22" s="25" t="str">
        <f t="shared" si="1"/>
        <v/>
      </c>
      <c r="E22" s="25" t="str">
        <f t="shared" si="1"/>
        <v/>
      </c>
      <c r="F22" s="95">
        <f t="shared" si="2"/>
        <v>2</v>
      </c>
      <c r="G22" s="25">
        <f t="shared" si="3"/>
        <v>4</v>
      </c>
      <c r="H22" s="25" t="str">
        <f t="shared" si="9"/>
        <v>FF/CGA</v>
      </c>
      <c r="I22" s="25" t="str">
        <f t="shared" si="10"/>
        <v>FF</v>
      </c>
      <c r="J22" s="25" t="str">
        <f t="shared" si="4"/>
        <v>Family Functioning</v>
      </c>
      <c r="K22" s="108">
        <v>1</v>
      </c>
      <c r="L22" s="95" t="str">
        <f t="shared" ca="1" si="11"/>
        <v/>
      </c>
      <c r="M22" s="25" t="str">
        <f t="shared" ca="1" si="12"/>
        <v/>
      </c>
      <c r="N22" s="25" t="str">
        <f t="shared" ca="1" si="13"/>
        <v/>
      </c>
      <c r="O22" s="25" t="str">
        <f t="shared" ca="1" si="14"/>
        <v/>
      </c>
      <c r="P22" s="91" t="str">
        <f ca="1">IFERROR(IF(AND($X22=3, ISNUMBER($X22)), COUNTIFS(X$18:X22, "=3", $AC$18:$AC22, $AC22), "-"), "err")</f>
        <v>-</v>
      </c>
      <c r="Q22" s="26" t="str">
        <f ca="1">IFERROR(IF(AND($X22=2, ISNUMBER($X22)), COUNTIFS(X$18:X22, "=2", $AC$18:$AC22, $AC22), "-"), "err")</f>
        <v>-</v>
      </c>
      <c r="R22" s="25">
        <f t="shared" ca="1" si="15"/>
        <v>0</v>
      </c>
      <c r="S22" s="26" t="str">
        <f ca="1">IFERROR(IF(AND($X22&gt;=2, ISNUMBER($X22)), COUNTIFS(X$18:X22, "&gt;=2", $AC$18:$AC22, $AC22), "-"), "err")</f>
        <v>-</v>
      </c>
      <c r="T22" s="25">
        <f t="shared" ca="1" si="16"/>
        <v>0</v>
      </c>
      <c r="U22" s="26" t="str">
        <f ca="1">IFERROR(IF(Y22="Yes", COUNTIFS(Y$18:Y22, "Yes", $AC$18:$AC22, $AC22), "-"), "err")</f>
        <v>-</v>
      </c>
      <c r="V22" s="25">
        <f t="shared" ca="1" si="17"/>
        <v>0</v>
      </c>
      <c r="W22" s="26" t="str">
        <f ca="1">IFERROR(IF($Z22="Yes", COUNTIFS(Z$18:Z22, "Yes", $AC$18:AC22, $AC22), "-"), "err")</f>
        <v>-</v>
      </c>
      <c r="X22" s="91">
        <f t="shared" ca="1" si="5"/>
        <v>0</v>
      </c>
      <c r="Y22" s="26" t="str">
        <f t="shared" ca="1" si="6"/>
        <v/>
      </c>
      <c r="Z22" s="26" t="str">
        <f t="shared" ca="1" si="7"/>
        <v/>
      </c>
      <c r="AA22" s="91">
        <f t="shared" si="18"/>
        <v>4</v>
      </c>
      <c r="AB22" s="17" t="s">
        <v>265</v>
      </c>
      <c r="AC22" s="185" t="s">
        <v>265</v>
      </c>
      <c r="AD22" s="87"/>
      <c r="AE22" s="87"/>
      <c r="AF22" s="115"/>
      <c r="AG22" s="201"/>
      <c r="AH22" s="116"/>
      <c r="AI22" s="117"/>
      <c r="AJ22" s="115"/>
      <c r="AK22" s="201"/>
      <c r="AL22" s="116"/>
      <c r="AM22" s="117"/>
      <c r="AN22" s="115"/>
      <c r="AO22" s="201"/>
      <c r="AP22" s="116"/>
      <c r="AQ22" s="117"/>
      <c r="AR22" s="130"/>
    </row>
    <row r="23" spans="1:44" x14ac:dyDescent="0.25">
      <c r="A23" s="41"/>
      <c r="B23" s="25" t="str">
        <f t="shared" si="0"/>
        <v>Family Functioning_5</v>
      </c>
      <c r="C23" s="25" t="str">
        <f t="shared" si="8"/>
        <v/>
      </c>
      <c r="D23" s="25" t="str">
        <f t="shared" si="1"/>
        <v/>
      </c>
      <c r="E23" s="25" t="str">
        <f t="shared" si="1"/>
        <v/>
      </c>
      <c r="F23" s="95">
        <f t="shared" si="2"/>
        <v>2</v>
      </c>
      <c r="G23" s="25">
        <f t="shared" si="3"/>
        <v>5</v>
      </c>
      <c r="H23" s="25" t="str">
        <f t="shared" si="9"/>
        <v>FF/CGA</v>
      </c>
      <c r="I23" s="25" t="str">
        <f t="shared" si="10"/>
        <v>FF</v>
      </c>
      <c r="J23" s="25" t="str">
        <f t="shared" si="4"/>
        <v>Family Functioning</v>
      </c>
      <c r="K23" s="108">
        <v>1</v>
      </c>
      <c r="L23" s="95" t="str">
        <f t="shared" ca="1" si="11"/>
        <v/>
      </c>
      <c r="M23" s="25" t="str">
        <f t="shared" ca="1" si="12"/>
        <v/>
      </c>
      <c r="N23" s="25" t="str">
        <f t="shared" ca="1" si="13"/>
        <v/>
      </c>
      <c r="O23" s="25" t="str">
        <f t="shared" ca="1" si="14"/>
        <v/>
      </c>
      <c r="P23" s="91" t="str">
        <f ca="1">IFERROR(IF(AND($X23=3, ISNUMBER($X23)), COUNTIFS(X$18:X23, "=3", $AC$18:$AC23, $AC23), "-"), "err")</f>
        <v>-</v>
      </c>
      <c r="Q23" s="26" t="str">
        <f ca="1">IFERROR(IF(AND($X23=2, ISNUMBER($X23)), COUNTIFS(X$18:X23, "=2", $AC$18:$AC23, $AC23), "-"), "err")</f>
        <v>-</v>
      </c>
      <c r="R23" s="25">
        <f t="shared" ca="1" si="15"/>
        <v>0</v>
      </c>
      <c r="S23" s="26" t="str">
        <f ca="1">IFERROR(IF(AND($X23&gt;=2, ISNUMBER($X23)), COUNTIFS(X$18:X23, "&gt;=2", $AC$18:$AC23, $AC23), "-"), "err")</f>
        <v>-</v>
      </c>
      <c r="T23" s="25">
        <f t="shared" ca="1" si="16"/>
        <v>0</v>
      </c>
      <c r="U23" s="26" t="str">
        <f ca="1">IFERROR(IF(Y23="Yes", COUNTIFS(Y$18:Y23, "Yes", $AC$18:$AC23, $AC23), "-"), "err")</f>
        <v>-</v>
      </c>
      <c r="V23" s="25">
        <f t="shared" ca="1" si="17"/>
        <v>0</v>
      </c>
      <c r="W23" s="26" t="str">
        <f ca="1">IFERROR(IF($Z23="Yes", COUNTIFS(Z$18:Z23, "Yes", $AC$18:AC23, $AC23), "-"), "err")</f>
        <v>-</v>
      </c>
      <c r="X23" s="91">
        <f t="shared" ca="1" si="5"/>
        <v>0</v>
      </c>
      <c r="Y23" s="26" t="str">
        <f t="shared" ca="1" si="6"/>
        <v/>
      </c>
      <c r="Z23" s="26" t="str">
        <f t="shared" ca="1" si="7"/>
        <v/>
      </c>
      <c r="AA23" s="91">
        <f t="shared" si="18"/>
        <v>5</v>
      </c>
      <c r="AB23" s="17" t="s">
        <v>115</v>
      </c>
      <c r="AC23" s="184" t="s">
        <v>115</v>
      </c>
      <c r="AD23" s="54"/>
      <c r="AE23" s="54"/>
      <c r="AF23" s="112"/>
      <c r="AG23" s="200"/>
      <c r="AH23" s="113"/>
      <c r="AI23" s="114"/>
      <c r="AJ23" s="112"/>
      <c r="AK23" s="200"/>
      <c r="AL23" s="113"/>
      <c r="AM23" s="114"/>
      <c r="AN23" s="112"/>
      <c r="AO23" s="200"/>
      <c r="AP23" s="113"/>
      <c r="AQ23" s="114"/>
      <c r="AR23" s="130"/>
    </row>
    <row r="24" spans="1:44" x14ac:dyDescent="0.25">
      <c r="A24" s="41"/>
      <c r="B24" s="25" t="str">
        <f t="shared" si="0"/>
        <v>Family Functioning_6</v>
      </c>
      <c r="C24" s="25" t="str">
        <f t="shared" si="8"/>
        <v/>
      </c>
      <c r="D24" s="25" t="str">
        <f t="shared" si="1"/>
        <v/>
      </c>
      <c r="E24" s="25" t="str">
        <f t="shared" si="1"/>
        <v/>
      </c>
      <c r="F24" s="95">
        <f t="shared" si="2"/>
        <v>2</v>
      </c>
      <c r="G24" s="25">
        <f t="shared" si="3"/>
        <v>6</v>
      </c>
      <c r="H24" s="25" t="str">
        <f t="shared" si="9"/>
        <v>FF/CGA</v>
      </c>
      <c r="I24" s="25" t="str">
        <f t="shared" si="10"/>
        <v>FF</v>
      </c>
      <c r="J24" s="25" t="str">
        <f t="shared" si="4"/>
        <v>Family Functioning</v>
      </c>
      <c r="K24" s="108">
        <v>1</v>
      </c>
      <c r="L24" s="95" t="str">
        <f t="shared" ca="1" si="11"/>
        <v/>
      </c>
      <c r="M24" s="25" t="str">
        <f t="shared" ca="1" si="12"/>
        <v/>
      </c>
      <c r="N24" s="25" t="str">
        <f t="shared" ca="1" si="13"/>
        <v/>
      </c>
      <c r="O24" s="25" t="str">
        <f t="shared" ca="1" si="14"/>
        <v/>
      </c>
      <c r="P24" s="91" t="str">
        <f ca="1">IFERROR(IF(AND($X24=3, ISNUMBER($X24)), COUNTIFS(X$18:X24, "=3", $AC$18:$AC24, $AC24), "-"), "err")</f>
        <v>-</v>
      </c>
      <c r="Q24" s="26" t="str">
        <f ca="1">IFERROR(IF(AND($X24=2, ISNUMBER($X24)), COUNTIFS(X$18:X24, "=2", $AC$18:$AC24, $AC24), "-"), "err")</f>
        <v>-</v>
      </c>
      <c r="R24" s="25">
        <f t="shared" ca="1" si="15"/>
        <v>0</v>
      </c>
      <c r="S24" s="26" t="str">
        <f ca="1">IFERROR(IF(AND($X24&gt;=2, ISNUMBER($X24)), COUNTIFS(X$18:X24, "&gt;=2", $AC$18:$AC24, $AC24), "-"), "err")</f>
        <v>-</v>
      </c>
      <c r="T24" s="25">
        <f t="shared" ca="1" si="16"/>
        <v>0</v>
      </c>
      <c r="U24" s="26" t="str">
        <f ca="1">IFERROR(IF(Y24="Yes", COUNTIFS(Y$18:Y24, "Yes", $AC$18:$AC24, $AC24), "-"), "err")</f>
        <v>-</v>
      </c>
      <c r="V24" s="25">
        <f t="shared" ca="1" si="17"/>
        <v>0</v>
      </c>
      <c r="W24" s="26" t="str">
        <f ca="1">IFERROR(IF($Z24="Yes", COUNTIFS(Z$18:Z24, "Yes", $AC$18:AC24, $AC24), "-"), "err")</f>
        <v>-</v>
      </c>
      <c r="X24" s="91">
        <f t="shared" ca="1" si="5"/>
        <v>0</v>
      </c>
      <c r="Y24" s="26" t="str">
        <f t="shared" ca="1" si="6"/>
        <v/>
      </c>
      <c r="Z24" s="26" t="str">
        <f t="shared" ca="1" si="7"/>
        <v/>
      </c>
      <c r="AA24" s="91">
        <f t="shared" si="18"/>
        <v>6</v>
      </c>
      <c r="AB24" s="17" t="s">
        <v>118</v>
      </c>
      <c r="AC24" s="185" t="s">
        <v>118</v>
      </c>
      <c r="AD24" s="87"/>
      <c r="AE24" s="87"/>
      <c r="AF24" s="115"/>
      <c r="AG24" s="201"/>
      <c r="AH24" s="116"/>
      <c r="AI24" s="117"/>
      <c r="AJ24" s="115"/>
      <c r="AK24" s="201"/>
      <c r="AL24" s="116"/>
      <c r="AM24" s="117"/>
      <c r="AN24" s="115"/>
      <c r="AO24" s="201"/>
      <c r="AP24" s="116"/>
      <c r="AQ24" s="117"/>
      <c r="AR24" s="130"/>
    </row>
    <row r="25" spans="1:44" x14ac:dyDescent="0.25">
      <c r="A25" s="41"/>
      <c r="B25" s="25" t="str">
        <f t="shared" si="0"/>
        <v>Family Functioning_7</v>
      </c>
      <c r="C25" s="25" t="str">
        <f t="shared" si="8"/>
        <v/>
      </c>
      <c r="D25" s="25" t="str">
        <f t="shared" si="1"/>
        <v/>
      </c>
      <c r="E25" s="25" t="str">
        <f t="shared" si="1"/>
        <v/>
      </c>
      <c r="F25" s="95">
        <f t="shared" si="2"/>
        <v>2</v>
      </c>
      <c r="G25" s="25">
        <f t="shared" si="3"/>
        <v>7</v>
      </c>
      <c r="H25" s="25" t="str">
        <f t="shared" si="9"/>
        <v>FF/CGA</v>
      </c>
      <c r="I25" s="25" t="str">
        <f t="shared" si="10"/>
        <v>FF</v>
      </c>
      <c r="J25" s="25" t="str">
        <f t="shared" si="4"/>
        <v>Family Functioning</v>
      </c>
      <c r="K25" s="108">
        <v>1</v>
      </c>
      <c r="L25" s="95" t="str">
        <f t="shared" ca="1" si="11"/>
        <v/>
      </c>
      <c r="M25" s="25" t="str">
        <f t="shared" ca="1" si="12"/>
        <v/>
      </c>
      <c r="N25" s="25" t="str">
        <f t="shared" ca="1" si="13"/>
        <v/>
      </c>
      <c r="O25" s="25" t="str">
        <f t="shared" ca="1" si="14"/>
        <v/>
      </c>
      <c r="P25" s="91" t="str">
        <f ca="1">IFERROR(IF(AND($X25=3, ISNUMBER($X25)), COUNTIFS(X$18:X25, "=3", $AC$18:$AC25, $AC25), "-"), "err")</f>
        <v>-</v>
      </c>
      <c r="Q25" s="26" t="str">
        <f ca="1">IFERROR(IF(AND($X25=2, ISNUMBER($X25)), COUNTIFS(X$18:X25, "=2", $AC$18:$AC25, $AC25), "-"), "err")</f>
        <v>-</v>
      </c>
      <c r="R25" s="25">
        <f t="shared" ca="1" si="15"/>
        <v>0</v>
      </c>
      <c r="S25" s="26" t="str">
        <f ca="1">IFERROR(IF(AND($X25&gt;=2, ISNUMBER($X25)), COUNTIFS(X$18:X25, "&gt;=2", $AC$18:$AC25, $AC25), "-"), "err")</f>
        <v>-</v>
      </c>
      <c r="T25" s="25">
        <f t="shared" ca="1" si="16"/>
        <v>0</v>
      </c>
      <c r="U25" s="26" t="str">
        <f ca="1">IFERROR(IF(Y25="Yes", COUNTIFS(Y$18:Y25, "Yes", $AC$18:$AC25, $AC25), "-"), "err")</f>
        <v>-</v>
      </c>
      <c r="V25" s="25">
        <f t="shared" ca="1" si="17"/>
        <v>0</v>
      </c>
      <c r="W25" s="26" t="str">
        <f ca="1">IFERROR(IF($Z25="Yes", COUNTIFS(Z$18:Z25, "Yes", $AC$18:AC25, $AC25), "-"), "err")</f>
        <v>-</v>
      </c>
      <c r="X25" s="91">
        <f t="shared" ca="1" si="5"/>
        <v>0</v>
      </c>
      <c r="Y25" s="26" t="str">
        <f t="shared" ca="1" si="6"/>
        <v/>
      </c>
      <c r="Z25" s="26" t="str">
        <f t="shared" ca="1" si="7"/>
        <v/>
      </c>
      <c r="AA25" s="91">
        <f t="shared" si="18"/>
        <v>7</v>
      </c>
      <c r="AB25" s="17" t="s">
        <v>266</v>
      </c>
      <c r="AC25" s="184" t="s">
        <v>266</v>
      </c>
      <c r="AD25" s="54"/>
      <c r="AE25" s="54"/>
      <c r="AF25" s="112"/>
      <c r="AG25" s="200"/>
      <c r="AH25" s="113"/>
      <c r="AI25" s="114"/>
      <c r="AJ25" s="112"/>
      <c r="AK25" s="200"/>
      <c r="AL25" s="113"/>
      <c r="AM25" s="114"/>
      <c r="AN25" s="112"/>
      <c r="AO25" s="200"/>
      <c r="AP25" s="113"/>
      <c r="AQ25" s="114"/>
      <c r="AR25" s="130"/>
    </row>
    <row r="26" spans="1:44" x14ac:dyDescent="0.25">
      <c r="A26" s="41"/>
      <c r="B26" s="25" t="str">
        <f t="shared" si="0"/>
        <v>Family Functioning_8</v>
      </c>
      <c r="C26" s="25" t="str">
        <f t="shared" si="8"/>
        <v/>
      </c>
      <c r="D26" s="25" t="str">
        <f t="shared" si="1"/>
        <v/>
      </c>
      <c r="E26" s="25" t="str">
        <f t="shared" si="1"/>
        <v/>
      </c>
      <c r="F26" s="95">
        <f t="shared" si="2"/>
        <v>2</v>
      </c>
      <c r="G26" s="25">
        <f t="shared" si="3"/>
        <v>8</v>
      </c>
      <c r="H26" s="25" t="str">
        <f t="shared" si="9"/>
        <v>FF/CGA</v>
      </c>
      <c r="I26" s="25" t="str">
        <f t="shared" si="10"/>
        <v>FF</v>
      </c>
      <c r="J26" s="25" t="str">
        <f t="shared" si="4"/>
        <v>Family Functioning</v>
      </c>
      <c r="K26" s="108">
        <v>1</v>
      </c>
      <c r="L26" s="95" t="str">
        <f t="shared" ca="1" si="11"/>
        <v/>
      </c>
      <c r="M26" s="25" t="str">
        <f t="shared" ca="1" si="12"/>
        <v/>
      </c>
      <c r="N26" s="25" t="str">
        <f t="shared" ca="1" si="13"/>
        <v/>
      </c>
      <c r="O26" s="25" t="str">
        <f t="shared" ca="1" si="14"/>
        <v/>
      </c>
      <c r="P26" s="91" t="str">
        <f ca="1">IFERROR(IF(AND($X26=3, ISNUMBER($X26)), COUNTIFS(X$18:X26, "=3", $AC$18:$AC26, $AC26), "-"), "err")</f>
        <v>-</v>
      </c>
      <c r="Q26" s="26" t="str">
        <f ca="1">IFERROR(IF(AND($X26=2, ISNUMBER($X26)), COUNTIFS(X$18:X26, "=2", $AC$18:$AC26, $AC26), "-"), "err")</f>
        <v>-</v>
      </c>
      <c r="R26" s="25">
        <f t="shared" ca="1" si="15"/>
        <v>0</v>
      </c>
      <c r="S26" s="26" t="str">
        <f ca="1">IFERROR(IF(AND($X26&gt;=2, ISNUMBER($X26)), COUNTIFS(X$18:X26, "&gt;=2", $AC$18:$AC26, $AC26), "-"), "err")</f>
        <v>-</v>
      </c>
      <c r="T26" s="25">
        <f t="shared" ca="1" si="16"/>
        <v>0</v>
      </c>
      <c r="U26" s="26" t="str">
        <f ca="1">IFERROR(IF(Y26="Yes", COUNTIFS(Y$18:Y26, "Yes", $AC$18:$AC26, $AC26), "-"), "err")</f>
        <v>-</v>
      </c>
      <c r="V26" s="25">
        <f t="shared" ca="1" si="17"/>
        <v>0</v>
      </c>
      <c r="W26" s="26" t="str">
        <f ca="1">IFERROR(IF($Z26="Yes", COUNTIFS(Z$18:Z26, "Yes", $AC$18:AC26, $AC26), "-"), "err")</f>
        <v>-</v>
      </c>
      <c r="X26" s="91">
        <f t="shared" ca="1" si="5"/>
        <v>0</v>
      </c>
      <c r="Y26" s="26" t="str">
        <f t="shared" ca="1" si="6"/>
        <v/>
      </c>
      <c r="Z26" s="26" t="str">
        <f t="shared" ca="1" si="7"/>
        <v/>
      </c>
      <c r="AA26" s="91">
        <f t="shared" si="18"/>
        <v>8</v>
      </c>
      <c r="AB26" s="17" t="s">
        <v>267</v>
      </c>
      <c r="AC26" s="185" t="s">
        <v>267</v>
      </c>
      <c r="AD26" s="87"/>
      <c r="AE26" s="87"/>
      <c r="AF26" s="115"/>
      <c r="AG26" s="201"/>
      <c r="AH26" s="116"/>
      <c r="AI26" s="117"/>
      <c r="AJ26" s="115"/>
      <c r="AK26" s="201"/>
      <c r="AL26" s="116"/>
      <c r="AM26" s="117"/>
      <c r="AN26" s="115"/>
      <c r="AO26" s="201"/>
      <c r="AP26" s="116"/>
      <c r="AQ26" s="117"/>
      <c r="AR26" s="130"/>
    </row>
    <row r="27" spans="1:44" x14ac:dyDescent="0.25">
      <c r="A27" s="41"/>
      <c r="B27" s="25" t="str">
        <f t="shared" si="0"/>
        <v>Family Functioning_9</v>
      </c>
      <c r="C27" s="25" t="str">
        <f t="shared" si="8"/>
        <v/>
      </c>
      <c r="D27" s="25" t="str">
        <f t="shared" si="1"/>
        <v/>
      </c>
      <c r="E27" s="25" t="str">
        <f t="shared" si="1"/>
        <v/>
      </c>
      <c r="F27" s="95">
        <f t="shared" si="2"/>
        <v>2</v>
      </c>
      <c r="G27" s="25">
        <f t="shared" si="3"/>
        <v>9</v>
      </c>
      <c r="H27" s="25" t="str">
        <f t="shared" si="9"/>
        <v>FF/CGA</v>
      </c>
      <c r="I27" s="25" t="str">
        <f t="shared" si="10"/>
        <v>FF</v>
      </c>
      <c r="J27" s="25" t="str">
        <f t="shared" si="4"/>
        <v>Family Functioning</v>
      </c>
      <c r="K27" s="108">
        <v>1</v>
      </c>
      <c r="L27" s="95" t="str">
        <f t="shared" ca="1" si="11"/>
        <v/>
      </c>
      <c r="M27" s="25" t="str">
        <f t="shared" ca="1" si="12"/>
        <v/>
      </c>
      <c r="N27" s="25" t="str">
        <f t="shared" ca="1" si="13"/>
        <v/>
      </c>
      <c r="O27" s="25" t="str">
        <f t="shared" ca="1" si="14"/>
        <v/>
      </c>
      <c r="P27" s="91" t="str">
        <f ca="1">IFERROR(IF(AND($X27=3, ISNUMBER($X27)), COUNTIFS(X$18:X27, "=3", $AC$18:$AC27, $AC27), "-"), "err")</f>
        <v>-</v>
      </c>
      <c r="Q27" s="26" t="str">
        <f ca="1">IFERROR(IF(AND($X27=2, ISNUMBER($X27)), COUNTIFS(X$18:X27, "=2", $AC$18:$AC27, $AC27), "-"), "err")</f>
        <v>-</v>
      </c>
      <c r="R27" s="25">
        <f t="shared" ca="1" si="15"/>
        <v>0</v>
      </c>
      <c r="S27" s="26" t="str">
        <f ca="1">IFERROR(IF(AND($X27&gt;=2, ISNUMBER($X27)), COUNTIFS(X$18:X27, "&gt;=2", $AC$18:$AC27, $AC27), "-"), "err")</f>
        <v>-</v>
      </c>
      <c r="T27" s="25">
        <f t="shared" ca="1" si="16"/>
        <v>0</v>
      </c>
      <c r="U27" s="26" t="str">
        <f ca="1">IFERROR(IF(Y27="Yes", COUNTIFS(Y$18:Y27, "Yes", $AC$18:$AC27, $AC27), "-"), "err")</f>
        <v>-</v>
      </c>
      <c r="V27" s="25">
        <f t="shared" ca="1" si="17"/>
        <v>0</v>
      </c>
      <c r="W27" s="26" t="str">
        <f ca="1">IFERROR(IF($Z27="Yes", COUNTIFS(Z$18:Z27, "Yes", $AC$18:AC27, $AC27), "-"), "err")</f>
        <v>-</v>
      </c>
      <c r="X27" s="91">
        <f t="shared" ca="1" si="5"/>
        <v>0</v>
      </c>
      <c r="Y27" s="26" t="str">
        <f t="shared" ca="1" si="6"/>
        <v/>
      </c>
      <c r="Z27" s="26" t="str">
        <f t="shared" ca="1" si="7"/>
        <v/>
      </c>
      <c r="AA27" s="91">
        <f t="shared" si="18"/>
        <v>9</v>
      </c>
      <c r="AB27" s="17" t="s">
        <v>268</v>
      </c>
      <c r="AC27" s="184" t="s">
        <v>268</v>
      </c>
      <c r="AD27" s="54"/>
      <c r="AE27" s="54"/>
      <c r="AF27" s="112"/>
      <c r="AG27" s="200"/>
      <c r="AH27" s="113"/>
      <c r="AI27" s="114"/>
      <c r="AJ27" s="112"/>
      <c r="AK27" s="200"/>
      <c r="AL27" s="113"/>
      <c r="AM27" s="114"/>
      <c r="AN27" s="112"/>
      <c r="AO27" s="200"/>
      <c r="AP27" s="113"/>
      <c r="AQ27" s="114"/>
      <c r="AR27" s="130"/>
    </row>
    <row r="28" spans="1:44" x14ac:dyDescent="0.25">
      <c r="A28" s="41"/>
      <c r="B28" s="25" t="str">
        <f t="shared" si="0"/>
        <v>Family Functioning_10</v>
      </c>
      <c r="C28" s="25" t="str">
        <f t="shared" si="8"/>
        <v/>
      </c>
      <c r="D28" s="25" t="str">
        <f t="shared" si="1"/>
        <v>FF</v>
      </c>
      <c r="E28" s="25" t="str">
        <f t="shared" si="1"/>
        <v>Family Functioning</v>
      </c>
      <c r="F28" s="95">
        <f t="shared" si="2"/>
        <v>2</v>
      </c>
      <c r="G28" s="25">
        <f t="shared" si="3"/>
        <v>10</v>
      </c>
      <c r="H28" s="25" t="str">
        <f t="shared" si="9"/>
        <v>FF/CGA</v>
      </c>
      <c r="I28" s="25" t="str">
        <f t="shared" si="10"/>
        <v>FF</v>
      </c>
      <c r="J28" s="25" t="str">
        <f t="shared" si="4"/>
        <v>Family Functioning</v>
      </c>
      <c r="K28" s="108">
        <v>1</v>
      </c>
      <c r="L28" s="95" t="str">
        <f t="shared" ca="1" si="11"/>
        <v/>
      </c>
      <c r="M28" s="25" t="str">
        <f t="shared" ca="1" si="12"/>
        <v/>
      </c>
      <c r="N28" s="25" t="str">
        <f t="shared" ca="1" si="13"/>
        <v/>
      </c>
      <c r="O28" s="25" t="str">
        <f t="shared" ca="1" si="14"/>
        <v/>
      </c>
      <c r="P28" s="91" t="str">
        <f ca="1">IFERROR(IF(AND($X28=3, ISNUMBER($X28)), COUNTIFS(X$18:X28, "=3", $AC$18:$AC28, $AC28), "-"), "err")</f>
        <v>-</v>
      </c>
      <c r="Q28" s="26" t="str">
        <f ca="1">IFERROR(IF(AND($X28=2, ISNUMBER($X28)), COUNTIFS(X$18:X28, "=2", $AC$18:$AC28, $AC28), "-"), "err")</f>
        <v>-</v>
      </c>
      <c r="R28" s="25">
        <f t="shared" ca="1" si="15"/>
        <v>0</v>
      </c>
      <c r="S28" s="26" t="str">
        <f ca="1">IFERROR(IF(AND($X28&gt;=2, ISNUMBER($X28)), COUNTIFS(X$18:X28, "&gt;=2", $AC$18:$AC28, $AC28), "-"), "err")</f>
        <v>-</v>
      </c>
      <c r="T28" s="25">
        <f t="shared" ca="1" si="16"/>
        <v>0</v>
      </c>
      <c r="U28" s="26" t="str">
        <f ca="1">IFERROR(IF(Y28="Yes", COUNTIFS(Y$18:Y28, "Yes", $AC$18:$AC28, $AC28), "-"), "err")</f>
        <v>-</v>
      </c>
      <c r="V28" s="25">
        <f t="shared" ca="1" si="17"/>
        <v>0</v>
      </c>
      <c r="W28" s="26" t="str">
        <f ca="1">IFERROR(IF($Z28="Yes", COUNTIFS(Z$18:Z28, "Yes", $AC$18:AC28, $AC28), "-"), "err")</f>
        <v>-</v>
      </c>
      <c r="X28" s="91">
        <f t="shared" ca="1" si="5"/>
        <v>0</v>
      </c>
      <c r="Y28" s="26" t="str">
        <f t="shared" ca="1" si="6"/>
        <v/>
      </c>
      <c r="Z28" s="26" t="str">
        <f t="shared" ca="1" si="7"/>
        <v/>
      </c>
      <c r="AA28" s="91">
        <f t="shared" si="18"/>
        <v>10</v>
      </c>
      <c r="AB28" s="17" t="s">
        <v>116</v>
      </c>
      <c r="AC28" s="185" t="s">
        <v>116</v>
      </c>
      <c r="AD28" s="87"/>
      <c r="AE28" s="87"/>
      <c r="AF28" s="115"/>
      <c r="AG28" s="201"/>
      <c r="AH28" s="116"/>
      <c r="AI28" s="117"/>
      <c r="AJ28" s="115"/>
      <c r="AK28" s="201"/>
      <c r="AL28" s="116"/>
      <c r="AM28" s="117"/>
      <c r="AN28" s="115"/>
      <c r="AO28" s="201"/>
      <c r="AP28" s="116"/>
      <c r="AQ28" s="117"/>
      <c r="AR28" s="130"/>
    </row>
    <row r="29" spans="1:44" x14ac:dyDescent="0.25">
      <c r="A29" s="41"/>
      <c r="B29" s="25" t="str">
        <f t="shared" si="0"/>
        <v>Caregiver Advocacy_0</v>
      </c>
      <c r="C29" s="25" t="str">
        <f t="shared" si="8"/>
        <v/>
      </c>
      <c r="D29" s="25" t="str">
        <f t="shared" si="1"/>
        <v/>
      </c>
      <c r="E29" s="25" t="str">
        <f t="shared" si="1"/>
        <v/>
      </c>
      <c r="F29" s="95">
        <f t="shared" ref="F29:F92" si="19">IF(K29=0, IF(ISNUMBER(F28), F28+1, 1), F28)</f>
        <v>3</v>
      </c>
      <c r="G29" s="25">
        <f t="shared" ref="G29:G92" si="20">IF(K29=0, 0, IF(K29=1, G28+1, G28))</f>
        <v>0</v>
      </c>
      <c r="H29" s="25" t="str">
        <f t="shared" si="9"/>
        <v>FF/CGA</v>
      </c>
      <c r="I29" s="25" t="str">
        <f t="shared" si="10"/>
        <v>CGA</v>
      </c>
      <c r="J29" s="25" t="str">
        <f t="shared" si="4"/>
        <v>Caregiver Advocacy</v>
      </c>
      <c r="K29" s="108">
        <v>0</v>
      </c>
      <c r="L29" s="95" t="str">
        <f t="shared" ca="1" si="11"/>
        <v/>
      </c>
      <c r="M29" s="25" t="str">
        <f t="shared" ca="1" si="12"/>
        <v/>
      </c>
      <c r="N29" s="25" t="str">
        <f t="shared" ca="1" si="13"/>
        <v/>
      </c>
      <c r="O29" s="25" t="str">
        <f t="shared" ca="1" si="14"/>
        <v/>
      </c>
      <c r="P29" s="91" t="str">
        <f ca="1">IFERROR(IF(AND($X29=3, ISNUMBER($X29)), COUNTIFS(X$18:X29, "=3", $AC$18:$AC29, $AC29), "-"), "err")</f>
        <v>-</v>
      </c>
      <c r="Q29" s="26" t="str">
        <f ca="1">IFERROR(IF(AND($X29=2, ISNUMBER($X29)), COUNTIFS(X$18:X29, "=2", $AC$18:$AC29, $AC29), "-"), "err")</f>
        <v>-</v>
      </c>
      <c r="R29" s="25">
        <f t="shared" ca="1" si="15"/>
        <v>0</v>
      </c>
      <c r="S29" s="26" t="str">
        <f ca="1">IFERROR(IF(AND($X29&gt;=2, ISNUMBER($X29)), COUNTIFS(X$18:X29, "&gt;=2", $AC$18:$AC29, $AC29), "-"), "err")</f>
        <v>-</v>
      </c>
      <c r="T29" s="25">
        <f t="shared" ca="1" si="16"/>
        <v>0</v>
      </c>
      <c r="U29" s="26" t="str">
        <f ca="1">IFERROR(IF(Y29="Yes", COUNTIFS(Y$18:Y29, "Yes", $AC$18:$AC29, $AC29), "-"), "err")</f>
        <v>-</v>
      </c>
      <c r="V29" s="25">
        <f t="shared" ca="1" si="17"/>
        <v>0</v>
      </c>
      <c r="W29" s="26" t="str">
        <f ca="1">IFERROR(IF($Z29="Yes", COUNTIFS(Z$18:Z29, "Yes", $AC$18:AC29, $AC29), "-"), "err")</f>
        <v>-</v>
      </c>
      <c r="X29" s="91">
        <f t="shared" ca="1" si="5"/>
        <v>0</v>
      </c>
      <c r="Y29" s="26" t="str">
        <f t="shared" ca="1" si="6"/>
        <v/>
      </c>
      <c r="Z29" s="26" t="str">
        <f t="shared" ca="1" si="7"/>
        <v/>
      </c>
      <c r="AA29" s="91">
        <f t="shared" si="18"/>
        <v>10</v>
      </c>
      <c r="AC29" s="183" t="s">
        <v>306</v>
      </c>
      <c r="AD29" s="61"/>
      <c r="AE29" s="61"/>
      <c r="AF29" s="118"/>
      <c r="AG29" s="119"/>
      <c r="AH29" s="120"/>
      <c r="AI29" s="121"/>
      <c r="AJ29" s="118"/>
      <c r="AK29" s="119"/>
      <c r="AL29" s="120"/>
      <c r="AM29" s="121"/>
      <c r="AN29" s="118"/>
      <c r="AO29" s="119"/>
      <c r="AP29" s="120"/>
      <c r="AQ29" s="121"/>
      <c r="AR29" s="130"/>
    </row>
    <row r="30" spans="1:44" x14ac:dyDescent="0.25">
      <c r="A30" s="41"/>
      <c r="B30" s="25" t="str">
        <f t="shared" si="0"/>
        <v>Caregiver Advocacy_1</v>
      </c>
      <c r="C30" s="25" t="str">
        <f t="shared" si="8"/>
        <v/>
      </c>
      <c r="D30" s="25" t="str">
        <f t="shared" si="1"/>
        <v/>
      </c>
      <c r="E30" s="25" t="str">
        <f t="shared" si="1"/>
        <v/>
      </c>
      <c r="F30" s="95">
        <f t="shared" si="19"/>
        <v>3</v>
      </c>
      <c r="G30" s="25">
        <f t="shared" si="20"/>
        <v>1</v>
      </c>
      <c r="H30" s="25" t="str">
        <f t="shared" si="9"/>
        <v>FF/CGA</v>
      </c>
      <c r="I30" s="25" t="str">
        <f t="shared" si="10"/>
        <v>CGA</v>
      </c>
      <c r="J30" s="25" t="str">
        <f t="shared" si="4"/>
        <v>Caregiver Advocacy</v>
      </c>
      <c r="K30" s="108">
        <v>1</v>
      </c>
      <c r="L30" s="95" t="str">
        <f t="shared" ca="1" si="11"/>
        <v/>
      </c>
      <c r="M30" s="25" t="str">
        <f t="shared" ca="1" si="12"/>
        <v/>
      </c>
      <c r="N30" s="25" t="str">
        <f t="shared" ca="1" si="13"/>
        <v/>
      </c>
      <c r="O30" s="25" t="str">
        <f t="shared" ca="1" si="14"/>
        <v/>
      </c>
      <c r="P30" s="91" t="str">
        <f ca="1">IFERROR(IF(AND($X30=3, ISNUMBER($X30)), COUNTIFS(X$18:X30, "=3", $AC$18:$AC30, $AC30), "-"), "err")</f>
        <v>-</v>
      </c>
      <c r="Q30" s="26" t="str">
        <f ca="1">IFERROR(IF(AND($X30=2, ISNUMBER($X30)), COUNTIFS(X$18:X30, "=2", $AC$18:$AC30, $AC30), "-"), "err")</f>
        <v>-</v>
      </c>
      <c r="R30" s="25">
        <f t="shared" ca="1" si="15"/>
        <v>0</v>
      </c>
      <c r="S30" s="26" t="str">
        <f ca="1">IFERROR(IF(AND($X30&gt;=2, ISNUMBER($X30)), COUNTIFS(X$18:X30, "&gt;=2", $AC$18:$AC30, $AC30), "-"), "err")</f>
        <v>-</v>
      </c>
      <c r="T30" s="25">
        <f t="shared" ca="1" si="16"/>
        <v>0</v>
      </c>
      <c r="U30" s="26" t="str">
        <f ca="1">IFERROR(IF(Y30="Yes", COUNTIFS(Y$18:Y30, "Yes", $AC$18:$AC30, $AC30), "-"), "err")</f>
        <v>-</v>
      </c>
      <c r="V30" s="25">
        <f t="shared" ca="1" si="17"/>
        <v>0</v>
      </c>
      <c r="W30" s="26" t="str">
        <f ca="1">IFERROR(IF($Z30="Yes", COUNTIFS(Z$18:Z30, "Yes", $AC$18:AC30, $AC30), "-"), "err")</f>
        <v>-</v>
      </c>
      <c r="X30" s="91">
        <f t="shared" ca="1" si="5"/>
        <v>0</v>
      </c>
      <c r="Y30" s="26" t="str">
        <f t="shared" ca="1" si="6"/>
        <v/>
      </c>
      <c r="Z30" s="26" t="str">
        <f t="shared" ca="1" si="7"/>
        <v/>
      </c>
      <c r="AA30" s="91">
        <f t="shared" si="18"/>
        <v>11</v>
      </c>
      <c r="AB30" s="17" t="s">
        <v>359</v>
      </c>
      <c r="AC30" s="184" t="s">
        <v>269</v>
      </c>
      <c r="AD30" s="54"/>
      <c r="AE30" s="54"/>
      <c r="AF30" s="112"/>
      <c r="AG30" s="200"/>
      <c r="AH30" s="113"/>
      <c r="AI30" s="114"/>
      <c r="AJ30" s="112"/>
      <c r="AK30" s="200"/>
      <c r="AL30" s="113"/>
      <c r="AM30" s="114"/>
      <c r="AN30" s="112"/>
      <c r="AO30" s="200"/>
      <c r="AP30" s="113"/>
      <c r="AQ30" s="114"/>
      <c r="AR30" s="130"/>
    </row>
    <row r="31" spans="1:44" x14ac:dyDescent="0.25">
      <c r="A31" s="41"/>
      <c r="B31" s="25" t="str">
        <f t="shared" si="0"/>
        <v>Caregiver Advocacy_2</v>
      </c>
      <c r="C31" s="25" t="str">
        <f t="shared" si="8"/>
        <v/>
      </c>
      <c r="D31" s="25" t="str">
        <f t="shared" si="1"/>
        <v/>
      </c>
      <c r="E31" s="25" t="str">
        <f t="shared" si="1"/>
        <v/>
      </c>
      <c r="F31" s="95">
        <f t="shared" si="19"/>
        <v>3</v>
      </c>
      <c r="G31" s="25">
        <f t="shared" si="20"/>
        <v>2</v>
      </c>
      <c r="H31" s="25" t="str">
        <f t="shared" si="9"/>
        <v>FF/CGA</v>
      </c>
      <c r="I31" s="25" t="str">
        <f t="shared" si="10"/>
        <v>CGA</v>
      </c>
      <c r="J31" s="25" t="str">
        <f t="shared" si="4"/>
        <v>Caregiver Advocacy</v>
      </c>
      <c r="K31" s="108">
        <v>1</v>
      </c>
      <c r="L31" s="95" t="str">
        <f t="shared" ca="1" si="11"/>
        <v/>
      </c>
      <c r="M31" s="25" t="str">
        <f t="shared" ca="1" si="12"/>
        <v/>
      </c>
      <c r="N31" s="25" t="str">
        <f t="shared" ca="1" si="13"/>
        <v/>
      </c>
      <c r="O31" s="25" t="str">
        <f t="shared" ca="1" si="14"/>
        <v/>
      </c>
      <c r="P31" s="91" t="str">
        <f ca="1">IFERROR(IF(AND($X31=3, ISNUMBER($X31)), COUNTIFS(X$18:X31, "=3", $AC$18:$AC31, $AC31), "-"), "err")</f>
        <v>-</v>
      </c>
      <c r="Q31" s="26" t="str">
        <f ca="1">IFERROR(IF(AND($X31=2, ISNUMBER($X31)), COUNTIFS(X$18:X31, "=2", $AC$18:$AC31, $AC31), "-"), "err")</f>
        <v>-</v>
      </c>
      <c r="R31" s="25">
        <f t="shared" ca="1" si="15"/>
        <v>0</v>
      </c>
      <c r="S31" s="26" t="str">
        <f ca="1">IFERROR(IF(AND($X31&gt;=2, ISNUMBER($X31)), COUNTIFS(X$18:X31, "&gt;=2", $AC$18:$AC31, $AC31), "-"), "err")</f>
        <v>-</v>
      </c>
      <c r="T31" s="25">
        <f t="shared" ca="1" si="16"/>
        <v>0</v>
      </c>
      <c r="U31" s="26" t="str">
        <f ca="1">IFERROR(IF(Y31="Yes", COUNTIFS(Y$18:Y31, "Yes", $AC$18:$AC31, $AC31), "-"), "err")</f>
        <v>-</v>
      </c>
      <c r="V31" s="25">
        <f t="shared" ca="1" si="17"/>
        <v>0</v>
      </c>
      <c r="W31" s="26" t="str">
        <f ca="1">IFERROR(IF($Z31="Yes", COUNTIFS(Z$18:Z31, "Yes", $AC$18:AC31, $AC31), "-"), "err")</f>
        <v>-</v>
      </c>
      <c r="X31" s="91">
        <f t="shared" ca="1" si="5"/>
        <v>0</v>
      </c>
      <c r="Y31" s="26" t="str">
        <f t="shared" ca="1" si="6"/>
        <v/>
      </c>
      <c r="Z31" s="26" t="str">
        <f t="shared" ca="1" si="7"/>
        <v/>
      </c>
      <c r="AA31" s="91">
        <f t="shared" si="18"/>
        <v>12</v>
      </c>
      <c r="AB31" s="17" t="s">
        <v>360</v>
      </c>
      <c r="AC31" s="185" t="s">
        <v>270</v>
      </c>
      <c r="AD31" s="87"/>
      <c r="AE31" s="87"/>
      <c r="AF31" s="115"/>
      <c r="AG31" s="201"/>
      <c r="AH31" s="116"/>
      <c r="AI31" s="117"/>
      <c r="AJ31" s="115"/>
      <c r="AK31" s="201"/>
      <c r="AL31" s="116"/>
      <c r="AM31" s="117"/>
      <c r="AN31" s="115"/>
      <c r="AO31" s="201"/>
      <c r="AP31" s="116"/>
      <c r="AQ31" s="117"/>
      <c r="AR31" s="130"/>
    </row>
    <row r="32" spans="1:44" x14ac:dyDescent="0.25">
      <c r="A32" s="41"/>
      <c r="B32" s="25" t="str">
        <f t="shared" si="0"/>
        <v>Caregiver Advocacy_3</v>
      </c>
      <c r="C32" s="25" t="str">
        <f t="shared" si="8"/>
        <v/>
      </c>
      <c r="D32" s="25" t="str">
        <f t="shared" si="1"/>
        <v/>
      </c>
      <c r="E32" s="25" t="str">
        <f t="shared" si="1"/>
        <v/>
      </c>
      <c r="F32" s="95">
        <f t="shared" si="19"/>
        <v>3</v>
      </c>
      <c r="G32" s="25">
        <f t="shared" si="20"/>
        <v>3</v>
      </c>
      <c r="H32" s="25" t="str">
        <f t="shared" si="9"/>
        <v>FF/CGA</v>
      </c>
      <c r="I32" s="25" t="str">
        <f t="shared" si="10"/>
        <v>CGA</v>
      </c>
      <c r="J32" s="25" t="str">
        <f t="shared" si="4"/>
        <v>Caregiver Advocacy</v>
      </c>
      <c r="K32" s="108">
        <v>1</v>
      </c>
      <c r="L32" s="95" t="str">
        <f t="shared" ca="1" si="11"/>
        <v/>
      </c>
      <c r="M32" s="25" t="str">
        <f t="shared" ca="1" si="12"/>
        <v/>
      </c>
      <c r="N32" s="25" t="str">
        <f t="shared" ca="1" si="13"/>
        <v/>
      </c>
      <c r="O32" s="25" t="str">
        <f t="shared" ca="1" si="14"/>
        <v/>
      </c>
      <c r="P32" s="91" t="str">
        <f ca="1">IFERROR(IF(AND($X32=3, ISNUMBER($X32)), COUNTIFS(X$18:X32, "=3", $AC$18:$AC32, $AC32), "-"), "err")</f>
        <v>-</v>
      </c>
      <c r="Q32" s="26" t="str">
        <f ca="1">IFERROR(IF(AND($X32=2, ISNUMBER($X32)), COUNTIFS(X$18:X32, "=2", $AC$18:$AC32, $AC32), "-"), "err")</f>
        <v>-</v>
      </c>
      <c r="R32" s="25">
        <f t="shared" ca="1" si="15"/>
        <v>0</v>
      </c>
      <c r="S32" s="26" t="str">
        <f ca="1">IFERROR(IF(AND($X32&gt;=2, ISNUMBER($X32)), COUNTIFS(X$18:X32, "&gt;=2", $AC$18:$AC32, $AC32), "-"), "err")</f>
        <v>-</v>
      </c>
      <c r="T32" s="25">
        <f t="shared" ca="1" si="16"/>
        <v>0</v>
      </c>
      <c r="U32" s="26" t="str">
        <f ca="1">IFERROR(IF(Y32="Yes", COUNTIFS(Y$18:Y32, "Yes", $AC$18:$AC32, $AC32), "-"), "err")</f>
        <v>-</v>
      </c>
      <c r="V32" s="25">
        <f t="shared" ca="1" si="17"/>
        <v>0</v>
      </c>
      <c r="W32" s="26" t="str">
        <f ca="1">IFERROR(IF($Z32="Yes", COUNTIFS(Z$18:Z32, "Yes", $AC$18:AC32, $AC32), "-"), "err")</f>
        <v>-</v>
      </c>
      <c r="X32" s="91">
        <f t="shared" ca="1" si="5"/>
        <v>0</v>
      </c>
      <c r="Y32" s="26" t="str">
        <f t="shared" ca="1" si="6"/>
        <v/>
      </c>
      <c r="Z32" s="26" t="str">
        <f t="shared" ca="1" si="7"/>
        <v/>
      </c>
      <c r="AA32" s="91">
        <f t="shared" si="18"/>
        <v>13</v>
      </c>
      <c r="AB32" s="17" t="s">
        <v>361</v>
      </c>
      <c r="AC32" s="184" t="s">
        <v>271</v>
      </c>
      <c r="AD32" s="54"/>
      <c r="AE32" s="54"/>
      <c r="AF32" s="112"/>
      <c r="AG32" s="200"/>
      <c r="AH32" s="113"/>
      <c r="AI32" s="114"/>
      <c r="AJ32" s="112"/>
      <c r="AK32" s="200"/>
      <c r="AL32" s="113"/>
      <c r="AM32" s="114"/>
      <c r="AN32" s="112"/>
      <c r="AO32" s="200"/>
      <c r="AP32" s="113"/>
      <c r="AQ32" s="114"/>
      <c r="AR32" s="130"/>
    </row>
    <row r="33" spans="1:44" x14ac:dyDescent="0.25">
      <c r="A33" s="41"/>
      <c r="B33" s="25" t="str">
        <f t="shared" si="0"/>
        <v>Caregiver Advocacy_4</v>
      </c>
      <c r="C33" s="25" t="str">
        <f t="shared" si="8"/>
        <v/>
      </c>
      <c r="D33" s="25" t="str">
        <f t="shared" si="1"/>
        <v/>
      </c>
      <c r="E33" s="25" t="str">
        <f t="shared" si="1"/>
        <v/>
      </c>
      <c r="F33" s="95">
        <f t="shared" si="19"/>
        <v>3</v>
      </c>
      <c r="G33" s="25">
        <f t="shared" si="20"/>
        <v>4</v>
      </c>
      <c r="H33" s="25" t="str">
        <f t="shared" si="9"/>
        <v>FF/CGA</v>
      </c>
      <c r="I33" s="25" t="str">
        <f t="shared" si="10"/>
        <v>CGA</v>
      </c>
      <c r="J33" s="25" t="str">
        <f t="shared" si="4"/>
        <v>Caregiver Advocacy</v>
      </c>
      <c r="K33" s="108">
        <v>1</v>
      </c>
      <c r="L33" s="95" t="str">
        <f t="shared" ca="1" si="11"/>
        <v/>
      </c>
      <c r="M33" s="25" t="str">
        <f t="shared" ca="1" si="12"/>
        <v/>
      </c>
      <c r="N33" s="25" t="str">
        <f t="shared" ca="1" si="13"/>
        <v/>
      </c>
      <c r="O33" s="25" t="str">
        <f t="shared" ca="1" si="14"/>
        <v/>
      </c>
      <c r="P33" s="91" t="str">
        <f ca="1">IFERROR(IF(AND($X33=3, ISNUMBER($X33)), COUNTIFS(X$18:X33, "=3", $AC$18:$AC33, $AC33), "-"), "err")</f>
        <v>-</v>
      </c>
      <c r="Q33" s="26" t="str">
        <f ca="1">IFERROR(IF(AND($X33=2, ISNUMBER($X33)), COUNTIFS(X$18:X33, "=2", $AC$18:$AC33, $AC33), "-"), "err")</f>
        <v>-</v>
      </c>
      <c r="R33" s="25">
        <f t="shared" ca="1" si="15"/>
        <v>0</v>
      </c>
      <c r="S33" s="26" t="str">
        <f ca="1">IFERROR(IF(AND($X33&gt;=2, ISNUMBER($X33)), COUNTIFS(X$18:X33, "&gt;=2", $AC$18:$AC33, $AC33), "-"), "err")</f>
        <v>-</v>
      </c>
      <c r="T33" s="25">
        <f t="shared" ca="1" si="16"/>
        <v>0</v>
      </c>
      <c r="U33" s="26" t="str">
        <f ca="1">IFERROR(IF(Y33="Yes", COUNTIFS(Y$18:Y33, "Yes", $AC$18:$AC33, $AC33), "-"), "err")</f>
        <v>-</v>
      </c>
      <c r="V33" s="25">
        <f t="shared" ca="1" si="17"/>
        <v>0</v>
      </c>
      <c r="W33" s="26" t="str">
        <f ca="1">IFERROR(IF($Z33="Yes", COUNTIFS(Z$18:Z33, "Yes", $AC$18:AC33, $AC33), "-"), "err")</f>
        <v>-</v>
      </c>
      <c r="X33" s="91">
        <f t="shared" ca="1" si="5"/>
        <v>0</v>
      </c>
      <c r="Y33" s="26" t="str">
        <f t="shared" ca="1" si="6"/>
        <v/>
      </c>
      <c r="Z33" s="26" t="str">
        <f t="shared" ca="1" si="7"/>
        <v/>
      </c>
      <c r="AA33" s="91">
        <f t="shared" si="18"/>
        <v>14</v>
      </c>
      <c r="AB33" s="17" t="s">
        <v>272</v>
      </c>
      <c r="AC33" s="185" t="s">
        <v>272</v>
      </c>
      <c r="AD33" s="87"/>
      <c r="AE33" s="87"/>
      <c r="AF33" s="115"/>
      <c r="AG33" s="201"/>
      <c r="AH33" s="116"/>
      <c r="AI33" s="117"/>
      <c r="AJ33" s="115"/>
      <c r="AK33" s="201"/>
      <c r="AL33" s="116"/>
      <c r="AM33" s="117"/>
      <c r="AN33" s="115"/>
      <c r="AO33" s="201"/>
      <c r="AP33" s="116"/>
      <c r="AQ33" s="117"/>
      <c r="AR33" s="130"/>
    </row>
    <row r="34" spans="1:44" x14ac:dyDescent="0.25">
      <c r="A34" s="41"/>
      <c r="B34" s="25" t="str">
        <f t="shared" si="0"/>
        <v>Caregiver Advocacy_5</v>
      </c>
      <c r="C34" s="25" t="str">
        <f t="shared" si="8"/>
        <v/>
      </c>
      <c r="D34" s="25" t="str">
        <f t="shared" si="1"/>
        <v/>
      </c>
      <c r="E34" s="25" t="str">
        <f t="shared" si="1"/>
        <v/>
      </c>
      <c r="F34" s="95">
        <f t="shared" si="19"/>
        <v>3</v>
      </c>
      <c r="G34" s="25">
        <f t="shared" si="20"/>
        <v>5</v>
      </c>
      <c r="H34" s="25" t="str">
        <f t="shared" si="9"/>
        <v>FF/CGA</v>
      </c>
      <c r="I34" s="25" t="str">
        <f t="shared" si="10"/>
        <v>CGA</v>
      </c>
      <c r="J34" s="25" t="str">
        <f t="shared" si="4"/>
        <v>Caregiver Advocacy</v>
      </c>
      <c r="K34" s="108">
        <v>1</v>
      </c>
      <c r="L34" s="95" t="str">
        <f t="shared" ca="1" si="11"/>
        <v/>
      </c>
      <c r="M34" s="25" t="str">
        <f t="shared" ca="1" si="12"/>
        <v/>
      </c>
      <c r="N34" s="25" t="str">
        <f t="shared" ca="1" si="13"/>
        <v/>
      </c>
      <c r="O34" s="25" t="str">
        <f t="shared" ca="1" si="14"/>
        <v/>
      </c>
      <c r="P34" s="91" t="str">
        <f ca="1">IFERROR(IF(AND($X34=3, ISNUMBER($X34)), COUNTIFS(X$18:X34, "=3", $AC$18:$AC34, $AC34), "-"), "err")</f>
        <v>-</v>
      </c>
      <c r="Q34" s="26" t="str">
        <f ca="1">IFERROR(IF(AND($X34=2, ISNUMBER($X34)), COUNTIFS(X$18:X34, "=2", $AC$18:$AC34, $AC34), "-"), "err")</f>
        <v>-</v>
      </c>
      <c r="R34" s="25">
        <f t="shared" ca="1" si="15"/>
        <v>0</v>
      </c>
      <c r="S34" s="26" t="str">
        <f ca="1">IFERROR(IF(AND($X34&gt;=2, ISNUMBER($X34)), COUNTIFS(X$18:X34, "&gt;=2", $AC$18:$AC34, $AC34), "-"), "err")</f>
        <v>-</v>
      </c>
      <c r="T34" s="25">
        <f t="shared" ca="1" si="16"/>
        <v>0</v>
      </c>
      <c r="U34" s="26" t="str">
        <f ca="1">IFERROR(IF(Y34="Yes", COUNTIFS(Y$18:Y34, "Yes", $AC$18:$AC34, $AC34), "-"), "err")</f>
        <v>-</v>
      </c>
      <c r="V34" s="25">
        <f t="shared" ca="1" si="17"/>
        <v>0</v>
      </c>
      <c r="W34" s="26" t="str">
        <f ca="1">IFERROR(IF($Z34="Yes", COUNTIFS(Z$18:Z34, "Yes", $AC$18:AC34, $AC34), "-"), "err")</f>
        <v>-</v>
      </c>
      <c r="X34" s="91">
        <f t="shared" ca="1" si="5"/>
        <v>0</v>
      </c>
      <c r="Y34" s="26" t="str">
        <f t="shared" ca="1" si="6"/>
        <v/>
      </c>
      <c r="Z34" s="26" t="str">
        <f t="shared" ca="1" si="7"/>
        <v/>
      </c>
      <c r="AA34" s="91">
        <f t="shared" si="18"/>
        <v>15</v>
      </c>
      <c r="AB34" s="17" t="s">
        <v>273</v>
      </c>
      <c r="AC34" s="184" t="s">
        <v>273</v>
      </c>
      <c r="AD34" s="54"/>
      <c r="AE34" s="54"/>
      <c r="AF34" s="112"/>
      <c r="AG34" s="200"/>
      <c r="AH34" s="113"/>
      <c r="AI34" s="114"/>
      <c r="AJ34" s="112"/>
      <c r="AK34" s="200"/>
      <c r="AL34" s="113"/>
      <c r="AM34" s="114"/>
      <c r="AN34" s="112"/>
      <c r="AO34" s="200"/>
      <c r="AP34" s="113"/>
      <c r="AQ34" s="114"/>
      <c r="AR34" s="130"/>
    </row>
    <row r="35" spans="1:44" x14ac:dyDescent="0.25">
      <c r="A35" s="41"/>
      <c r="B35" s="25" t="str">
        <f t="shared" si="0"/>
        <v>Caregiver Advocacy_6</v>
      </c>
      <c r="C35" s="25" t="str">
        <f t="shared" si="8"/>
        <v/>
      </c>
      <c r="D35" s="25" t="str">
        <f t="shared" si="1"/>
        <v/>
      </c>
      <c r="E35" s="25" t="str">
        <f t="shared" si="1"/>
        <v/>
      </c>
      <c r="F35" s="95">
        <f t="shared" si="19"/>
        <v>3</v>
      </c>
      <c r="G35" s="25">
        <f t="shared" si="20"/>
        <v>6</v>
      </c>
      <c r="H35" s="25" t="str">
        <f t="shared" si="9"/>
        <v>FF/CGA</v>
      </c>
      <c r="I35" s="25" t="str">
        <f t="shared" si="10"/>
        <v>CGA</v>
      </c>
      <c r="J35" s="25" t="str">
        <f t="shared" si="4"/>
        <v>Caregiver Advocacy</v>
      </c>
      <c r="K35" s="108">
        <v>1</v>
      </c>
      <c r="L35" s="95" t="str">
        <f t="shared" ca="1" si="11"/>
        <v/>
      </c>
      <c r="M35" s="25" t="str">
        <f t="shared" ca="1" si="12"/>
        <v/>
      </c>
      <c r="N35" s="25" t="str">
        <f t="shared" ca="1" si="13"/>
        <v/>
      </c>
      <c r="O35" s="25" t="str">
        <f t="shared" ca="1" si="14"/>
        <v/>
      </c>
      <c r="P35" s="91" t="str">
        <f ca="1">IFERROR(IF(AND($X35=3, ISNUMBER($X35)), COUNTIFS(X$18:X35, "=3", $AC$18:$AC35, $AC35), "-"), "err")</f>
        <v>-</v>
      </c>
      <c r="Q35" s="26" t="str">
        <f ca="1">IFERROR(IF(AND($X35=2, ISNUMBER($X35)), COUNTIFS(X$18:X35, "=2", $AC$18:$AC35, $AC35), "-"), "err")</f>
        <v>-</v>
      </c>
      <c r="R35" s="25">
        <f t="shared" ca="1" si="15"/>
        <v>0</v>
      </c>
      <c r="S35" s="26" t="str">
        <f ca="1">IFERROR(IF(AND($X35&gt;=2, ISNUMBER($X35)), COUNTIFS(X$18:X35, "&gt;=2", $AC$18:$AC35, $AC35), "-"), "err")</f>
        <v>-</v>
      </c>
      <c r="T35" s="25">
        <f t="shared" ca="1" si="16"/>
        <v>0</v>
      </c>
      <c r="U35" s="26" t="str">
        <f ca="1">IFERROR(IF(Y35="Yes", COUNTIFS(Y$18:Y35, "Yes", $AC$18:$AC35, $AC35), "-"), "err")</f>
        <v>-</v>
      </c>
      <c r="V35" s="25">
        <f t="shared" ca="1" si="17"/>
        <v>0</v>
      </c>
      <c r="W35" s="26" t="str">
        <f ca="1">IFERROR(IF($Z35="Yes", COUNTIFS(Z$18:Z35, "Yes", $AC$18:AC35, $AC35), "-"), "err")</f>
        <v>-</v>
      </c>
      <c r="X35" s="91">
        <f t="shared" ca="1" si="5"/>
        <v>0</v>
      </c>
      <c r="Y35" s="26" t="str">
        <f t="shared" ca="1" si="6"/>
        <v/>
      </c>
      <c r="Z35" s="26" t="str">
        <f t="shared" ca="1" si="7"/>
        <v/>
      </c>
      <c r="AA35" s="91">
        <f t="shared" si="18"/>
        <v>16</v>
      </c>
      <c r="AB35" s="17" t="s">
        <v>22</v>
      </c>
      <c r="AC35" s="185" t="s">
        <v>22</v>
      </c>
      <c r="AD35" s="87"/>
      <c r="AE35" s="87"/>
      <c r="AF35" s="115"/>
      <c r="AG35" s="201"/>
      <c r="AH35" s="116"/>
      <c r="AI35" s="117"/>
      <c r="AJ35" s="115"/>
      <c r="AK35" s="201"/>
      <c r="AL35" s="116"/>
      <c r="AM35" s="117"/>
      <c r="AN35" s="115"/>
      <c r="AO35" s="201"/>
      <c r="AP35" s="116"/>
      <c r="AQ35" s="117"/>
      <c r="AR35" s="130"/>
    </row>
    <row r="36" spans="1:44" x14ac:dyDescent="0.25">
      <c r="A36" s="41"/>
      <c r="B36" s="25" t="str">
        <f t="shared" si="0"/>
        <v>Caregiver Advocacy_7</v>
      </c>
      <c r="C36" s="25" t="str">
        <f t="shared" si="8"/>
        <v/>
      </c>
      <c r="D36" s="25" t="str">
        <f t="shared" si="1"/>
        <v/>
      </c>
      <c r="E36" s="25" t="str">
        <f t="shared" si="1"/>
        <v/>
      </c>
      <c r="F36" s="95">
        <f t="shared" si="19"/>
        <v>3</v>
      </c>
      <c r="G36" s="25">
        <f t="shared" si="20"/>
        <v>7</v>
      </c>
      <c r="H36" s="25" t="str">
        <f t="shared" si="9"/>
        <v>FF/CGA</v>
      </c>
      <c r="I36" s="25" t="str">
        <f t="shared" si="10"/>
        <v>CGA</v>
      </c>
      <c r="J36" s="25" t="str">
        <f t="shared" si="4"/>
        <v>Caregiver Advocacy</v>
      </c>
      <c r="K36" s="108">
        <v>1</v>
      </c>
      <c r="L36" s="95" t="str">
        <f t="shared" ca="1" si="11"/>
        <v/>
      </c>
      <c r="M36" s="25" t="str">
        <f t="shared" ca="1" si="12"/>
        <v/>
      </c>
      <c r="N36" s="25" t="str">
        <f t="shared" ca="1" si="13"/>
        <v/>
      </c>
      <c r="O36" s="25" t="str">
        <f t="shared" ca="1" si="14"/>
        <v/>
      </c>
      <c r="P36" s="91" t="str">
        <f ca="1">IFERROR(IF(AND($X36=3, ISNUMBER($X36)), COUNTIFS(X$18:X36, "=3", $AC$18:$AC36, $AC36), "-"), "err")</f>
        <v>-</v>
      </c>
      <c r="Q36" s="26" t="str">
        <f ca="1">IFERROR(IF(AND($X36=2, ISNUMBER($X36)), COUNTIFS(X$18:X36, "=2", $AC$18:$AC36, $AC36), "-"), "err")</f>
        <v>-</v>
      </c>
      <c r="R36" s="25">
        <f t="shared" ca="1" si="15"/>
        <v>0</v>
      </c>
      <c r="S36" s="26" t="str">
        <f ca="1">IFERROR(IF(AND($X36&gt;=2, ISNUMBER($X36)), COUNTIFS(X$18:X36, "&gt;=2", $AC$18:$AC36, $AC36), "-"), "err")</f>
        <v>-</v>
      </c>
      <c r="T36" s="25">
        <f t="shared" ca="1" si="16"/>
        <v>0</v>
      </c>
      <c r="U36" s="26" t="str">
        <f ca="1">IFERROR(IF(Y36="Yes", COUNTIFS(Y$18:Y36, "Yes", $AC$18:$AC36, $AC36), "-"), "err")</f>
        <v>-</v>
      </c>
      <c r="V36" s="25">
        <f t="shared" ca="1" si="17"/>
        <v>0</v>
      </c>
      <c r="W36" s="26" t="str">
        <f ca="1">IFERROR(IF($Z36="Yes", COUNTIFS(Z$18:Z36, "Yes", $AC$18:AC36, $AC36), "-"), "err")</f>
        <v>-</v>
      </c>
      <c r="X36" s="91">
        <f t="shared" ca="1" si="5"/>
        <v>0</v>
      </c>
      <c r="Y36" s="26" t="str">
        <f t="shared" ca="1" si="6"/>
        <v/>
      </c>
      <c r="Z36" s="26" t="str">
        <f t="shared" ca="1" si="7"/>
        <v/>
      </c>
      <c r="AA36" s="91">
        <f t="shared" si="18"/>
        <v>17</v>
      </c>
      <c r="AB36" s="17" t="s">
        <v>362</v>
      </c>
      <c r="AC36" s="184" t="s">
        <v>274</v>
      </c>
      <c r="AD36" s="54"/>
      <c r="AE36" s="54"/>
      <c r="AF36" s="112"/>
      <c r="AG36" s="200"/>
      <c r="AH36" s="113"/>
      <c r="AI36" s="114"/>
      <c r="AJ36" s="112"/>
      <c r="AK36" s="200"/>
      <c r="AL36" s="113"/>
      <c r="AM36" s="114"/>
      <c r="AN36" s="112"/>
      <c r="AO36" s="200"/>
      <c r="AP36" s="113"/>
      <c r="AQ36" s="114"/>
      <c r="AR36" s="130"/>
    </row>
    <row r="37" spans="1:44" x14ac:dyDescent="0.25">
      <c r="A37" s="41"/>
      <c r="B37" s="25" t="str">
        <f t="shared" si="0"/>
        <v>Caregiver Advocacy_8</v>
      </c>
      <c r="C37" s="25" t="str">
        <f t="shared" si="8"/>
        <v>FF/CGA</v>
      </c>
      <c r="D37" s="25" t="str">
        <f t="shared" si="1"/>
        <v>CGA</v>
      </c>
      <c r="E37" s="25" t="str">
        <f t="shared" si="1"/>
        <v>Caregiver Advocacy</v>
      </c>
      <c r="F37" s="95">
        <f t="shared" si="19"/>
        <v>3</v>
      </c>
      <c r="G37" s="25">
        <f t="shared" si="20"/>
        <v>8</v>
      </c>
      <c r="H37" s="25" t="str">
        <f t="shared" si="9"/>
        <v>FF/CGA</v>
      </c>
      <c r="I37" s="25" t="str">
        <f t="shared" si="10"/>
        <v>CGA</v>
      </c>
      <c r="J37" s="25" t="str">
        <f t="shared" si="4"/>
        <v>Caregiver Advocacy</v>
      </c>
      <c r="K37" s="108">
        <v>1</v>
      </c>
      <c r="L37" s="95" t="str">
        <f t="shared" ca="1" si="11"/>
        <v/>
      </c>
      <c r="M37" s="25" t="str">
        <f t="shared" ca="1" si="12"/>
        <v/>
      </c>
      <c r="N37" s="25" t="str">
        <f t="shared" ca="1" si="13"/>
        <v/>
      </c>
      <c r="O37" s="25" t="str">
        <f t="shared" ca="1" si="14"/>
        <v/>
      </c>
      <c r="P37" s="91" t="str">
        <f ca="1">IFERROR(IF(AND($X37=3, ISNUMBER($X37)), COUNTIFS(X$18:X37, "=3", $AC$18:$AC37, $AC37), "-"), "err")</f>
        <v>-</v>
      </c>
      <c r="Q37" s="26" t="str">
        <f ca="1">IFERROR(IF(AND($X37=2, ISNUMBER($X37)), COUNTIFS(X$18:X37, "=2", $AC$18:$AC37, $AC37), "-"), "err")</f>
        <v>-</v>
      </c>
      <c r="R37" s="25">
        <f t="shared" ca="1" si="15"/>
        <v>0</v>
      </c>
      <c r="S37" s="26" t="str">
        <f ca="1">IFERROR(IF(AND($X37&gt;=2, ISNUMBER($X37)), COUNTIFS(X$18:X37, "&gt;=2", $AC$18:$AC37, $AC37), "-"), "err")</f>
        <v>-</v>
      </c>
      <c r="T37" s="25">
        <f t="shared" ca="1" si="16"/>
        <v>0</v>
      </c>
      <c r="U37" s="26" t="str">
        <f ca="1">IFERROR(IF(Y37="Yes", COUNTIFS(Y$18:Y37, "Yes", $AC$18:$AC37, $AC37), "-"), "err")</f>
        <v>-</v>
      </c>
      <c r="V37" s="25">
        <f t="shared" ca="1" si="17"/>
        <v>0</v>
      </c>
      <c r="W37" s="26" t="str">
        <f ca="1">IFERROR(IF($Z37="Yes", COUNTIFS(Z$18:Z37, "Yes", $AC$18:AC37, $AC37), "-"), "err")</f>
        <v>-</v>
      </c>
      <c r="X37" s="91">
        <f t="shared" ca="1" si="5"/>
        <v>0</v>
      </c>
      <c r="Y37" s="26" t="str">
        <f t="shared" ca="1" si="6"/>
        <v/>
      </c>
      <c r="Z37" s="26" t="str">
        <f t="shared" ca="1" si="7"/>
        <v/>
      </c>
      <c r="AA37" s="91">
        <f t="shared" si="18"/>
        <v>18</v>
      </c>
      <c r="AB37" s="17" t="s">
        <v>363</v>
      </c>
      <c r="AC37" s="185" t="s">
        <v>275</v>
      </c>
      <c r="AD37" s="87"/>
      <c r="AE37" s="87"/>
      <c r="AF37" s="115"/>
      <c r="AG37" s="201"/>
      <c r="AH37" s="116"/>
      <c r="AI37" s="117"/>
      <c r="AJ37" s="115"/>
      <c r="AK37" s="201"/>
      <c r="AL37" s="116"/>
      <c r="AM37" s="117"/>
      <c r="AN37" s="115"/>
      <c r="AO37" s="201"/>
      <c r="AP37" s="116"/>
      <c r="AQ37" s="117"/>
      <c r="AR37" s="130"/>
    </row>
    <row r="38" spans="1:44" x14ac:dyDescent="0.25">
      <c r="A38" s="41"/>
      <c r="B38" s="25" t="str">
        <f t="shared" si="0"/>
        <v>Caregiver Functioning - Caregiver #1_0</v>
      </c>
      <c r="C38" s="25" t="str">
        <f t="shared" si="8"/>
        <v/>
      </c>
      <c r="D38" s="25" t="str">
        <f t="shared" si="1"/>
        <v/>
      </c>
      <c r="E38" s="25" t="str">
        <f t="shared" si="1"/>
        <v/>
      </c>
      <c r="F38" s="95">
        <f t="shared" si="19"/>
        <v>4</v>
      </c>
      <c r="G38" s="25">
        <f t="shared" si="20"/>
        <v>0</v>
      </c>
      <c r="H38" s="25" t="str">
        <f t="shared" si="9"/>
        <v>CGF</v>
      </c>
      <c r="I38" s="25" t="str">
        <f t="shared" si="10"/>
        <v>CGF</v>
      </c>
      <c r="J38" s="25" t="str">
        <f t="shared" si="4"/>
        <v>Caregiver Functioning - Caregiver #1</v>
      </c>
      <c r="K38" s="108">
        <v>0</v>
      </c>
      <c r="L38" s="95" t="str">
        <f t="shared" ca="1" si="11"/>
        <v/>
      </c>
      <c r="M38" s="25" t="str">
        <f t="shared" ca="1" si="12"/>
        <v/>
      </c>
      <c r="N38" s="25" t="str">
        <f t="shared" ca="1" si="13"/>
        <v/>
      </c>
      <c r="O38" s="25" t="str">
        <f t="shared" ca="1" si="14"/>
        <v/>
      </c>
      <c r="P38" s="91" t="str">
        <f ca="1">IFERROR(IF(AND($X38=3, ISNUMBER($X38)), COUNTIFS(X$18:X38, "=3", $AC$18:$AC38, $AC38), "-"), "err")</f>
        <v>-</v>
      </c>
      <c r="Q38" s="26" t="str">
        <f ca="1">IFERROR(IF(AND($X38=2, ISNUMBER($X38)), COUNTIFS(X$18:X38, "=2", $AC$18:$AC38, $AC38), "-"), "err")</f>
        <v>-</v>
      </c>
      <c r="R38" s="25">
        <f t="shared" ca="1" si="15"/>
        <v>0</v>
      </c>
      <c r="S38" s="26" t="str">
        <f ca="1">IFERROR(IF(AND($X38&gt;=2, ISNUMBER($X38)), COUNTIFS(X$18:X38, "&gt;=2", $AC$18:$AC38, $AC38), "-"), "err")</f>
        <v>-</v>
      </c>
      <c r="T38" s="25">
        <f t="shared" ca="1" si="16"/>
        <v>0</v>
      </c>
      <c r="U38" s="26" t="str">
        <f ca="1">IFERROR(IF(Y38="Yes", COUNTIFS(Y$18:Y38, "Yes", $AC$18:$AC38, $AC38), "-"), "err")</f>
        <v>-</v>
      </c>
      <c r="V38" s="25">
        <f t="shared" ca="1" si="17"/>
        <v>0</v>
      </c>
      <c r="W38" s="26" t="str">
        <f ca="1">IFERROR(IF($Z38="Yes", COUNTIFS(Z$18:Z38, "Yes", $AC$18:AC38, $AC38), "-"), "err")</f>
        <v>-</v>
      </c>
      <c r="X38" s="91">
        <f t="shared" ca="1" si="5"/>
        <v>0</v>
      </c>
      <c r="Y38" s="26" t="str">
        <f t="shared" ca="1" si="6"/>
        <v/>
      </c>
      <c r="Z38" s="26" t="str">
        <f t="shared" ca="1" si="7"/>
        <v/>
      </c>
      <c r="AA38" s="91">
        <f t="shared" si="18"/>
        <v>18</v>
      </c>
      <c r="AC38" s="183" t="s">
        <v>324</v>
      </c>
      <c r="AD38" s="60"/>
      <c r="AE38" s="61"/>
      <c r="AF38" s="118"/>
      <c r="AG38" s="119"/>
      <c r="AH38" s="120"/>
      <c r="AI38" s="121"/>
      <c r="AJ38" s="118"/>
      <c r="AK38" s="119"/>
      <c r="AL38" s="120"/>
      <c r="AM38" s="121"/>
      <c r="AN38" s="118"/>
      <c r="AO38" s="119"/>
      <c r="AP38" s="120"/>
      <c r="AQ38" s="121"/>
      <c r="AR38" s="130"/>
    </row>
    <row r="39" spans="1:44" x14ac:dyDescent="0.25">
      <c r="A39" s="41"/>
      <c r="B39" s="25" t="str">
        <f t="shared" si="0"/>
        <v>Caregiver Functioning - Caregiver #1_0</v>
      </c>
      <c r="C39" s="25" t="str">
        <f t="shared" si="8"/>
        <v/>
      </c>
      <c r="D39" s="25" t="str">
        <f t="shared" si="1"/>
        <v/>
      </c>
      <c r="E39" s="25" t="str">
        <f t="shared" si="1"/>
        <v/>
      </c>
      <c r="F39" s="95">
        <f t="shared" si="19"/>
        <v>4</v>
      </c>
      <c r="G39" s="25">
        <f t="shared" si="20"/>
        <v>0</v>
      </c>
      <c r="H39" s="25" t="str">
        <f t="shared" si="9"/>
        <v>CGF</v>
      </c>
      <c r="I39" s="25" t="str">
        <f t="shared" si="10"/>
        <v>CGF</v>
      </c>
      <c r="J39" s="25" t="str">
        <f t="shared" si="4"/>
        <v>Caregiver Functioning - Caregiver #1</v>
      </c>
      <c r="K39" s="108">
        <v>2</v>
      </c>
      <c r="L39" s="95" t="str">
        <f t="shared" ca="1" si="11"/>
        <v/>
      </c>
      <c r="M39" s="25" t="str">
        <f t="shared" ca="1" si="12"/>
        <v/>
      </c>
      <c r="N39" s="25" t="str">
        <f t="shared" ca="1" si="13"/>
        <v/>
      </c>
      <c r="O39" s="25" t="str">
        <f t="shared" ca="1" si="14"/>
        <v/>
      </c>
      <c r="P39" s="91" t="str">
        <f ca="1">IFERROR(IF(AND($X39=3, ISNUMBER($X39)), COUNTIFS(X$18:X39, "=3", $AC$18:$AC39, $AC39), "-"), "err")</f>
        <v>-</v>
      </c>
      <c r="Q39" s="26" t="str">
        <f ca="1">IFERROR(IF(AND($X39=2, ISNUMBER($X39)), COUNTIFS(X$18:X39, "=2", $AC$18:$AC39, $AC39), "-"), "err")</f>
        <v>-</v>
      </c>
      <c r="R39" s="25">
        <f t="shared" ca="1" si="15"/>
        <v>0</v>
      </c>
      <c r="S39" s="26" t="str">
        <f ca="1">IFERROR(IF(AND($X39&gt;=2, ISNUMBER($X39)), COUNTIFS(X$18:X39, "&gt;=2", $AC$18:$AC39, $AC39), "-"), "err")</f>
        <v>-</v>
      </c>
      <c r="T39" s="25">
        <f t="shared" ca="1" si="16"/>
        <v>0</v>
      </c>
      <c r="U39" s="26" t="str">
        <f ca="1">IFERROR(IF(Y39="Yes", COUNTIFS(Y$18:Y39, "Yes", $AC$18:$AC39, $AC39), "-"), "err")</f>
        <v>-</v>
      </c>
      <c r="V39" s="25">
        <f t="shared" ca="1" si="17"/>
        <v>0</v>
      </c>
      <c r="W39" s="26" t="str">
        <f ca="1">IFERROR(IF($Z39="Yes", COUNTIFS(Z$18:Z39, "Yes", $AC$18:AC39, $AC39), "-"), "err")</f>
        <v>-</v>
      </c>
      <c r="X39" s="91">
        <f t="shared" ca="1" si="5"/>
        <v>0</v>
      </c>
      <c r="Y39" s="26" t="str">
        <f t="shared" ca="1" si="6"/>
        <v/>
      </c>
      <c r="Z39" s="26" t="str">
        <f t="shared" ca="1" si="7"/>
        <v/>
      </c>
      <c r="AA39" s="91">
        <f t="shared" si="18"/>
        <v>18</v>
      </c>
      <c r="AC39" s="133" t="s">
        <v>323</v>
      </c>
      <c r="AD39" s="197"/>
      <c r="AE39" s="61"/>
      <c r="AF39" s="118"/>
      <c r="AG39" s="119"/>
      <c r="AH39" s="120"/>
      <c r="AI39" s="121"/>
      <c r="AJ39" s="118"/>
      <c r="AK39" s="119"/>
      <c r="AL39" s="120"/>
      <c r="AM39" s="121"/>
      <c r="AN39" s="118"/>
      <c r="AO39" s="119"/>
      <c r="AP39" s="120"/>
      <c r="AQ39" s="121"/>
      <c r="AR39" s="130"/>
    </row>
    <row r="40" spans="1:44" x14ac:dyDescent="0.25">
      <c r="A40" s="41"/>
      <c r="B40" s="25" t="str">
        <f t="shared" si="0"/>
        <v>Caregiver Functioning - Caregiver #1_1</v>
      </c>
      <c r="C40" s="25" t="str">
        <f t="shared" si="8"/>
        <v/>
      </c>
      <c r="D40" s="25" t="str">
        <f t="shared" si="1"/>
        <v/>
      </c>
      <c r="E40" s="25" t="str">
        <f t="shared" si="1"/>
        <v/>
      </c>
      <c r="F40" s="95">
        <f t="shared" si="19"/>
        <v>4</v>
      </c>
      <c r="G40" s="25">
        <f t="shared" si="20"/>
        <v>1</v>
      </c>
      <c r="H40" s="25" t="str">
        <f t="shared" si="9"/>
        <v>CGF</v>
      </c>
      <c r="I40" s="25" t="str">
        <f t="shared" si="10"/>
        <v>CGF</v>
      </c>
      <c r="J40" s="25" t="str">
        <f t="shared" si="4"/>
        <v>Caregiver Functioning - Caregiver #1</v>
      </c>
      <c r="K40" s="108">
        <v>1</v>
      </c>
      <c r="L40" s="95" t="str">
        <f t="shared" ca="1" si="11"/>
        <v/>
      </c>
      <c r="M40" s="25" t="str">
        <f t="shared" ca="1" si="12"/>
        <v/>
      </c>
      <c r="N40" s="25" t="str">
        <f t="shared" ca="1" si="13"/>
        <v/>
      </c>
      <c r="O40" s="25" t="str">
        <f t="shared" ca="1" si="14"/>
        <v/>
      </c>
      <c r="P40" s="91" t="str">
        <f ca="1">IFERROR(IF(AND($X40=3, ISNUMBER($X40)), COUNTIFS(X$18:X40, "=3", $AC$18:$AC40, $AC40), "-"), "err")</f>
        <v>-</v>
      </c>
      <c r="Q40" s="26" t="str">
        <f ca="1">IFERROR(IF(AND($X40=2, ISNUMBER($X40)), COUNTIFS(X$18:X40, "=2", $AC$18:$AC40, $AC40), "-"), "err")</f>
        <v>-</v>
      </c>
      <c r="R40" s="25">
        <f t="shared" ca="1" si="15"/>
        <v>0</v>
      </c>
      <c r="S40" s="26" t="str">
        <f ca="1">IFERROR(IF(AND($X40&gt;=2, ISNUMBER($X40)), COUNTIFS(X$18:X40, "&gt;=2", $AC$18:$AC40, $AC40), "-"), "err")</f>
        <v>-</v>
      </c>
      <c r="T40" s="25">
        <f t="shared" ca="1" si="16"/>
        <v>0</v>
      </c>
      <c r="U40" s="26" t="str">
        <f ca="1">IFERROR(IF(Y40="Yes", COUNTIFS(Y$18:Y40, "Yes", $AC$18:$AC40, $AC40), "-"), "err")</f>
        <v>-</v>
      </c>
      <c r="V40" s="25">
        <f t="shared" ca="1" si="17"/>
        <v>0</v>
      </c>
      <c r="W40" s="26" t="str">
        <f ca="1">IFERROR(IF($Z40="Yes", COUNTIFS(Z$18:Z40, "Yes", $AC$18:AC40, $AC40), "-"), "err")</f>
        <v>-</v>
      </c>
      <c r="X40" s="91">
        <f t="shared" ca="1" si="5"/>
        <v>0</v>
      </c>
      <c r="Y40" s="26" t="str">
        <f t="shared" ca="1" si="6"/>
        <v/>
      </c>
      <c r="Z40" s="26" t="str">
        <f t="shared" ca="1" si="7"/>
        <v/>
      </c>
      <c r="AA40" s="91">
        <f t="shared" si="18"/>
        <v>19</v>
      </c>
      <c r="AB40" s="17" t="s">
        <v>276</v>
      </c>
      <c r="AC40" s="184" t="s">
        <v>276</v>
      </c>
      <c r="AD40" s="54"/>
      <c r="AE40" s="54"/>
      <c r="AF40" s="112"/>
      <c r="AG40" s="200"/>
      <c r="AH40" s="113"/>
      <c r="AI40" s="114"/>
      <c r="AJ40" s="112"/>
      <c r="AK40" s="200"/>
      <c r="AL40" s="113"/>
      <c r="AM40" s="114"/>
      <c r="AN40" s="112"/>
      <c r="AO40" s="200"/>
      <c r="AP40" s="113"/>
      <c r="AQ40" s="114"/>
      <c r="AR40" s="130"/>
    </row>
    <row r="41" spans="1:44" x14ac:dyDescent="0.25">
      <c r="A41" s="41"/>
      <c r="B41" s="25" t="str">
        <f t="shared" si="0"/>
        <v>Caregiver Functioning - Caregiver #1_2</v>
      </c>
      <c r="C41" s="25" t="str">
        <f t="shared" si="8"/>
        <v/>
      </c>
      <c r="D41" s="25" t="str">
        <f t="shared" si="1"/>
        <v/>
      </c>
      <c r="E41" s="25" t="str">
        <f t="shared" si="1"/>
        <v/>
      </c>
      <c r="F41" s="95">
        <f t="shared" si="19"/>
        <v>4</v>
      </c>
      <c r="G41" s="25">
        <f t="shared" si="20"/>
        <v>2</v>
      </c>
      <c r="H41" s="25" t="str">
        <f t="shared" si="9"/>
        <v>CGF</v>
      </c>
      <c r="I41" s="25" t="str">
        <f t="shared" si="10"/>
        <v>CGF</v>
      </c>
      <c r="J41" s="25" t="str">
        <f t="shared" si="4"/>
        <v>Caregiver Functioning - Caregiver #1</v>
      </c>
      <c r="K41" s="108">
        <v>1</v>
      </c>
      <c r="L41" s="95" t="str">
        <f t="shared" ca="1" si="11"/>
        <v/>
      </c>
      <c r="M41" s="25" t="str">
        <f t="shared" ca="1" si="12"/>
        <v/>
      </c>
      <c r="N41" s="25" t="str">
        <f t="shared" ca="1" si="13"/>
        <v/>
      </c>
      <c r="O41" s="25" t="str">
        <f t="shared" ca="1" si="14"/>
        <v/>
      </c>
      <c r="P41" s="91" t="str">
        <f ca="1">IFERROR(IF(AND($X41=3, ISNUMBER($X41)), COUNTIFS(X$18:X41, "=3", $AC$18:$AC41, $AC41), "-"), "err")</f>
        <v>-</v>
      </c>
      <c r="Q41" s="26" t="str">
        <f ca="1">IFERROR(IF(AND($X41=2, ISNUMBER($X41)), COUNTIFS(X$18:X41, "=2", $AC$18:$AC41, $AC41), "-"), "err")</f>
        <v>-</v>
      </c>
      <c r="R41" s="25">
        <f t="shared" ca="1" si="15"/>
        <v>0</v>
      </c>
      <c r="S41" s="26" t="str">
        <f ca="1">IFERROR(IF(AND($X41&gt;=2, ISNUMBER($X41)), COUNTIFS(X$18:X41, "&gt;=2", $AC$18:$AC41, $AC41), "-"), "err")</f>
        <v>-</v>
      </c>
      <c r="T41" s="25">
        <f t="shared" ca="1" si="16"/>
        <v>0</v>
      </c>
      <c r="U41" s="26" t="str">
        <f ca="1">IFERROR(IF(Y41="Yes", COUNTIFS(Y$18:Y41, "Yes", $AC$18:$AC41, $AC41), "-"), "err")</f>
        <v>-</v>
      </c>
      <c r="V41" s="25">
        <f t="shared" ca="1" si="17"/>
        <v>0</v>
      </c>
      <c r="W41" s="26" t="str">
        <f ca="1">IFERROR(IF($Z41="Yes", COUNTIFS(Z$18:Z41, "Yes", $AC$18:AC41, $AC41), "-"), "err")</f>
        <v>-</v>
      </c>
      <c r="X41" s="91">
        <f t="shared" ca="1" si="5"/>
        <v>0</v>
      </c>
      <c r="Y41" s="26" t="str">
        <f t="shared" ca="1" si="6"/>
        <v/>
      </c>
      <c r="Z41" s="26" t="str">
        <f t="shared" ca="1" si="7"/>
        <v/>
      </c>
      <c r="AA41" s="91">
        <f t="shared" si="18"/>
        <v>20</v>
      </c>
      <c r="AB41" s="17" t="s">
        <v>277</v>
      </c>
      <c r="AC41" s="185" t="s">
        <v>277</v>
      </c>
      <c r="AD41" s="87"/>
      <c r="AE41" s="87"/>
      <c r="AF41" s="115"/>
      <c r="AG41" s="201"/>
      <c r="AH41" s="116"/>
      <c r="AI41" s="117"/>
      <c r="AJ41" s="115"/>
      <c r="AK41" s="201"/>
      <c r="AL41" s="116"/>
      <c r="AM41" s="117"/>
      <c r="AN41" s="115"/>
      <c r="AO41" s="201"/>
      <c r="AP41" s="116"/>
      <c r="AQ41" s="117"/>
      <c r="AR41" s="130"/>
    </row>
    <row r="42" spans="1:44" x14ac:dyDescent="0.25">
      <c r="A42" s="41"/>
      <c r="B42" s="25" t="str">
        <f t="shared" si="0"/>
        <v>Caregiver Functioning - Caregiver #1_3</v>
      </c>
      <c r="C42" s="25" t="str">
        <f t="shared" si="8"/>
        <v/>
      </c>
      <c r="D42" s="25" t="str">
        <f t="shared" si="1"/>
        <v/>
      </c>
      <c r="E42" s="25" t="str">
        <f t="shared" si="1"/>
        <v/>
      </c>
      <c r="F42" s="95">
        <f t="shared" si="19"/>
        <v>4</v>
      </c>
      <c r="G42" s="25">
        <f t="shared" si="20"/>
        <v>3</v>
      </c>
      <c r="H42" s="25" t="str">
        <f t="shared" si="9"/>
        <v>CGF</v>
      </c>
      <c r="I42" s="25" t="str">
        <f t="shared" si="10"/>
        <v>CGF</v>
      </c>
      <c r="J42" s="25" t="str">
        <f t="shared" si="4"/>
        <v>Caregiver Functioning - Caregiver #1</v>
      </c>
      <c r="K42" s="108">
        <v>1</v>
      </c>
      <c r="L42" s="95" t="str">
        <f t="shared" ca="1" si="11"/>
        <v/>
      </c>
      <c r="M42" s="25" t="str">
        <f t="shared" ca="1" si="12"/>
        <v/>
      </c>
      <c r="N42" s="25" t="str">
        <f t="shared" ca="1" si="13"/>
        <v/>
      </c>
      <c r="O42" s="25" t="str">
        <f t="shared" ca="1" si="14"/>
        <v/>
      </c>
      <c r="P42" s="91" t="str">
        <f ca="1">IFERROR(IF(AND($X42=3, ISNUMBER($X42)), COUNTIFS(X$18:X42, "=3", $AC$18:$AC42, $AC42), "-"), "err")</f>
        <v>-</v>
      </c>
      <c r="Q42" s="26" t="str">
        <f ca="1">IFERROR(IF(AND($X42=2, ISNUMBER($X42)), COUNTIFS(X$18:X42, "=2", $AC$18:$AC42, $AC42), "-"), "err")</f>
        <v>-</v>
      </c>
      <c r="R42" s="25">
        <f t="shared" ca="1" si="15"/>
        <v>0</v>
      </c>
      <c r="S42" s="26" t="str">
        <f ca="1">IFERROR(IF(AND($X42&gt;=2, ISNUMBER($X42)), COUNTIFS(X$18:X42, "&gt;=2", $AC$18:$AC42, $AC42), "-"), "err")</f>
        <v>-</v>
      </c>
      <c r="T42" s="25">
        <f t="shared" ca="1" si="16"/>
        <v>0</v>
      </c>
      <c r="U42" s="26" t="str">
        <f ca="1">IFERROR(IF(Y42="Yes", COUNTIFS(Y$18:Y42, "Yes", $AC$18:$AC42, $AC42), "-"), "err")</f>
        <v>-</v>
      </c>
      <c r="V42" s="25">
        <f t="shared" ca="1" si="17"/>
        <v>0</v>
      </c>
      <c r="W42" s="26" t="str">
        <f ca="1">IFERROR(IF($Z42="Yes", COUNTIFS(Z$18:Z42, "Yes", $AC$18:AC42, $AC42), "-"), "err")</f>
        <v>-</v>
      </c>
      <c r="X42" s="91">
        <f t="shared" ca="1" si="5"/>
        <v>0</v>
      </c>
      <c r="Y42" s="26" t="str">
        <f t="shared" ca="1" si="6"/>
        <v/>
      </c>
      <c r="Z42" s="26" t="str">
        <f t="shared" ca="1" si="7"/>
        <v/>
      </c>
      <c r="AA42" s="91">
        <f t="shared" si="18"/>
        <v>21</v>
      </c>
      <c r="AB42" s="17" t="s">
        <v>38</v>
      </c>
      <c r="AC42" s="184" t="s">
        <v>38</v>
      </c>
      <c r="AD42" s="54"/>
      <c r="AE42" s="54"/>
      <c r="AF42" s="112"/>
      <c r="AG42" s="200"/>
      <c r="AH42" s="113"/>
      <c r="AI42" s="114"/>
      <c r="AJ42" s="112"/>
      <c r="AK42" s="200"/>
      <c r="AL42" s="113"/>
      <c r="AM42" s="114"/>
      <c r="AN42" s="112"/>
      <c r="AO42" s="200"/>
      <c r="AP42" s="113"/>
      <c r="AQ42" s="114"/>
      <c r="AR42" s="130"/>
    </row>
    <row r="43" spans="1:44" x14ac:dyDescent="0.25">
      <c r="A43" s="41"/>
      <c r="B43" s="25" t="str">
        <f t="shared" si="0"/>
        <v>Caregiver Functioning - Caregiver #1_4</v>
      </c>
      <c r="C43" s="25" t="str">
        <f t="shared" si="8"/>
        <v/>
      </c>
      <c r="D43" s="25" t="str">
        <f t="shared" si="1"/>
        <v/>
      </c>
      <c r="E43" s="25" t="str">
        <f t="shared" si="1"/>
        <v/>
      </c>
      <c r="F43" s="95">
        <f t="shared" si="19"/>
        <v>4</v>
      </c>
      <c r="G43" s="25">
        <f t="shared" si="20"/>
        <v>4</v>
      </c>
      <c r="H43" s="25" t="str">
        <f t="shared" si="9"/>
        <v>CGF</v>
      </c>
      <c r="I43" s="25" t="str">
        <f t="shared" si="10"/>
        <v>CGF</v>
      </c>
      <c r="J43" s="25" t="str">
        <f t="shared" si="4"/>
        <v>Caregiver Functioning - Caregiver #1</v>
      </c>
      <c r="K43" s="108">
        <v>1</v>
      </c>
      <c r="L43" s="95" t="str">
        <f t="shared" ca="1" si="11"/>
        <v/>
      </c>
      <c r="M43" s="25" t="str">
        <f t="shared" ca="1" si="12"/>
        <v/>
      </c>
      <c r="N43" s="25" t="str">
        <f t="shared" ca="1" si="13"/>
        <v/>
      </c>
      <c r="O43" s="25" t="str">
        <f t="shared" ca="1" si="14"/>
        <v/>
      </c>
      <c r="P43" s="91" t="str">
        <f ca="1">IFERROR(IF(AND($X43=3, ISNUMBER($X43)), COUNTIFS(X$18:X43, "=3", $AC$18:$AC43, $AC43), "-"), "err")</f>
        <v>-</v>
      </c>
      <c r="Q43" s="26" t="str">
        <f ca="1">IFERROR(IF(AND($X43=2, ISNUMBER($X43)), COUNTIFS(X$18:X43, "=2", $AC$18:$AC43, $AC43), "-"), "err")</f>
        <v>-</v>
      </c>
      <c r="R43" s="25">
        <f t="shared" ca="1" si="15"/>
        <v>0</v>
      </c>
      <c r="S43" s="26" t="str">
        <f ca="1">IFERROR(IF(AND($X43&gt;=2, ISNUMBER($X43)), COUNTIFS(X$18:X43, "&gt;=2", $AC$18:$AC43, $AC43), "-"), "err")</f>
        <v>-</v>
      </c>
      <c r="T43" s="25">
        <f t="shared" ca="1" si="16"/>
        <v>0</v>
      </c>
      <c r="U43" s="26" t="str">
        <f ca="1">IFERROR(IF(Y43="Yes", COUNTIFS(Y$18:Y43, "Yes", $AC$18:$AC43, $AC43), "-"), "err")</f>
        <v>-</v>
      </c>
      <c r="V43" s="25">
        <f t="shared" ca="1" si="17"/>
        <v>0</v>
      </c>
      <c r="W43" s="26" t="str">
        <f ca="1">IFERROR(IF($Z43="Yes", COUNTIFS(Z$18:Z43, "Yes", $AC$18:AC43, $AC43), "-"), "err")</f>
        <v>-</v>
      </c>
      <c r="X43" s="91">
        <f t="shared" ca="1" si="5"/>
        <v>0</v>
      </c>
      <c r="Y43" s="26" t="str">
        <f t="shared" ca="1" si="6"/>
        <v/>
      </c>
      <c r="Z43" s="26" t="str">
        <f t="shared" ca="1" si="7"/>
        <v/>
      </c>
      <c r="AA43" s="91">
        <f t="shared" si="18"/>
        <v>22</v>
      </c>
      <c r="AB43" s="17" t="s">
        <v>130</v>
      </c>
      <c r="AC43" s="185" t="s">
        <v>130</v>
      </c>
      <c r="AD43" s="87"/>
      <c r="AE43" s="87"/>
      <c r="AF43" s="115"/>
      <c r="AG43" s="201"/>
      <c r="AH43" s="116"/>
      <c r="AI43" s="117"/>
      <c r="AJ43" s="115"/>
      <c r="AK43" s="201"/>
      <c r="AL43" s="116"/>
      <c r="AM43" s="117"/>
      <c r="AN43" s="115"/>
      <c r="AO43" s="201"/>
      <c r="AP43" s="116"/>
      <c r="AQ43" s="117"/>
      <c r="AR43" s="130"/>
    </row>
    <row r="44" spans="1:44" x14ac:dyDescent="0.25">
      <c r="A44" s="41"/>
      <c r="B44" s="25" t="str">
        <f t="shared" si="0"/>
        <v>Caregiver Functioning - Caregiver #1_5</v>
      </c>
      <c r="C44" s="25" t="str">
        <f t="shared" si="8"/>
        <v/>
      </c>
      <c r="D44" s="25" t="str">
        <f t="shared" si="1"/>
        <v/>
      </c>
      <c r="E44" s="25" t="str">
        <f t="shared" si="1"/>
        <v/>
      </c>
      <c r="F44" s="95">
        <f t="shared" si="19"/>
        <v>4</v>
      </c>
      <c r="G44" s="25">
        <f t="shared" si="20"/>
        <v>5</v>
      </c>
      <c r="H44" s="25" t="str">
        <f t="shared" si="9"/>
        <v>CGF</v>
      </c>
      <c r="I44" s="25" t="str">
        <f t="shared" si="10"/>
        <v>CGF</v>
      </c>
      <c r="J44" s="25" t="str">
        <f t="shared" si="4"/>
        <v>Caregiver Functioning - Caregiver #1</v>
      </c>
      <c r="K44" s="108">
        <v>1</v>
      </c>
      <c r="L44" s="95" t="str">
        <f t="shared" ca="1" si="11"/>
        <v/>
      </c>
      <c r="M44" s="25" t="str">
        <f t="shared" ca="1" si="12"/>
        <v/>
      </c>
      <c r="N44" s="25" t="str">
        <f t="shared" ca="1" si="13"/>
        <v/>
      </c>
      <c r="O44" s="25" t="str">
        <f t="shared" ca="1" si="14"/>
        <v/>
      </c>
      <c r="P44" s="91" t="str">
        <f ca="1">IFERROR(IF(AND($X44=3, ISNUMBER($X44)), COUNTIFS(X$18:X44, "=3", $AC$18:$AC44, $AC44), "-"), "err")</f>
        <v>-</v>
      </c>
      <c r="Q44" s="26" t="str">
        <f ca="1">IFERROR(IF(AND($X44=2, ISNUMBER($X44)), COUNTIFS(X$18:X44, "=2", $AC$18:$AC44, $AC44), "-"), "err")</f>
        <v>-</v>
      </c>
      <c r="R44" s="25">
        <f t="shared" ca="1" si="15"/>
        <v>0</v>
      </c>
      <c r="S44" s="26" t="str">
        <f ca="1">IFERROR(IF(AND($X44&gt;=2, ISNUMBER($X44)), COUNTIFS(X$18:X44, "&gt;=2", $AC$18:$AC44, $AC44), "-"), "err")</f>
        <v>-</v>
      </c>
      <c r="T44" s="25">
        <f t="shared" ca="1" si="16"/>
        <v>0</v>
      </c>
      <c r="U44" s="26" t="str">
        <f ca="1">IFERROR(IF(Y44="Yes", COUNTIFS(Y$18:Y44, "Yes", $AC$18:$AC44, $AC44), "-"), "err")</f>
        <v>-</v>
      </c>
      <c r="V44" s="25">
        <f t="shared" ca="1" si="17"/>
        <v>0</v>
      </c>
      <c r="W44" s="26" t="str">
        <f ca="1">IFERROR(IF($Z44="Yes", COUNTIFS(Z$18:Z44, "Yes", $AC$18:AC44, $AC44), "-"), "err")</f>
        <v>-</v>
      </c>
      <c r="X44" s="91">
        <f t="shared" ca="1" si="5"/>
        <v>0</v>
      </c>
      <c r="Y44" s="26" t="str">
        <f t="shared" ca="1" si="6"/>
        <v/>
      </c>
      <c r="Z44" s="26" t="str">
        <f t="shared" ca="1" si="7"/>
        <v/>
      </c>
      <c r="AA44" s="91">
        <f t="shared" si="18"/>
        <v>23</v>
      </c>
      <c r="AB44" s="17" t="s">
        <v>42</v>
      </c>
      <c r="AC44" s="184" t="s">
        <v>42</v>
      </c>
      <c r="AD44" s="54"/>
      <c r="AE44" s="54"/>
      <c r="AF44" s="112"/>
      <c r="AG44" s="200"/>
      <c r="AH44" s="122"/>
      <c r="AI44" s="123"/>
      <c r="AJ44" s="112"/>
      <c r="AK44" s="200"/>
      <c r="AL44" s="122"/>
      <c r="AM44" s="123"/>
      <c r="AN44" s="112"/>
      <c r="AO44" s="200"/>
      <c r="AP44" s="122"/>
      <c r="AQ44" s="123"/>
      <c r="AR44" s="130"/>
    </row>
    <row r="45" spans="1:44" x14ac:dyDescent="0.25">
      <c r="A45" s="41"/>
      <c r="B45" s="25" t="str">
        <f t="shared" si="0"/>
        <v>Caregiver Functioning - Caregiver #1_6</v>
      </c>
      <c r="C45" s="25" t="str">
        <f t="shared" si="8"/>
        <v/>
      </c>
      <c r="D45" s="25" t="str">
        <f t="shared" si="1"/>
        <v/>
      </c>
      <c r="E45" s="25" t="str">
        <f t="shared" si="1"/>
        <v/>
      </c>
      <c r="F45" s="95">
        <f t="shared" si="19"/>
        <v>4</v>
      </c>
      <c r="G45" s="25">
        <f t="shared" si="20"/>
        <v>6</v>
      </c>
      <c r="H45" s="25" t="str">
        <f t="shared" si="9"/>
        <v>CGF</v>
      </c>
      <c r="I45" s="25" t="str">
        <f t="shared" si="10"/>
        <v>CGF</v>
      </c>
      <c r="J45" s="25" t="str">
        <f t="shared" si="4"/>
        <v>Caregiver Functioning - Caregiver #1</v>
      </c>
      <c r="K45" s="108">
        <v>1</v>
      </c>
      <c r="L45" s="95" t="str">
        <f t="shared" ca="1" si="11"/>
        <v/>
      </c>
      <c r="M45" s="25" t="str">
        <f t="shared" ca="1" si="12"/>
        <v/>
      </c>
      <c r="N45" s="25" t="str">
        <f t="shared" ca="1" si="13"/>
        <v/>
      </c>
      <c r="O45" s="25" t="str">
        <f t="shared" ca="1" si="14"/>
        <v/>
      </c>
      <c r="P45" s="91" t="str">
        <f ca="1">IFERROR(IF(AND($X45=3, ISNUMBER($X45)), COUNTIFS(X$18:X45, "=3", $AC$18:$AC45, $AC45), "-"), "err")</f>
        <v>-</v>
      </c>
      <c r="Q45" s="26" t="str">
        <f ca="1">IFERROR(IF(AND($X45=2, ISNUMBER($X45)), COUNTIFS(X$18:X45, "=2", $AC$18:$AC45, $AC45), "-"), "err")</f>
        <v>-</v>
      </c>
      <c r="R45" s="25">
        <f t="shared" ca="1" si="15"/>
        <v>0</v>
      </c>
      <c r="S45" s="26" t="str">
        <f ca="1">IFERROR(IF(AND($X45&gt;=2, ISNUMBER($X45)), COUNTIFS(X$18:X45, "&gt;=2", $AC$18:$AC45, $AC45), "-"), "err")</f>
        <v>-</v>
      </c>
      <c r="T45" s="25">
        <f t="shared" ca="1" si="16"/>
        <v>0</v>
      </c>
      <c r="U45" s="26" t="str">
        <f ca="1">IFERROR(IF(Y45="Yes", COUNTIFS(Y$18:Y45, "Yes", $AC$18:$AC45, $AC45), "-"), "err")</f>
        <v>-</v>
      </c>
      <c r="V45" s="25">
        <f t="shared" ca="1" si="17"/>
        <v>0</v>
      </c>
      <c r="W45" s="26" t="str">
        <f ca="1">IFERROR(IF($Z45="Yes", COUNTIFS(Z$18:Z45, "Yes", $AC$18:AC45, $AC45), "-"), "err")</f>
        <v>-</v>
      </c>
      <c r="X45" s="91">
        <f t="shared" ca="1" si="5"/>
        <v>0</v>
      </c>
      <c r="Y45" s="26" t="str">
        <f t="shared" ca="1" si="6"/>
        <v/>
      </c>
      <c r="Z45" s="26" t="str">
        <f t="shared" ca="1" si="7"/>
        <v/>
      </c>
      <c r="AA45" s="91">
        <f t="shared" si="18"/>
        <v>24</v>
      </c>
      <c r="AB45" s="17" t="s">
        <v>278</v>
      </c>
      <c r="AC45" s="185" t="s">
        <v>278</v>
      </c>
      <c r="AD45" s="87"/>
      <c r="AE45" s="87"/>
      <c r="AF45" s="115"/>
      <c r="AG45" s="201"/>
      <c r="AH45" s="116"/>
      <c r="AI45" s="117"/>
      <c r="AJ45" s="115"/>
      <c r="AK45" s="201"/>
      <c r="AL45" s="116"/>
      <c r="AM45" s="117"/>
      <c r="AN45" s="115"/>
      <c r="AO45" s="201"/>
      <c r="AP45" s="116"/>
      <c r="AQ45" s="117"/>
      <c r="AR45" s="130"/>
    </row>
    <row r="46" spans="1:44" x14ac:dyDescent="0.25">
      <c r="A46" s="41"/>
      <c r="B46" s="25" t="str">
        <f t="shared" si="0"/>
        <v>Caregiver Functioning - Caregiver #1_7</v>
      </c>
      <c r="C46" s="25" t="str">
        <f t="shared" si="8"/>
        <v/>
      </c>
      <c r="D46" s="25" t="str">
        <f t="shared" si="1"/>
        <v/>
      </c>
      <c r="E46" s="25" t="str">
        <f t="shared" si="1"/>
        <v/>
      </c>
      <c r="F46" s="95">
        <f t="shared" si="19"/>
        <v>4</v>
      </c>
      <c r="G46" s="25">
        <f t="shared" si="20"/>
        <v>7</v>
      </c>
      <c r="H46" s="25" t="str">
        <f t="shared" si="9"/>
        <v>CGF</v>
      </c>
      <c r="I46" s="25" t="str">
        <f t="shared" si="10"/>
        <v>CGF</v>
      </c>
      <c r="J46" s="25" t="str">
        <f t="shared" si="4"/>
        <v>Caregiver Functioning - Caregiver #1</v>
      </c>
      <c r="K46" s="108">
        <v>1</v>
      </c>
      <c r="L46" s="95" t="str">
        <f t="shared" ca="1" si="11"/>
        <v/>
      </c>
      <c r="M46" s="25" t="str">
        <f t="shared" ca="1" si="12"/>
        <v/>
      </c>
      <c r="N46" s="25" t="str">
        <f t="shared" ca="1" si="13"/>
        <v/>
      </c>
      <c r="O46" s="25" t="str">
        <f t="shared" ca="1" si="14"/>
        <v/>
      </c>
      <c r="P46" s="91" t="str">
        <f ca="1">IFERROR(IF(AND($X46=3, ISNUMBER($X46)), COUNTIFS(X$18:X46, "=3", $AC$18:$AC46, $AC46), "-"), "err")</f>
        <v>-</v>
      </c>
      <c r="Q46" s="26" t="str">
        <f ca="1">IFERROR(IF(AND($X46=2, ISNUMBER($X46)), COUNTIFS(X$18:X46, "=2", $AC$18:$AC46, $AC46), "-"), "err")</f>
        <v>-</v>
      </c>
      <c r="R46" s="25">
        <f t="shared" ca="1" si="15"/>
        <v>0</v>
      </c>
      <c r="S46" s="26" t="str">
        <f ca="1">IFERROR(IF(AND($X46&gt;=2, ISNUMBER($X46)), COUNTIFS(X$18:X46, "&gt;=2", $AC$18:$AC46, $AC46), "-"), "err")</f>
        <v>-</v>
      </c>
      <c r="T46" s="25">
        <f t="shared" ca="1" si="16"/>
        <v>0</v>
      </c>
      <c r="U46" s="26" t="str">
        <f ca="1">IFERROR(IF(Y46="Yes", COUNTIFS(Y$18:Y46, "Yes", $AC$18:$AC46, $AC46), "-"), "err")</f>
        <v>-</v>
      </c>
      <c r="V46" s="25">
        <f t="shared" ca="1" si="17"/>
        <v>0</v>
      </c>
      <c r="W46" s="26" t="str">
        <f ca="1">IFERROR(IF($Z46="Yes", COUNTIFS(Z$18:Z46, "Yes", $AC$18:AC46, $AC46), "-"), "err")</f>
        <v>-</v>
      </c>
      <c r="X46" s="91">
        <f t="shared" ca="1" si="5"/>
        <v>0</v>
      </c>
      <c r="Y46" s="26" t="str">
        <f t="shared" ca="1" si="6"/>
        <v/>
      </c>
      <c r="Z46" s="26" t="str">
        <f t="shared" ca="1" si="7"/>
        <v/>
      </c>
      <c r="AA46" s="91">
        <f t="shared" si="18"/>
        <v>25</v>
      </c>
      <c r="AB46" s="17" t="s">
        <v>121</v>
      </c>
      <c r="AC46" s="184" t="s">
        <v>121</v>
      </c>
      <c r="AD46" s="54"/>
      <c r="AE46" s="54"/>
      <c r="AF46" s="112"/>
      <c r="AG46" s="200"/>
      <c r="AH46" s="122"/>
      <c r="AI46" s="123"/>
      <c r="AJ46" s="112"/>
      <c r="AK46" s="200"/>
      <c r="AL46" s="122"/>
      <c r="AM46" s="123"/>
      <c r="AN46" s="112"/>
      <c r="AO46" s="200"/>
      <c r="AP46" s="122"/>
      <c r="AQ46" s="123"/>
      <c r="AR46" s="130"/>
    </row>
    <row r="47" spans="1:44" x14ac:dyDescent="0.25">
      <c r="A47" s="41"/>
      <c r="B47" s="25" t="str">
        <f t="shared" si="0"/>
        <v>Caregiver Functioning - Caregiver #1_8</v>
      </c>
      <c r="C47" s="25" t="str">
        <f t="shared" si="8"/>
        <v/>
      </c>
      <c r="D47" s="25" t="str">
        <f t="shared" si="1"/>
        <v/>
      </c>
      <c r="E47" s="25" t="str">
        <f t="shared" si="1"/>
        <v/>
      </c>
      <c r="F47" s="95">
        <f t="shared" si="19"/>
        <v>4</v>
      </c>
      <c r="G47" s="25">
        <f t="shared" si="20"/>
        <v>8</v>
      </c>
      <c r="H47" s="25" t="str">
        <f t="shared" si="9"/>
        <v>CGF</v>
      </c>
      <c r="I47" s="25" t="str">
        <f t="shared" si="10"/>
        <v>CGF</v>
      </c>
      <c r="J47" s="25" t="str">
        <f t="shared" si="4"/>
        <v>Caregiver Functioning - Caregiver #1</v>
      </c>
      <c r="K47" s="108">
        <v>1</v>
      </c>
      <c r="L47" s="95" t="str">
        <f t="shared" ca="1" si="11"/>
        <v/>
      </c>
      <c r="M47" s="25" t="str">
        <f t="shared" ca="1" si="12"/>
        <v/>
      </c>
      <c r="N47" s="25" t="str">
        <f t="shared" ca="1" si="13"/>
        <v/>
      </c>
      <c r="O47" s="25" t="str">
        <f t="shared" ca="1" si="14"/>
        <v/>
      </c>
      <c r="P47" s="91" t="str">
        <f ca="1">IFERROR(IF(AND($X47=3, ISNUMBER($X47)), COUNTIFS(X$18:X47, "=3", $AC$18:$AC47, $AC47), "-"), "err")</f>
        <v>-</v>
      </c>
      <c r="Q47" s="26" t="str">
        <f ca="1">IFERROR(IF(AND($X47=2, ISNUMBER($X47)), COUNTIFS(X$18:X47, "=2", $AC$18:$AC47, $AC47), "-"), "err")</f>
        <v>-</v>
      </c>
      <c r="R47" s="25">
        <f t="shared" ca="1" si="15"/>
        <v>0</v>
      </c>
      <c r="S47" s="26" t="str">
        <f ca="1">IFERROR(IF(AND($X47&gt;=2, ISNUMBER($X47)), COUNTIFS(X$18:X47, "&gt;=2", $AC$18:$AC47, $AC47), "-"), "err")</f>
        <v>-</v>
      </c>
      <c r="T47" s="25">
        <f t="shared" ca="1" si="16"/>
        <v>0</v>
      </c>
      <c r="U47" s="26" t="str">
        <f ca="1">IFERROR(IF(Y47="Yes", COUNTIFS(Y$18:Y47, "Yes", $AC$18:$AC47, $AC47), "-"), "err")</f>
        <v>-</v>
      </c>
      <c r="V47" s="25">
        <f t="shared" ca="1" si="17"/>
        <v>0</v>
      </c>
      <c r="W47" s="26" t="str">
        <f ca="1">IFERROR(IF($Z47="Yes", COUNTIFS(Z$18:Z47, "Yes", $AC$18:AC47, $AC47), "-"), "err")</f>
        <v>-</v>
      </c>
      <c r="X47" s="91">
        <f t="shared" ca="1" si="5"/>
        <v>0</v>
      </c>
      <c r="Y47" s="26" t="str">
        <f t="shared" ca="1" si="6"/>
        <v/>
      </c>
      <c r="Z47" s="26" t="str">
        <f t="shared" ca="1" si="7"/>
        <v/>
      </c>
      <c r="AA47" s="91">
        <f t="shared" si="18"/>
        <v>26</v>
      </c>
      <c r="AB47" s="17" t="s">
        <v>279</v>
      </c>
      <c r="AC47" s="185" t="s">
        <v>279</v>
      </c>
      <c r="AD47" s="87"/>
      <c r="AE47" s="87"/>
      <c r="AF47" s="115"/>
      <c r="AG47" s="201"/>
      <c r="AH47" s="116"/>
      <c r="AI47" s="117"/>
      <c r="AJ47" s="115"/>
      <c r="AK47" s="201"/>
      <c r="AL47" s="116"/>
      <c r="AM47" s="117"/>
      <c r="AN47" s="115"/>
      <c r="AO47" s="201"/>
      <c r="AP47" s="116"/>
      <c r="AQ47" s="117"/>
      <c r="AR47" s="130"/>
    </row>
    <row r="48" spans="1:44" x14ac:dyDescent="0.25">
      <c r="A48" s="41"/>
      <c r="B48" s="25" t="str">
        <f t="shared" si="0"/>
        <v>Caregiver Functioning - Caregiver #1_9</v>
      </c>
      <c r="C48" s="25" t="str">
        <f t="shared" si="8"/>
        <v/>
      </c>
      <c r="D48" s="25" t="str">
        <f t="shared" si="1"/>
        <v/>
      </c>
      <c r="E48" s="25" t="str">
        <f t="shared" si="1"/>
        <v/>
      </c>
      <c r="F48" s="95">
        <f t="shared" si="19"/>
        <v>4</v>
      </c>
      <c r="G48" s="25">
        <f t="shared" si="20"/>
        <v>9</v>
      </c>
      <c r="H48" s="25" t="str">
        <f t="shared" si="9"/>
        <v>CGF</v>
      </c>
      <c r="I48" s="25" t="str">
        <f t="shared" si="10"/>
        <v>CGF</v>
      </c>
      <c r="J48" s="25" t="str">
        <f t="shared" si="4"/>
        <v>Caregiver Functioning - Caregiver #1</v>
      </c>
      <c r="K48" s="108">
        <v>1</v>
      </c>
      <c r="L48" s="95" t="str">
        <f t="shared" ca="1" si="11"/>
        <v/>
      </c>
      <c r="M48" s="25" t="str">
        <f t="shared" ca="1" si="12"/>
        <v/>
      </c>
      <c r="N48" s="25" t="str">
        <f t="shared" ca="1" si="13"/>
        <v/>
      </c>
      <c r="O48" s="25" t="str">
        <f t="shared" ca="1" si="14"/>
        <v/>
      </c>
      <c r="P48" s="91" t="str">
        <f ca="1">IFERROR(IF(AND($X48=3, ISNUMBER($X48)), COUNTIFS(X$18:X48, "=3", $AC$18:$AC48, $AC48), "-"), "err")</f>
        <v>-</v>
      </c>
      <c r="Q48" s="26" t="str">
        <f ca="1">IFERROR(IF(AND($X48=2, ISNUMBER($X48)), COUNTIFS(X$18:X48, "=2", $AC$18:$AC48, $AC48), "-"), "err")</f>
        <v>-</v>
      </c>
      <c r="R48" s="25">
        <f t="shared" ca="1" si="15"/>
        <v>0</v>
      </c>
      <c r="S48" s="26" t="str">
        <f ca="1">IFERROR(IF(AND($X48&gt;=2, ISNUMBER($X48)), COUNTIFS(X$18:X48, "&gt;=2", $AC$18:$AC48, $AC48), "-"), "err")</f>
        <v>-</v>
      </c>
      <c r="T48" s="25">
        <f t="shared" ca="1" si="16"/>
        <v>0</v>
      </c>
      <c r="U48" s="26" t="str">
        <f ca="1">IFERROR(IF(Y48="Yes", COUNTIFS(Y$18:Y48, "Yes", $AC$18:$AC48, $AC48), "-"), "err")</f>
        <v>-</v>
      </c>
      <c r="V48" s="25">
        <f t="shared" ca="1" si="17"/>
        <v>0</v>
      </c>
      <c r="W48" s="26" t="str">
        <f ca="1">IFERROR(IF($Z48="Yes", COUNTIFS(Z$18:Z48, "Yes", $AC$18:AC48, $AC48), "-"), "err")</f>
        <v>-</v>
      </c>
      <c r="X48" s="91">
        <f t="shared" ca="1" si="5"/>
        <v>0</v>
      </c>
      <c r="Y48" s="26" t="str">
        <f t="shared" ca="1" si="6"/>
        <v/>
      </c>
      <c r="Z48" s="26" t="str">
        <f t="shared" ca="1" si="7"/>
        <v/>
      </c>
      <c r="AA48" s="91">
        <f t="shared" si="18"/>
        <v>27</v>
      </c>
      <c r="AB48" s="17" t="s">
        <v>41</v>
      </c>
      <c r="AC48" s="184" t="s">
        <v>41</v>
      </c>
      <c r="AD48" s="54"/>
      <c r="AE48" s="54"/>
      <c r="AF48" s="112"/>
      <c r="AG48" s="200"/>
      <c r="AH48" s="113"/>
      <c r="AI48" s="114"/>
      <c r="AJ48" s="112"/>
      <c r="AK48" s="200"/>
      <c r="AL48" s="113"/>
      <c r="AM48" s="114"/>
      <c r="AN48" s="112"/>
      <c r="AO48" s="200"/>
      <c r="AP48" s="113"/>
      <c r="AQ48" s="114"/>
      <c r="AR48" s="130"/>
    </row>
    <row r="49" spans="1:44" x14ac:dyDescent="0.25">
      <c r="A49" s="41"/>
      <c r="B49" s="25" t="str">
        <f t="shared" si="0"/>
        <v>Caregiver Functioning - Caregiver #1_10</v>
      </c>
      <c r="C49" s="25" t="str">
        <f t="shared" si="8"/>
        <v/>
      </c>
      <c r="D49" s="25" t="str">
        <f t="shared" si="1"/>
        <v/>
      </c>
      <c r="E49" s="25" t="str">
        <f t="shared" si="1"/>
        <v/>
      </c>
      <c r="F49" s="95">
        <f t="shared" si="19"/>
        <v>4</v>
      </c>
      <c r="G49" s="25">
        <f t="shared" si="20"/>
        <v>10</v>
      </c>
      <c r="H49" s="25" t="str">
        <f t="shared" si="9"/>
        <v>CGF</v>
      </c>
      <c r="I49" s="25" t="str">
        <f t="shared" si="10"/>
        <v>CGF</v>
      </c>
      <c r="J49" s="25" t="str">
        <f t="shared" si="4"/>
        <v>Caregiver Functioning - Caregiver #1</v>
      </c>
      <c r="K49" s="108">
        <v>1</v>
      </c>
      <c r="L49" s="95" t="str">
        <f t="shared" ca="1" si="11"/>
        <v/>
      </c>
      <c r="M49" s="25" t="str">
        <f t="shared" ca="1" si="12"/>
        <v/>
      </c>
      <c r="N49" s="25" t="str">
        <f t="shared" ca="1" si="13"/>
        <v/>
      </c>
      <c r="O49" s="25" t="str">
        <f t="shared" ca="1" si="14"/>
        <v/>
      </c>
      <c r="P49" s="91" t="str">
        <f ca="1">IFERROR(IF(AND($X49=3, ISNUMBER($X49)), COUNTIFS(X$18:X49, "=3", $AC$18:$AC49, $AC49), "-"), "err")</f>
        <v>-</v>
      </c>
      <c r="Q49" s="26" t="str">
        <f ca="1">IFERROR(IF(AND($X49=2, ISNUMBER($X49)), COUNTIFS(X$18:X49, "=2", $AC$18:$AC49, $AC49), "-"), "err")</f>
        <v>-</v>
      </c>
      <c r="R49" s="25">
        <f t="shared" ca="1" si="15"/>
        <v>0</v>
      </c>
      <c r="S49" s="26" t="str">
        <f ca="1">IFERROR(IF(AND($X49&gt;=2, ISNUMBER($X49)), COUNTIFS(X$18:X49, "&gt;=2", $AC$18:$AC49, $AC49), "-"), "err")</f>
        <v>-</v>
      </c>
      <c r="T49" s="25">
        <f t="shared" ca="1" si="16"/>
        <v>0</v>
      </c>
      <c r="U49" s="26" t="str">
        <f ca="1">IFERROR(IF(Y49="Yes", COUNTIFS(Y$18:Y49, "Yes", $AC$18:$AC49, $AC49), "-"), "err")</f>
        <v>-</v>
      </c>
      <c r="V49" s="25">
        <f t="shared" ca="1" si="17"/>
        <v>0</v>
      </c>
      <c r="W49" s="26" t="str">
        <f ca="1">IFERROR(IF($Z49="Yes", COUNTIFS(Z$18:Z49, "Yes", $AC$18:AC49, $AC49), "-"), "err")</f>
        <v>-</v>
      </c>
      <c r="X49" s="91">
        <f t="shared" ca="1" si="5"/>
        <v>0</v>
      </c>
      <c r="Y49" s="26" t="str">
        <f t="shared" ca="1" si="6"/>
        <v/>
      </c>
      <c r="Z49" s="26" t="str">
        <f t="shared" ca="1" si="7"/>
        <v/>
      </c>
      <c r="AA49" s="91">
        <f t="shared" si="18"/>
        <v>28</v>
      </c>
      <c r="AB49" s="17" t="s">
        <v>280</v>
      </c>
      <c r="AC49" s="185" t="s">
        <v>280</v>
      </c>
      <c r="AD49" s="87"/>
      <c r="AE49" s="87"/>
      <c r="AF49" s="115"/>
      <c r="AG49" s="201"/>
      <c r="AH49" s="116"/>
      <c r="AI49" s="117"/>
      <c r="AJ49" s="115"/>
      <c r="AK49" s="201"/>
      <c r="AL49" s="116"/>
      <c r="AM49" s="117"/>
      <c r="AN49" s="115"/>
      <c r="AO49" s="201"/>
      <c r="AP49" s="116"/>
      <c r="AQ49" s="117"/>
      <c r="AR49" s="130"/>
    </row>
    <row r="50" spans="1:44" x14ac:dyDescent="0.25">
      <c r="A50" s="41"/>
      <c r="B50" s="25" t="str">
        <f t="shared" si="0"/>
        <v>Caregiver Functioning - Caregiver #1_11</v>
      </c>
      <c r="C50" s="25" t="str">
        <f t="shared" si="8"/>
        <v/>
      </c>
      <c r="D50" s="25" t="str">
        <f t="shared" si="1"/>
        <v/>
      </c>
      <c r="E50" s="25" t="str">
        <f t="shared" si="1"/>
        <v/>
      </c>
      <c r="F50" s="95">
        <f t="shared" si="19"/>
        <v>4</v>
      </c>
      <c r="G50" s="25">
        <f t="shared" si="20"/>
        <v>11</v>
      </c>
      <c r="H50" s="25" t="str">
        <f t="shared" si="9"/>
        <v>CGF</v>
      </c>
      <c r="I50" s="25" t="str">
        <f t="shared" si="10"/>
        <v>CGF</v>
      </c>
      <c r="J50" s="25" t="str">
        <f t="shared" ref="J50:J81" si="21">IF(K50=0, AC50, J49)</f>
        <v>Caregiver Functioning - Caregiver #1</v>
      </c>
      <c r="K50" s="108">
        <v>1</v>
      </c>
      <c r="L50" s="95" t="str">
        <f t="shared" ca="1" si="11"/>
        <v/>
      </c>
      <c r="M50" s="25" t="str">
        <f t="shared" ca="1" si="12"/>
        <v/>
      </c>
      <c r="N50" s="25" t="str">
        <f t="shared" ca="1" si="13"/>
        <v/>
      </c>
      <c r="O50" s="25" t="str">
        <f t="shared" ca="1" si="14"/>
        <v/>
      </c>
      <c r="P50" s="91" t="str">
        <f ca="1">IFERROR(IF(AND($X50=3, ISNUMBER($X50)), COUNTIFS(X$18:X50, "=3", $AC$18:$AC50, $AC50), "-"), "err")</f>
        <v>-</v>
      </c>
      <c r="Q50" s="26" t="str">
        <f ca="1">IFERROR(IF(AND($X50=2, ISNUMBER($X50)), COUNTIFS(X$18:X50, "=2", $AC$18:$AC50, $AC50), "-"), "err")</f>
        <v>-</v>
      </c>
      <c r="R50" s="25">
        <f t="shared" ca="1" si="15"/>
        <v>0</v>
      </c>
      <c r="S50" s="26" t="str">
        <f ca="1">IFERROR(IF(AND($X50&gt;=2, ISNUMBER($X50)), COUNTIFS(X$18:X50, "&gt;=2", $AC$18:$AC50, $AC50), "-"), "err")</f>
        <v>-</v>
      </c>
      <c r="T50" s="25">
        <f t="shared" ca="1" si="16"/>
        <v>0</v>
      </c>
      <c r="U50" s="26" t="str">
        <f ca="1">IFERROR(IF(Y50="Yes", COUNTIFS(Y$18:Y50, "Yes", $AC$18:$AC50, $AC50), "-"), "err")</f>
        <v>-</v>
      </c>
      <c r="V50" s="25">
        <f t="shared" ca="1" si="17"/>
        <v>0</v>
      </c>
      <c r="W50" s="26" t="str">
        <f ca="1">IFERROR(IF($Z50="Yes", COUNTIFS(Z$18:Z50, "Yes", $AC$18:AC50, $AC50), "-"), "err")</f>
        <v>-</v>
      </c>
      <c r="X50" s="91">
        <f t="shared" ca="1" si="5"/>
        <v>0</v>
      </c>
      <c r="Y50" s="26" t="str">
        <f t="shared" ref="Y50:Y81" ca="1" si="22">T(INDIRECT(ADDRESS(ROW(), lastAssessCol+2)))</f>
        <v/>
      </c>
      <c r="Z50" s="26" t="str">
        <f t="shared" ref="Z50:Z81" ca="1" si="23">T(INDIRECT(ADDRESS(ROW(), lastAssessCol+3)))</f>
        <v/>
      </c>
      <c r="AA50" s="91">
        <f t="shared" si="18"/>
        <v>29</v>
      </c>
      <c r="AB50" s="17" t="s">
        <v>281</v>
      </c>
      <c r="AC50" s="184" t="s">
        <v>281</v>
      </c>
      <c r="AD50" s="54"/>
      <c r="AE50" s="54"/>
      <c r="AF50" s="112"/>
      <c r="AG50" s="200"/>
      <c r="AH50" s="113"/>
      <c r="AI50" s="114"/>
      <c r="AJ50" s="112"/>
      <c r="AK50" s="200"/>
      <c r="AL50" s="113"/>
      <c r="AM50" s="114"/>
      <c r="AN50" s="112"/>
      <c r="AO50" s="200"/>
      <c r="AP50" s="113"/>
      <c r="AQ50" s="114"/>
      <c r="AR50" s="130"/>
    </row>
    <row r="51" spans="1:44" x14ac:dyDescent="0.25">
      <c r="A51" s="41"/>
      <c r="B51" s="25" t="str">
        <f t="shared" si="0"/>
        <v>Caregiver Functioning - Caregiver #1_12</v>
      </c>
      <c r="C51" s="25" t="str">
        <f t="shared" si="8"/>
        <v/>
      </c>
      <c r="D51" s="25" t="str">
        <f t="shared" si="1"/>
        <v/>
      </c>
      <c r="E51" s="25" t="str">
        <f t="shared" si="1"/>
        <v/>
      </c>
      <c r="F51" s="95">
        <f t="shared" si="19"/>
        <v>4</v>
      </c>
      <c r="G51" s="25">
        <f t="shared" si="20"/>
        <v>12</v>
      </c>
      <c r="H51" s="25" t="str">
        <f t="shared" si="9"/>
        <v>CGF</v>
      </c>
      <c r="I51" s="25" t="str">
        <f t="shared" si="10"/>
        <v>CGF</v>
      </c>
      <c r="J51" s="25" t="str">
        <f t="shared" si="21"/>
        <v>Caregiver Functioning - Caregiver #1</v>
      </c>
      <c r="K51" s="108">
        <v>1</v>
      </c>
      <c r="L51" s="95" t="str">
        <f t="shared" ca="1" si="11"/>
        <v/>
      </c>
      <c r="M51" s="25" t="str">
        <f t="shared" ca="1" si="12"/>
        <v/>
      </c>
      <c r="N51" s="25" t="str">
        <f t="shared" ca="1" si="13"/>
        <v/>
      </c>
      <c r="O51" s="25" t="str">
        <f t="shared" ca="1" si="14"/>
        <v/>
      </c>
      <c r="P51" s="91" t="str">
        <f ca="1">IFERROR(IF(AND($X51=3, ISNUMBER($X51)), COUNTIFS(X$18:X51, "=3", $AC$18:$AC51, $AC51), "-"), "err")</f>
        <v>-</v>
      </c>
      <c r="Q51" s="26" t="str">
        <f ca="1">IFERROR(IF(AND($X51=2, ISNUMBER($X51)), COUNTIFS(X$18:X51, "=2", $AC$18:$AC51, $AC51), "-"), "err")</f>
        <v>-</v>
      </c>
      <c r="R51" s="25">
        <f t="shared" ca="1" si="15"/>
        <v>0</v>
      </c>
      <c r="S51" s="26" t="str">
        <f ca="1">IFERROR(IF(AND($X51&gt;=2, ISNUMBER($X51)), COUNTIFS(X$18:X51, "&gt;=2", $AC$18:$AC51, $AC51), "-"), "err")</f>
        <v>-</v>
      </c>
      <c r="T51" s="25">
        <f t="shared" ca="1" si="16"/>
        <v>0</v>
      </c>
      <c r="U51" s="26" t="str">
        <f ca="1">IFERROR(IF(Y51="Yes", COUNTIFS(Y$18:Y51, "Yes", $AC$18:$AC51, $AC51), "-"), "err")</f>
        <v>-</v>
      </c>
      <c r="V51" s="25">
        <f t="shared" ca="1" si="17"/>
        <v>0</v>
      </c>
      <c r="W51" s="26" t="str">
        <f ca="1">IFERROR(IF($Z51="Yes", COUNTIFS(Z$18:Z51, "Yes", $AC$18:AC51, $AC51), "-"), "err")</f>
        <v>-</v>
      </c>
      <c r="X51" s="91">
        <f t="shared" ca="1" si="5"/>
        <v>0</v>
      </c>
      <c r="Y51" s="26" t="str">
        <f t="shared" ca="1" si="22"/>
        <v/>
      </c>
      <c r="Z51" s="26" t="str">
        <f t="shared" ca="1" si="23"/>
        <v/>
      </c>
      <c r="AA51" s="91">
        <f t="shared" ref="AA51:AA82" si="24">AA50+IF(AB51=0, 0, 1)</f>
        <v>30</v>
      </c>
      <c r="AB51" s="17" t="s">
        <v>282</v>
      </c>
      <c r="AC51" s="185" t="s">
        <v>282</v>
      </c>
      <c r="AD51" s="87"/>
      <c r="AE51" s="87"/>
      <c r="AF51" s="115"/>
      <c r="AG51" s="201"/>
      <c r="AH51" s="122"/>
      <c r="AI51" s="123"/>
      <c r="AJ51" s="115"/>
      <c r="AK51" s="201"/>
      <c r="AL51" s="122"/>
      <c r="AM51" s="123"/>
      <c r="AN51" s="115"/>
      <c r="AO51" s="201"/>
      <c r="AP51" s="122"/>
      <c r="AQ51" s="123"/>
      <c r="AR51" s="130"/>
    </row>
    <row r="52" spans="1:44" x14ac:dyDescent="0.25">
      <c r="A52" s="41"/>
      <c r="B52" s="25" t="str">
        <f t="shared" si="0"/>
        <v>Caregiver Functioning - Caregiver #1_13</v>
      </c>
      <c r="C52" s="25" t="str">
        <f t="shared" si="8"/>
        <v/>
      </c>
      <c r="D52" s="25" t="str">
        <f t="shared" si="1"/>
        <v/>
      </c>
      <c r="E52" s="25" t="str">
        <f t="shared" si="1"/>
        <v/>
      </c>
      <c r="F52" s="95">
        <f t="shared" si="19"/>
        <v>4</v>
      </c>
      <c r="G52" s="25">
        <f t="shared" si="20"/>
        <v>13</v>
      </c>
      <c r="H52" s="25" t="str">
        <f t="shared" si="9"/>
        <v>CGF</v>
      </c>
      <c r="I52" s="25" t="str">
        <f t="shared" si="10"/>
        <v>CGF</v>
      </c>
      <c r="J52" s="25" t="str">
        <f t="shared" si="21"/>
        <v>Caregiver Functioning - Caregiver #1</v>
      </c>
      <c r="K52" s="108">
        <v>1</v>
      </c>
      <c r="L52" s="95" t="str">
        <f t="shared" ca="1" si="11"/>
        <v/>
      </c>
      <c r="M52" s="25" t="str">
        <f t="shared" ca="1" si="12"/>
        <v/>
      </c>
      <c r="N52" s="25" t="str">
        <f t="shared" ca="1" si="13"/>
        <v/>
      </c>
      <c r="O52" s="25" t="str">
        <f t="shared" ca="1" si="14"/>
        <v/>
      </c>
      <c r="P52" s="91" t="str">
        <f ca="1">IFERROR(IF(AND($X52=3, ISNUMBER($X52)), COUNTIFS(X$18:X52, "=3", $AC$18:$AC52, $AC52), "-"), "err")</f>
        <v>-</v>
      </c>
      <c r="Q52" s="26" t="str">
        <f ca="1">IFERROR(IF(AND($X52=2, ISNUMBER($X52)), COUNTIFS(X$18:X52, "=2", $AC$18:$AC52, $AC52), "-"), "err")</f>
        <v>-</v>
      </c>
      <c r="R52" s="25">
        <f t="shared" ca="1" si="15"/>
        <v>0</v>
      </c>
      <c r="S52" s="26" t="str">
        <f ca="1">IFERROR(IF(AND($X52&gt;=2, ISNUMBER($X52)), COUNTIFS(X$18:X52, "&gt;=2", $AC$18:$AC52, $AC52), "-"), "err")</f>
        <v>-</v>
      </c>
      <c r="T52" s="25">
        <f t="shared" ca="1" si="16"/>
        <v>0</v>
      </c>
      <c r="U52" s="26" t="str">
        <f ca="1">IFERROR(IF(Y52="Yes", COUNTIFS(Y$18:Y52, "Yes", $AC$18:$AC52, $AC52), "-"), "err")</f>
        <v>-</v>
      </c>
      <c r="V52" s="25">
        <f t="shared" ca="1" si="17"/>
        <v>0</v>
      </c>
      <c r="W52" s="26" t="str">
        <f ca="1">IFERROR(IF($Z52="Yes", COUNTIFS(Z$18:Z52, "Yes", $AC$18:AC52, $AC52), "-"), "err")</f>
        <v>-</v>
      </c>
      <c r="X52" s="91">
        <f t="shared" ca="1" si="5"/>
        <v>0</v>
      </c>
      <c r="Y52" s="26" t="str">
        <f t="shared" ca="1" si="22"/>
        <v/>
      </c>
      <c r="Z52" s="26" t="str">
        <f t="shared" ca="1" si="23"/>
        <v/>
      </c>
      <c r="AA52" s="91">
        <f t="shared" si="24"/>
        <v>31</v>
      </c>
      <c r="AB52" s="17" t="s">
        <v>283</v>
      </c>
      <c r="AC52" s="184" t="s">
        <v>283</v>
      </c>
      <c r="AD52" s="54"/>
      <c r="AE52" s="54"/>
      <c r="AF52" s="112"/>
      <c r="AG52" s="200"/>
      <c r="AH52" s="122"/>
      <c r="AI52" s="123"/>
      <c r="AJ52" s="112"/>
      <c r="AK52" s="200"/>
      <c r="AL52" s="122"/>
      <c r="AM52" s="123"/>
      <c r="AN52" s="112"/>
      <c r="AO52" s="200"/>
      <c r="AP52" s="122"/>
      <c r="AQ52" s="123"/>
      <c r="AR52" s="130"/>
    </row>
    <row r="53" spans="1:44" x14ac:dyDescent="0.25">
      <c r="A53" s="41"/>
      <c r="B53" s="25" t="str">
        <f t="shared" si="0"/>
        <v>Caregiver Functioning - Caregiver #1_14</v>
      </c>
      <c r="C53" s="25" t="str">
        <f t="shared" si="8"/>
        <v/>
      </c>
      <c r="D53" s="25" t="str">
        <f t="shared" si="1"/>
        <v/>
      </c>
      <c r="E53" s="25" t="str">
        <f t="shared" si="1"/>
        <v>Caregiver Functioning - Caregiver #1</v>
      </c>
      <c r="F53" s="95">
        <f t="shared" si="19"/>
        <v>4</v>
      </c>
      <c r="G53" s="25">
        <f t="shared" si="20"/>
        <v>14</v>
      </c>
      <c r="H53" s="25" t="str">
        <f t="shared" si="9"/>
        <v>CGF</v>
      </c>
      <c r="I53" s="25" t="str">
        <f t="shared" si="10"/>
        <v>CGF</v>
      </c>
      <c r="J53" s="25" t="str">
        <f t="shared" si="21"/>
        <v>Caregiver Functioning - Caregiver #1</v>
      </c>
      <c r="K53" s="108">
        <v>1</v>
      </c>
      <c r="L53" s="95" t="str">
        <f t="shared" ca="1" si="11"/>
        <v/>
      </c>
      <c r="M53" s="25" t="str">
        <f t="shared" ca="1" si="12"/>
        <v/>
      </c>
      <c r="N53" s="25" t="str">
        <f t="shared" ca="1" si="13"/>
        <v/>
      </c>
      <c r="O53" s="25" t="str">
        <f t="shared" ca="1" si="14"/>
        <v/>
      </c>
      <c r="P53" s="91" t="str">
        <f ca="1">IFERROR(IF(AND($X53=3, ISNUMBER($X53)), COUNTIFS(X$18:X53, "=3", $AC$18:$AC53, $AC53), "-"), "err")</f>
        <v>-</v>
      </c>
      <c r="Q53" s="26" t="str">
        <f ca="1">IFERROR(IF(AND($X53=2, ISNUMBER($X53)), COUNTIFS(X$18:X53, "=2", $AC$18:$AC53, $AC53), "-"), "err")</f>
        <v>-</v>
      </c>
      <c r="R53" s="25">
        <f t="shared" ca="1" si="15"/>
        <v>0</v>
      </c>
      <c r="S53" s="26" t="str">
        <f ca="1">IFERROR(IF(AND($X53&gt;=2, ISNUMBER($X53)), COUNTIFS(X$18:X53, "&gt;=2", $AC$18:$AC53, $AC53), "-"), "err")</f>
        <v>-</v>
      </c>
      <c r="T53" s="25">
        <f t="shared" ca="1" si="16"/>
        <v>0</v>
      </c>
      <c r="U53" s="26" t="str">
        <f ca="1">IFERROR(IF(Y53="Yes", COUNTIFS(Y$18:Y53, "Yes", $AC$18:$AC53, $AC53), "-"), "err")</f>
        <v>-</v>
      </c>
      <c r="V53" s="25">
        <f t="shared" ca="1" si="17"/>
        <v>0</v>
      </c>
      <c r="W53" s="26" t="str">
        <f ca="1">IFERROR(IF($Z53="Yes", COUNTIFS(Z$18:Z53, "Yes", $AC$18:AC53, $AC53), "-"), "err")</f>
        <v>-</v>
      </c>
      <c r="X53" s="91">
        <f t="shared" ca="1" si="5"/>
        <v>0</v>
      </c>
      <c r="Y53" s="26" t="str">
        <f t="shared" ca="1" si="22"/>
        <v/>
      </c>
      <c r="Z53" s="26" t="str">
        <f t="shared" ca="1" si="23"/>
        <v/>
      </c>
      <c r="AA53" s="91">
        <f t="shared" si="24"/>
        <v>32</v>
      </c>
      <c r="AB53" s="17" t="s">
        <v>131</v>
      </c>
      <c r="AC53" s="185" t="s">
        <v>131</v>
      </c>
      <c r="AD53" s="87"/>
      <c r="AE53" s="87"/>
      <c r="AF53" s="115"/>
      <c r="AG53" s="201"/>
      <c r="AH53" s="116"/>
      <c r="AI53" s="117"/>
      <c r="AJ53" s="115"/>
      <c r="AK53" s="201"/>
      <c r="AL53" s="116"/>
      <c r="AM53" s="117"/>
      <c r="AN53" s="115"/>
      <c r="AO53" s="201"/>
      <c r="AP53" s="116"/>
      <c r="AQ53" s="117"/>
      <c r="AR53" s="130"/>
    </row>
    <row r="54" spans="1:44" hidden="1" x14ac:dyDescent="0.25">
      <c r="A54" s="41"/>
      <c r="B54" s="25" t="str">
        <f t="shared" si="0"/>
        <v>Caregiver Functioning - Caregiver #2_0</v>
      </c>
      <c r="C54" s="25" t="str">
        <f t="shared" si="8"/>
        <v/>
      </c>
      <c r="D54" s="25" t="str">
        <f t="shared" si="1"/>
        <v/>
      </c>
      <c r="E54" s="25" t="str">
        <f t="shared" si="1"/>
        <v/>
      </c>
      <c r="F54" s="95">
        <f t="shared" si="19"/>
        <v>5</v>
      </c>
      <c r="G54" s="25">
        <f t="shared" si="20"/>
        <v>0</v>
      </c>
      <c r="H54" s="25" t="str">
        <f t="shared" si="9"/>
        <v>CGF</v>
      </c>
      <c r="I54" s="25" t="str">
        <f t="shared" si="10"/>
        <v>CGF</v>
      </c>
      <c r="J54" s="25" t="str">
        <f t="shared" si="21"/>
        <v>Caregiver Functioning - Caregiver #2</v>
      </c>
      <c r="K54" s="108">
        <v>0</v>
      </c>
      <c r="L54" s="95" t="str">
        <f t="shared" ca="1" si="11"/>
        <v/>
      </c>
      <c r="M54" s="25" t="str">
        <f t="shared" ca="1" si="12"/>
        <v/>
      </c>
      <c r="N54" s="25" t="str">
        <f t="shared" ca="1" si="13"/>
        <v/>
      </c>
      <c r="O54" s="25" t="str">
        <f t="shared" ca="1" si="14"/>
        <v/>
      </c>
      <c r="P54" s="91" t="str">
        <f ca="1">IFERROR(IF(AND($X54=3, ISNUMBER($X54)), COUNTIFS(X$18:X54, "=3", $AC$18:$AC54, $AC54), "-"), "err")</f>
        <v>-</v>
      </c>
      <c r="Q54" s="26" t="str">
        <f ca="1">IFERROR(IF(AND($X54=2, ISNUMBER($X54)), COUNTIFS(X$18:X54, "=2", $AC$18:$AC54, $AC54), "-"), "err")</f>
        <v>-</v>
      </c>
      <c r="R54" s="25">
        <f t="shared" ca="1" si="15"/>
        <v>0</v>
      </c>
      <c r="S54" s="26" t="str">
        <f ca="1">IFERROR(IF(AND($X54&gt;=2, ISNUMBER($X54)), COUNTIFS(X$18:X54, "&gt;=2", $AC$18:$AC54, $AC54), "-"), "err")</f>
        <v>-</v>
      </c>
      <c r="T54" s="25">
        <f t="shared" ca="1" si="16"/>
        <v>0</v>
      </c>
      <c r="U54" s="26" t="str">
        <f ca="1">IFERROR(IF(Y54="Yes", COUNTIFS(Y$18:Y54, "Yes", $AC$18:$AC54, $AC54), "-"), "err")</f>
        <v>-</v>
      </c>
      <c r="V54" s="25">
        <f t="shared" ca="1" si="17"/>
        <v>0</v>
      </c>
      <c r="W54" s="26" t="str">
        <f ca="1">IFERROR(IF($Z54="Yes", COUNTIFS(Z$18:Z54, "Yes", $AC$18:AC54, $AC54), "-"), "err")</f>
        <v>-</v>
      </c>
      <c r="X54" s="91">
        <f t="shared" ca="1" si="5"/>
        <v>0</v>
      </c>
      <c r="Y54" s="26" t="str">
        <f t="shared" ca="1" si="22"/>
        <v/>
      </c>
      <c r="Z54" s="26" t="str">
        <f t="shared" ca="1" si="23"/>
        <v/>
      </c>
      <c r="AA54" s="91">
        <f t="shared" si="24"/>
        <v>32</v>
      </c>
      <c r="AC54" s="183" t="s">
        <v>325</v>
      </c>
      <c r="AD54" s="60"/>
      <c r="AE54" s="61"/>
      <c r="AF54" s="118"/>
      <c r="AG54" s="119"/>
      <c r="AH54" s="120"/>
      <c r="AI54" s="121"/>
      <c r="AJ54" s="118"/>
      <c r="AK54" s="119"/>
      <c r="AL54" s="120"/>
      <c r="AM54" s="121"/>
      <c r="AN54" s="118"/>
      <c r="AO54" s="119"/>
      <c r="AP54" s="120"/>
      <c r="AQ54" s="121"/>
      <c r="AR54" s="130"/>
    </row>
    <row r="55" spans="1:44" hidden="1" x14ac:dyDescent="0.25">
      <c r="A55" s="41"/>
      <c r="B55" s="25" t="str">
        <f t="shared" si="0"/>
        <v>Caregiver Functioning - Caregiver #2_0</v>
      </c>
      <c r="C55" s="25" t="str">
        <f t="shared" si="8"/>
        <v/>
      </c>
      <c r="D55" s="25" t="str">
        <f t="shared" si="1"/>
        <v/>
      </c>
      <c r="E55" s="25" t="str">
        <f t="shared" si="1"/>
        <v/>
      </c>
      <c r="F55" s="95">
        <f t="shared" si="19"/>
        <v>5</v>
      </c>
      <c r="G55" s="25">
        <f t="shared" si="20"/>
        <v>0</v>
      </c>
      <c r="H55" s="25" t="str">
        <f t="shared" si="9"/>
        <v>CGF</v>
      </c>
      <c r="I55" s="25" t="str">
        <f t="shared" si="10"/>
        <v>CGF</v>
      </c>
      <c r="J55" s="25" t="str">
        <f t="shared" si="21"/>
        <v>Caregiver Functioning - Caregiver #2</v>
      </c>
      <c r="K55" s="108">
        <v>2</v>
      </c>
      <c r="L55" s="95" t="str">
        <f t="shared" ca="1" si="11"/>
        <v/>
      </c>
      <c r="M55" s="25" t="str">
        <f t="shared" ca="1" si="12"/>
        <v/>
      </c>
      <c r="N55" s="25" t="str">
        <f t="shared" ca="1" si="13"/>
        <v/>
      </c>
      <c r="O55" s="25" t="str">
        <f t="shared" ca="1" si="14"/>
        <v/>
      </c>
      <c r="P55" s="91" t="str">
        <f ca="1">IFERROR(IF(AND($X55=3, ISNUMBER($X55)), COUNTIFS(X$18:X55, "=3", $AC$18:$AC55, $AC55), "-"), "err")</f>
        <v>-</v>
      </c>
      <c r="Q55" s="26" t="str">
        <f ca="1">IFERROR(IF(AND($X55=2, ISNUMBER($X55)), COUNTIFS(X$18:X55, "=2", $AC$18:$AC55, $AC55), "-"), "err")</f>
        <v>-</v>
      </c>
      <c r="R55" s="25">
        <f t="shared" ca="1" si="15"/>
        <v>0</v>
      </c>
      <c r="S55" s="26" t="str">
        <f ca="1">IFERROR(IF(AND($X55&gt;=2, ISNUMBER($X55)), COUNTIFS(X$18:X55, "&gt;=2", $AC$18:$AC55, $AC55), "-"), "err")</f>
        <v>-</v>
      </c>
      <c r="T55" s="25">
        <f t="shared" ca="1" si="16"/>
        <v>0</v>
      </c>
      <c r="U55" s="26" t="str">
        <f ca="1">IFERROR(IF(Y55="Yes", COUNTIFS(Y$18:Y55, "Yes", $AC$18:$AC55, $AC55), "-"), "err")</f>
        <v>-</v>
      </c>
      <c r="V55" s="25">
        <f t="shared" ca="1" si="17"/>
        <v>0</v>
      </c>
      <c r="W55" s="26" t="str">
        <f ca="1">IFERROR(IF($Z55="Yes", COUNTIFS(Z$18:Z55, "Yes", $AC$18:AC55, $AC55), "-"), "err")</f>
        <v>-</v>
      </c>
      <c r="X55" s="91">
        <f t="shared" ca="1" si="5"/>
        <v>0</v>
      </c>
      <c r="Y55" s="26" t="str">
        <f t="shared" ca="1" si="22"/>
        <v/>
      </c>
      <c r="Z55" s="26" t="str">
        <f t="shared" ca="1" si="23"/>
        <v/>
      </c>
      <c r="AA55" s="91">
        <f t="shared" si="24"/>
        <v>32</v>
      </c>
      <c r="AC55" s="133" t="s">
        <v>323</v>
      </c>
      <c r="AD55" s="197"/>
      <c r="AE55" s="61"/>
      <c r="AF55" s="118"/>
      <c r="AG55" s="119"/>
      <c r="AH55" s="120"/>
      <c r="AI55" s="121"/>
      <c r="AJ55" s="118"/>
      <c r="AK55" s="119"/>
      <c r="AL55" s="120"/>
      <c r="AM55" s="121"/>
      <c r="AN55" s="118"/>
      <c r="AO55" s="119"/>
      <c r="AP55" s="120"/>
      <c r="AQ55" s="121"/>
      <c r="AR55" s="130"/>
    </row>
    <row r="56" spans="1:44" hidden="1" x14ac:dyDescent="0.25">
      <c r="A56" s="41"/>
      <c r="B56" s="25" t="str">
        <f t="shared" si="0"/>
        <v>Caregiver Functioning - Caregiver #2_1</v>
      </c>
      <c r="C56" s="25" t="str">
        <f t="shared" si="8"/>
        <v/>
      </c>
      <c r="D56" s="25" t="str">
        <f t="shared" si="1"/>
        <v/>
      </c>
      <c r="E56" s="25" t="str">
        <f t="shared" si="1"/>
        <v/>
      </c>
      <c r="F56" s="95">
        <f t="shared" si="19"/>
        <v>5</v>
      </c>
      <c r="G56" s="25">
        <f t="shared" si="20"/>
        <v>1</v>
      </c>
      <c r="H56" s="25" t="str">
        <f t="shared" si="9"/>
        <v>CGF</v>
      </c>
      <c r="I56" s="25" t="str">
        <f t="shared" si="10"/>
        <v>CGF</v>
      </c>
      <c r="J56" s="25" t="str">
        <f t="shared" si="21"/>
        <v>Caregiver Functioning - Caregiver #2</v>
      </c>
      <c r="K56" s="108">
        <v>1</v>
      </c>
      <c r="L56" s="95" t="str">
        <f t="shared" ca="1" si="11"/>
        <v/>
      </c>
      <c r="M56" s="25" t="str">
        <f t="shared" ca="1" si="12"/>
        <v/>
      </c>
      <c r="N56" s="25" t="str">
        <f t="shared" ca="1" si="13"/>
        <v/>
      </c>
      <c r="O56" s="25" t="str">
        <f t="shared" ca="1" si="14"/>
        <v/>
      </c>
      <c r="P56" s="91" t="str">
        <f ca="1">IFERROR(IF(AND($X56=3, ISNUMBER($X56)), COUNTIFS(X$18:X56, "=3", $AC$18:$AC56, $AC56), "-"), "err")</f>
        <v>-</v>
      </c>
      <c r="Q56" s="26" t="str">
        <f ca="1">IFERROR(IF(AND($X56=2, ISNUMBER($X56)), COUNTIFS(X$18:X56, "=2", $AC$18:$AC56, $AC56), "-"), "err")</f>
        <v>-</v>
      </c>
      <c r="R56" s="25">
        <f t="shared" ca="1" si="15"/>
        <v>0</v>
      </c>
      <c r="S56" s="26" t="str">
        <f ca="1">IFERROR(IF(AND($X56&gt;=2, ISNUMBER($X56)), COUNTIFS(X$18:X56, "&gt;=2", $AC$18:$AC56, $AC56), "-"), "err")</f>
        <v>-</v>
      </c>
      <c r="T56" s="25">
        <f t="shared" ca="1" si="16"/>
        <v>0</v>
      </c>
      <c r="U56" s="26" t="str">
        <f ca="1">IFERROR(IF(Y56="Yes", COUNTIFS(Y$18:Y56, "Yes", $AC$18:$AC56, $AC56), "-"), "err")</f>
        <v>-</v>
      </c>
      <c r="V56" s="25">
        <f t="shared" ca="1" si="17"/>
        <v>0</v>
      </c>
      <c r="W56" s="26" t="str">
        <f ca="1">IFERROR(IF($Z56="Yes", COUNTIFS(Z$18:Z56, "Yes", $AC$18:AC56, $AC56), "-"), "err")</f>
        <v>-</v>
      </c>
      <c r="X56" s="91">
        <f t="shared" ca="1" si="5"/>
        <v>0</v>
      </c>
      <c r="Y56" s="26" t="str">
        <f t="shared" ca="1" si="22"/>
        <v/>
      </c>
      <c r="Z56" s="26" t="str">
        <f t="shared" ca="1" si="23"/>
        <v/>
      </c>
      <c r="AA56" s="91">
        <f t="shared" si="24"/>
        <v>33</v>
      </c>
      <c r="AB56" s="17" t="s">
        <v>276</v>
      </c>
      <c r="AC56" s="184" t="s">
        <v>276</v>
      </c>
      <c r="AD56" s="54"/>
      <c r="AE56" s="54"/>
      <c r="AF56" s="112"/>
      <c r="AG56" s="200"/>
      <c r="AH56" s="113"/>
      <c r="AI56" s="114"/>
      <c r="AJ56" s="112"/>
      <c r="AK56" s="200"/>
      <c r="AL56" s="113"/>
      <c r="AM56" s="114"/>
      <c r="AN56" s="112"/>
      <c r="AO56" s="200"/>
      <c r="AP56" s="113"/>
      <c r="AQ56" s="114"/>
      <c r="AR56" s="130"/>
    </row>
    <row r="57" spans="1:44" hidden="1" x14ac:dyDescent="0.25">
      <c r="A57" s="41"/>
      <c r="B57" s="25" t="str">
        <f t="shared" si="0"/>
        <v>Caregiver Functioning - Caregiver #2_2</v>
      </c>
      <c r="C57" s="25" t="str">
        <f t="shared" si="8"/>
        <v/>
      </c>
      <c r="D57" s="25" t="str">
        <f t="shared" si="1"/>
        <v/>
      </c>
      <c r="E57" s="25" t="str">
        <f t="shared" si="1"/>
        <v/>
      </c>
      <c r="F57" s="95">
        <f t="shared" si="19"/>
        <v>5</v>
      </c>
      <c r="G57" s="25">
        <f t="shared" si="20"/>
        <v>2</v>
      </c>
      <c r="H57" s="25" t="str">
        <f t="shared" si="9"/>
        <v>CGF</v>
      </c>
      <c r="I57" s="25" t="str">
        <f t="shared" si="10"/>
        <v>CGF</v>
      </c>
      <c r="J57" s="25" t="str">
        <f t="shared" si="21"/>
        <v>Caregiver Functioning - Caregiver #2</v>
      </c>
      <c r="K57" s="108">
        <v>1</v>
      </c>
      <c r="L57" s="95" t="str">
        <f t="shared" ca="1" si="11"/>
        <v/>
      </c>
      <c r="M57" s="25" t="str">
        <f t="shared" ca="1" si="12"/>
        <v/>
      </c>
      <c r="N57" s="25" t="str">
        <f t="shared" ca="1" si="13"/>
        <v/>
      </c>
      <c r="O57" s="25" t="str">
        <f t="shared" ca="1" si="14"/>
        <v/>
      </c>
      <c r="P57" s="91" t="str">
        <f ca="1">IFERROR(IF(AND($X57=3, ISNUMBER($X57)), COUNTIFS(X$18:X57, "=3", $AC$18:$AC57, $AC57), "-"), "err")</f>
        <v>-</v>
      </c>
      <c r="Q57" s="26" t="str">
        <f ca="1">IFERROR(IF(AND($X57=2, ISNUMBER($X57)), COUNTIFS(X$18:X57, "=2", $AC$18:$AC57, $AC57), "-"), "err")</f>
        <v>-</v>
      </c>
      <c r="R57" s="25">
        <f t="shared" ca="1" si="15"/>
        <v>0</v>
      </c>
      <c r="S57" s="26" t="str">
        <f ca="1">IFERROR(IF(AND($X57&gt;=2, ISNUMBER($X57)), COUNTIFS(X$18:X57, "&gt;=2", $AC$18:$AC57, $AC57), "-"), "err")</f>
        <v>-</v>
      </c>
      <c r="T57" s="25">
        <f t="shared" ca="1" si="16"/>
        <v>0</v>
      </c>
      <c r="U57" s="26" t="str">
        <f ca="1">IFERROR(IF(Y57="Yes", COUNTIFS(Y$18:Y57, "Yes", $AC$18:$AC57, $AC57), "-"), "err")</f>
        <v>-</v>
      </c>
      <c r="V57" s="25">
        <f t="shared" ca="1" si="17"/>
        <v>0</v>
      </c>
      <c r="W57" s="26" t="str">
        <f ca="1">IFERROR(IF($Z57="Yes", COUNTIFS(Z$18:Z57, "Yes", $AC$18:AC57, $AC57), "-"), "err")</f>
        <v>-</v>
      </c>
      <c r="X57" s="91">
        <f t="shared" ca="1" si="5"/>
        <v>0</v>
      </c>
      <c r="Y57" s="26" t="str">
        <f t="shared" ca="1" si="22"/>
        <v/>
      </c>
      <c r="Z57" s="26" t="str">
        <f t="shared" ca="1" si="23"/>
        <v/>
      </c>
      <c r="AA57" s="91">
        <f t="shared" si="24"/>
        <v>34</v>
      </c>
      <c r="AB57" s="17" t="s">
        <v>277</v>
      </c>
      <c r="AC57" s="185" t="s">
        <v>277</v>
      </c>
      <c r="AD57" s="87"/>
      <c r="AE57" s="87"/>
      <c r="AF57" s="115"/>
      <c r="AG57" s="201"/>
      <c r="AH57" s="116"/>
      <c r="AI57" s="117"/>
      <c r="AJ57" s="115"/>
      <c r="AK57" s="201"/>
      <c r="AL57" s="116"/>
      <c r="AM57" s="117"/>
      <c r="AN57" s="115"/>
      <c r="AO57" s="201"/>
      <c r="AP57" s="116"/>
      <c r="AQ57" s="117"/>
      <c r="AR57" s="130"/>
    </row>
    <row r="58" spans="1:44" hidden="1" x14ac:dyDescent="0.25">
      <c r="A58" s="41"/>
      <c r="B58" s="25" t="str">
        <f t="shared" si="0"/>
        <v>Caregiver Functioning - Caregiver #2_3</v>
      </c>
      <c r="C58" s="25" t="str">
        <f t="shared" si="8"/>
        <v/>
      </c>
      <c r="D58" s="25" t="str">
        <f t="shared" si="1"/>
        <v/>
      </c>
      <c r="E58" s="25" t="str">
        <f t="shared" si="1"/>
        <v/>
      </c>
      <c r="F58" s="95">
        <f t="shared" si="19"/>
        <v>5</v>
      </c>
      <c r="G58" s="25">
        <f t="shared" si="20"/>
        <v>3</v>
      </c>
      <c r="H58" s="25" t="str">
        <f t="shared" si="9"/>
        <v>CGF</v>
      </c>
      <c r="I58" s="25" t="str">
        <f t="shared" si="10"/>
        <v>CGF</v>
      </c>
      <c r="J58" s="25" t="str">
        <f t="shared" si="21"/>
        <v>Caregiver Functioning - Caregiver #2</v>
      </c>
      <c r="K58" s="108">
        <v>1</v>
      </c>
      <c r="L58" s="95" t="str">
        <f t="shared" ca="1" si="11"/>
        <v/>
      </c>
      <c r="M58" s="25" t="str">
        <f t="shared" ca="1" si="12"/>
        <v/>
      </c>
      <c r="N58" s="25" t="str">
        <f t="shared" ca="1" si="13"/>
        <v/>
      </c>
      <c r="O58" s="25" t="str">
        <f t="shared" ca="1" si="14"/>
        <v/>
      </c>
      <c r="P58" s="91" t="str">
        <f ca="1">IFERROR(IF(AND($X58=3, ISNUMBER($X58)), COUNTIFS(X$18:X58, "=3", $AC$18:$AC58, $AC58), "-"), "err")</f>
        <v>-</v>
      </c>
      <c r="Q58" s="26" t="str">
        <f ca="1">IFERROR(IF(AND($X58=2, ISNUMBER($X58)), COUNTIFS(X$18:X58, "=2", $AC$18:$AC58, $AC58), "-"), "err")</f>
        <v>-</v>
      </c>
      <c r="R58" s="25">
        <f t="shared" ca="1" si="15"/>
        <v>0</v>
      </c>
      <c r="S58" s="26" t="str">
        <f ca="1">IFERROR(IF(AND($X58&gt;=2, ISNUMBER($X58)), COUNTIFS(X$18:X58, "&gt;=2", $AC$18:$AC58, $AC58), "-"), "err")</f>
        <v>-</v>
      </c>
      <c r="T58" s="25">
        <f t="shared" ca="1" si="16"/>
        <v>0</v>
      </c>
      <c r="U58" s="26" t="str">
        <f ca="1">IFERROR(IF(Y58="Yes", COUNTIFS(Y$18:Y58, "Yes", $AC$18:$AC58, $AC58), "-"), "err")</f>
        <v>-</v>
      </c>
      <c r="V58" s="25">
        <f t="shared" ca="1" si="17"/>
        <v>0</v>
      </c>
      <c r="W58" s="26" t="str">
        <f ca="1">IFERROR(IF($Z58="Yes", COUNTIFS(Z$18:Z58, "Yes", $AC$18:AC58, $AC58), "-"), "err")</f>
        <v>-</v>
      </c>
      <c r="X58" s="91">
        <f t="shared" ca="1" si="5"/>
        <v>0</v>
      </c>
      <c r="Y58" s="26" t="str">
        <f t="shared" ca="1" si="22"/>
        <v/>
      </c>
      <c r="Z58" s="26" t="str">
        <f t="shared" ca="1" si="23"/>
        <v/>
      </c>
      <c r="AA58" s="91">
        <f t="shared" si="24"/>
        <v>35</v>
      </c>
      <c r="AB58" s="17" t="s">
        <v>38</v>
      </c>
      <c r="AC58" s="184" t="s">
        <v>38</v>
      </c>
      <c r="AD58" s="54"/>
      <c r="AE58" s="54"/>
      <c r="AF58" s="112"/>
      <c r="AG58" s="200"/>
      <c r="AH58" s="113"/>
      <c r="AI58" s="114"/>
      <c r="AJ58" s="112"/>
      <c r="AK58" s="200"/>
      <c r="AL58" s="113"/>
      <c r="AM58" s="114"/>
      <c r="AN58" s="112"/>
      <c r="AO58" s="200"/>
      <c r="AP58" s="113"/>
      <c r="AQ58" s="114"/>
      <c r="AR58" s="130"/>
    </row>
    <row r="59" spans="1:44" hidden="1" x14ac:dyDescent="0.25">
      <c r="A59" s="41"/>
      <c r="B59" s="25" t="str">
        <f t="shared" si="0"/>
        <v>Caregiver Functioning - Caregiver #2_4</v>
      </c>
      <c r="C59" s="25" t="str">
        <f t="shared" si="8"/>
        <v/>
      </c>
      <c r="D59" s="25" t="str">
        <f t="shared" si="1"/>
        <v/>
      </c>
      <c r="E59" s="25" t="str">
        <f t="shared" si="1"/>
        <v/>
      </c>
      <c r="F59" s="95">
        <f t="shared" si="19"/>
        <v>5</v>
      </c>
      <c r="G59" s="25">
        <f t="shared" si="20"/>
        <v>4</v>
      </c>
      <c r="H59" s="25" t="str">
        <f t="shared" si="9"/>
        <v>CGF</v>
      </c>
      <c r="I59" s="25" t="str">
        <f t="shared" si="10"/>
        <v>CGF</v>
      </c>
      <c r="J59" s="25" t="str">
        <f t="shared" si="21"/>
        <v>Caregiver Functioning - Caregiver #2</v>
      </c>
      <c r="K59" s="108">
        <v>1</v>
      </c>
      <c r="L59" s="95" t="str">
        <f t="shared" ca="1" si="11"/>
        <v/>
      </c>
      <c r="M59" s="25" t="str">
        <f t="shared" ca="1" si="12"/>
        <v/>
      </c>
      <c r="N59" s="25" t="str">
        <f t="shared" ca="1" si="13"/>
        <v/>
      </c>
      <c r="O59" s="25" t="str">
        <f t="shared" ca="1" si="14"/>
        <v/>
      </c>
      <c r="P59" s="91" t="str">
        <f ca="1">IFERROR(IF(AND($X59=3, ISNUMBER($X59)), COUNTIFS(X$18:X59, "=3", $AC$18:$AC59, $AC59), "-"), "err")</f>
        <v>-</v>
      </c>
      <c r="Q59" s="26" t="str">
        <f ca="1">IFERROR(IF(AND($X59=2, ISNUMBER($X59)), COUNTIFS(X$18:X59, "=2", $AC$18:$AC59, $AC59), "-"), "err")</f>
        <v>-</v>
      </c>
      <c r="R59" s="25">
        <f t="shared" ca="1" si="15"/>
        <v>0</v>
      </c>
      <c r="S59" s="26" t="str">
        <f ca="1">IFERROR(IF(AND($X59&gt;=2, ISNUMBER($X59)), COUNTIFS(X$18:X59, "&gt;=2", $AC$18:$AC59, $AC59), "-"), "err")</f>
        <v>-</v>
      </c>
      <c r="T59" s="25">
        <f t="shared" ca="1" si="16"/>
        <v>0</v>
      </c>
      <c r="U59" s="26" t="str">
        <f ca="1">IFERROR(IF(Y59="Yes", COUNTIFS(Y$18:Y59, "Yes", $AC$18:$AC59, $AC59), "-"), "err")</f>
        <v>-</v>
      </c>
      <c r="V59" s="25">
        <f t="shared" ca="1" si="17"/>
        <v>0</v>
      </c>
      <c r="W59" s="26" t="str">
        <f ca="1">IFERROR(IF($Z59="Yes", COUNTIFS(Z$18:Z59, "Yes", $AC$18:AC59, $AC59), "-"), "err")</f>
        <v>-</v>
      </c>
      <c r="X59" s="91">
        <f t="shared" ca="1" si="5"/>
        <v>0</v>
      </c>
      <c r="Y59" s="26" t="str">
        <f t="shared" ca="1" si="22"/>
        <v/>
      </c>
      <c r="Z59" s="26" t="str">
        <f t="shared" ca="1" si="23"/>
        <v/>
      </c>
      <c r="AA59" s="91">
        <f t="shared" si="24"/>
        <v>36</v>
      </c>
      <c r="AB59" s="17" t="s">
        <v>130</v>
      </c>
      <c r="AC59" s="185" t="s">
        <v>130</v>
      </c>
      <c r="AD59" s="87"/>
      <c r="AE59" s="87"/>
      <c r="AF59" s="115"/>
      <c r="AG59" s="201"/>
      <c r="AH59" s="116"/>
      <c r="AI59" s="117"/>
      <c r="AJ59" s="115"/>
      <c r="AK59" s="201"/>
      <c r="AL59" s="116"/>
      <c r="AM59" s="117"/>
      <c r="AN59" s="115"/>
      <c r="AO59" s="201"/>
      <c r="AP59" s="116"/>
      <c r="AQ59" s="117"/>
      <c r="AR59" s="130"/>
    </row>
    <row r="60" spans="1:44" hidden="1" x14ac:dyDescent="0.25">
      <c r="A60" s="41"/>
      <c r="B60" s="25" t="str">
        <f t="shared" si="0"/>
        <v>Caregiver Functioning - Caregiver #2_5</v>
      </c>
      <c r="C60" s="25" t="str">
        <f t="shared" si="8"/>
        <v/>
      </c>
      <c r="D60" s="25" t="str">
        <f t="shared" si="1"/>
        <v/>
      </c>
      <c r="E60" s="25" t="str">
        <f t="shared" si="1"/>
        <v/>
      </c>
      <c r="F60" s="95">
        <f t="shared" si="19"/>
        <v>5</v>
      </c>
      <c r="G60" s="25">
        <f t="shared" si="20"/>
        <v>5</v>
      </c>
      <c r="H60" s="25" t="str">
        <f t="shared" si="9"/>
        <v>CGF</v>
      </c>
      <c r="I60" s="25" t="str">
        <f t="shared" si="10"/>
        <v>CGF</v>
      </c>
      <c r="J60" s="25" t="str">
        <f t="shared" si="21"/>
        <v>Caregiver Functioning - Caregiver #2</v>
      </c>
      <c r="K60" s="108">
        <v>1</v>
      </c>
      <c r="L60" s="95" t="str">
        <f t="shared" ca="1" si="11"/>
        <v/>
      </c>
      <c r="M60" s="25" t="str">
        <f t="shared" ca="1" si="12"/>
        <v/>
      </c>
      <c r="N60" s="25" t="str">
        <f t="shared" ca="1" si="13"/>
        <v/>
      </c>
      <c r="O60" s="25" t="str">
        <f t="shared" ca="1" si="14"/>
        <v/>
      </c>
      <c r="P60" s="91" t="str">
        <f ca="1">IFERROR(IF(AND($X60=3, ISNUMBER($X60)), COUNTIFS(X$18:X60, "=3", $AC$18:$AC60, $AC60), "-"), "err")</f>
        <v>-</v>
      </c>
      <c r="Q60" s="26" t="str">
        <f ca="1">IFERROR(IF(AND($X60=2, ISNUMBER($X60)), COUNTIFS(X$18:X60, "=2", $AC$18:$AC60, $AC60), "-"), "err")</f>
        <v>-</v>
      </c>
      <c r="R60" s="25">
        <f t="shared" ca="1" si="15"/>
        <v>0</v>
      </c>
      <c r="S60" s="26" t="str">
        <f ca="1">IFERROR(IF(AND($X60&gt;=2, ISNUMBER($X60)), COUNTIFS(X$18:X60, "&gt;=2", $AC$18:$AC60, $AC60), "-"), "err")</f>
        <v>-</v>
      </c>
      <c r="T60" s="25">
        <f t="shared" ca="1" si="16"/>
        <v>0</v>
      </c>
      <c r="U60" s="26" t="str">
        <f ca="1">IFERROR(IF(Y60="Yes", COUNTIFS(Y$18:Y60, "Yes", $AC$18:$AC60, $AC60), "-"), "err")</f>
        <v>-</v>
      </c>
      <c r="V60" s="25">
        <f t="shared" ca="1" si="17"/>
        <v>0</v>
      </c>
      <c r="W60" s="26" t="str">
        <f ca="1">IFERROR(IF($Z60="Yes", COUNTIFS(Z$18:Z60, "Yes", $AC$18:AC60, $AC60), "-"), "err")</f>
        <v>-</v>
      </c>
      <c r="X60" s="91">
        <f t="shared" ca="1" si="5"/>
        <v>0</v>
      </c>
      <c r="Y60" s="26" t="str">
        <f t="shared" ca="1" si="22"/>
        <v/>
      </c>
      <c r="Z60" s="26" t="str">
        <f t="shared" ca="1" si="23"/>
        <v/>
      </c>
      <c r="AA60" s="91">
        <f t="shared" si="24"/>
        <v>37</v>
      </c>
      <c r="AB60" s="17" t="s">
        <v>42</v>
      </c>
      <c r="AC60" s="184" t="s">
        <v>42</v>
      </c>
      <c r="AD60" s="54"/>
      <c r="AE60" s="54"/>
      <c r="AF60" s="112"/>
      <c r="AG60" s="200"/>
      <c r="AH60" s="122"/>
      <c r="AI60" s="123"/>
      <c r="AJ60" s="112"/>
      <c r="AK60" s="200"/>
      <c r="AL60" s="122"/>
      <c r="AM60" s="123"/>
      <c r="AN60" s="112"/>
      <c r="AO60" s="200"/>
      <c r="AP60" s="122"/>
      <c r="AQ60" s="123"/>
      <c r="AR60" s="130"/>
    </row>
    <row r="61" spans="1:44" hidden="1" x14ac:dyDescent="0.25">
      <c r="A61" s="41"/>
      <c r="B61" s="25" t="str">
        <f t="shared" si="0"/>
        <v>Caregiver Functioning - Caregiver #2_6</v>
      </c>
      <c r="C61" s="25" t="str">
        <f t="shared" si="8"/>
        <v/>
      </c>
      <c r="D61" s="25" t="str">
        <f t="shared" si="1"/>
        <v/>
      </c>
      <c r="E61" s="25" t="str">
        <f t="shared" si="1"/>
        <v/>
      </c>
      <c r="F61" s="95">
        <f t="shared" si="19"/>
        <v>5</v>
      </c>
      <c r="G61" s="25">
        <f t="shared" si="20"/>
        <v>6</v>
      </c>
      <c r="H61" s="25" t="str">
        <f t="shared" si="9"/>
        <v>CGF</v>
      </c>
      <c r="I61" s="25" t="str">
        <f t="shared" si="10"/>
        <v>CGF</v>
      </c>
      <c r="J61" s="25" t="str">
        <f t="shared" si="21"/>
        <v>Caregiver Functioning - Caregiver #2</v>
      </c>
      <c r="K61" s="108">
        <v>1</v>
      </c>
      <c r="L61" s="95" t="str">
        <f t="shared" ca="1" si="11"/>
        <v/>
      </c>
      <c r="M61" s="25" t="str">
        <f t="shared" ca="1" si="12"/>
        <v/>
      </c>
      <c r="N61" s="25" t="str">
        <f t="shared" ca="1" si="13"/>
        <v/>
      </c>
      <c r="O61" s="25" t="str">
        <f t="shared" ca="1" si="14"/>
        <v/>
      </c>
      <c r="P61" s="91" t="str">
        <f ca="1">IFERROR(IF(AND($X61=3, ISNUMBER($X61)), COUNTIFS(X$18:X61, "=3", $AC$18:$AC61, $AC61), "-"), "err")</f>
        <v>-</v>
      </c>
      <c r="Q61" s="26" t="str">
        <f ca="1">IFERROR(IF(AND($X61=2, ISNUMBER($X61)), COUNTIFS(X$18:X61, "=2", $AC$18:$AC61, $AC61), "-"), "err")</f>
        <v>-</v>
      </c>
      <c r="R61" s="25">
        <f t="shared" ca="1" si="15"/>
        <v>0</v>
      </c>
      <c r="S61" s="26" t="str">
        <f ca="1">IFERROR(IF(AND($X61&gt;=2, ISNUMBER($X61)), COUNTIFS(X$18:X61, "&gt;=2", $AC$18:$AC61, $AC61), "-"), "err")</f>
        <v>-</v>
      </c>
      <c r="T61" s="25">
        <f t="shared" ca="1" si="16"/>
        <v>0</v>
      </c>
      <c r="U61" s="26" t="str">
        <f ca="1">IFERROR(IF(Y61="Yes", COUNTIFS(Y$18:Y61, "Yes", $AC$18:$AC61, $AC61), "-"), "err")</f>
        <v>-</v>
      </c>
      <c r="V61" s="25">
        <f t="shared" ca="1" si="17"/>
        <v>0</v>
      </c>
      <c r="W61" s="26" t="str">
        <f ca="1">IFERROR(IF($Z61="Yes", COUNTIFS(Z$18:Z61, "Yes", $AC$18:AC61, $AC61), "-"), "err")</f>
        <v>-</v>
      </c>
      <c r="X61" s="91">
        <f t="shared" ca="1" si="5"/>
        <v>0</v>
      </c>
      <c r="Y61" s="26" t="str">
        <f t="shared" ca="1" si="22"/>
        <v/>
      </c>
      <c r="Z61" s="26" t="str">
        <f t="shared" ca="1" si="23"/>
        <v/>
      </c>
      <c r="AA61" s="91">
        <f t="shared" si="24"/>
        <v>38</v>
      </c>
      <c r="AB61" s="17" t="s">
        <v>278</v>
      </c>
      <c r="AC61" s="185" t="s">
        <v>278</v>
      </c>
      <c r="AD61" s="87"/>
      <c r="AE61" s="87"/>
      <c r="AF61" s="115"/>
      <c r="AG61" s="201"/>
      <c r="AH61" s="116"/>
      <c r="AI61" s="117"/>
      <c r="AJ61" s="115"/>
      <c r="AK61" s="201"/>
      <c r="AL61" s="116"/>
      <c r="AM61" s="117"/>
      <c r="AN61" s="115"/>
      <c r="AO61" s="201"/>
      <c r="AP61" s="116"/>
      <c r="AQ61" s="117"/>
      <c r="AR61" s="130"/>
    </row>
    <row r="62" spans="1:44" hidden="1" x14ac:dyDescent="0.25">
      <c r="A62" s="41"/>
      <c r="B62" s="25" t="str">
        <f t="shared" si="0"/>
        <v>Caregiver Functioning - Caregiver #2_7</v>
      </c>
      <c r="C62" s="25" t="str">
        <f t="shared" si="8"/>
        <v/>
      </c>
      <c r="D62" s="25" t="str">
        <f t="shared" si="1"/>
        <v/>
      </c>
      <c r="E62" s="25" t="str">
        <f t="shared" si="1"/>
        <v/>
      </c>
      <c r="F62" s="95">
        <f t="shared" si="19"/>
        <v>5</v>
      </c>
      <c r="G62" s="25">
        <f t="shared" si="20"/>
        <v>7</v>
      </c>
      <c r="H62" s="25" t="str">
        <f t="shared" si="9"/>
        <v>CGF</v>
      </c>
      <c r="I62" s="25" t="str">
        <f t="shared" si="10"/>
        <v>CGF</v>
      </c>
      <c r="J62" s="25" t="str">
        <f t="shared" si="21"/>
        <v>Caregiver Functioning - Caregiver #2</v>
      </c>
      <c r="K62" s="108">
        <v>1</v>
      </c>
      <c r="L62" s="95" t="str">
        <f t="shared" ca="1" si="11"/>
        <v/>
      </c>
      <c r="M62" s="25" t="str">
        <f t="shared" ca="1" si="12"/>
        <v/>
      </c>
      <c r="N62" s="25" t="str">
        <f t="shared" ca="1" si="13"/>
        <v/>
      </c>
      <c r="O62" s="25" t="str">
        <f t="shared" ca="1" si="14"/>
        <v/>
      </c>
      <c r="P62" s="91" t="str">
        <f ca="1">IFERROR(IF(AND($X62=3, ISNUMBER($X62)), COUNTIFS(X$18:X62, "=3", $AC$18:$AC62, $AC62), "-"), "err")</f>
        <v>-</v>
      </c>
      <c r="Q62" s="26" t="str">
        <f ca="1">IFERROR(IF(AND($X62=2, ISNUMBER($X62)), COUNTIFS(X$18:X62, "=2", $AC$18:$AC62, $AC62), "-"), "err")</f>
        <v>-</v>
      </c>
      <c r="R62" s="25">
        <f t="shared" ca="1" si="15"/>
        <v>0</v>
      </c>
      <c r="S62" s="26" t="str">
        <f ca="1">IFERROR(IF(AND($X62&gt;=2, ISNUMBER($X62)), COUNTIFS(X$18:X62, "&gt;=2", $AC$18:$AC62, $AC62), "-"), "err")</f>
        <v>-</v>
      </c>
      <c r="T62" s="25">
        <f t="shared" ca="1" si="16"/>
        <v>0</v>
      </c>
      <c r="U62" s="26" t="str">
        <f ca="1">IFERROR(IF(Y62="Yes", COUNTIFS(Y$18:Y62, "Yes", $AC$18:$AC62, $AC62), "-"), "err")</f>
        <v>-</v>
      </c>
      <c r="V62" s="25">
        <f t="shared" ca="1" si="17"/>
        <v>0</v>
      </c>
      <c r="W62" s="26" t="str">
        <f ca="1">IFERROR(IF($Z62="Yes", COUNTIFS(Z$18:Z62, "Yes", $AC$18:AC62, $AC62), "-"), "err")</f>
        <v>-</v>
      </c>
      <c r="X62" s="91">
        <f t="shared" ca="1" si="5"/>
        <v>0</v>
      </c>
      <c r="Y62" s="26" t="str">
        <f t="shared" ca="1" si="22"/>
        <v/>
      </c>
      <c r="Z62" s="26" t="str">
        <f t="shared" ca="1" si="23"/>
        <v/>
      </c>
      <c r="AA62" s="91">
        <f t="shared" si="24"/>
        <v>39</v>
      </c>
      <c r="AB62" s="17" t="s">
        <v>121</v>
      </c>
      <c r="AC62" s="184" t="s">
        <v>121</v>
      </c>
      <c r="AD62" s="54"/>
      <c r="AE62" s="54"/>
      <c r="AF62" s="112"/>
      <c r="AG62" s="200"/>
      <c r="AH62" s="122"/>
      <c r="AI62" s="123"/>
      <c r="AJ62" s="112"/>
      <c r="AK62" s="200"/>
      <c r="AL62" s="122"/>
      <c r="AM62" s="123"/>
      <c r="AN62" s="112"/>
      <c r="AO62" s="200"/>
      <c r="AP62" s="122"/>
      <c r="AQ62" s="123"/>
      <c r="AR62" s="130"/>
    </row>
    <row r="63" spans="1:44" hidden="1" x14ac:dyDescent="0.25">
      <c r="A63" s="41"/>
      <c r="B63" s="25" t="str">
        <f t="shared" si="0"/>
        <v>Caregiver Functioning - Caregiver #2_8</v>
      </c>
      <c r="C63" s="25" t="str">
        <f t="shared" si="8"/>
        <v/>
      </c>
      <c r="D63" s="25" t="str">
        <f t="shared" si="1"/>
        <v/>
      </c>
      <c r="E63" s="25" t="str">
        <f t="shared" si="1"/>
        <v/>
      </c>
      <c r="F63" s="95">
        <f t="shared" si="19"/>
        <v>5</v>
      </c>
      <c r="G63" s="25">
        <f t="shared" si="20"/>
        <v>8</v>
      </c>
      <c r="H63" s="25" t="str">
        <f t="shared" si="9"/>
        <v>CGF</v>
      </c>
      <c r="I63" s="25" t="str">
        <f t="shared" si="10"/>
        <v>CGF</v>
      </c>
      <c r="J63" s="25" t="str">
        <f t="shared" si="21"/>
        <v>Caregiver Functioning - Caregiver #2</v>
      </c>
      <c r="K63" s="108">
        <v>1</v>
      </c>
      <c r="L63" s="95" t="str">
        <f t="shared" ca="1" si="11"/>
        <v/>
      </c>
      <c r="M63" s="25" t="str">
        <f t="shared" ca="1" si="12"/>
        <v/>
      </c>
      <c r="N63" s="25" t="str">
        <f t="shared" ca="1" si="13"/>
        <v/>
      </c>
      <c r="O63" s="25" t="str">
        <f t="shared" ca="1" si="14"/>
        <v/>
      </c>
      <c r="P63" s="91" t="str">
        <f ca="1">IFERROR(IF(AND($X63=3, ISNUMBER($X63)), COUNTIFS(X$18:X63, "=3", $AC$18:$AC63, $AC63), "-"), "err")</f>
        <v>-</v>
      </c>
      <c r="Q63" s="26" t="str">
        <f ca="1">IFERROR(IF(AND($X63=2, ISNUMBER($X63)), COUNTIFS(X$18:X63, "=2", $AC$18:$AC63, $AC63), "-"), "err")</f>
        <v>-</v>
      </c>
      <c r="R63" s="25">
        <f t="shared" ca="1" si="15"/>
        <v>0</v>
      </c>
      <c r="S63" s="26" t="str">
        <f ca="1">IFERROR(IF(AND($X63&gt;=2, ISNUMBER($X63)), COUNTIFS(X$18:X63, "&gt;=2", $AC$18:$AC63, $AC63), "-"), "err")</f>
        <v>-</v>
      </c>
      <c r="T63" s="25">
        <f t="shared" ca="1" si="16"/>
        <v>0</v>
      </c>
      <c r="U63" s="26" t="str">
        <f ca="1">IFERROR(IF(Y63="Yes", COUNTIFS(Y$18:Y63, "Yes", $AC$18:$AC63, $AC63), "-"), "err")</f>
        <v>-</v>
      </c>
      <c r="V63" s="25">
        <f t="shared" ca="1" si="17"/>
        <v>0</v>
      </c>
      <c r="W63" s="26" t="str">
        <f ca="1">IFERROR(IF($Z63="Yes", COUNTIFS(Z$18:Z63, "Yes", $AC$18:AC63, $AC63), "-"), "err")</f>
        <v>-</v>
      </c>
      <c r="X63" s="91">
        <f t="shared" ca="1" si="5"/>
        <v>0</v>
      </c>
      <c r="Y63" s="26" t="str">
        <f t="shared" ca="1" si="22"/>
        <v/>
      </c>
      <c r="Z63" s="26" t="str">
        <f t="shared" ca="1" si="23"/>
        <v/>
      </c>
      <c r="AA63" s="91">
        <f t="shared" si="24"/>
        <v>40</v>
      </c>
      <c r="AB63" s="17" t="s">
        <v>279</v>
      </c>
      <c r="AC63" s="185" t="s">
        <v>279</v>
      </c>
      <c r="AD63" s="87"/>
      <c r="AE63" s="87"/>
      <c r="AF63" s="115"/>
      <c r="AG63" s="201"/>
      <c r="AH63" s="116"/>
      <c r="AI63" s="117"/>
      <c r="AJ63" s="115"/>
      <c r="AK63" s="201"/>
      <c r="AL63" s="116"/>
      <c r="AM63" s="117"/>
      <c r="AN63" s="115"/>
      <c r="AO63" s="201"/>
      <c r="AP63" s="116"/>
      <c r="AQ63" s="117"/>
      <c r="AR63" s="130"/>
    </row>
    <row r="64" spans="1:44" hidden="1" x14ac:dyDescent="0.25">
      <c r="A64" s="41"/>
      <c r="B64" s="25" t="str">
        <f t="shared" si="0"/>
        <v>Caregiver Functioning - Caregiver #2_9</v>
      </c>
      <c r="C64" s="25" t="str">
        <f t="shared" si="8"/>
        <v/>
      </c>
      <c r="D64" s="25" t="str">
        <f t="shared" si="1"/>
        <v/>
      </c>
      <c r="E64" s="25" t="str">
        <f t="shared" si="1"/>
        <v/>
      </c>
      <c r="F64" s="95">
        <f t="shared" si="19"/>
        <v>5</v>
      </c>
      <c r="G64" s="25">
        <f t="shared" si="20"/>
        <v>9</v>
      </c>
      <c r="H64" s="25" t="str">
        <f t="shared" si="9"/>
        <v>CGF</v>
      </c>
      <c r="I64" s="25" t="str">
        <f t="shared" si="10"/>
        <v>CGF</v>
      </c>
      <c r="J64" s="25" t="str">
        <f t="shared" si="21"/>
        <v>Caregiver Functioning - Caregiver #2</v>
      </c>
      <c r="K64" s="108">
        <v>1</v>
      </c>
      <c r="L64" s="95" t="str">
        <f t="shared" ca="1" si="11"/>
        <v/>
      </c>
      <c r="M64" s="25" t="str">
        <f t="shared" ca="1" si="12"/>
        <v/>
      </c>
      <c r="N64" s="25" t="str">
        <f t="shared" ca="1" si="13"/>
        <v/>
      </c>
      <c r="O64" s="25" t="str">
        <f t="shared" ca="1" si="14"/>
        <v/>
      </c>
      <c r="P64" s="91" t="str">
        <f ca="1">IFERROR(IF(AND($X64=3, ISNUMBER($X64)), COUNTIFS(X$18:X64, "=3", $AC$18:$AC64, $AC64), "-"), "err")</f>
        <v>-</v>
      </c>
      <c r="Q64" s="26" t="str">
        <f ca="1">IFERROR(IF(AND($X64=2, ISNUMBER($X64)), COUNTIFS(X$18:X64, "=2", $AC$18:$AC64, $AC64), "-"), "err")</f>
        <v>-</v>
      </c>
      <c r="R64" s="25">
        <f t="shared" ca="1" si="15"/>
        <v>0</v>
      </c>
      <c r="S64" s="26" t="str">
        <f ca="1">IFERROR(IF(AND($X64&gt;=2, ISNUMBER($X64)), COUNTIFS(X$18:X64, "&gt;=2", $AC$18:$AC64, $AC64), "-"), "err")</f>
        <v>-</v>
      </c>
      <c r="T64" s="25">
        <f t="shared" ca="1" si="16"/>
        <v>0</v>
      </c>
      <c r="U64" s="26" t="str">
        <f ca="1">IFERROR(IF(Y64="Yes", COUNTIFS(Y$18:Y64, "Yes", $AC$18:$AC64, $AC64), "-"), "err")</f>
        <v>-</v>
      </c>
      <c r="V64" s="25">
        <f t="shared" ca="1" si="17"/>
        <v>0</v>
      </c>
      <c r="W64" s="26" t="str">
        <f ca="1">IFERROR(IF($Z64="Yes", COUNTIFS(Z$18:Z64, "Yes", $AC$18:AC64, $AC64), "-"), "err")</f>
        <v>-</v>
      </c>
      <c r="X64" s="91">
        <f t="shared" ca="1" si="5"/>
        <v>0</v>
      </c>
      <c r="Y64" s="26" t="str">
        <f t="shared" ca="1" si="22"/>
        <v/>
      </c>
      <c r="Z64" s="26" t="str">
        <f t="shared" ca="1" si="23"/>
        <v/>
      </c>
      <c r="AA64" s="91">
        <f t="shared" si="24"/>
        <v>41</v>
      </c>
      <c r="AB64" s="17" t="s">
        <v>41</v>
      </c>
      <c r="AC64" s="184" t="s">
        <v>41</v>
      </c>
      <c r="AD64" s="54"/>
      <c r="AE64" s="54"/>
      <c r="AF64" s="112"/>
      <c r="AG64" s="200"/>
      <c r="AH64" s="113"/>
      <c r="AI64" s="114"/>
      <c r="AJ64" s="112"/>
      <c r="AK64" s="200"/>
      <c r="AL64" s="113"/>
      <c r="AM64" s="114"/>
      <c r="AN64" s="112"/>
      <c r="AO64" s="200"/>
      <c r="AP64" s="113"/>
      <c r="AQ64" s="114"/>
      <c r="AR64" s="130"/>
    </row>
    <row r="65" spans="1:44" hidden="1" x14ac:dyDescent="0.25">
      <c r="A65" s="41"/>
      <c r="B65" s="25" t="str">
        <f t="shared" si="0"/>
        <v>Caregiver Functioning - Caregiver #2_10</v>
      </c>
      <c r="C65" s="25" t="str">
        <f t="shared" si="8"/>
        <v/>
      </c>
      <c r="D65" s="25" t="str">
        <f t="shared" si="1"/>
        <v/>
      </c>
      <c r="E65" s="25" t="str">
        <f t="shared" si="1"/>
        <v/>
      </c>
      <c r="F65" s="95">
        <f t="shared" si="19"/>
        <v>5</v>
      </c>
      <c r="G65" s="25">
        <f t="shared" si="20"/>
        <v>10</v>
      </c>
      <c r="H65" s="25" t="str">
        <f t="shared" si="9"/>
        <v>CGF</v>
      </c>
      <c r="I65" s="25" t="str">
        <f t="shared" si="10"/>
        <v>CGF</v>
      </c>
      <c r="J65" s="25" t="str">
        <f t="shared" si="21"/>
        <v>Caregiver Functioning - Caregiver #2</v>
      </c>
      <c r="K65" s="108">
        <v>1</v>
      </c>
      <c r="L65" s="95" t="str">
        <f t="shared" ca="1" si="11"/>
        <v/>
      </c>
      <c r="M65" s="25" t="str">
        <f t="shared" ca="1" si="12"/>
        <v/>
      </c>
      <c r="N65" s="25" t="str">
        <f t="shared" ca="1" si="13"/>
        <v/>
      </c>
      <c r="O65" s="25" t="str">
        <f t="shared" ca="1" si="14"/>
        <v/>
      </c>
      <c r="P65" s="91" t="str">
        <f ca="1">IFERROR(IF(AND($X65=3, ISNUMBER($X65)), COUNTIFS(X$18:X65, "=3", $AC$18:$AC65, $AC65), "-"), "err")</f>
        <v>-</v>
      </c>
      <c r="Q65" s="26" t="str">
        <f ca="1">IFERROR(IF(AND($X65=2, ISNUMBER($X65)), COUNTIFS(X$18:X65, "=2", $AC$18:$AC65, $AC65), "-"), "err")</f>
        <v>-</v>
      </c>
      <c r="R65" s="25">
        <f t="shared" ca="1" si="15"/>
        <v>0</v>
      </c>
      <c r="S65" s="26" t="str">
        <f ca="1">IFERROR(IF(AND($X65&gt;=2, ISNUMBER($X65)), COUNTIFS(X$18:X65, "&gt;=2", $AC$18:$AC65, $AC65), "-"), "err")</f>
        <v>-</v>
      </c>
      <c r="T65" s="25">
        <f t="shared" ca="1" si="16"/>
        <v>0</v>
      </c>
      <c r="U65" s="26" t="str">
        <f ca="1">IFERROR(IF(Y65="Yes", COUNTIFS(Y$18:Y65, "Yes", $AC$18:$AC65, $AC65), "-"), "err")</f>
        <v>-</v>
      </c>
      <c r="V65" s="25">
        <f t="shared" ca="1" si="17"/>
        <v>0</v>
      </c>
      <c r="W65" s="26" t="str">
        <f ca="1">IFERROR(IF($Z65="Yes", COUNTIFS(Z$18:Z65, "Yes", $AC$18:AC65, $AC65), "-"), "err")</f>
        <v>-</v>
      </c>
      <c r="X65" s="91">
        <f t="shared" ca="1" si="5"/>
        <v>0</v>
      </c>
      <c r="Y65" s="26" t="str">
        <f t="shared" ca="1" si="22"/>
        <v/>
      </c>
      <c r="Z65" s="26" t="str">
        <f t="shared" ca="1" si="23"/>
        <v/>
      </c>
      <c r="AA65" s="91">
        <f t="shared" si="24"/>
        <v>42</v>
      </c>
      <c r="AB65" s="17" t="s">
        <v>280</v>
      </c>
      <c r="AC65" s="185" t="s">
        <v>280</v>
      </c>
      <c r="AD65" s="87"/>
      <c r="AE65" s="87"/>
      <c r="AF65" s="115"/>
      <c r="AG65" s="201"/>
      <c r="AH65" s="116"/>
      <c r="AI65" s="117"/>
      <c r="AJ65" s="115"/>
      <c r="AK65" s="201"/>
      <c r="AL65" s="116"/>
      <c r="AM65" s="117"/>
      <c r="AN65" s="115"/>
      <c r="AO65" s="201"/>
      <c r="AP65" s="116"/>
      <c r="AQ65" s="117"/>
      <c r="AR65" s="130"/>
    </row>
    <row r="66" spans="1:44" hidden="1" x14ac:dyDescent="0.25">
      <c r="A66" s="41"/>
      <c r="B66" s="25" t="str">
        <f t="shared" si="0"/>
        <v>Caregiver Functioning - Caregiver #2_11</v>
      </c>
      <c r="C66" s="25" t="str">
        <f t="shared" si="8"/>
        <v/>
      </c>
      <c r="D66" s="25" t="str">
        <f t="shared" si="1"/>
        <v/>
      </c>
      <c r="E66" s="25" t="str">
        <f t="shared" si="1"/>
        <v/>
      </c>
      <c r="F66" s="95">
        <f t="shared" si="19"/>
        <v>5</v>
      </c>
      <c r="G66" s="25">
        <f t="shared" si="20"/>
        <v>11</v>
      </c>
      <c r="H66" s="25" t="str">
        <f t="shared" si="9"/>
        <v>CGF</v>
      </c>
      <c r="I66" s="25" t="str">
        <f t="shared" si="10"/>
        <v>CGF</v>
      </c>
      <c r="J66" s="25" t="str">
        <f t="shared" si="21"/>
        <v>Caregiver Functioning - Caregiver #2</v>
      </c>
      <c r="K66" s="108">
        <v>1</v>
      </c>
      <c r="L66" s="95" t="str">
        <f t="shared" ca="1" si="11"/>
        <v/>
      </c>
      <c r="M66" s="25" t="str">
        <f t="shared" ca="1" si="12"/>
        <v/>
      </c>
      <c r="N66" s="25" t="str">
        <f t="shared" ca="1" si="13"/>
        <v/>
      </c>
      <c r="O66" s="25" t="str">
        <f t="shared" ca="1" si="14"/>
        <v/>
      </c>
      <c r="P66" s="91" t="str">
        <f ca="1">IFERROR(IF(AND($X66=3, ISNUMBER($X66)), COUNTIFS(X$18:X66, "=3", $AC$18:$AC66, $AC66), "-"), "err")</f>
        <v>-</v>
      </c>
      <c r="Q66" s="26" t="str">
        <f ca="1">IFERROR(IF(AND($X66=2, ISNUMBER($X66)), COUNTIFS(X$18:X66, "=2", $AC$18:$AC66, $AC66), "-"), "err")</f>
        <v>-</v>
      </c>
      <c r="R66" s="25">
        <f t="shared" ca="1" si="15"/>
        <v>0</v>
      </c>
      <c r="S66" s="26" t="str">
        <f ca="1">IFERROR(IF(AND($X66&gt;=2, ISNUMBER($X66)), COUNTIFS(X$18:X66, "&gt;=2", $AC$18:$AC66, $AC66), "-"), "err")</f>
        <v>-</v>
      </c>
      <c r="T66" s="25">
        <f t="shared" ca="1" si="16"/>
        <v>0</v>
      </c>
      <c r="U66" s="26" t="str">
        <f ca="1">IFERROR(IF(Y66="Yes", COUNTIFS(Y$18:Y66, "Yes", $AC$18:$AC66, $AC66), "-"), "err")</f>
        <v>-</v>
      </c>
      <c r="V66" s="25">
        <f t="shared" ca="1" si="17"/>
        <v>0</v>
      </c>
      <c r="W66" s="26" t="str">
        <f ca="1">IFERROR(IF($Z66="Yes", COUNTIFS(Z$18:Z66, "Yes", $AC$18:AC66, $AC66), "-"), "err")</f>
        <v>-</v>
      </c>
      <c r="X66" s="91">
        <f t="shared" ca="1" si="5"/>
        <v>0</v>
      </c>
      <c r="Y66" s="26" t="str">
        <f t="shared" ca="1" si="22"/>
        <v/>
      </c>
      <c r="Z66" s="26" t="str">
        <f t="shared" ca="1" si="23"/>
        <v/>
      </c>
      <c r="AA66" s="91">
        <f t="shared" si="24"/>
        <v>43</v>
      </c>
      <c r="AB66" s="17" t="s">
        <v>281</v>
      </c>
      <c r="AC66" s="184" t="s">
        <v>281</v>
      </c>
      <c r="AD66" s="54"/>
      <c r="AE66" s="54"/>
      <c r="AF66" s="112"/>
      <c r="AG66" s="200"/>
      <c r="AH66" s="113"/>
      <c r="AI66" s="114"/>
      <c r="AJ66" s="112"/>
      <c r="AK66" s="200"/>
      <c r="AL66" s="113"/>
      <c r="AM66" s="114"/>
      <c r="AN66" s="112"/>
      <c r="AO66" s="200"/>
      <c r="AP66" s="113"/>
      <c r="AQ66" s="114"/>
      <c r="AR66" s="130"/>
    </row>
    <row r="67" spans="1:44" hidden="1" x14ac:dyDescent="0.25">
      <c r="A67" s="41"/>
      <c r="B67" s="25" t="str">
        <f t="shared" si="0"/>
        <v>Caregiver Functioning - Caregiver #2_12</v>
      </c>
      <c r="C67" s="25" t="str">
        <f t="shared" si="8"/>
        <v/>
      </c>
      <c r="D67" s="25" t="str">
        <f t="shared" si="1"/>
        <v/>
      </c>
      <c r="E67" s="25" t="str">
        <f t="shared" si="1"/>
        <v/>
      </c>
      <c r="F67" s="95">
        <f t="shared" si="19"/>
        <v>5</v>
      </c>
      <c r="G67" s="25">
        <f t="shared" si="20"/>
        <v>12</v>
      </c>
      <c r="H67" s="25" t="str">
        <f t="shared" si="9"/>
        <v>CGF</v>
      </c>
      <c r="I67" s="25" t="str">
        <f t="shared" si="10"/>
        <v>CGF</v>
      </c>
      <c r="J67" s="25" t="str">
        <f t="shared" si="21"/>
        <v>Caregiver Functioning - Caregiver #2</v>
      </c>
      <c r="K67" s="108">
        <v>1</v>
      </c>
      <c r="L67" s="95" t="str">
        <f t="shared" ca="1" si="11"/>
        <v/>
      </c>
      <c r="M67" s="25" t="str">
        <f t="shared" ca="1" si="12"/>
        <v/>
      </c>
      <c r="N67" s="25" t="str">
        <f t="shared" ca="1" si="13"/>
        <v/>
      </c>
      <c r="O67" s="25" t="str">
        <f t="shared" ca="1" si="14"/>
        <v/>
      </c>
      <c r="P67" s="91" t="str">
        <f ca="1">IFERROR(IF(AND($X67=3, ISNUMBER($X67)), COUNTIFS(X$18:X67, "=3", $AC$18:$AC67, $AC67), "-"), "err")</f>
        <v>-</v>
      </c>
      <c r="Q67" s="26" t="str">
        <f ca="1">IFERROR(IF(AND($X67=2, ISNUMBER($X67)), COUNTIFS(X$18:X67, "=2", $AC$18:$AC67, $AC67), "-"), "err")</f>
        <v>-</v>
      </c>
      <c r="R67" s="25">
        <f t="shared" ca="1" si="15"/>
        <v>0</v>
      </c>
      <c r="S67" s="26" t="str">
        <f ca="1">IFERROR(IF(AND($X67&gt;=2, ISNUMBER($X67)), COUNTIFS(X$18:X67, "&gt;=2", $AC$18:$AC67, $AC67), "-"), "err")</f>
        <v>-</v>
      </c>
      <c r="T67" s="25">
        <f t="shared" ca="1" si="16"/>
        <v>0</v>
      </c>
      <c r="U67" s="26" t="str">
        <f ca="1">IFERROR(IF(Y67="Yes", COUNTIFS(Y$18:Y67, "Yes", $AC$18:$AC67, $AC67), "-"), "err")</f>
        <v>-</v>
      </c>
      <c r="V67" s="25">
        <f t="shared" ca="1" si="17"/>
        <v>0</v>
      </c>
      <c r="W67" s="26" t="str">
        <f ca="1">IFERROR(IF($Z67="Yes", COUNTIFS(Z$18:Z67, "Yes", $AC$18:AC67, $AC67), "-"), "err")</f>
        <v>-</v>
      </c>
      <c r="X67" s="91">
        <f t="shared" ca="1" si="5"/>
        <v>0</v>
      </c>
      <c r="Y67" s="26" t="str">
        <f t="shared" ca="1" si="22"/>
        <v/>
      </c>
      <c r="Z67" s="26" t="str">
        <f t="shared" ca="1" si="23"/>
        <v/>
      </c>
      <c r="AA67" s="91">
        <f t="shared" si="24"/>
        <v>44</v>
      </c>
      <c r="AB67" s="17" t="s">
        <v>282</v>
      </c>
      <c r="AC67" s="185" t="s">
        <v>282</v>
      </c>
      <c r="AD67" s="87"/>
      <c r="AE67" s="87"/>
      <c r="AF67" s="115"/>
      <c r="AG67" s="201"/>
      <c r="AH67" s="122"/>
      <c r="AI67" s="123"/>
      <c r="AJ67" s="115"/>
      <c r="AK67" s="201"/>
      <c r="AL67" s="122"/>
      <c r="AM67" s="123"/>
      <c r="AN67" s="115"/>
      <c r="AO67" s="201"/>
      <c r="AP67" s="122"/>
      <c r="AQ67" s="123"/>
      <c r="AR67" s="130"/>
    </row>
    <row r="68" spans="1:44" hidden="1" x14ac:dyDescent="0.25">
      <c r="A68" s="41"/>
      <c r="B68" s="25" t="str">
        <f t="shared" si="0"/>
        <v>Caregiver Functioning - Caregiver #2_13</v>
      </c>
      <c r="C68" s="25" t="str">
        <f t="shared" si="8"/>
        <v/>
      </c>
      <c r="D68" s="25" t="str">
        <f t="shared" si="1"/>
        <v/>
      </c>
      <c r="E68" s="25" t="str">
        <f t="shared" si="1"/>
        <v/>
      </c>
      <c r="F68" s="95">
        <f t="shared" si="19"/>
        <v>5</v>
      </c>
      <c r="G68" s="25">
        <f t="shared" si="20"/>
        <v>13</v>
      </c>
      <c r="H68" s="25" t="str">
        <f t="shared" si="9"/>
        <v>CGF</v>
      </c>
      <c r="I68" s="25" t="str">
        <f t="shared" si="10"/>
        <v>CGF</v>
      </c>
      <c r="J68" s="25" t="str">
        <f t="shared" si="21"/>
        <v>Caregiver Functioning - Caregiver #2</v>
      </c>
      <c r="K68" s="108">
        <v>1</v>
      </c>
      <c r="L68" s="95" t="str">
        <f t="shared" ca="1" si="11"/>
        <v/>
      </c>
      <c r="M68" s="25" t="str">
        <f t="shared" ca="1" si="12"/>
        <v/>
      </c>
      <c r="N68" s="25" t="str">
        <f t="shared" ca="1" si="13"/>
        <v/>
      </c>
      <c r="O68" s="25" t="str">
        <f t="shared" ca="1" si="14"/>
        <v/>
      </c>
      <c r="P68" s="91" t="str">
        <f ca="1">IFERROR(IF(AND($X68=3, ISNUMBER($X68)), COUNTIFS(X$18:X68, "=3", $AC$18:$AC68, $AC68), "-"), "err")</f>
        <v>-</v>
      </c>
      <c r="Q68" s="26" t="str">
        <f ca="1">IFERROR(IF(AND($X68=2, ISNUMBER($X68)), COUNTIFS(X$18:X68, "=2", $AC$18:$AC68, $AC68), "-"), "err")</f>
        <v>-</v>
      </c>
      <c r="R68" s="25">
        <f t="shared" ca="1" si="15"/>
        <v>0</v>
      </c>
      <c r="S68" s="26" t="str">
        <f ca="1">IFERROR(IF(AND($X68&gt;=2, ISNUMBER($X68)), COUNTIFS(X$18:X68, "&gt;=2", $AC$18:$AC68, $AC68), "-"), "err")</f>
        <v>-</v>
      </c>
      <c r="T68" s="25">
        <f t="shared" ca="1" si="16"/>
        <v>0</v>
      </c>
      <c r="U68" s="26" t="str">
        <f ca="1">IFERROR(IF(Y68="Yes", COUNTIFS(Y$18:Y68, "Yes", $AC$18:$AC68, $AC68), "-"), "err")</f>
        <v>-</v>
      </c>
      <c r="V68" s="25">
        <f t="shared" ca="1" si="17"/>
        <v>0</v>
      </c>
      <c r="W68" s="26" t="str">
        <f ca="1">IFERROR(IF($Z68="Yes", COUNTIFS(Z$18:Z68, "Yes", $AC$18:AC68, $AC68), "-"), "err")</f>
        <v>-</v>
      </c>
      <c r="X68" s="91">
        <f t="shared" ca="1" si="5"/>
        <v>0</v>
      </c>
      <c r="Y68" s="26" t="str">
        <f t="shared" ca="1" si="22"/>
        <v/>
      </c>
      <c r="Z68" s="26" t="str">
        <f t="shared" ca="1" si="23"/>
        <v/>
      </c>
      <c r="AA68" s="91">
        <f t="shared" si="24"/>
        <v>45</v>
      </c>
      <c r="AB68" s="17" t="s">
        <v>283</v>
      </c>
      <c r="AC68" s="184" t="s">
        <v>283</v>
      </c>
      <c r="AD68" s="54"/>
      <c r="AE68" s="54"/>
      <c r="AF68" s="112"/>
      <c r="AG68" s="200"/>
      <c r="AH68" s="122"/>
      <c r="AI68" s="123"/>
      <c r="AJ68" s="112"/>
      <c r="AK68" s="200"/>
      <c r="AL68" s="122"/>
      <c r="AM68" s="123"/>
      <c r="AN68" s="112"/>
      <c r="AO68" s="200"/>
      <c r="AP68" s="122"/>
      <c r="AQ68" s="123"/>
      <c r="AR68" s="130"/>
    </row>
    <row r="69" spans="1:44" hidden="1" x14ac:dyDescent="0.25">
      <c r="A69" s="41"/>
      <c r="B69" s="25" t="str">
        <f t="shared" si="0"/>
        <v>Caregiver Functioning - Caregiver #2_14</v>
      </c>
      <c r="C69" s="25" t="str">
        <f t="shared" si="8"/>
        <v/>
      </c>
      <c r="D69" s="25" t="str">
        <f t="shared" si="1"/>
        <v/>
      </c>
      <c r="E69" s="25" t="str">
        <f t="shared" si="1"/>
        <v>Caregiver Functioning - Caregiver #2</v>
      </c>
      <c r="F69" s="95">
        <f t="shared" si="19"/>
        <v>5</v>
      </c>
      <c r="G69" s="25">
        <f t="shared" si="20"/>
        <v>14</v>
      </c>
      <c r="H69" s="25" t="str">
        <f t="shared" si="9"/>
        <v>CGF</v>
      </c>
      <c r="I69" s="25" t="str">
        <f t="shared" si="10"/>
        <v>CGF</v>
      </c>
      <c r="J69" s="25" t="str">
        <f t="shared" si="21"/>
        <v>Caregiver Functioning - Caregiver #2</v>
      </c>
      <c r="K69" s="108">
        <v>1</v>
      </c>
      <c r="L69" s="95" t="str">
        <f t="shared" ca="1" si="11"/>
        <v/>
      </c>
      <c r="M69" s="25" t="str">
        <f t="shared" ca="1" si="12"/>
        <v/>
      </c>
      <c r="N69" s="25" t="str">
        <f t="shared" ca="1" si="13"/>
        <v/>
      </c>
      <c r="O69" s="25" t="str">
        <f t="shared" ca="1" si="14"/>
        <v/>
      </c>
      <c r="P69" s="91" t="str">
        <f ca="1">IFERROR(IF(AND($X69=3, ISNUMBER($X69)), COUNTIFS(X$18:X69, "=3", $AC$18:$AC69, $AC69), "-"), "err")</f>
        <v>-</v>
      </c>
      <c r="Q69" s="26" t="str">
        <f ca="1">IFERROR(IF(AND($X69=2, ISNUMBER($X69)), COUNTIFS(X$18:X69, "=2", $AC$18:$AC69, $AC69), "-"), "err")</f>
        <v>-</v>
      </c>
      <c r="R69" s="25">
        <f t="shared" ca="1" si="15"/>
        <v>0</v>
      </c>
      <c r="S69" s="26" t="str">
        <f ca="1">IFERROR(IF(AND($X69&gt;=2, ISNUMBER($X69)), COUNTIFS(X$18:X69, "&gt;=2", $AC$18:$AC69, $AC69), "-"), "err")</f>
        <v>-</v>
      </c>
      <c r="T69" s="25">
        <f t="shared" ca="1" si="16"/>
        <v>0</v>
      </c>
      <c r="U69" s="26" t="str">
        <f ca="1">IFERROR(IF(Y69="Yes", COUNTIFS(Y$18:Y69, "Yes", $AC$18:$AC69, $AC69), "-"), "err")</f>
        <v>-</v>
      </c>
      <c r="V69" s="25">
        <f t="shared" ca="1" si="17"/>
        <v>0</v>
      </c>
      <c r="W69" s="26" t="str">
        <f ca="1">IFERROR(IF($Z69="Yes", COUNTIFS(Z$18:Z69, "Yes", $AC$18:AC69, $AC69), "-"), "err")</f>
        <v>-</v>
      </c>
      <c r="X69" s="91">
        <f t="shared" ca="1" si="5"/>
        <v>0</v>
      </c>
      <c r="Y69" s="26" t="str">
        <f t="shared" ca="1" si="22"/>
        <v/>
      </c>
      <c r="Z69" s="26" t="str">
        <f t="shared" ca="1" si="23"/>
        <v/>
      </c>
      <c r="AA69" s="91">
        <f t="shared" si="24"/>
        <v>46</v>
      </c>
      <c r="AB69" s="17" t="s">
        <v>131</v>
      </c>
      <c r="AC69" s="185" t="s">
        <v>131</v>
      </c>
      <c r="AD69" s="87"/>
      <c r="AE69" s="87"/>
      <c r="AF69" s="115"/>
      <c r="AG69" s="201"/>
      <c r="AH69" s="116"/>
      <c r="AI69" s="117"/>
      <c r="AJ69" s="115"/>
      <c r="AK69" s="201"/>
      <c r="AL69" s="116"/>
      <c r="AM69" s="117"/>
      <c r="AN69" s="115"/>
      <c r="AO69" s="201"/>
      <c r="AP69" s="116"/>
      <c r="AQ69" s="117"/>
      <c r="AR69" s="130"/>
    </row>
    <row r="70" spans="1:44" hidden="1" x14ac:dyDescent="0.25">
      <c r="A70" s="41"/>
      <c r="B70" s="25" t="str">
        <f t="shared" si="0"/>
        <v>Caregiver Functioning - Caregiver #3_0</v>
      </c>
      <c r="C70" s="25" t="str">
        <f t="shared" si="8"/>
        <v/>
      </c>
      <c r="D70" s="25" t="str">
        <f t="shared" si="1"/>
        <v/>
      </c>
      <c r="E70" s="25" t="str">
        <f t="shared" si="1"/>
        <v/>
      </c>
      <c r="F70" s="95">
        <f t="shared" si="19"/>
        <v>6</v>
      </c>
      <c r="G70" s="25">
        <f t="shared" si="20"/>
        <v>0</v>
      </c>
      <c r="H70" s="25" t="str">
        <f t="shared" si="9"/>
        <v>CGF</v>
      </c>
      <c r="I70" s="25" t="str">
        <f t="shared" si="10"/>
        <v>CGF</v>
      </c>
      <c r="J70" s="25" t="str">
        <f t="shared" si="21"/>
        <v>Caregiver Functioning - Caregiver #3</v>
      </c>
      <c r="K70" s="108">
        <v>0</v>
      </c>
      <c r="L70" s="95" t="str">
        <f t="shared" ca="1" si="11"/>
        <v/>
      </c>
      <c r="M70" s="25" t="str">
        <f t="shared" ca="1" si="12"/>
        <v/>
      </c>
      <c r="N70" s="25" t="str">
        <f t="shared" ca="1" si="13"/>
        <v/>
      </c>
      <c r="O70" s="25" t="str">
        <f t="shared" ca="1" si="14"/>
        <v/>
      </c>
      <c r="P70" s="91" t="str">
        <f ca="1">IFERROR(IF(AND($X70=3, ISNUMBER($X70)), COUNTIFS(X$18:X70, "=3", $AC$18:$AC70, $AC70), "-"), "err")</f>
        <v>-</v>
      </c>
      <c r="Q70" s="26" t="str">
        <f ca="1">IFERROR(IF(AND($X70=2, ISNUMBER($X70)), COUNTIFS(X$18:X70, "=2", $AC$18:$AC70, $AC70), "-"), "err")</f>
        <v>-</v>
      </c>
      <c r="R70" s="25">
        <f t="shared" ca="1" si="15"/>
        <v>0</v>
      </c>
      <c r="S70" s="26" t="str">
        <f ca="1">IFERROR(IF(AND($X70&gt;=2, ISNUMBER($X70)), COUNTIFS(X$18:X70, "&gt;=2", $AC$18:$AC70, $AC70), "-"), "err")</f>
        <v>-</v>
      </c>
      <c r="T70" s="25">
        <f t="shared" ca="1" si="16"/>
        <v>0</v>
      </c>
      <c r="U70" s="26" t="str">
        <f ca="1">IFERROR(IF(Y70="Yes", COUNTIFS(Y$18:Y70, "Yes", $AC$18:$AC70, $AC70), "-"), "err")</f>
        <v>-</v>
      </c>
      <c r="V70" s="25">
        <f t="shared" ca="1" si="17"/>
        <v>0</v>
      </c>
      <c r="W70" s="26" t="str">
        <f ca="1">IFERROR(IF($Z70="Yes", COUNTIFS(Z$18:Z70, "Yes", $AC$18:AC70, $AC70), "-"), "err")</f>
        <v>-</v>
      </c>
      <c r="X70" s="91">
        <f t="shared" ca="1" si="5"/>
        <v>0</v>
      </c>
      <c r="Y70" s="26" t="str">
        <f t="shared" ca="1" si="22"/>
        <v/>
      </c>
      <c r="Z70" s="26" t="str">
        <f t="shared" ca="1" si="23"/>
        <v/>
      </c>
      <c r="AA70" s="91">
        <f t="shared" si="24"/>
        <v>46</v>
      </c>
      <c r="AC70" s="183" t="s">
        <v>668</v>
      </c>
      <c r="AD70" s="60"/>
      <c r="AE70" s="61"/>
      <c r="AF70" s="118"/>
      <c r="AG70" s="119"/>
      <c r="AH70" s="120"/>
      <c r="AI70" s="121"/>
      <c r="AJ70" s="118"/>
      <c r="AK70" s="119"/>
      <c r="AL70" s="120"/>
      <c r="AM70" s="121"/>
      <c r="AN70" s="118"/>
      <c r="AO70" s="119"/>
      <c r="AP70" s="120"/>
      <c r="AQ70" s="121"/>
      <c r="AR70" s="130"/>
    </row>
    <row r="71" spans="1:44" hidden="1" x14ac:dyDescent="0.25">
      <c r="A71" s="41"/>
      <c r="B71" s="25" t="str">
        <f t="shared" si="0"/>
        <v>Caregiver Functioning - Caregiver #3_0</v>
      </c>
      <c r="C71" s="25" t="str">
        <f t="shared" si="8"/>
        <v/>
      </c>
      <c r="D71" s="25" t="str">
        <f t="shared" si="1"/>
        <v/>
      </c>
      <c r="E71" s="25" t="str">
        <f t="shared" si="1"/>
        <v/>
      </c>
      <c r="F71" s="95">
        <f t="shared" si="19"/>
        <v>6</v>
      </c>
      <c r="G71" s="25">
        <f t="shared" si="20"/>
        <v>0</v>
      </c>
      <c r="H71" s="25" t="str">
        <f t="shared" si="9"/>
        <v>CGF</v>
      </c>
      <c r="I71" s="25" t="str">
        <f t="shared" si="10"/>
        <v>CGF</v>
      </c>
      <c r="J71" s="25" t="str">
        <f t="shared" si="21"/>
        <v>Caregiver Functioning - Caregiver #3</v>
      </c>
      <c r="K71" s="108">
        <v>2</v>
      </c>
      <c r="L71" s="95" t="str">
        <f t="shared" ca="1" si="11"/>
        <v/>
      </c>
      <c r="M71" s="25" t="str">
        <f t="shared" ca="1" si="12"/>
        <v/>
      </c>
      <c r="N71" s="25" t="str">
        <f t="shared" ca="1" si="13"/>
        <v/>
      </c>
      <c r="O71" s="25" t="str">
        <f t="shared" ca="1" si="14"/>
        <v/>
      </c>
      <c r="P71" s="91" t="str">
        <f ca="1">IFERROR(IF(AND($X71=3, ISNUMBER($X71)), COUNTIFS(X$18:X71, "=3", $AC$18:$AC71, $AC71), "-"), "err")</f>
        <v>-</v>
      </c>
      <c r="Q71" s="26" t="str">
        <f ca="1">IFERROR(IF(AND($X71=2, ISNUMBER($X71)), COUNTIFS(X$18:X71, "=2", $AC$18:$AC71, $AC71), "-"), "err")</f>
        <v>-</v>
      </c>
      <c r="R71" s="25">
        <f t="shared" ca="1" si="15"/>
        <v>0</v>
      </c>
      <c r="S71" s="26" t="str">
        <f ca="1">IFERROR(IF(AND($X71&gt;=2, ISNUMBER($X71)), COUNTIFS(X$18:X71, "&gt;=2", $AC$18:$AC71, $AC71), "-"), "err")</f>
        <v>-</v>
      </c>
      <c r="T71" s="25">
        <f t="shared" ca="1" si="16"/>
        <v>0</v>
      </c>
      <c r="U71" s="26" t="str">
        <f ca="1">IFERROR(IF(Y71="Yes", COUNTIFS(Y$18:Y71, "Yes", $AC$18:$AC71, $AC71), "-"), "err")</f>
        <v>-</v>
      </c>
      <c r="V71" s="25">
        <f t="shared" ca="1" si="17"/>
        <v>0</v>
      </c>
      <c r="W71" s="26" t="str">
        <f ca="1">IFERROR(IF($Z71="Yes", COUNTIFS(Z$18:Z71, "Yes", $AC$18:AC71, $AC71), "-"), "err")</f>
        <v>-</v>
      </c>
      <c r="X71" s="91">
        <f t="shared" ca="1" si="5"/>
        <v>0</v>
      </c>
      <c r="Y71" s="26" t="str">
        <f t="shared" ca="1" si="22"/>
        <v/>
      </c>
      <c r="Z71" s="26" t="str">
        <f t="shared" ca="1" si="23"/>
        <v/>
      </c>
      <c r="AA71" s="91">
        <f t="shared" si="24"/>
        <v>46</v>
      </c>
      <c r="AC71" s="133" t="s">
        <v>323</v>
      </c>
      <c r="AD71" s="197"/>
      <c r="AE71" s="61"/>
      <c r="AF71" s="118"/>
      <c r="AG71" s="119"/>
      <c r="AH71" s="120"/>
      <c r="AI71" s="121"/>
      <c r="AJ71" s="118"/>
      <c r="AK71" s="119"/>
      <c r="AL71" s="120"/>
      <c r="AM71" s="121"/>
      <c r="AN71" s="118"/>
      <c r="AO71" s="119"/>
      <c r="AP71" s="120"/>
      <c r="AQ71" s="121"/>
      <c r="AR71" s="130"/>
    </row>
    <row r="72" spans="1:44" hidden="1" x14ac:dyDescent="0.25">
      <c r="A72" s="41"/>
      <c r="B72" s="25" t="str">
        <f t="shared" si="0"/>
        <v>Caregiver Functioning - Caregiver #3_1</v>
      </c>
      <c r="C72" s="25" t="str">
        <f t="shared" si="8"/>
        <v/>
      </c>
      <c r="D72" s="25" t="str">
        <f t="shared" si="1"/>
        <v/>
      </c>
      <c r="E72" s="25" t="str">
        <f t="shared" si="1"/>
        <v/>
      </c>
      <c r="F72" s="95">
        <f t="shared" si="19"/>
        <v>6</v>
      </c>
      <c r="G72" s="25">
        <f t="shared" si="20"/>
        <v>1</v>
      </c>
      <c r="H72" s="25" t="str">
        <f t="shared" si="9"/>
        <v>CGF</v>
      </c>
      <c r="I72" s="25" t="str">
        <f t="shared" si="10"/>
        <v>CGF</v>
      </c>
      <c r="J72" s="25" t="str">
        <f t="shared" si="21"/>
        <v>Caregiver Functioning - Caregiver #3</v>
      </c>
      <c r="K72" s="108">
        <v>1</v>
      </c>
      <c r="L72" s="95" t="str">
        <f t="shared" ca="1" si="11"/>
        <v/>
      </c>
      <c r="M72" s="25" t="str">
        <f t="shared" ca="1" si="12"/>
        <v/>
      </c>
      <c r="N72" s="25" t="str">
        <f t="shared" ca="1" si="13"/>
        <v/>
      </c>
      <c r="O72" s="25" t="str">
        <f t="shared" ca="1" si="14"/>
        <v/>
      </c>
      <c r="P72" s="91" t="str">
        <f ca="1">IFERROR(IF(AND($X72=3, ISNUMBER($X72)), COUNTIFS(X$18:X72, "=3", $AC$18:$AC72, $AC72), "-"), "err")</f>
        <v>-</v>
      </c>
      <c r="Q72" s="26" t="str">
        <f ca="1">IFERROR(IF(AND($X72=2, ISNUMBER($X72)), COUNTIFS(X$18:X72, "=2", $AC$18:$AC72, $AC72), "-"), "err")</f>
        <v>-</v>
      </c>
      <c r="R72" s="25">
        <f t="shared" ca="1" si="15"/>
        <v>0</v>
      </c>
      <c r="S72" s="26" t="str">
        <f ca="1">IFERROR(IF(AND($X72&gt;=2, ISNUMBER($X72)), COUNTIFS(X$18:X72, "&gt;=2", $AC$18:$AC72, $AC72), "-"), "err")</f>
        <v>-</v>
      </c>
      <c r="T72" s="25">
        <f t="shared" ca="1" si="16"/>
        <v>0</v>
      </c>
      <c r="U72" s="26" t="str">
        <f ca="1">IFERROR(IF(Y72="Yes", COUNTIFS(Y$18:Y72, "Yes", $AC$18:$AC72, $AC72), "-"), "err")</f>
        <v>-</v>
      </c>
      <c r="V72" s="25">
        <f t="shared" ca="1" si="17"/>
        <v>0</v>
      </c>
      <c r="W72" s="26" t="str">
        <f ca="1">IFERROR(IF($Z72="Yes", COUNTIFS(Z$18:Z72, "Yes", $AC$18:AC72, $AC72), "-"), "err")</f>
        <v>-</v>
      </c>
      <c r="X72" s="91">
        <f t="shared" ca="1" si="5"/>
        <v>0</v>
      </c>
      <c r="Y72" s="26" t="str">
        <f t="shared" ca="1" si="22"/>
        <v/>
      </c>
      <c r="Z72" s="26" t="str">
        <f t="shared" ca="1" si="23"/>
        <v/>
      </c>
      <c r="AA72" s="91">
        <f t="shared" si="24"/>
        <v>47</v>
      </c>
      <c r="AB72" s="17" t="s">
        <v>276</v>
      </c>
      <c r="AC72" s="184" t="s">
        <v>276</v>
      </c>
      <c r="AD72" s="54"/>
      <c r="AE72" s="54"/>
      <c r="AF72" s="112"/>
      <c r="AG72" s="200"/>
      <c r="AH72" s="113"/>
      <c r="AI72" s="114"/>
      <c r="AJ72" s="112"/>
      <c r="AK72" s="200"/>
      <c r="AL72" s="113"/>
      <c r="AM72" s="114"/>
      <c r="AN72" s="112"/>
      <c r="AO72" s="200"/>
      <c r="AP72" s="113"/>
      <c r="AQ72" s="114"/>
      <c r="AR72" s="130"/>
    </row>
    <row r="73" spans="1:44" hidden="1" x14ac:dyDescent="0.25">
      <c r="A73" s="41"/>
      <c r="B73" s="25" t="str">
        <f t="shared" si="0"/>
        <v>Caregiver Functioning - Caregiver #3_2</v>
      </c>
      <c r="C73" s="25" t="str">
        <f t="shared" si="8"/>
        <v/>
      </c>
      <c r="D73" s="25" t="str">
        <f t="shared" si="1"/>
        <v/>
      </c>
      <c r="E73" s="25" t="str">
        <f t="shared" si="1"/>
        <v/>
      </c>
      <c r="F73" s="95">
        <f t="shared" si="19"/>
        <v>6</v>
      </c>
      <c r="G73" s="25">
        <f t="shared" si="20"/>
        <v>2</v>
      </c>
      <c r="H73" s="25" t="str">
        <f t="shared" si="9"/>
        <v>CGF</v>
      </c>
      <c r="I73" s="25" t="str">
        <f t="shared" si="10"/>
        <v>CGF</v>
      </c>
      <c r="J73" s="25" t="str">
        <f t="shared" si="21"/>
        <v>Caregiver Functioning - Caregiver #3</v>
      </c>
      <c r="K73" s="108">
        <v>1</v>
      </c>
      <c r="L73" s="95" t="str">
        <f t="shared" ca="1" si="11"/>
        <v/>
      </c>
      <c r="M73" s="25" t="str">
        <f t="shared" ca="1" si="12"/>
        <v/>
      </c>
      <c r="N73" s="25" t="str">
        <f t="shared" ca="1" si="13"/>
        <v/>
      </c>
      <c r="O73" s="25" t="str">
        <f t="shared" ca="1" si="14"/>
        <v/>
      </c>
      <c r="P73" s="91" t="str">
        <f ca="1">IFERROR(IF(AND($X73=3, ISNUMBER($X73)), COUNTIFS(X$18:X73, "=3", $AC$18:$AC73, $AC73), "-"), "err")</f>
        <v>-</v>
      </c>
      <c r="Q73" s="26" t="str">
        <f ca="1">IFERROR(IF(AND($X73=2, ISNUMBER($X73)), COUNTIFS(X$18:X73, "=2", $AC$18:$AC73, $AC73), "-"), "err")</f>
        <v>-</v>
      </c>
      <c r="R73" s="25">
        <f t="shared" ca="1" si="15"/>
        <v>0</v>
      </c>
      <c r="S73" s="26" t="str">
        <f ca="1">IFERROR(IF(AND($X73&gt;=2, ISNUMBER($X73)), COUNTIFS(X$18:X73, "&gt;=2", $AC$18:$AC73, $AC73), "-"), "err")</f>
        <v>-</v>
      </c>
      <c r="T73" s="25">
        <f t="shared" ca="1" si="16"/>
        <v>0</v>
      </c>
      <c r="U73" s="26" t="str">
        <f ca="1">IFERROR(IF(Y73="Yes", COUNTIFS(Y$18:Y73, "Yes", $AC$18:$AC73, $AC73), "-"), "err")</f>
        <v>-</v>
      </c>
      <c r="V73" s="25">
        <f t="shared" ca="1" si="17"/>
        <v>0</v>
      </c>
      <c r="W73" s="26" t="str">
        <f ca="1">IFERROR(IF($Z73="Yes", COUNTIFS(Z$18:Z73, "Yes", $AC$18:AC73, $AC73), "-"), "err")</f>
        <v>-</v>
      </c>
      <c r="X73" s="91">
        <f t="shared" ca="1" si="5"/>
        <v>0</v>
      </c>
      <c r="Y73" s="26" t="str">
        <f t="shared" ca="1" si="22"/>
        <v/>
      </c>
      <c r="Z73" s="26" t="str">
        <f t="shared" ca="1" si="23"/>
        <v/>
      </c>
      <c r="AA73" s="91">
        <f t="shared" si="24"/>
        <v>48</v>
      </c>
      <c r="AB73" s="17" t="s">
        <v>277</v>
      </c>
      <c r="AC73" s="185" t="s">
        <v>277</v>
      </c>
      <c r="AD73" s="87"/>
      <c r="AE73" s="87"/>
      <c r="AF73" s="115"/>
      <c r="AG73" s="201"/>
      <c r="AH73" s="116"/>
      <c r="AI73" s="117"/>
      <c r="AJ73" s="115"/>
      <c r="AK73" s="201"/>
      <c r="AL73" s="116"/>
      <c r="AM73" s="117"/>
      <c r="AN73" s="115"/>
      <c r="AO73" s="201"/>
      <c r="AP73" s="116"/>
      <c r="AQ73" s="117"/>
      <c r="AR73" s="130"/>
    </row>
    <row r="74" spans="1:44" hidden="1" x14ac:dyDescent="0.25">
      <c r="A74" s="41"/>
      <c r="B74" s="25" t="str">
        <f t="shared" si="0"/>
        <v>Caregiver Functioning - Caregiver #3_3</v>
      </c>
      <c r="C74" s="25" t="str">
        <f t="shared" si="8"/>
        <v/>
      </c>
      <c r="D74" s="25" t="str">
        <f t="shared" si="1"/>
        <v/>
      </c>
      <c r="E74" s="25" t="str">
        <f t="shared" si="1"/>
        <v/>
      </c>
      <c r="F74" s="95">
        <f t="shared" si="19"/>
        <v>6</v>
      </c>
      <c r="G74" s="25">
        <f t="shared" si="20"/>
        <v>3</v>
      </c>
      <c r="H74" s="25" t="str">
        <f t="shared" si="9"/>
        <v>CGF</v>
      </c>
      <c r="I74" s="25" t="str">
        <f t="shared" si="10"/>
        <v>CGF</v>
      </c>
      <c r="J74" s="25" t="str">
        <f t="shared" si="21"/>
        <v>Caregiver Functioning - Caregiver #3</v>
      </c>
      <c r="K74" s="108">
        <v>1</v>
      </c>
      <c r="L74" s="95" t="str">
        <f t="shared" ca="1" si="11"/>
        <v/>
      </c>
      <c r="M74" s="25" t="str">
        <f t="shared" ca="1" si="12"/>
        <v/>
      </c>
      <c r="N74" s="25" t="str">
        <f t="shared" ca="1" si="13"/>
        <v/>
      </c>
      <c r="O74" s="25" t="str">
        <f t="shared" ca="1" si="14"/>
        <v/>
      </c>
      <c r="P74" s="91" t="str">
        <f ca="1">IFERROR(IF(AND($X74=3, ISNUMBER($X74)), COUNTIFS(X$18:X74, "=3", $AC$18:$AC74, $AC74), "-"), "err")</f>
        <v>-</v>
      </c>
      <c r="Q74" s="26" t="str">
        <f ca="1">IFERROR(IF(AND($X74=2, ISNUMBER($X74)), COUNTIFS(X$18:X74, "=2", $AC$18:$AC74, $AC74), "-"), "err")</f>
        <v>-</v>
      </c>
      <c r="R74" s="25">
        <f t="shared" ca="1" si="15"/>
        <v>0</v>
      </c>
      <c r="S74" s="26" t="str">
        <f ca="1">IFERROR(IF(AND($X74&gt;=2, ISNUMBER($X74)), COUNTIFS(X$18:X74, "&gt;=2", $AC$18:$AC74, $AC74), "-"), "err")</f>
        <v>-</v>
      </c>
      <c r="T74" s="25">
        <f t="shared" ca="1" si="16"/>
        <v>0</v>
      </c>
      <c r="U74" s="26" t="str">
        <f ca="1">IFERROR(IF(Y74="Yes", COUNTIFS(Y$18:Y74, "Yes", $AC$18:$AC74, $AC74), "-"), "err")</f>
        <v>-</v>
      </c>
      <c r="V74" s="25">
        <f t="shared" ca="1" si="17"/>
        <v>0</v>
      </c>
      <c r="W74" s="26" t="str">
        <f ca="1">IFERROR(IF($Z74="Yes", COUNTIFS(Z$18:Z74, "Yes", $AC$18:AC74, $AC74), "-"), "err")</f>
        <v>-</v>
      </c>
      <c r="X74" s="91">
        <f t="shared" ca="1" si="5"/>
        <v>0</v>
      </c>
      <c r="Y74" s="26" t="str">
        <f t="shared" ca="1" si="22"/>
        <v/>
      </c>
      <c r="Z74" s="26" t="str">
        <f t="shared" ca="1" si="23"/>
        <v/>
      </c>
      <c r="AA74" s="91">
        <f t="shared" si="24"/>
        <v>49</v>
      </c>
      <c r="AB74" s="17" t="s">
        <v>38</v>
      </c>
      <c r="AC74" s="184" t="s">
        <v>38</v>
      </c>
      <c r="AD74" s="54"/>
      <c r="AE74" s="54"/>
      <c r="AF74" s="112"/>
      <c r="AG74" s="200"/>
      <c r="AH74" s="113"/>
      <c r="AI74" s="114"/>
      <c r="AJ74" s="112"/>
      <c r="AK74" s="200"/>
      <c r="AL74" s="113"/>
      <c r="AM74" s="114"/>
      <c r="AN74" s="112"/>
      <c r="AO74" s="200"/>
      <c r="AP74" s="113"/>
      <c r="AQ74" s="114"/>
      <c r="AR74" s="130"/>
    </row>
    <row r="75" spans="1:44" hidden="1" x14ac:dyDescent="0.25">
      <c r="A75" s="41"/>
      <c r="B75" s="25" t="str">
        <f t="shared" si="0"/>
        <v>Caregiver Functioning - Caregiver #3_4</v>
      </c>
      <c r="C75" s="25" t="str">
        <f t="shared" si="8"/>
        <v/>
      </c>
      <c r="D75" s="25" t="str">
        <f t="shared" si="1"/>
        <v/>
      </c>
      <c r="E75" s="25" t="str">
        <f t="shared" si="1"/>
        <v/>
      </c>
      <c r="F75" s="95">
        <f t="shared" si="19"/>
        <v>6</v>
      </c>
      <c r="G75" s="25">
        <f t="shared" si="20"/>
        <v>4</v>
      </c>
      <c r="H75" s="25" t="str">
        <f t="shared" si="9"/>
        <v>CGF</v>
      </c>
      <c r="I75" s="25" t="str">
        <f t="shared" si="10"/>
        <v>CGF</v>
      </c>
      <c r="J75" s="25" t="str">
        <f t="shared" si="21"/>
        <v>Caregiver Functioning - Caregiver #3</v>
      </c>
      <c r="K75" s="108">
        <v>1</v>
      </c>
      <c r="L75" s="95" t="str">
        <f t="shared" ca="1" si="11"/>
        <v/>
      </c>
      <c r="M75" s="25" t="str">
        <f t="shared" ca="1" si="12"/>
        <v/>
      </c>
      <c r="N75" s="25" t="str">
        <f t="shared" ca="1" si="13"/>
        <v/>
      </c>
      <c r="O75" s="25" t="str">
        <f t="shared" ca="1" si="14"/>
        <v/>
      </c>
      <c r="P75" s="91" t="str">
        <f ca="1">IFERROR(IF(AND($X75=3, ISNUMBER($X75)), COUNTIFS(X$18:X75, "=3", $AC$18:$AC75, $AC75), "-"), "err")</f>
        <v>-</v>
      </c>
      <c r="Q75" s="26" t="str">
        <f ca="1">IFERROR(IF(AND($X75=2, ISNUMBER($X75)), COUNTIFS(X$18:X75, "=2", $AC$18:$AC75, $AC75), "-"), "err")</f>
        <v>-</v>
      </c>
      <c r="R75" s="25">
        <f t="shared" ca="1" si="15"/>
        <v>0</v>
      </c>
      <c r="S75" s="26" t="str">
        <f ca="1">IFERROR(IF(AND($X75&gt;=2, ISNUMBER($X75)), COUNTIFS(X$18:X75, "&gt;=2", $AC$18:$AC75, $AC75), "-"), "err")</f>
        <v>-</v>
      </c>
      <c r="T75" s="25">
        <f t="shared" ca="1" si="16"/>
        <v>0</v>
      </c>
      <c r="U75" s="26" t="str">
        <f ca="1">IFERROR(IF(Y75="Yes", COUNTIFS(Y$18:Y75, "Yes", $AC$18:$AC75, $AC75), "-"), "err")</f>
        <v>-</v>
      </c>
      <c r="V75" s="25">
        <f t="shared" ca="1" si="17"/>
        <v>0</v>
      </c>
      <c r="W75" s="26" t="str">
        <f ca="1">IFERROR(IF($Z75="Yes", COUNTIFS(Z$18:Z75, "Yes", $AC$18:AC75, $AC75), "-"), "err")</f>
        <v>-</v>
      </c>
      <c r="X75" s="91">
        <f t="shared" ca="1" si="5"/>
        <v>0</v>
      </c>
      <c r="Y75" s="26" t="str">
        <f t="shared" ca="1" si="22"/>
        <v/>
      </c>
      <c r="Z75" s="26" t="str">
        <f t="shared" ca="1" si="23"/>
        <v/>
      </c>
      <c r="AA75" s="91">
        <f t="shared" si="24"/>
        <v>50</v>
      </c>
      <c r="AB75" s="17" t="s">
        <v>130</v>
      </c>
      <c r="AC75" s="185" t="s">
        <v>130</v>
      </c>
      <c r="AD75" s="87"/>
      <c r="AE75" s="87"/>
      <c r="AF75" s="115"/>
      <c r="AG75" s="201"/>
      <c r="AH75" s="116"/>
      <c r="AI75" s="117"/>
      <c r="AJ75" s="115"/>
      <c r="AK75" s="201"/>
      <c r="AL75" s="116"/>
      <c r="AM75" s="117"/>
      <c r="AN75" s="115"/>
      <c r="AO75" s="201"/>
      <c r="AP75" s="116"/>
      <c r="AQ75" s="117"/>
      <c r="AR75" s="130"/>
    </row>
    <row r="76" spans="1:44" hidden="1" x14ac:dyDescent="0.25">
      <c r="A76" s="41"/>
      <c r="B76" s="25" t="str">
        <f t="shared" si="0"/>
        <v>Caregiver Functioning - Caregiver #3_5</v>
      </c>
      <c r="C76" s="25" t="str">
        <f t="shared" si="8"/>
        <v/>
      </c>
      <c r="D76" s="25" t="str">
        <f t="shared" si="1"/>
        <v/>
      </c>
      <c r="E76" s="25" t="str">
        <f t="shared" si="1"/>
        <v/>
      </c>
      <c r="F76" s="95">
        <f t="shared" si="19"/>
        <v>6</v>
      </c>
      <c r="G76" s="25">
        <f t="shared" si="20"/>
        <v>5</v>
      </c>
      <c r="H76" s="25" t="str">
        <f t="shared" si="9"/>
        <v>CGF</v>
      </c>
      <c r="I76" s="25" t="str">
        <f t="shared" si="10"/>
        <v>CGF</v>
      </c>
      <c r="J76" s="25" t="str">
        <f t="shared" si="21"/>
        <v>Caregiver Functioning - Caregiver #3</v>
      </c>
      <c r="K76" s="108">
        <v>1</v>
      </c>
      <c r="L76" s="95" t="str">
        <f t="shared" ca="1" si="11"/>
        <v/>
      </c>
      <c r="M76" s="25" t="str">
        <f t="shared" ca="1" si="12"/>
        <v/>
      </c>
      <c r="N76" s="25" t="str">
        <f t="shared" ca="1" si="13"/>
        <v/>
      </c>
      <c r="O76" s="25" t="str">
        <f t="shared" ca="1" si="14"/>
        <v/>
      </c>
      <c r="P76" s="91" t="str">
        <f ca="1">IFERROR(IF(AND($X76=3, ISNUMBER($X76)), COUNTIFS(X$18:X76, "=3", $AC$18:$AC76, $AC76), "-"), "err")</f>
        <v>-</v>
      </c>
      <c r="Q76" s="26" t="str">
        <f ca="1">IFERROR(IF(AND($X76=2, ISNUMBER($X76)), COUNTIFS(X$18:X76, "=2", $AC$18:$AC76, $AC76), "-"), "err")</f>
        <v>-</v>
      </c>
      <c r="R76" s="25">
        <f t="shared" ca="1" si="15"/>
        <v>0</v>
      </c>
      <c r="S76" s="26" t="str">
        <f ca="1">IFERROR(IF(AND($X76&gt;=2, ISNUMBER($X76)), COUNTIFS(X$18:X76, "&gt;=2", $AC$18:$AC76, $AC76), "-"), "err")</f>
        <v>-</v>
      </c>
      <c r="T76" s="25">
        <f t="shared" ca="1" si="16"/>
        <v>0</v>
      </c>
      <c r="U76" s="26" t="str">
        <f ca="1">IFERROR(IF(Y76="Yes", COUNTIFS(Y$18:Y76, "Yes", $AC$18:$AC76, $AC76), "-"), "err")</f>
        <v>-</v>
      </c>
      <c r="V76" s="25">
        <f t="shared" ca="1" si="17"/>
        <v>0</v>
      </c>
      <c r="W76" s="26" t="str">
        <f ca="1">IFERROR(IF($Z76="Yes", COUNTIFS(Z$18:Z76, "Yes", $AC$18:AC76, $AC76), "-"), "err")</f>
        <v>-</v>
      </c>
      <c r="X76" s="91">
        <f t="shared" ca="1" si="5"/>
        <v>0</v>
      </c>
      <c r="Y76" s="26" t="str">
        <f t="shared" ca="1" si="22"/>
        <v/>
      </c>
      <c r="Z76" s="26" t="str">
        <f t="shared" ca="1" si="23"/>
        <v/>
      </c>
      <c r="AA76" s="91">
        <f t="shared" si="24"/>
        <v>51</v>
      </c>
      <c r="AB76" s="17" t="s">
        <v>42</v>
      </c>
      <c r="AC76" s="184" t="s">
        <v>42</v>
      </c>
      <c r="AD76" s="54"/>
      <c r="AE76" s="54"/>
      <c r="AF76" s="112"/>
      <c r="AG76" s="200"/>
      <c r="AH76" s="122"/>
      <c r="AI76" s="123"/>
      <c r="AJ76" s="112"/>
      <c r="AK76" s="200"/>
      <c r="AL76" s="122"/>
      <c r="AM76" s="123"/>
      <c r="AN76" s="112"/>
      <c r="AO76" s="200"/>
      <c r="AP76" s="122"/>
      <c r="AQ76" s="123"/>
      <c r="AR76" s="130"/>
    </row>
    <row r="77" spans="1:44" hidden="1" x14ac:dyDescent="0.25">
      <c r="A77" s="41"/>
      <c r="B77" s="25" t="str">
        <f t="shared" si="0"/>
        <v>Caregiver Functioning - Caregiver #3_6</v>
      </c>
      <c r="C77" s="25" t="str">
        <f t="shared" si="8"/>
        <v/>
      </c>
      <c r="D77" s="25" t="str">
        <f t="shared" si="1"/>
        <v/>
      </c>
      <c r="E77" s="25" t="str">
        <f t="shared" si="1"/>
        <v/>
      </c>
      <c r="F77" s="95">
        <f t="shared" si="19"/>
        <v>6</v>
      </c>
      <c r="G77" s="25">
        <f t="shared" si="20"/>
        <v>6</v>
      </c>
      <c r="H77" s="25" t="str">
        <f t="shared" si="9"/>
        <v>CGF</v>
      </c>
      <c r="I77" s="25" t="str">
        <f t="shared" si="10"/>
        <v>CGF</v>
      </c>
      <c r="J77" s="25" t="str">
        <f t="shared" si="21"/>
        <v>Caregiver Functioning - Caregiver #3</v>
      </c>
      <c r="K77" s="108">
        <v>1</v>
      </c>
      <c r="L77" s="95" t="str">
        <f t="shared" ca="1" si="11"/>
        <v/>
      </c>
      <c r="M77" s="25" t="str">
        <f t="shared" ca="1" si="12"/>
        <v/>
      </c>
      <c r="N77" s="25" t="str">
        <f t="shared" ca="1" si="13"/>
        <v/>
      </c>
      <c r="O77" s="25" t="str">
        <f t="shared" ca="1" si="14"/>
        <v/>
      </c>
      <c r="P77" s="91" t="str">
        <f ca="1">IFERROR(IF(AND($X77=3, ISNUMBER($X77)), COUNTIFS(X$18:X77, "=3", $AC$18:$AC77, $AC77), "-"), "err")</f>
        <v>-</v>
      </c>
      <c r="Q77" s="26" t="str">
        <f ca="1">IFERROR(IF(AND($X77=2, ISNUMBER($X77)), COUNTIFS(X$18:X77, "=2", $AC$18:$AC77, $AC77), "-"), "err")</f>
        <v>-</v>
      </c>
      <c r="R77" s="25">
        <f t="shared" ca="1" si="15"/>
        <v>0</v>
      </c>
      <c r="S77" s="26" t="str">
        <f ca="1">IFERROR(IF(AND($X77&gt;=2, ISNUMBER($X77)), COUNTIFS(X$18:X77, "&gt;=2", $AC$18:$AC77, $AC77), "-"), "err")</f>
        <v>-</v>
      </c>
      <c r="T77" s="25">
        <f t="shared" ca="1" si="16"/>
        <v>0</v>
      </c>
      <c r="U77" s="26" t="str">
        <f ca="1">IFERROR(IF(Y77="Yes", COUNTIFS(Y$18:Y77, "Yes", $AC$18:$AC77, $AC77), "-"), "err")</f>
        <v>-</v>
      </c>
      <c r="V77" s="25">
        <f t="shared" ca="1" si="17"/>
        <v>0</v>
      </c>
      <c r="W77" s="26" t="str">
        <f ca="1">IFERROR(IF($Z77="Yes", COUNTIFS(Z$18:Z77, "Yes", $AC$18:AC77, $AC77), "-"), "err")</f>
        <v>-</v>
      </c>
      <c r="X77" s="91">
        <f t="shared" ca="1" si="5"/>
        <v>0</v>
      </c>
      <c r="Y77" s="26" t="str">
        <f t="shared" ca="1" si="22"/>
        <v/>
      </c>
      <c r="Z77" s="26" t="str">
        <f t="shared" ca="1" si="23"/>
        <v/>
      </c>
      <c r="AA77" s="91">
        <f t="shared" si="24"/>
        <v>52</v>
      </c>
      <c r="AB77" s="17" t="s">
        <v>278</v>
      </c>
      <c r="AC77" s="185" t="s">
        <v>278</v>
      </c>
      <c r="AD77" s="87"/>
      <c r="AE77" s="87"/>
      <c r="AF77" s="115"/>
      <c r="AG77" s="201"/>
      <c r="AH77" s="116"/>
      <c r="AI77" s="117"/>
      <c r="AJ77" s="115"/>
      <c r="AK77" s="201"/>
      <c r="AL77" s="116"/>
      <c r="AM77" s="117"/>
      <c r="AN77" s="115"/>
      <c r="AO77" s="201"/>
      <c r="AP77" s="116"/>
      <c r="AQ77" s="117"/>
      <c r="AR77" s="130"/>
    </row>
    <row r="78" spans="1:44" hidden="1" x14ac:dyDescent="0.25">
      <c r="A78" s="41"/>
      <c r="B78" s="25" t="str">
        <f t="shared" si="0"/>
        <v>Caregiver Functioning - Caregiver #3_7</v>
      </c>
      <c r="C78" s="25" t="str">
        <f t="shared" si="8"/>
        <v/>
      </c>
      <c r="D78" s="25" t="str">
        <f t="shared" si="1"/>
        <v/>
      </c>
      <c r="E78" s="25" t="str">
        <f t="shared" si="1"/>
        <v/>
      </c>
      <c r="F78" s="95">
        <f t="shared" si="19"/>
        <v>6</v>
      </c>
      <c r="G78" s="25">
        <f t="shared" si="20"/>
        <v>7</v>
      </c>
      <c r="H78" s="25" t="str">
        <f t="shared" si="9"/>
        <v>CGF</v>
      </c>
      <c r="I78" s="25" t="str">
        <f t="shared" si="10"/>
        <v>CGF</v>
      </c>
      <c r="J78" s="25" t="str">
        <f t="shared" si="21"/>
        <v>Caregiver Functioning - Caregiver #3</v>
      </c>
      <c r="K78" s="108">
        <v>1</v>
      </c>
      <c r="L78" s="95" t="str">
        <f t="shared" ca="1" si="11"/>
        <v/>
      </c>
      <c r="M78" s="25" t="str">
        <f t="shared" ca="1" si="12"/>
        <v/>
      </c>
      <c r="N78" s="25" t="str">
        <f t="shared" ca="1" si="13"/>
        <v/>
      </c>
      <c r="O78" s="25" t="str">
        <f t="shared" ca="1" si="14"/>
        <v/>
      </c>
      <c r="P78" s="91" t="str">
        <f ca="1">IFERROR(IF(AND($X78=3, ISNUMBER($X78)), COUNTIFS(X$18:X78, "=3", $AC$18:$AC78, $AC78), "-"), "err")</f>
        <v>-</v>
      </c>
      <c r="Q78" s="26" t="str">
        <f ca="1">IFERROR(IF(AND($X78=2, ISNUMBER($X78)), COUNTIFS(X$18:X78, "=2", $AC$18:$AC78, $AC78), "-"), "err")</f>
        <v>-</v>
      </c>
      <c r="R78" s="25">
        <f t="shared" ca="1" si="15"/>
        <v>0</v>
      </c>
      <c r="S78" s="26" t="str">
        <f ca="1">IFERROR(IF(AND($X78&gt;=2, ISNUMBER($X78)), COUNTIFS(X$18:X78, "&gt;=2", $AC$18:$AC78, $AC78), "-"), "err")</f>
        <v>-</v>
      </c>
      <c r="T78" s="25">
        <f t="shared" ca="1" si="16"/>
        <v>0</v>
      </c>
      <c r="U78" s="26" t="str">
        <f ca="1">IFERROR(IF(Y78="Yes", COUNTIFS(Y$18:Y78, "Yes", $AC$18:$AC78, $AC78), "-"), "err")</f>
        <v>-</v>
      </c>
      <c r="V78" s="25">
        <f t="shared" ca="1" si="17"/>
        <v>0</v>
      </c>
      <c r="W78" s="26" t="str">
        <f ca="1">IFERROR(IF($Z78="Yes", COUNTIFS(Z$18:Z78, "Yes", $AC$18:AC78, $AC78), "-"), "err")</f>
        <v>-</v>
      </c>
      <c r="X78" s="91">
        <f t="shared" ca="1" si="5"/>
        <v>0</v>
      </c>
      <c r="Y78" s="26" t="str">
        <f t="shared" ca="1" si="22"/>
        <v/>
      </c>
      <c r="Z78" s="26" t="str">
        <f t="shared" ca="1" si="23"/>
        <v/>
      </c>
      <c r="AA78" s="91">
        <f t="shared" si="24"/>
        <v>53</v>
      </c>
      <c r="AB78" s="17" t="s">
        <v>121</v>
      </c>
      <c r="AC78" s="184" t="s">
        <v>121</v>
      </c>
      <c r="AD78" s="54"/>
      <c r="AE78" s="54"/>
      <c r="AF78" s="112"/>
      <c r="AG78" s="200"/>
      <c r="AH78" s="122"/>
      <c r="AI78" s="123"/>
      <c r="AJ78" s="112"/>
      <c r="AK78" s="200"/>
      <c r="AL78" s="122"/>
      <c r="AM78" s="123"/>
      <c r="AN78" s="112"/>
      <c r="AO78" s="200"/>
      <c r="AP78" s="122"/>
      <c r="AQ78" s="123"/>
      <c r="AR78" s="130"/>
    </row>
    <row r="79" spans="1:44" hidden="1" x14ac:dyDescent="0.25">
      <c r="A79" s="41"/>
      <c r="B79" s="25" t="str">
        <f t="shared" si="0"/>
        <v>Caregiver Functioning - Caregiver #3_8</v>
      </c>
      <c r="C79" s="25" t="str">
        <f t="shared" si="8"/>
        <v/>
      </c>
      <c r="D79" s="25" t="str">
        <f t="shared" si="1"/>
        <v/>
      </c>
      <c r="E79" s="25" t="str">
        <f t="shared" si="1"/>
        <v/>
      </c>
      <c r="F79" s="95">
        <f t="shared" si="19"/>
        <v>6</v>
      </c>
      <c r="G79" s="25">
        <f t="shared" si="20"/>
        <v>8</v>
      </c>
      <c r="H79" s="25" t="str">
        <f t="shared" si="9"/>
        <v>CGF</v>
      </c>
      <c r="I79" s="25" t="str">
        <f t="shared" si="10"/>
        <v>CGF</v>
      </c>
      <c r="J79" s="25" t="str">
        <f t="shared" si="21"/>
        <v>Caregiver Functioning - Caregiver #3</v>
      </c>
      <c r="K79" s="108">
        <v>1</v>
      </c>
      <c r="L79" s="95" t="str">
        <f t="shared" ca="1" si="11"/>
        <v/>
      </c>
      <c r="M79" s="25" t="str">
        <f t="shared" ca="1" si="12"/>
        <v/>
      </c>
      <c r="N79" s="25" t="str">
        <f t="shared" ca="1" si="13"/>
        <v/>
      </c>
      <c r="O79" s="25" t="str">
        <f t="shared" ca="1" si="14"/>
        <v/>
      </c>
      <c r="P79" s="91" t="str">
        <f ca="1">IFERROR(IF(AND($X79=3, ISNUMBER($X79)), COUNTIFS(X$18:X79, "=3", $AC$18:$AC79, $AC79), "-"), "err")</f>
        <v>-</v>
      </c>
      <c r="Q79" s="26" t="str">
        <f ca="1">IFERROR(IF(AND($X79=2, ISNUMBER($X79)), COUNTIFS(X$18:X79, "=2", $AC$18:$AC79, $AC79), "-"), "err")</f>
        <v>-</v>
      </c>
      <c r="R79" s="25">
        <f t="shared" ca="1" si="15"/>
        <v>0</v>
      </c>
      <c r="S79" s="26" t="str">
        <f ca="1">IFERROR(IF(AND($X79&gt;=2, ISNUMBER($X79)), COUNTIFS(X$18:X79, "&gt;=2", $AC$18:$AC79, $AC79), "-"), "err")</f>
        <v>-</v>
      </c>
      <c r="T79" s="25">
        <f t="shared" ca="1" si="16"/>
        <v>0</v>
      </c>
      <c r="U79" s="26" t="str">
        <f ca="1">IFERROR(IF(Y79="Yes", COUNTIFS(Y$18:Y79, "Yes", $AC$18:$AC79, $AC79), "-"), "err")</f>
        <v>-</v>
      </c>
      <c r="V79" s="25">
        <f t="shared" ca="1" si="17"/>
        <v>0</v>
      </c>
      <c r="W79" s="26" t="str">
        <f ca="1">IFERROR(IF($Z79="Yes", COUNTIFS(Z$18:Z79, "Yes", $AC$18:AC79, $AC79), "-"), "err")</f>
        <v>-</v>
      </c>
      <c r="X79" s="91">
        <f t="shared" ca="1" si="5"/>
        <v>0</v>
      </c>
      <c r="Y79" s="26" t="str">
        <f t="shared" ca="1" si="22"/>
        <v/>
      </c>
      <c r="Z79" s="26" t="str">
        <f t="shared" ca="1" si="23"/>
        <v/>
      </c>
      <c r="AA79" s="91">
        <f t="shared" si="24"/>
        <v>54</v>
      </c>
      <c r="AB79" s="17" t="s">
        <v>279</v>
      </c>
      <c r="AC79" s="185" t="s">
        <v>279</v>
      </c>
      <c r="AD79" s="87"/>
      <c r="AE79" s="87"/>
      <c r="AF79" s="115"/>
      <c r="AG79" s="201"/>
      <c r="AH79" s="116"/>
      <c r="AI79" s="117"/>
      <c r="AJ79" s="115"/>
      <c r="AK79" s="201"/>
      <c r="AL79" s="116"/>
      <c r="AM79" s="117"/>
      <c r="AN79" s="115"/>
      <c r="AO79" s="201"/>
      <c r="AP79" s="116"/>
      <c r="AQ79" s="117"/>
      <c r="AR79" s="130"/>
    </row>
    <row r="80" spans="1:44" hidden="1" x14ac:dyDescent="0.25">
      <c r="A80" s="41"/>
      <c r="B80" s="25" t="str">
        <f t="shared" si="0"/>
        <v>Caregiver Functioning - Caregiver #3_9</v>
      </c>
      <c r="C80" s="25" t="str">
        <f t="shared" si="8"/>
        <v/>
      </c>
      <c r="D80" s="25" t="str">
        <f t="shared" si="1"/>
        <v/>
      </c>
      <c r="E80" s="25" t="str">
        <f t="shared" si="1"/>
        <v/>
      </c>
      <c r="F80" s="95">
        <f t="shared" si="19"/>
        <v>6</v>
      </c>
      <c r="G80" s="25">
        <f t="shared" si="20"/>
        <v>9</v>
      </c>
      <c r="H80" s="25" t="str">
        <f t="shared" si="9"/>
        <v>CGF</v>
      </c>
      <c r="I80" s="25" t="str">
        <f t="shared" si="10"/>
        <v>CGF</v>
      </c>
      <c r="J80" s="25" t="str">
        <f t="shared" si="21"/>
        <v>Caregiver Functioning - Caregiver #3</v>
      </c>
      <c r="K80" s="108">
        <v>1</v>
      </c>
      <c r="L80" s="95" t="str">
        <f t="shared" ca="1" si="11"/>
        <v/>
      </c>
      <c r="M80" s="25" t="str">
        <f t="shared" ca="1" si="12"/>
        <v/>
      </c>
      <c r="N80" s="25" t="str">
        <f t="shared" ca="1" si="13"/>
        <v/>
      </c>
      <c r="O80" s="25" t="str">
        <f t="shared" ca="1" si="14"/>
        <v/>
      </c>
      <c r="P80" s="91" t="str">
        <f ca="1">IFERROR(IF(AND($X80=3, ISNUMBER($X80)), COUNTIFS(X$18:X80, "=3", $AC$18:$AC80, $AC80), "-"), "err")</f>
        <v>-</v>
      </c>
      <c r="Q80" s="26" t="str">
        <f ca="1">IFERROR(IF(AND($X80=2, ISNUMBER($X80)), COUNTIFS(X$18:X80, "=2", $AC$18:$AC80, $AC80), "-"), "err")</f>
        <v>-</v>
      </c>
      <c r="R80" s="25">
        <f t="shared" ca="1" si="15"/>
        <v>0</v>
      </c>
      <c r="S80" s="26" t="str">
        <f ca="1">IFERROR(IF(AND($X80&gt;=2, ISNUMBER($X80)), COUNTIFS(X$18:X80, "&gt;=2", $AC$18:$AC80, $AC80), "-"), "err")</f>
        <v>-</v>
      </c>
      <c r="T80" s="25">
        <f t="shared" ca="1" si="16"/>
        <v>0</v>
      </c>
      <c r="U80" s="26" t="str">
        <f ca="1">IFERROR(IF(Y80="Yes", COUNTIFS(Y$18:Y80, "Yes", $AC$18:$AC80, $AC80), "-"), "err")</f>
        <v>-</v>
      </c>
      <c r="V80" s="25">
        <f t="shared" ca="1" si="17"/>
        <v>0</v>
      </c>
      <c r="W80" s="26" t="str">
        <f ca="1">IFERROR(IF($Z80="Yes", COUNTIFS(Z$18:Z80, "Yes", $AC$18:AC80, $AC80), "-"), "err")</f>
        <v>-</v>
      </c>
      <c r="X80" s="91">
        <f t="shared" ca="1" si="5"/>
        <v>0</v>
      </c>
      <c r="Y80" s="26" t="str">
        <f t="shared" ca="1" si="22"/>
        <v/>
      </c>
      <c r="Z80" s="26" t="str">
        <f t="shared" ca="1" si="23"/>
        <v/>
      </c>
      <c r="AA80" s="91">
        <f t="shared" si="24"/>
        <v>55</v>
      </c>
      <c r="AB80" s="17" t="s">
        <v>41</v>
      </c>
      <c r="AC80" s="184" t="s">
        <v>41</v>
      </c>
      <c r="AD80" s="54"/>
      <c r="AE80" s="54"/>
      <c r="AF80" s="112"/>
      <c r="AG80" s="200"/>
      <c r="AH80" s="113"/>
      <c r="AI80" s="114"/>
      <c r="AJ80" s="112"/>
      <c r="AK80" s="200"/>
      <c r="AL80" s="113"/>
      <c r="AM80" s="114"/>
      <c r="AN80" s="112"/>
      <c r="AO80" s="200"/>
      <c r="AP80" s="113"/>
      <c r="AQ80" s="114"/>
      <c r="AR80" s="130"/>
    </row>
    <row r="81" spans="1:44" hidden="1" x14ac:dyDescent="0.25">
      <c r="A81" s="41"/>
      <c r="B81" s="25" t="str">
        <f t="shared" si="0"/>
        <v>Caregiver Functioning - Caregiver #3_10</v>
      </c>
      <c r="C81" s="25" t="str">
        <f t="shared" si="8"/>
        <v/>
      </c>
      <c r="D81" s="25" t="str">
        <f t="shared" si="1"/>
        <v/>
      </c>
      <c r="E81" s="25" t="str">
        <f t="shared" si="1"/>
        <v/>
      </c>
      <c r="F81" s="95">
        <f t="shared" si="19"/>
        <v>6</v>
      </c>
      <c r="G81" s="25">
        <f t="shared" si="20"/>
        <v>10</v>
      </c>
      <c r="H81" s="25" t="str">
        <f t="shared" si="9"/>
        <v>CGF</v>
      </c>
      <c r="I81" s="25" t="str">
        <f t="shared" si="10"/>
        <v>CGF</v>
      </c>
      <c r="J81" s="25" t="str">
        <f t="shared" si="21"/>
        <v>Caregiver Functioning - Caregiver #3</v>
      </c>
      <c r="K81" s="108">
        <v>1</v>
      </c>
      <c r="L81" s="95" t="str">
        <f t="shared" ca="1" si="11"/>
        <v/>
      </c>
      <c r="M81" s="25" t="str">
        <f t="shared" ca="1" si="12"/>
        <v/>
      </c>
      <c r="N81" s="25" t="str">
        <f t="shared" ca="1" si="13"/>
        <v/>
      </c>
      <c r="O81" s="25" t="str">
        <f t="shared" ca="1" si="14"/>
        <v/>
      </c>
      <c r="P81" s="91" t="str">
        <f ca="1">IFERROR(IF(AND($X81=3, ISNUMBER($X81)), COUNTIFS(X$18:X81, "=3", $AC$18:$AC81, $AC81), "-"), "err")</f>
        <v>-</v>
      </c>
      <c r="Q81" s="26" t="str">
        <f ca="1">IFERROR(IF(AND($X81=2, ISNUMBER($X81)), COUNTIFS(X$18:X81, "=2", $AC$18:$AC81, $AC81), "-"), "err")</f>
        <v>-</v>
      </c>
      <c r="R81" s="25">
        <f t="shared" ca="1" si="15"/>
        <v>0</v>
      </c>
      <c r="S81" s="26" t="str">
        <f ca="1">IFERROR(IF(AND($X81&gt;=2, ISNUMBER($X81)), COUNTIFS(X$18:X81, "&gt;=2", $AC$18:$AC81, $AC81), "-"), "err")</f>
        <v>-</v>
      </c>
      <c r="T81" s="25">
        <f t="shared" ca="1" si="16"/>
        <v>0</v>
      </c>
      <c r="U81" s="26" t="str">
        <f ca="1">IFERROR(IF(Y81="Yes", COUNTIFS(Y$18:Y81, "Yes", $AC$18:$AC81, $AC81), "-"), "err")</f>
        <v>-</v>
      </c>
      <c r="V81" s="25">
        <f t="shared" ca="1" si="17"/>
        <v>0</v>
      </c>
      <c r="W81" s="26" t="str">
        <f ca="1">IFERROR(IF($Z81="Yes", COUNTIFS(Z$18:Z81, "Yes", $AC$18:AC81, $AC81), "-"), "err")</f>
        <v>-</v>
      </c>
      <c r="X81" s="91">
        <f t="shared" ca="1" si="5"/>
        <v>0</v>
      </c>
      <c r="Y81" s="26" t="str">
        <f t="shared" ca="1" si="22"/>
        <v/>
      </c>
      <c r="Z81" s="26" t="str">
        <f t="shared" ca="1" si="23"/>
        <v/>
      </c>
      <c r="AA81" s="91">
        <f t="shared" si="24"/>
        <v>56</v>
      </c>
      <c r="AB81" s="17" t="s">
        <v>280</v>
      </c>
      <c r="AC81" s="185" t="s">
        <v>280</v>
      </c>
      <c r="AD81" s="87"/>
      <c r="AE81" s="87"/>
      <c r="AF81" s="115"/>
      <c r="AG81" s="201"/>
      <c r="AH81" s="116"/>
      <c r="AI81" s="117"/>
      <c r="AJ81" s="115"/>
      <c r="AK81" s="201"/>
      <c r="AL81" s="116"/>
      <c r="AM81" s="117"/>
      <c r="AN81" s="115"/>
      <c r="AO81" s="201"/>
      <c r="AP81" s="116"/>
      <c r="AQ81" s="117"/>
      <c r="AR81" s="130"/>
    </row>
    <row r="82" spans="1:44" hidden="1" x14ac:dyDescent="0.25">
      <c r="A82" s="41"/>
      <c r="B82" s="25" t="str">
        <f t="shared" ref="B82:B148" si="25">J82&amp;"_"&amp;G82</f>
        <v>Caregiver Functioning - Caregiver #3_11</v>
      </c>
      <c r="C82" s="25" t="str">
        <f t="shared" si="8"/>
        <v/>
      </c>
      <c r="D82" s="25" t="str">
        <f t="shared" ref="D82:E148" si="26">IF(I82&lt;&gt;I83, I82, "")</f>
        <v/>
      </c>
      <c r="E82" s="25" t="str">
        <f t="shared" si="26"/>
        <v/>
      </c>
      <c r="F82" s="95">
        <f t="shared" si="19"/>
        <v>6</v>
      </c>
      <c r="G82" s="25">
        <f t="shared" si="20"/>
        <v>11</v>
      </c>
      <c r="H82" s="25" t="str">
        <f t="shared" si="9"/>
        <v>CGF</v>
      </c>
      <c r="I82" s="25" t="str">
        <f t="shared" si="10"/>
        <v>CGF</v>
      </c>
      <c r="J82" s="25" t="str">
        <f t="shared" ref="J82:J104" si="27">IF(K82=0, AC82, J81)</f>
        <v>Caregiver Functioning - Caregiver #3</v>
      </c>
      <c r="K82" s="108">
        <v>1</v>
      </c>
      <c r="L82" s="95" t="str">
        <f t="shared" ca="1" si="11"/>
        <v/>
      </c>
      <c r="M82" s="25" t="str">
        <f t="shared" ca="1" si="12"/>
        <v/>
      </c>
      <c r="N82" s="25" t="str">
        <f t="shared" ca="1" si="13"/>
        <v/>
      </c>
      <c r="O82" s="25" t="str">
        <f t="shared" ca="1" si="14"/>
        <v/>
      </c>
      <c r="P82" s="91" t="str">
        <f ca="1">IFERROR(IF(AND($X82=3, ISNUMBER($X82)), COUNTIFS(X$18:X82, "=3", $AC$18:$AC82, $AC82), "-"), "err")</f>
        <v>-</v>
      </c>
      <c r="Q82" s="26" t="str">
        <f ca="1">IFERROR(IF(AND($X82=2, ISNUMBER($X82)), COUNTIFS(X$18:X82, "=2", $AC$18:$AC82, $AC82), "-"), "err")</f>
        <v>-</v>
      </c>
      <c r="R82" s="25">
        <f t="shared" ca="1" si="15"/>
        <v>0</v>
      </c>
      <c r="S82" s="26" t="str">
        <f ca="1">IFERROR(IF(AND($X82&gt;=2, ISNUMBER($X82)), COUNTIFS(X$18:X82, "&gt;=2", $AC$18:$AC82, $AC82), "-"), "err")</f>
        <v>-</v>
      </c>
      <c r="T82" s="25">
        <f t="shared" ca="1" si="16"/>
        <v>0</v>
      </c>
      <c r="U82" s="26" t="str">
        <f ca="1">IFERROR(IF(Y82="Yes", COUNTIFS(Y$18:Y82, "Yes", $AC$18:$AC82, $AC82), "-"), "err")</f>
        <v>-</v>
      </c>
      <c r="V82" s="25">
        <f t="shared" ca="1" si="17"/>
        <v>0</v>
      </c>
      <c r="W82" s="26" t="str">
        <f ca="1">IFERROR(IF($Z82="Yes", COUNTIFS(Z$18:Z82, "Yes", $AC$18:AC82, $AC82), "-"), "err")</f>
        <v>-</v>
      </c>
      <c r="X82" s="91">
        <f t="shared" ca="1" si="5"/>
        <v>0</v>
      </c>
      <c r="Y82" s="26" t="str">
        <f t="shared" ref="Y82:Y114" ca="1" si="28">T(INDIRECT(ADDRESS(ROW(), lastAssessCol+2)))</f>
        <v/>
      </c>
      <c r="Z82" s="26" t="str">
        <f t="shared" ref="Z82:Z114" ca="1" si="29">T(INDIRECT(ADDRESS(ROW(), lastAssessCol+3)))</f>
        <v/>
      </c>
      <c r="AA82" s="91">
        <f t="shared" si="24"/>
        <v>57</v>
      </c>
      <c r="AB82" s="17" t="s">
        <v>281</v>
      </c>
      <c r="AC82" s="184" t="s">
        <v>281</v>
      </c>
      <c r="AD82" s="54"/>
      <c r="AE82" s="54"/>
      <c r="AF82" s="112"/>
      <c r="AG82" s="200"/>
      <c r="AH82" s="113"/>
      <c r="AI82" s="114"/>
      <c r="AJ82" s="112"/>
      <c r="AK82" s="200"/>
      <c r="AL82" s="113"/>
      <c r="AM82" s="114"/>
      <c r="AN82" s="112"/>
      <c r="AO82" s="200"/>
      <c r="AP82" s="113"/>
      <c r="AQ82" s="114"/>
      <c r="AR82" s="130"/>
    </row>
    <row r="83" spans="1:44" hidden="1" x14ac:dyDescent="0.25">
      <c r="A83" s="41"/>
      <c r="B83" s="25" t="str">
        <f t="shared" si="25"/>
        <v>Caregiver Functioning - Caregiver #3_12</v>
      </c>
      <c r="C83" s="25" t="str">
        <f t="shared" ref="C83:C149" si="30">IF(H83&lt;&gt;H84, H83, "")</f>
        <v/>
      </c>
      <c r="D83" s="25" t="str">
        <f t="shared" si="26"/>
        <v/>
      </c>
      <c r="E83" s="25" t="str">
        <f t="shared" si="26"/>
        <v/>
      </c>
      <c r="F83" s="95">
        <f t="shared" si="19"/>
        <v>6</v>
      </c>
      <c r="G83" s="25">
        <f t="shared" si="20"/>
        <v>12</v>
      </c>
      <c r="H83" s="25" t="str">
        <f t="shared" ref="H83:H149" si="31">IF(OR(I83="FF", I83="CGA"), "FF/CGA", I83)</f>
        <v>CGF</v>
      </c>
      <c r="I83" s="25" t="str">
        <f t="shared" ref="I83:I149" si="32">IF(NOT(ISERROR(SEARCH("Family Functioning", J83))), "FF", IF(NOT(ISERROR(SEARCH("Caregiver Advocacy", J83))), "CGA", IF(NOT(ISERROR(SEARCH("Caregiver Functioning", J83))), "CGF", IF(NOT(ISERROR(SEARCH("Child Functioning", J83))), "CF", ""))))</f>
        <v>CGF</v>
      </c>
      <c r="J83" s="25" t="str">
        <f t="shared" si="27"/>
        <v>Caregiver Functioning - Caregiver #3</v>
      </c>
      <c r="K83" s="108">
        <v>1</v>
      </c>
      <c r="L83" s="95" t="str">
        <f t="shared" ref="L83:L146" ca="1" si="33">IF($J83=$J82, L82, "")&amp;IF(P83=1, IF(L82="",  "", ", ")&amp;$AC83, "")</f>
        <v/>
      </c>
      <c r="M83" s="25" t="str">
        <f t="shared" ref="M83:M146" ca="1" si="34">IF($J83=$J82, M82, "")&amp;IF(Q83=1, IF(M82="",  "", ", ")&amp;$AC83, "")</f>
        <v/>
      </c>
      <c r="N83" s="25" t="str">
        <f t="shared" ref="N83:N146" ca="1" si="35">IF($H83=$H82, N82, "")&amp;IF(U83=1, IF(N82="",  "", ", ")&amp;$AC83, "")</f>
        <v/>
      </c>
      <c r="O83" s="25" t="str">
        <f t="shared" ref="O83:O146" ca="1" si="36">IF($H83=$H82, O82, "")&amp;IF(W83=1, IF(O82="",  "", ", ")&amp;$AC83, "")</f>
        <v/>
      </c>
      <c r="P83" s="91" t="str">
        <f ca="1">IFERROR(IF(AND($X83=3, ISNUMBER($X83)), COUNTIFS(X$18:X83, "=3", $AC$18:$AC83, $AC83), "-"), "err")</f>
        <v>-</v>
      </c>
      <c r="Q83" s="26" t="str">
        <f ca="1">IFERROR(IF(AND($X83=2, ISNUMBER($X83)), COUNTIFS(X$18:X83, "=2", $AC$18:$AC83, $AC83), "-"), "err")</f>
        <v>-</v>
      </c>
      <c r="R83" s="25">
        <f t="shared" ref="R83:R146" ca="1" si="37">R82+IF(AND(S83&lt;&gt;"-", S83&gt;0), 1, 0)</f>
        <v>0</v>
      </c>
      <c r="S83" s="26" t="str">
        <f ca="1">IFERROR(IF(AND($X83&gt;=2, ISNUMBER($X83)), COUNTIFS(X$18:X83, "&gt;=2", $AC$18:$AC83, $AC83), "-"), "err")</f>
        <v>-</v>
      </c>
      <c r="T83" s="25">
        <f t="shared" ref="T83:T146" ca="1" si="38">T82+IF(AND(U83&lt;&gt;"-", U83&gt;0), 1, 0)</f>
        <v>0</v>
      </c>
      <c r="U83" s="26" t="str">
        <f ca="1">IFERROR(IF(Y83="Yes", COUNTIFS(Y$18:Y83, "Yes", $AC$18:$AC83, $AC83), "-"), "err")</f>
        <v>-</v>
      </c>
      <c r="V83" s="25">
        <f t="shared" ref="V83:V146" ca="1" si="39">V82+IF(AND(W83&lt;&gt;"-", W83&gt;0), 1, 0)</f>
        <v>0</v>
      </c>
      <c r="W83" s="26" t="str">
        <f ca="1">IFERROR(IF($Z83="Yes", COUNTIFS(Z$18:Z83, "Yes", $AC$18:AC83, $AC83), "-"), "err")</f>
        <v>-</v>
      </c>
      <c r="X83" s="91">
        <f t="shared" ca="1" si="5"/>
        <v>0</v>
      </c>
      <c r="Y83" s="26" t="str">
        <f t="shared" ca="1" si="28"/>
        <v/>
      </c>
      <c r="Z83" s="26" t="str">
        <f t="shared" ca="1" si="29"/>
        <v/>
      </c>
      <c r="AA83" s="91">
        <f t="shared" ref="AA83:AA104" si="40">AA82+IF(AB83=0, 0, 1)</f>
        <v>58</v>
      </c>
      <c r="AB83" s="17" t="s">
        <v>282</v>
      </c>
      <c r="AC83" s="185" t="s">
        <v>282</v>
      </c>
      <c r="AD83" s="87"/>
      <c r="AE83" s="87"/>
      <c r="AF83" s="115"/>
      <c r="AG83" s="201"/>
      <c r="AH83" s="122"/>
      <c r="AI83" s="123"/>
      <c r="AJ83" s="115"/>
      <c r="AK83" s="201"/>
      <c r="AL83" s="122"/>
      <c r="AM83" s="123"/>
      <c r="AN83" s="115"/>
      <c r="AO83" s="201"/>
      <c r="AP83" s="122"/>
      <c r="AQ83" s="123"/>
      <c r="AR83" s="130"/>
    </row>
    <row r="84" spans="1:44" hidden="1" x14ac:dyDescent="0.25">
      <c r="A84" s="41"/>
      <c r="B84" s="25" t="str">
        <f t="shared" si="25"/>
        <v>Caregiver Functioning - Caregiver #3_13</v>
      </c>
      <c r="C84" s="25" t="str">
        <f t="shared" si="30"/>
        <v/>
      </c>
      <c r="D84" s="25" t="str">
        <f t="shared" si="26"/>
        <v/>
      </c>
      <c r="E84" s="25" t="str">
        <f t="shared" si="26"/>
        <v/>
      </c>
      <c r="F84" s="95">
        <f t="shared" si="19"/>
        <v>6</v>
      </c>
      <c r="G84" s="25">
        <f t="shared" si="20"/>
        <v>13</v>
      </c>
      <c r="H84" s="25" t="str">
        <f t="shared" si="31"/>
        <v>CGF</v>
      </c>
      <c r="I84" s="25" t="str">
        <f t="shared" si="32"/>
        <v>CGF</v>
      </c>
      <c r="J84" s="25" t="str">
        <f t="shared" si="27"/>
        <v>Caregiver Functioning - Caregiver #3</v>
      </c>
      <c r="K84" s="108">
        <v>1</v>
      </c>
      <c r="L84" s="95" t="str">
        <f t="shared" ca="1" si="33"/>
        <v/>
      </c>
      <c r="M84" s="25" t="str">
        <f t="shared" ca="1" si="34"/>
        <v/>
      </c>
      <c r="N84" s="25" t="str">
        <f t="shared" ca="1" si="35"/>
        <v/>
      </c>
      <c r="O84" s="25" t="str">
        <f t="shared" ca="1" si="36"/>
        <v/>
      </c>
      <c r="P84" s="91" t="str">
        <f ca="1">IFERROR(IF(AND($X84=3, ISNUMBER($X84)), COUNTIFS(X$18:X84, "=3", $AC$18:$AC84, $AC84), "-"), "err")</f>
        <v>-</v>
      </c>
      <c r="Q84" s="26" t="str">
        <f ca="1">IFERROR(IF(AND($X84=2, ISNUMBER($X84)), COUNTIFS(X$18:X84, "=2", $AC$18:$AC84, $AC84), "-"), "err")</f>
        <v>-</v>
      </c>
      <c r="R84" s="25">
        <f t="shared" ca="1" si="37"/>
        <v>0</v>
      </c>
      <c r="S84" s="26" t="str">
        <f ca="1">IFERROR(IF(AND($X84&gt;=2, ISNUMBER($X84)), COUNTIFS(X$18:X84, "&gt;=2", $AC$18:$AC84, $AC84), "-"), "err")</f>
        <v>-</v>
      </c>
      <c r="T84" s="25">
        <f t="shared" ca="1" si="38"/>
        <v>0</v>
      </c>
      <c r="U84" s="26" t="str">
        <f ca="1">IFERROR(IF(Y84="Yes", COUNTIFS(Y$18:Y84, "Yes", $AC$18:$AC84, $AC84), "-"), "err")</f>
        <v>-</v>
      </c>
      <c r="V84" s="25">
        <f t="shared" ca="1" si="39"/>
        <v>0</v>
      </c>
      <c r="W84" s="26" t="str">
        <f ca="1">IFERROR(IF($Z84="Yes", COUNTIFS(Z$18:Z84, "Yes", $AC$18:AC84, $AC84), "-"), "err")</f>
        <v>-</v>
      </c>
      <c r="X84" s="91">
        <f t="shared" ca="1" si="5"/>
        <v>0</v>
      </c>
      <c r="Y84" s="26" t="str">
        <f t="shared" ca="1" si="28"/>
        <v/>
      </c>
      <c r="Z84" s="26" t="str">
        <f t="shared" ca="1" si="29"/>
        <v/>
      </c>
      <c r="AA84" s="91">
        <f t="shared" si="40"/>
        <v>59</v>
      </c>
      <c r="AB84" s="17" t="s">
        <v>283</v>
      </c>
      <c r="AC84" s="184" t="s">
        <v>283</v>
      </c>
      <c r="AD84" s="54"/>
      <c r="AE84" s="54"/>
      <c r="AF84" s="112"/>
      <c r="AG84" s="200"/>
      <c r="AH84" s="122"/>
      <c r="AI84" s="123"/>
      <c r="AJ84" s="112"/>
      <c r="AK84" s="200"/>
      <c r="AL84" s="122"/>
      <c r="AM84" s="123"/>
      <c r="AN84" s="112"/>
      <c r="AO84" s="200"/>
      <c r="AP84" s="122"/>
      <c r="AQ84" s="123"/>
      <c r="AR84" s="130"/>
    </row>
    <row r="85" spans="1:44" hidden="1" x14ac:dyDescent="0.25">
      <c r="A85" s="41"/>
      <c r="B85" s="25" t="str">
        <f t="shared" si="25"/>
        <v>Caregiver Functioning - Caregiver #3_14</v>
      </c>
      <c r="C85" s="25" t="str">
        <f t="shared" si="30"/>
        <v/>
      </c>
      <c r="D85" s="25" t="str">
        <f t="shared" si="26"/>
        <v/>
      </c>
      <c r="E85" s="25" t="str">
        <f t="shared" si="26"/>
        <v>Caregiver Functioning - Caregiver #3</v>
      </c>
      <c r="F85" s="95">
        <f t="shared" si="19"/>
        <v>6</v>
      </c>
      <c r="G85" s="25">
        <f t="shared" si="20"/>
        <v>14</v>
      </c>
      <c r="H85" s="25" t="str">
        <f t="shared" si="31"/>
        <v>CGF</v>
      </c>
      <c r="I85" s="25" t="str">
        <f t="shared" si="32"/>
        <v>CGF</v>
      </c>
      <c r="J85" s="25" t="str">
        <f t="shared" si="27"/>
        <v>Caregiver Functioning - Caregiver #3</v>
      </c>
      <c r="K85" s="108">
        <v>1</v>
      </c>
      <c r="L85" s="95" t="str">
        <f t="shared" ca="1" si="33"/>
        <v/>
      </c>
      <c r="M85" s="25" t="str">
        <f t="shared" ca="1" si="34"/>
        <v/>
      </c>
      <c r="N85" s="25" t="str">
        <f t="shared" ca="1" si="35"/>
        <v/>
      </c>
      <c r="O85" s="25" t="str">
        <f t="shared" ca="1" si="36"/>
        <v/>
      </c>
      <c r="P85" s="91" t="str">
        <f ca="1">IFERROR(IF(AND($X85=3, ISNUMBER($X85)), COUNTIFS(X$18:X85, "=3", $AC$18:$AC85, $AC85), "-"), "err")</f>
        <v>-</v>
      </c>
      <c r="Q85" s="26" t="str">
        <f ca="1">IFERROR(IF(AND($X85=2, ISNUMBER($X85)), COUNTIFS(X$18:X85, "=2", $AC$18:$AC85, $AC85), "-"), "err")</f>
        <v>-</v>
      </c>
      <c r="R85" s="25">
        <f t="shared" ca="1" si="37"/>
        <v>0</v>
      </c>
      <c r="S85" s="26" t="str">
        <f ca="1">IFERROR(IF(AND($X85&gt;=2, ISNUMBER($X85)), COUNTIFS(X$18:X85, "&gt;=2", $AC$18:$AC85, $AC85), "-"), "err")</f>
        <v>-</v>
      </c>
      <c r="T85" s="25">
        <f t="shared" ca="1" si="38"/>
        <v>0</v>
      </c>
      <c r="U85" s="26" t="str">
        <f ca="1">IFERROR(IF(Y85="Yes", COUNTIFS(Y$18:Y85, "Yes", $AC$18:$AC85, $AC85), "-"), "err")</f>
        <v>-</v>
      </c>
      <c r="V85" s="25">
        <f t="shared" ca="1" si="39"/>
        <v>0</v>
      </c>
      <c r="W85" s="26" t="str">
        <f ca="1">IFERROR(IF($Z85="Yes", COUNTIFS(Z$18:Z85, "Yes", $AC$18:AC85, $AC85), "-"), "err")</f>
        <v>-</v>
      </c>
      <c r="X85" s="91">
        <f t="shared" ca="1" si="5"/>
        <v>0</v>
      </c>
      <c r="Y85" s="26" t="str">
        <f t="shared" ca="1" si="28"/>
        <v/>
      </c>
      <c r="Z85" s="26" t="str">
        <f t="shared" ca="1" si="29"/>
        <v/>
      </c>
      <c r="AA85" s="91">
        <f t="shared" si="40"/>
        <v>60</v>
      </c>
      <c r="AB85" s="17" t="s">
        <v>131</v>
      </c>
      <c r="AC85" s="185" t="s">
        <v>131</v>
      </c>
      <c r="AD85" s="87"/>
      <c r="AE85" s="87"/>
      <c r="AF85" s="115"/>
      <c r="AG85" s="201"/>
      <c r="AH85" s="116"/>
      <c r="AI85" s="117"/>
      <c r="AJ85" s="115"/>
      <c r="AK85" s="201"/>
      <c r="AL85" s="116"/>
      <c r="AM85" s="117"/>
      <c r="AN85" s="115"/>
      <c r="AO85" s="201"/>
      <c r="AP85" s="116"/>
      <c r="AQ85" s="117"/>
      <c r="AR85" s="130"/>
    </row>
    <row r="86" spans="1:44" hidden="1" x14ac:dyDescent="0.25">
      <c r="A86" s="41"/>
      <c r="B86" s="25" t="str">
        <f t="shared" si="25"/>
        <v>Caregiver Functioning - Caregiver #4_0</v>
      </c>
      <c r="C86" s="25" t="str">
        <f t="shared" si="30"/>
        <v/>
      </c>
      <c r="D86" s="25" t="str">
        <f t="shared" si="26"/>
        <v/>
      </c>
      <c r="E86" s="25" t="str">
        <f t="shared" si="26"/>
        <v/>
      </c>
      <c r="F86" s="95">
        <f t="shared" si="19"/>
        <v>7</v>
      </c>
      <c r="G86" s="25">
        <f t="shared" si="20"/>
        <v>0</v>
      </c>
      <c r="H86" s="25" t="str">
        <f t="shared" si="31"/>
        <v>CGF</v>
      </c>
      <c r="I86" s="25" t="str">
        <f t="shared" si="32"/>
        <v>CGF</v>
      </c>
      <c r="J86" s="25" t="str">
        <f t="shared" si="27"/>
        <v>Caregiver Functioning - Caregiver #4</v>
      </c>
      <c r="K86" s="108">
        <v>0</v>
      </c>
      <c r="L86" s="95" t="str">
        <f t="shared" ca="1" si="33"/>
        <v/>
      </c>
      <c r="M86" s="25" t="str">
        <f t="shared" ca="1" si="34"/>
        <v/>
      </c>
      <c r="N86" s="25" t="str">
        <f t="shared" ca="1" si="35"/>
        <v/>
      </c>
      <c r="O86" s="25" t="str">
        <f t="shared" ca="1" si="36"/>
        <v/>
      </c>
      <c r="P86" s="91" t="str">
        <f ca="1">IFERROR(IF(AND($X86=3, ISNUMBER($X86)), COUNTIFS(X$18:X86, "=3", $AC$18:$AC86, $AC86), "-"), "err")</f>
        <v>-</v>
      </c>
      <c r="Q86" s="26" t="str">
        <f ca="1">IFERROR(IF(AND($X86=2, ISNUMBER($X86)), COUNTIFS(X$18:X86, "=2", $AC$18:$AC86, $AC86), "-"), "err")</f>
        <v>-</v>
      </c>
      <c r="R86" s="25">
        <f t="shared" ca="1" si="37"/>
        <v>0</v>
      </c>
      <c r="S86" s="26" t="str">
        <f ca="1">IFERROR(IF(AND($X86&gt;=2, ISNUMBER($X86)), COUNTIFS(X$18:X86, "&gt;=2", $AC$18:$AC86, $AC86), "-"), "err")</f>
        <v>-</v>
      </c>
      <c r="T86" s="25">
        <f t="shared" ca="1" si="38"/>
        <v>0</v>
      </c>
      <c r="U86" s="26" t="str">
        <f ca="1">IFERROR(IF(Y86="Yes", COUNTIFS(Y$18:Y86, "Yes", $AC$18:$AC86, $AC86), "-"), "err")</f>
        <v>-</v>
      </c>
      <c r="V86" s="25">
        <f t="shared" ca="1" si="39"/>
        <v>0</v>
      </c>
      <c r="W86" s="26" t="str">
        <f ca="1">IFERROR(IF($Z86="Yes", COUNTIFS(Z$18:Z86, "Yes", $AC$18:AC86, $AC86), "-"), "err")</f>
        <v>-</v>
      </c>
      <c r="X86" s="91">
        <f t="shared" ca="1" si="5"/>
        <v>0</v>
      </c>
      <c r="Y86" s="26" t="str">
        <f t="shared" ca="1" si="28"/>
        <v/>
      </c>
      <c r="Z86" s="26" t="str">
        <f t="shared" ca="1" si="29"/>
        <v/>
      </c>
      <c r="AA86" s="91">
        <f t="shared" si="40"/>
        <v>60</v>
      </c>
      <c r="AC86" s="183" t="s">
        <v>669</v>
      </c>
      <c r="AD86" s="60"/>
      <c r="AE86" s="61"/>
      <c r="AF86" s="118"/>
      <c r="AG86" s="119"/>
      <c r="AH86" s="120"/>
      <c r="AI86" s="121"/>
      <c r="AJ86" s="118"/>
      <c r="AK86" s="119"/>
      <c r="AL86" s="120"/>
      <c r="AM86" s="121"/>
      <c r="AN86" s="118"/>
      <c r="AO86" s="119"/>
      <c r="AP86" s="120"/>
      <c r="AQ86" s="121"/>
      <c r="AR86" s="130"/>
    </row>
    <row r="87" spans="1:44" hidden="1" x14ac:dyDescent="0.25">
      <c r="A87" s="41"/>
      <c r="B87" s="25" t="str">
        <f t="shared" si="25"/>
        <v>Caregiver Functioning - Caregiver #4_0</v>
      </c>
      <c r="C87" s="25" t="str">
        <f t="shared" si="30"/>
        <v/>
      </c>
      <c r="D87" s="25" t="str">
        <f t="shared" si="26"/>
        <v/>
      </c>
      <c r="E87" s="25" t="str">
        <f t="shared" si="26"/>
        <v/>
      </c>
      <c r="F87" s="95">
        <f t="shared" si="19"/>
        <v>7</v>
      </c>
      <c r="G87" s="25">
        <f t="shared" si="20"/>
        <v>0</v>
      </c>
      <c r="H87" s="25" t="str">
        <f t="shared" si="31"/>
        <v>CGF</v>
      </c>
      <c r="I87" s="25" t="str">
        <f t="shared" si="32"/>
        <v>CGF</v>
      </c>
      <c r="J87" s="25" t="str">
        <f t="shared" si="27"/>
        <v>Caregiver Functioning - Caregiver #4</v>
      </c>
      <c r="K87" s="108">
        <v>2</v>
      </c>
      <c r="L87" s="95" t="str">
        <f t="shared" ca="1" si="33"/>
        <v/>
      </c>
      <c r="M87" s="25" t="str">
        <f t="shared" ca="1" si="34"/>
        <v/>
      </c>
      <c r="N87" s="25" t="str">
        <f t="shared" ca="1" si="35"/>
        <v/>
      </c>
      <c r="O87" s="25" t="str">
        <f t="shared" ca="1" si="36"/>
        <v/>
      </c>
      <c r="P87" s="91" t="str">
        <f ca="1">IFERROR(IF(AND($X87=3, ISNUMBER($X87)), COUNTIFS(X$18:X87, "=3", $AC$18:$AC87, $AC87), "-"), "err")</f>
        <v>-</v>
      </c>
      <c r="Q87" s="26" t="str">
        <f ca="1">IFERROR(IF(AND($X87=2, ISNUMBER($X87)), COUNTIFS(X$18:X87, "=2", $AC$18:$AC87, $AC87), "-"), "err")</f>
        <v>-</v>
      </c>
      <c r="R87" s="25">
        <f t="shared" ca="1" si="37"/>
        <v>0</v>
      </c>
      <c r="S87" s="26" t="str">
        <f ca="1">IFERROR(IF(AND($X87&gt;=2, ISNUMBER($X87)), COUNTIFS(X$18:X87, "&gt;=2", $AC$18:$AC87, $AC87), "-"), "err")</f>
        <v>-</v>
      </c>
      <c r="T87" s="25">
        <f t="shared" ca="1" si="38"/>
        <v>0</v>
      </c>
      <c r="U87" s="26" t="str">
        <f ca="1">IFERROR(IF(Y87="Yes", COUNTIFS(Y$18:Y87, "Yes", $AC$18:$AC87, $AC87), "-"), "err")</f>
        <v>-</v>
      </c>
      <c r="V87" s="25">
        <f t="shared" ca="1" si="39"/>
        <v>0</v>
      </c>
      <c r="W87" s="26" t="str">
        <f ca="1">IFERROR(IF($Z87="Yes", COUNTIFS(Z$18:Z87, "Yes", $AC$18:AC87, $AC87), "-"), "err")</f>
        <v>-</v>
      </c>
      <c r="X87" s="91">
        <f t="shared" ca="1" si="5"/>
        <v>0</v>
      </c>
      <c r="Y87" s="26" t="str">
        <f t="shared" ca="1" si="28"/>
        <v/>
      </c>
      <c r="Z87" s="26" t="str">
        <f t="shared" ca="1" si="29"/>
        <v/>
      </c>
      <c r="AA87" s="91">
        <f t="shared" si="40"/>
        <v>60</v>
      </c>
      <c r="AC87" s="133" t="s">
        <v>323</v>
      </c>
      <c r="AD87" s="197"/>
      <c r="AE87" s="61"/>
      <c r="AF87" s="118"/>
      <c r="AG87" s="119"/>
      <c r="AH87" s="120"/>
      <c r="AI87" s="121"/>
      <c r="AJ87" s="118"/>
      <c r="AK87" s="119"/>
      <c r="AL87" s="120"/>
      <c r="AM87" s="121"/>
      <c r="AN87" s="118"/>
      <c r="AO87" s="119"/>
      <c r="AP87" s="120"/>
      <c r="AQ87" s="121"/>
      <c r="AR87" s="130"/>
    </row>
    <row r="88" spans="1:44" hidden="1" x14ac:dyDescent="0.25">
      <c r="A88" s="41"/>
      <c r="B88" s="25" t="str">
        <f t="shared" si="25"/>
        <v>Caregiver Functioning - Caregiver #4_1</v>
      </c>
      <c r="C88" s="25" t="str">
        <f t="shared" si="30"/>
        <v/>
      </c>
      <c r="D88" s="25" t="str">
        <f t="shared" si="26"/>
        <v/>
      </c>
      <c r="E88" s="25" t="str">
        <f t="shared" si="26"/>
        <v/>
      </c>
      <c r="F88" s="95">
        <f t="shared" si="19"/>
        <v>7</v>
      </c>
      <c r="G88" s="25">
        <f t="shared" si="20"/>
        <v>1</v>
      </c>
      <c r="H88" s="25" t="str">
        <f t="shared" si="31"/>
        <v>CGF</v>
      </c>
      <c r="I88" s="25" t="str">
        <f t="shared" si="32"/>
        <v>CGF</v>
      </c>
      <c r="J88" s="25" t="str">
        <f t="shared" si="27"/>
        <v>Caregiver Functioning - Caregiver #4</v>
      </c>
      <c r="K88" s="108">
        <v>1</v>
      </c>
      <c r="L88" s="95" t="str">
        <f t="shared" ca="1" si="33"/>
        <v/>
      </c>
      <c r="M88" s="25" t="str">
        <f t="shared" ca="1" si="34"/>
        <v/>
      </c>
      <c r="N88" s="25" t="str">
        <f t="shared" ca="1" si="35"/>
        <v/>
      </c>
      <c r="O88" s="25" t="str">
        <f t="shared" ca="1" si="36"/>
        <v/>
      </c>
      <c r="P88" s="91" t="str">
        <f ca="1">IFERROR(IF(AND($X88=3, ISNUMBER($X88)), COUNTIFS(X$18:X88, "=3", $AC$18:$AC88, $AC88), "-"), "err")</f>
        <v>-</v>
      </c>
      <c r="Q88" s="26" t="str">
        <f ca="1">IFERROR(IF(AND($X88=2, ISNUMBER($X88)), COUNTIFS(X$18:X88, "=2", $AC$18:$AC88, $AC88), "-"), "err")</f>
        <v>-</v>
      </c>
      <c r="R88" s="25">
        <f t="shared" ca="1" si="37"/>
        <v>0</v>
      </c>
      <c r="S88" s="26" t="str">
        <f ca="1">IFERROR(IF(AND($X88&gt;=2, ISNUMBER($X88)), COUNTIFS(X$18:X88, "&gt;=2", $AC$18:$AC88, $AC88), "-"), "err")</f>
        <v>-</v>
      </c>
      <c r="T88" s="25">
        <f t="shared" ca="1" si="38"/>
        <v>0</v>
      </c>
      <c r="U88" s="26" t="str">
        <f ca="1">IFERROR(IF(Y88="Yes", COUNTIFS(Y$18:Y88, "Yes", $AC$18:$AC88, $AC88), "-"), "err")</f>
        <v>-</v>
      </c>
      <c r="V88" s="25">
        <f t="shared" ca="1" si="39"/>
        <v>0</v>
      </c>
      <c r="W88" s="26" t="str">
        <f ca="1">IFERROR(IF($Z88="Yes", COUNTIFS(Z$18:Z88, "Yes", $AC$18:AC88, $AC88), "-"), "err")</f>
        <v>-</v>
      </c>
      <c r="X88" s="91">
        <f t="shared" ca="1" si="5"/>
        <v>0</v>
      </c>
      <c r="Y88" s="26" t="str">
        <f t="shared" ca="1" si="28"/>
        <v/>
      </c>
      <c r="Z88" s="26" t="str">
        <f t="shared" ca="1" si="29"/>
        <v/>
      </c>
      <c r="AA88" s="91">
        <f t="shared" si="40"/>
        <v>61</v>
      </c>
      <c r="AB88" s="17" t="s">
        <v>276</v>
      </c>
      <c r="AC88" s="184" t="s">
        <v>276</v>
      </c>
      <c r="AD88" s="54"/>
      <c r="AE88" s="54"/>
      <c r="AF88" s="112"/>
      <c r="AG88" s="200"/>
      <c r="AH88" s="113"/>
      <c r="AI88" s="114"/>
      <c r="AJ88" s="112"/>
      <c r="AK88" s="200"/>
      <c r="AL88" s="113"/>
      <c r="AM88" s="114"/>
      <c r="AN88" s="112"/>
      <c r="AO88" s="200"/>
      <c r="AP88" s="113"/>
      <c r="AQ88" s="114"/>
      <c r="AR88" s="130"/>
    </row>
    <row r="89" spans="1:44" hidden="1" x14ac:dyDescent="0.25">
      <c r="A89" s="41"/>
      <c r="B89" s="25" t="str">
        <f t="shared" si="25"/>
        <v>Caregiver Functioning - Caregiver #4_2</v>
      </c>
      <c r="C89" s="25" t="str">
        <f t="shared" si="30"/>
        <v/>
      </c>
      <c r="D89" s="25" t="str">
        <f t="shared" si="26"/>
        <v/>
      </c>
      <c r="E89" s="25" t="str">
        <f t="shared" si="26"/>
        <v/>
      </c>
      <c r="F89" s="95">
        <f t="shared" si="19"/>
        <v>7</v>
      </c>
      <c r="G89" s="25">
        <f t="shared" si="20"/>
        <v>2</v>
      </c>
      <c r="H89" s="25" t="str">
        <f t="shared" si="31"/>
        <v>CGF</v>
      </c>
      <c r="I89" s="25" t="str">
        <f t="shared" si="32"/>
        <v>CGF</v>
      </c>
      <c r="J89" s="25" t="str">
        <f t="shared" si="27"/>
        <v>Caregiver Functioning - Caregiver #4</v>
      </c>
      <c r="K89" s="108">
        <v>1</v>
      </c>
      <c r="L89" s="95" t="str">
        <f t="shared" ca="1" si="33"/>
        <v/>
      </c>
      <c r="M89" s="25" t="str">
        <f t="shared" ca="1" si="34"/>
        <v/>
      </c>
      <c r="N89" s="25" t="str">
        <f t="shared" ca="1" si="35"/>
        <v/>
      </c>
      <c r="O89" s="25" t="str">
        <f t="shared" ca="1" si="36"/>
        <v/>
      </c>
      <c r="P89" s="91" t="str">
        <f ca="1">IFERROR(IF(AND($X89=3, ISNUMBER($X89)), COUNTIFS(X$18:X89, "=3", $AC$18:$AC89, $AC89), "-"), "err")</f>
        <v>-</v>
      </c>
      <c r="Q89" s="26" t="str">
        <f ca="1">IFERROR(IF(AND($X89=2, ISNUMBER($X89)), COUNTIFS(X$18:X89, "=2", $AC$18:$AC89, $AC89), "-"), "err")</f>
        <v>-</v>
      </c>
      <c r="R89" s="25">
        <f t="shared" ca="1" si="37"/>
        <v>0</v>
      </c>
      <c r="S89" s="26" t="str">
        <f ca="1">IFERROR(IF(AND($X89&gt;=2, ISNUMBER($X89)), COUNTIFS(X$18:X89, "&gt;=2", $AC$18:$AC89, $AC89), "-"), "err")</f>
        <v>-</v>
      </c>
      <c r="T89" s="25">
        <f t="shared" ca="1" si="38"/>
        <v>0</v>
      </c>
      <c r="U89" s="26" t="str">
        <f ca="1">IFERROR(IF(Y89="Yes", COUNTIFS(Y$18:Y89, "Yes", $AC$18:$AC89, $AC89), "-"), "err")</f>
        <v>-</v>
      </c>
      <c r="V89" s="25">
        <f t="shared" ca="1" si="39"/>
        <v>0</v>
      </c>
      <c r="W89" s="26" t="str">
        <f ca="1">IFERROR(IF($Z89="Yes", COUNTIFS(Z$18:Z89, "Yes", $AC$18:AC89, $AC89), "-"), "err")</f>
        <v>-</v>
      </c>
      <c r="X89" s="91">
        <f t="shared" ca="1" si="5"/>
        <v>0</v>
      </c>
      <c r="Y89" s="26" t="str">
        <f t="shared" ca="1" si="28"/>
        <v/>
      </c>
      <c r="Z89" s="26" t="str">
        <f t="shared" ca="1" si="29"/>
        <v/>
      </c>
      <c r="AA89" s="91">
        <f t="shared" si="40"/>
        <v>62</v>
      </c>
      <c r="AB89" s="17" t="s">
        <v>277</v>
      </c>
      <c r="AC89" s="185" t="s">
        <v>277</v>
      </c>
      <c r="AD89" s="87"/>
      <c r="AE89" s="87"/>
      <c r="AF89" s="115"/>
      <c r="AG89" s="201"/>
      <c r="AH89" s="116"/>
      <c r="AI89" s="117"/>
      <c r="AJ89" s="115"/>
      <c r="AK89" s="201"/>
      <c r="AL89" s="116"/>
      <c r="AM89" s="117"/>
      <c r="AN89" s="115"/>
      <c r="AO89" s="201"/>
      <c r="AP89" s="116"/>
      <c r="AQ89" s="117"/>
      <c r="AR89" s="130"/>
    </row>
    <row r="90" spans="1:44" hidden="1" x14ac:dyDescent="0.25">
      <c r="A90" s="41"/>
      <c r="B90" s="25" t="str">
        <f t="shared" si="25"/>
        <v>Caregiver Functioning - Caregiver #4_3</v>
      </c>
      <c r="C90" s="25" t="str">
        <f t="shared" si="30"/>
        <v/>
      </c>
      <c r="D90" s="25" t="str">
        <f t="shared" si="26"/>
        <v/>
      </c>
      <c r="E90" s="25" t="str">
        <f t="shared" si="26"/>
        <v/>
      </c>
      <c r="F90" s="95">
        <f t="shared" si="19"/>
        <v>7</v>
      </c>
      <c r="G90" s="25">
        <f t="shared" si="20"/>
        <v>3</v>
      </c>
      <c r="H90" s="25" t="str">
        <f t="shared" si="31"/>
        <v>CGF</v>
      </c>
      <c r="I90" s="25" t="str">
        <f t="shared" si="32"/>
        <v>CGF</v>
      </c>
      <c r="J90" s="25" t="str">
        <f t="shared" si="27"/>
        <v>Caregiver Functioning - Caregiver #4</v>
      </c>
      <c r="K90" s="108">
        <v>1</v>
      </c>
      <c r="L90" s="95" t="str">
        <f t="shared" ca="1" si="33"/>
        <v/>
      </c>
      <c r="M90" s="25" t="str">
        <f t="shared" ca="1" si="34"/>
        <v/>
      </c>
      <c r="N90" s="25" t="str">
        <f t="shared" ca="1" si="35"/>
        <v/>
      </c>
      <c r="O90" s="25" t="str">
        <f t="shared" ca="1" si="36"/>
        <v/>
      </c>
      <c r="P90" s="91" t="str">
        <f ca="1">IFERROR(IF(AND($X90=3, ISNUMBER($X90)), COUNTIFS(X$18:X90, "=3", $AC$18:$AC90, $AC90), "-"), "err")</f>
        <v>-</v>
      </c>
      <c r="Q90" s="26" t="str">
        <f ca="1">IFERROR(IF(AND($X90=2, ISNUMBER($X90)), COUNTIFS(X$18:X90, "=2", $AC$18:$AC90, $AC90), "-"), "err")</f>
        <v>-</v>
      </c>
      <c r="R90" s="25">
        <f t="shared" ca="1" si="37"/>
        <v>0</v>
      </c>
      <c r="S90" s="26" t="str">
        <f ca="1">IFERROR(IF(AND($X90&gt;=2, ISNUMBER($X90)), COUNTIFS(X$18:X90, "&gt;=2", $AC$18:$AC90, $AC90), "-"), "err")</f>
        <v>-</v>
      </c>
      <c r="T90" s="25">
        <f t="shared" ca="1" si="38"/>
        <v>0</v>
      </c>
      <c r="U90" s="26" t="str">
        <f ca="1">IFERROR(IF(Y90="Yes", COUNTIFS(Y$18:Y90, "Yes", $AC$18:$AC90, $AC90), "-"), "err")</f>
        <v>-</v>
      </c>
      <c r="V90" s="25">
        <f t="shared" ca="1" si="39"/>
        <v>0</v>
      </c>
      <c r="W90" s="26" t="str">
        <f ca="1">IFERROR(IF($Z90="Yes", COUNTIFS(Z$18:Z90, "Yes", $AC$18:AC90, $AC90), "-"), "err")</f>
        <v>-</v>
      </c>
      <c r="X90" s="91">
        <f t="shared" ca="1" si="5"/>
        <v>0</v>
      </c>
      <c r="Y90" s="26" t="str">
        <f t="shared" ca="1" si="28"/>
        <v/>
      </c>
      <c r="Z90" s="26" t="str">
        <f t="shared" ca="1" si="29"/>
        <v/>
      </c>
      <c r="AA90" s="91">
        <f t="shared" si="40"/>
        <v>63</v>
      </c>
      <c r="AB90" s="17" t="s">
        <v>38</v>
      </c>
      <c r="AC90" s="184" t="s">
        <v>38</v>
      </c>
      <c r="AD90" s="54"/>
      <c r="AE90" s="54"/>
      <c r="AF90" s="112"/>
      <c r="AG90" s="200"/>
      <c r="AH90" s="113"/>
      <c r="AI90" s="114"/>
      <c r="AJ90" s="112"/>
      <c r="AK90" s="200"/>
      <c r="AL90" s="113"/>
      <c r="AM90" s="114"/>
      <c r="AN90" s="112"/>
      <c r="AO90" s="200"/>
      <c r="AP90" s="113"/>
      <c r="AQ90" s="114"/>
      <c r="AR90" s="130"/>
    </row>
    <row r="91" spans="1:44" hidden="1" x14ac:dyDescent="0.25">
      <c r="A91" s="41"/>
      <c r="B91" s="25" t="str">
        <f t="shared" si="25"/>
        <v>Caregiver Functioning - Caregiver #4_4</v>
      </c>
      <c r="C91" s="25" t="str">
        <f t="shared" si="30"/>
        <v/>
      </c>
      <c r="D91" s="25" t="str">
        <f t="shared" si="26"/>
        <v/>
      </c>
      <c r="E91" s="25" t="str">
        <f t="shared" si="26"/>
        <v/>
      </c>
      <c r="F91" s="95">
        <f t="shared" si="19"/>
        <v>7</v>
      </c>
      <c r="G91" s="25">
        <f t="shared" si="20"/>
        <v>4</v>
      </c>
      <c r="H91" s="25" t="str">
        <f t="shared" si="31"/>
        <v>CGF</v>
      </c>
      <c r="I91" s="25" t="str">
        <f t="shared" si="32"/>
        <v>CGF</v>
      </c>
      <c r="J91" s="25" t="str">
        <f t="shared" si="27"/>
        <v>Caregiver Functioning - Caregiver #4</v>
      </c>
      <c r="K91" s="108">
        <v>1</v>
      </c>
      <c r="L91" s="95" t="str">
        <f t="shared" ca="1" si="33"/>
        <v/>
      </c>
      <c r="M91" s="25" t="str">
        <f t="shared" ca="1" si="34"/>
        <v/>
      </c>
      <c r="N91" s="25" t="str">
        <f t="shared" ca="1" si="35"/>
        <v/>
      </c>
      <c r="O91" s="25" t="str">
        <f t="shared" ca="1" si="36"/>
        <v/>
      </c>
      <c r="P91" s="91" t="str">
        <f ca="1">IFERROR(IF(AND($X91=3, ISNUMBER($X91)), COUNTIFS(X$18:X91, "=3", $AC$18:$AC91, $AC91), "-"), "err")</f>
        <v>-</v>
      </c>
      <c r="Q91" s="26" t="str">
        <f ca="1">IFERROR(IF(AND($X91=2, ISNUMBER($X91)), COUNTIFS(X$18:X91, "=2", $AC$18:$AC91, $AC91), "-"), "err")</f>
        <v>-</v>
      </c>
      <c r="R91" s="25">
        <f t="shared" ca="1" si="37"/>
        <v>0</v>
      </c>
      <c r="S91" s="26" t="str">
        <f ca="1">IFERROR(IF(AND($X91&gt;=2, ISNUMBER($X91)), COUNTIFS(X$18:X91, "&gt;=2", $AC$18:$AC91, $AC91), "-"), "err")</f>
        <v>-</v>
      </c>
      <c r="T91" s="25">
        <f t="shared" ca="1" si="38"/>
        <v>0</v>
      </c>
      <c r="U91" s="26" t="str">
        <f ca="1">IFERROR(IF(Y91="Yes", COUNTIFS(Y$18:Y91, "Yes", $AC$18:$AC91, $AC91), "-"), "err")</f>
        <v>-</v>
      </c>
      <c r="V91" s="25">
        <f t="shared" ca="1" si="39"/>
        <v>0</v>
      </c>
      <c r="W91" s="26" t="str">
        <f ca="1">IFERROR(IF($Z91="Yes", COUNTIFS(Z$18:Z91, "Yes", $AC$18:AC91, $AC91), "-"), "err")</f>
        <v>-</v>
      </c>
      <c r="X91" s="91">
        <f t="shared" ca="1" si="5"/>
        <v>0</v>
      </c>
      <c r="Y91" s="26" t="str">
        <f t="shared" ca="1" si="28"/>
        <v/>
      </c>
      <c r="Z91" s="26" t="str">
        <f t="shared" ca="1" si="29"/>
        <v/>
      </c>
      <c r="AA91" s="91">
        <f t="shared" si="40"/>
        <v>64</v>
      </c>
      <c r="AB91" s="17" t="s">
        <v>130</v>
      </c>
      <c r="AC91" s="185" t="s">
        <v>130</v>
      </c>
      <c r="AD91" s="87"/>
      <c r="AE91" s="87"/>
      <c r="AF91" s="115"/>
      <c r="AG91" s="201"/>
      <c r="AH91" s="116"/>
      <c r="AI91" s="117"/>
      <c r="AJ91" s="115"/>
      <c r="AK91" s="201"/>
      <c r="AL91" s="116"/>
      <c r="AM91" s="117"/>
      <c r="AN91" s="115"/>
      <c r="AO91" s="201"/>
      <c r="AP91" s="116"/>
      <c r="AQ91" s="117"/>
      <c r="AR91" s="130"/>
    </row>
    <row r="92" spans="1:44" hidden="1" x14ac:dyDescent="0.25">
      <c r="A92" s="41"/>
      <c r="B92" s="25" t="str">
        <f t="shared" si="25"/>
        <v>Caregiver Functioning - Caregiver #4_5</v>
      </c>
      <c r="C92" s="25" t="str">
        <f t="shared" si="30"/>
        <v/>
      </c>
      <c r="D92" s="25" t="str">
        <f t="shared" si="26"/>
        <v/>
      </c>
      <c r="E92" s="25" t="str">
        <f t="shared" si="26"/>
        <v/>
      </c>
      <c r="F92" s="95">
        <f t="shared" si="19"/>
        <v>7</v>
      </c>
      <c r="G92" s="25">
        <f t="shared" si="20"/>
        <v>5</v>
      </c>
      <c r="H92" s="25" t="str">
        <f t="shared" si="31"/>
        <v>CGF</v>
      </c>
      <c r="I92" s="25" t="str">
        <f t="shared" si="32"/>
        <v>CGF</v>
      </c>
      <c r="J92" s="25" t="str">
        <f t="shared" si="27"/>
        <v>Caregiver Functioning - Caregiver #4</v>
      </c>
      <c r="K92" s="108">
        <v>1</v>
      </c>
      <c r="L92" s="95" t="str">
        <f t="shared" ca="1" si="33"/>
        <v/>
      </c>
      <c r="M92" s="25" t="str">
        <f t="shared" ca="1" si="34"/>
        <v/>
      </c>
      <c r="N92" s="25" t="str">
        <f t="shared" ca="1" si="35"/>
        <v/>
      </c>
      <c r="O92" s="25" t="str">
        <f t="shared" ca="1" si="36"/>
        <v/>
      </c>
      <c r="P92" s="91" t="str">
        <f ca="1">IFERROR(IF(AND($X92=3, ISNUMBER($X92)), COUNTIFS(X$18:X92, "=3", $AC$18:$AC92, $AC92), "-"), "err")</f>
        <v>-</v>
      </c>
      <c r="Q92" s="26" t="str">
        <f ca="1">IFERROR(IF(AND($X92=2, ISNUMBER($X92)), COUNTIFS(X$18:X92, "=2", $AC$18:$AC92, $AC92), "-"), "err")</f>
        <v>-</v>
      </c>
      <c r="R92" s="25">
        <f t="shared" ca="1" si="37"/>
        <v>0</v>
      </c>
      <c r="S92" s="26" t="str">
        <f ca="1">IFERROR(IF(AND($X92&gt;=2, ISNUMBER($X92)), COUNTIFS(X$18:X92, "&gt;=2", $AC$18:$AC92, $AC92), "-"), "err")</f>
        <v>-</v>
      </c>
      <c r="T92" s="25">
        <f t="shared" ca="1" si="38"/>
        <v>0</v>
      </c>
      <c r="U92" s="26" t="str">
        <f ca="1">IFERROR(IF(Y92="Yes", COUNTIFS(Y$18:Y92, "Yes", $AC$18:$AC92, $AC92), "-"), "err")</f>
        <v>-</v>
      </c>
      <c r="V92" s="25">
        <f t="shared" ca="1" si="39"/>
        <v>0</v>
      </c>
      <c r="W92" s="26" t="str">
        <f ca="1">IFERROR(IF($Z92="Yes", COUNTIFS(Z$18:Z92, "Yes", $AC$18:AC92, $AC92), "-"), "err")</f>
        <v>-</v>
      </c>
      <c r="X92" s="91">
        <f t="shared" ca="1" si="5"/>
        <v>0</v>
      </c>
      <c r="Y92" s="26" t="str">
        <f t="shared" ca="1" si="28"/>
        <v/>
      </c>
      <c r="Z92" s="26" t="str">
        <f t="shared" ca="1" si="29"/>
        <v/>
      </c>
      <c r="AA92" s="91">
        <f t="shared" si="40"/>
        <v>65</v>
      </c>
      <c r="AB92" s="17" t="s">
        <v>42</v>
      </c>
      <c r="AC92" s="184" t="s">
        <v>42</v>
      </c>
      <c r="AD92" s="54"/>
      <c r="AE92" s="54"/>
      <c r="AF92" s="112"/>
      <c r="AG92" s="200"/>
      <c r="AH92" s="122"/>
      <c r="AI92" s="123"/>
      <c r="AJ92" s="112"/>
      <c r="AK92" s="200"/>
      <c r="AL92" s="122"/>
      <c r="AM92" s="123"/>
      <c r="AN92" s="112"/>
      <c r="AO92" s="200"/>
      <c r="AP92" s="122"/>
      <c r="AQ92" s="123"/>
      <c r="AR92" s="130"/>
    </row>
    <row r="93" spans="1:44" hidden="1" x14ac:dyDescent="0.25">
      <c r="A93" s="41"/>
      <c r="B93" s="25" t="str">
        <f t="shared" si="25"/>
        <v>Caregiver Functioning - Caregiver #4_6</v>
      </c>
      <c r="C93" s="25" t="str">
        <f t="shared" si="30"/>
        <v/>
      </c>
      <c r="D93" s="25" t="str">
        <f t="shared" si="26"/>
        <v/>
      </c>
      <c r="E93" s="25" t="str">
        <f t="shared" si="26"/>
        <v/>
      </c>
      <c r="F93" s="95">
        <f t="shared" ref="F93:F160" si="41">IF(K93=0, IF(ISNUMBER(F92), F92+1, 1), F92)</f>
        <v>7</v>
      </c>
      <c r="G93" s="25">
        <f t="shared" ref="G93:G160" si="42">IF(K93=0, 0, IF(K93=1, G92+1, G92))</f>
        <v>6</v>
      </c>
      <c r="H93" s="25" t="str">
        <f t="shared" si="31"/>
        <v>CGF</v>
      </c>
      <c r="I93" s="25" t="str">
        <f t="shared" si="32"/>
        <v>CGF</v>
      </c>
      <c r="J93" s="25" t="str">
        <f t="shared" si="27"/>
        <v>Caregiver Functioning - Caregiver #4</v>
      </c>
      <c r="K93" s="108">
        <v>1</v>
      </c>
      <c r="L93" s="95" t="str">
        <f t="shared" ca="1" si="33"/>
        <v/>
      </c>
      <c r="M93" s="25" t="str">
        <f t="shared" ca="1" si="34"/>
        <v/>
      </c>
      <c r="N93" s="25" t="str">
        <f t="shared" ca="1" si="35"/>
        <v/>
      </c>
      <c r="O93" s="25" t="str">
        <f t="shared" ca="1" si="36"/>
        <v/>
      </c>
      <c r="P93" s="91" t="str">
        <f ca="1">IFERROR(IF(AND($X93=3, ISNUMBER($X93)), COUNTIFS(X$18:X93, "=3", $AC$18:$AC93, $AC93), "-"), "err")</f>
        <v>-</v>
      </c>
      <c r="Q93" s="26" t="str">
        <f ca="1">IFERROR(IF(AND($X93=2, ISNUMBER($X93)), COUNTIFS(X$18:X93, "=2", $AC$18:$AC93, $AC93), "-"), "err")</f>
        <v>-</v>
      </c>
      <c r="R93" s="25">
        <f t="shared" ca="1" si="37"/>
        <v>0</v>
      </c>
      <c r="S93" s="26" t="str">
        <f ca="1">IFERROR(IF(AND($X93&gt;=2, ISNUMBER($X93)), COUNTIFS(X$18:X93, "&gt;=2", $AC$18:$AC93, $AC93), "-"), "err")</f>
        <v>-</v>
      </c>
      <c r="T93" s="25">
        <f t="shared" ca="1" si="38"/>
        <v>0</v>
      </c>
      <c r="U93" s="26" t="str">
        <f ca="1">IFERROR(IF(Y93="Yes", COUNTIFS(Y$18:Y93, "Yes", $AC$18:$AC93, $AC93), "-"), "err")</f>
        <v>-</v>
      </c>
      <c r="V93" s="25">
        <f t="shared" ca="1" si="39"/>
        <v>0</v>
      </c>
      <c r="W93" s="26" t="str">
        <f ca="1">IFERROR(IF($Z93="Yes", COUNTIFS(Z$18:Z93, "Yes", $AC$18:AC93, $AC93), "-"), "err")</f>
        <v>-</v>
      </c>
      <c r="X93" s="91">
        <f t="shared" ca="1" si="5"/>
        <v>0</v>
      </c>
      <c r="Y93" s="26" t="str">
        <f t="shared" ca="1" si="28"/>
        <v/>
      </c>
      <c r="Z93" s="26" t="str">
        <f t="shared" ca="1" si="29"/>
        <v/>
      </c>
      <c r="AA93" s="91">
        <f t="shared" si="40"/>
        <v>66</v>
      </c>
      <c r="AB93" s="17" t="s">
        <v>278</v>
      </c>
      <c r="AC93" s="185" t="s">
        <v>278</v>
      </c>
      <c r="AD93" s="87"/>
      <c r="AE93" s="87"/>
      <c r="AF93" s="115"/>
      <c r="AG93" s="201"/>
      <c r="AH93" s="116"/>
      <c r="AI93" s="117"/>
      <c r="AJ93" s="115"/>
      <c r="AK93" s="201"/>
      <c r="AL93" s="116"/>
      <c r="AM93" s="117"/>
      <c r="AN93" s="115"/>
      <c r="AO93" s="201"/>
      <c r="AP93" s="116"/>
      <c r="AQ93" s="117"/>
      <c r="AR93" s="130"/>
    </row>
    <row r="94" spans="1:44" hidden="1" x14ac:dyDescent="0.25">
      <c r="A94" s="41"/>
      <c r="B94" s="25" t="str">
        <f t="shared" si="25"/>
        <v>Caregiver Functioning - Caregiver #4_7</v>
      </c>
      <c r="C94" s="25" t="str">
        <f t="shared" si="30"/>
        <v/>
      </c>
      <c r="D94" s="25" t="str">
        <f t="shared" si="26"/>
        <v/>
      </c>
      <c r="E94" s="25" t="str">
        <f t="shared" si="26"/>
        <v/>
      </c>
      <c r="F94" s="95">
        <f t="shared" si="41"/>
        <v>7</v>
      </c>
      <c r="G94" s="25">
        <f t="shared" si="42"/>
        <v>7</v>
      </c>
      <c r="H94" s="25" t="str">
        <f t="shared" si="31"/>
        <v>CGF</v>
      </c>
      <c r="I94" s="25" t="str">
        <f t="shared" si="32"/>
        <v>CGF</v>
      </c>
      <c r="J94" s="25" t="str">
        <f t="shared" si="27"/>
        <v>Caregiver Functioning - Caregiver #4</v>
      </c>
      <c r="K94" s="108">
        <v>1</v>
      </c>
      <c r="L94" s="95" t="str">
        <f t="shared" ca="1" si="33"/>
        <v/>
      </c>
      <c r="M94" s="25" t="str">
        <f t="shared" ca="1" si="34"/>
        <v/>
      </c>
      <c r="N94" s="25" t="str">
        <f t="shared" ca="1" si="35"/>
        <v/>
      </c>
      <c r="O94" s="25" t="str">
        <f t="shared" ca="1" si="36"/>
        <v/>
      </c>
      <c r="P94" s="91" t="str">
        <f ca="1">IFERROR(IF(AND($X94=3, ISNUMBER($X94)), COUNTIFS(X$18:X94, "=3", $AC$18:$AC94, $AC94), "-"), "err")</f>
        <v>-</v>
      </c>
      <c r="Q94" s="26" t="str">
        <f ca="1">IFERROR(IF(AND($X94=2, ISNUMBER($X94)), COUNTIFS(X$18:X94, "=2", $AC$18:$AC94, $AC94), "-"), "err")</f>
        <v>-</v>
      </c>
      <c r="R94" s="25">
        <f t="shared" ca="1" si="37"/>
        <v>0</v>
      </c>
      <c r="S94" s="26" t="str">
        <f ca="1">IFERROR(IF(AND($X94&gt;=2, ISNUMBER($X94)), COUNTIFS(X$18:X94, "&gt;=2", $AC$18:$AC94, $AC94), "-"), "err")</f>
        <v>-</v>
      </c>
      <c r="T94" s="25">
        <f t="shared" ca="1" si="38"/>
        <v>0</v>
      </c>
      <c r="U94" s="26" t="str">
        <f ca="1">IFERROR(IF(Y94="Yes", COUNTIFS(Y$18:Y94, "Yes", $AC$18:$AC94, $AC94), "-"), "err")</f>
        <v>-</v>
      </c>
      <c r="V94" s="25">
        <f t="shared" ca="1" si="39"/>
        <v>0</v>
      </c>
      <c r="W94" s="26" t="str">
        <f ca="1">IFERROR(IF($Z94="Yes", COUNTIFS(Z$18:Z94, "Yes", $AC$18:AC94, $AC94), "-"), "err")</f>
        <v>-</v>
      </c>
      <c r="X94" s="91">
        <f t="shared" ca="1" si="5"/>
        <v>0</v>
      </c>
      <c r="Y94" s="26" t="str">
        <f t="shared" ca="1" si="28"/>
        <v/>
      </c>
      <c r="Z94" s="26" t="str">
        <f t="shared" ca="1" si="29"/>
        <v/>
      </c>
      <c r="AA94" s="91">
        <f t="shared" si="40"/>
        <v>67</v>
      </c>
      <c r="AB94" s="17" t="s">
        <v>121</v>
      </c>
      <c r="AC94" s="184" t="s">
        <v>121</v>
      </c>
      <c r="AD94" s="54"/>
      <c r="AE94" s="54"/>
      <c r="AF94" s="112"/>
      <c r="AG94" s="200"/>
      <c r="AH94" s="122"/>
      <c r="AI94" s="123"/>
      <c r="AJ94" s="112"/>
      <c r="AK94" s="200"/>
      <c r="AL94" s="122"/>
      <c r="AM94" s="123"/>
      <c r="AN94" s="112"/>
      <c r="AO94" s="200"/>
      <c r="AP94" s="122"/>
      <c r="AQ94" s="123"/>
      <c r="AR94" s="130"/>
    </row>
    <row r="95" spans="1:44" hidden="1" x14ac:dyDescent="0.25">
      <c r="A95" s="41"/>
      <c r="B95" s="25" t="str">
        <f t="shared" si="25"/>
        <v>Caregiver Functioning - Caregiver #4_8</v>
      </c>
      <c r="C95" s="25" t="str">
        <f t="shared" si="30"/>
        <v/>
      </c>
      <c r="D95" s="25" t="str">
        <f t="shared" si="26"/>
        <v/>
      </c>
      <c r="E95" s="25" t="str">
        <f t="shared" si="26"/>
        <v/>
      </c>
      <c r="F95" s="95">
        <f t="shared" si="41"/>
        <v>7</v>
      </c>
      <c r="G95" s="25">
        <f t="shared" si="42"/>
        <v>8</v>
      </c>
      <c r="H95" s="25" t="str">
        <f t="shared" si="31"/>
        <v>CGF</v>
      </c>
      <c r="I95" s="25" t="str">
        <f t="shared" si="32"/>
        <v>CGF</v>
      </c>
      <c r="J95" s="25" t="str">
        <f t="shared" si="27"/>
        <v>Caregiver Functioning - Caregiver #4</v>
      </c>
      <c r="K95" s="108">
        <v>1</v>
      </c>
      <c r="L95" s="95" t="str">
        <f t="shared" ca="1" si="33"/>
        <v/>
      </c>
      <c r="M95" s="25" t="str">
        <f t="shared" ca="1" si="34"/>
        <v/>
      </c>
      <c r="N95" s="25" t="str">
        <f t="shared" ca="1" si="35"/>
        <v/>
      </c>
      <c r="O95" s="25" t="str">
        <f t="shared" ca="1" si="36"/>
        <v/>
      </c>
      <c r="P95" s="91" t="str">
        <f ca="1">IFERROR(IF(AND($X95=3, ISNUMBER($X95)), COUNTIFS(X$18:X95, "=3", $AC$18:$AC95, $AC95), "-"), "err")</f>
        <v>-</v>
      </c>
      <c r="Q95" s="26" t="str">
        <f ca="1">IFERROR(IF(AND($X95=2, ISNUMBER($X95)), COUNTIFS(X$18:X95, "=2", $AC$18:$AC95, $AC95), "-"), "err")</f>
        <v>-</v>
      </c>
      <c r="R95" s="25">
        <f t="shared" ca="1" si="37"/>
        <v>0</v>
      </c>
      <c r="S95" s="26" t="str">
        <f ca="1">IFERROR(IF(AND($X95&gt;=2, ISNUMBER($X95)), COUNTIFS(X$18:X95, "&gt;=2", $AC$18:$AC95, $AC95), "-"), "err")</f>
        <v>-</v>
      </c>
      <c r="T95" s="25">
        <f t="shared" ca="1" si="38"/>
        <v>0</v>
      </c>
      <c r="U95" s="26" t="str">
        <f ca="1">IFERROR(IF(Y95="Yes", COUNTIFS(Y$18:Y95, "Yes", $AC$18:$AC95, $AC95), "-"), "err")</f>
        <v>-</v>
      </c>
      <c r="V95" s="25">
        <f t="shared" ca="1" si="39"/>
        <v>0</v>
      </c>
      <c r="W95" s="26" t="str">
        <f ca="1">IFERROR(IF($Z95="Yes", COUNTIFS(Z$18:Z95, "Yes", $AC$18:AC95, $AC95), "-"), "err")</f>
        <v>-</v>
      </c>
      <c r="X95" s="91">
        <f t="shared" ca="1" si="5"/>
        <v>0</v>
      </c>
      <c r="Y95" s="26" t="str">
        <f t="shared" ca="1" si="28"/>
        <v/>
      </c>
      <c r="Z95" s="26" t="str">
        <f t="shared" ca="1" si="29"/>
        <v/>
      </c>
      <c r="AA95" s="91">
        <f t="shared" si="40"/>
        <v>68</v>
      </c>
      <c r="AB95" s="17" t="s">
        <v>279</v>
      </c>
      <c r="AC95" s="185" t="s">
        <v>279</v>
      </c>
      <c r="AD95" s="87"/>
      <c r="AE95" s="87"/>
      <c r="AF95" s="115"/>
      <c r="AG95" s="201"/>
      <c r="AH95" s="116"/>
      <c r="AI95" s="117"/>
      <c r="AJ95" s="115"/>
      <c r="AK95" s="201"/>
      <c r="AL95" s="116"/>
      <c r="AM95" s="117"/>
      <c r="AN95" s="115"/>
      <c r="AO95" s="201"/>
      <c r="AP95" s="116"/>
      <c r="AQ95" s="117"/>
      <c r="AR95" s="130"/>
    </row>
    <row r="96" spans="1:44" hidden="1" x14ac:dyDescent="0.25">
      <c r="A96" s="41"/>
      <c r="B96" s="25" t="str">
        <f t="shared" si="25"/>
        <v>Caregiver Functioning - Caregiver #4_9</v>
      </c>
      <c r="C96" s="25" t="str">
        <f t="shared" si="30"/>
        <v/>
      </c>
      <c r="D96" s="25" t="str">
        <f t="shared" si="26"/>
        <v/>
      </c>
      <c r="E96" s="25" t="str">
        <f t="shared" si="26"/>
        <v/>
      </c>
      <c r="F96" s="95">
        <f t="shared" si="41"/>
        <v>7</v>
      </c>
      <c r="G96" s="25">
        <f t="shared" si="42"/>
        <v>9</v>
      </c>
      <c r="H96" s="25" t="str">
        <f t="shared" si="31"/>
        <v>CGF</v>
      </c>
      <c r="I96" s="25" t="str">
        <f t="shared" si="32"/>
        <v>CGF</v>
      </c>
      <c r="J96" s="25" t="str">
        <f t="shared" si="27"/>
        <v>Caregiver Functioning - Caregiver #4</v>
      </c>
      <c r="K96" s="108">
        <v>1</v>
      </c>
      <c r="L96" s="95" t="str">
        <f t="shared" ca="1" si="33"/>
        <v/>
      </c>
      <c r="M96" s="25" t="str">
        <f t="shared" ca="1" si="34"/>
        <v/>
      </c>
      <c r="N96" s="25" t="str">
        <f t="shared" ca="1" si="35"/>
        <v/>
      </c>
      <c r="O96" s="25" t="str">
        <f t="shared" ca="1" si="36"/>
        <v/>
      </c>
      <c r="P96" s="91" t="str">
        <f ca="1">IFERROR(IF(AND($X96=3, ISNUMBER($X96)), COUNTIFS(X$18:X96, "=3", $AC$18:$AC96, $AC96), "-"), "err")</f>
        <v>-</v>
      </c>
      <c r="Q96" s="26" t="str">
        <f ca="1">IFERROR(IF(AND($X96=2, ISNUMBER($X96)), COUNTIFS(X$18:X96, "=2", $AC$18:$AC96, $AC96), "-"), "err")</f>
        <v>-</v>
      </c>
      <c r="R96" s="25">
        <f t="shared" ca="1" si="37"/>
        <v>0</v>
      </c>
      <c r="S96" s="26" t="str">
        <f ca="1">IFERROR(IF(AND($X96&gt;=2, ISNUMBER($X96)), COUNTIFS(X$18:X96, "&gt;=2", $AC$18:$AC96, $AC96), "-"), "err")</f>
        <v>-</v>
      </c>
      <c r="T96" s="25">
        <f t="shared" ca="1" si="38"/>
        <v>0</v>
      </c>
      <c r="U96" s="26" t="str">
        <f ca="1">IFERROR(IF(Y96="Yes", COUNTIFS(Y$18:Y96, "Yes", $AC$18:$AC96, $AC96), "-"), "err")</f>
        <v>-</v>
      </c>
      <c r="V96" s="25">
        <f t="shared" ca="1" si="39"/>
        <v>0</v>
      </c>
      <c r="W96" s="26" t="str">
        <f ca="1">IFERROR(IF($Z96="Yes", COUNTIFS(Z$18:Z96, "Yes", $AC$18:AC96, $AC96), "-"), "err")</f>
        <v>-</v>
      </c>
      <c r="X96" s="91">
        <f t="shared" ca="1" si="5"/>
        <v>0</v>
      </c>
      <c r="Y96" s="26" t="str">
        <f t="shared" ca="1" si="28"/>
        <v/>
      </c>
      <c r="Z96" s="26" t="str">
        <f t="shared" ca="1" si="29"/>
        <v/>
      </c>
      <c r="AA96" s="91">
        <f t="shared" si="40"/>
        <v>69</v>
      </c>
      <c r="AB96" s="17" t="s">
        <v>41</v>
      </c>
      <c r="AC96" s="184" t="s">
        <v>41</v>
      </c>
      <c r="AD96" s="54"/>
      <c r="AE96" s="54"/>
      <c r="AF96" s="112"/>
      <c r="AG96" s="200"/>
      <c r="AH96" s="113"/>
      <c r="AI96" s="114"/>
      <c r="AJ96" s="112"/>
      <c r="AK96" s="200"/>
      <c r="AL96" s="113"/>
      <c r="AM96" s="114"/>
      <c r="AN96" s="112"/>
      <c r="AO96" s="200"/>
      <c r="AP96" s="113"/>
      <c r="AQ96" s="114"/>
      <c r="AR96" s="130"/>
    </row>
    <row r="97" spans="1:44" hidden="1" x14ac:dyDescent="0.25">
      <c r="A97" s="41"/>
      <c r="B97" s="25" t="str">
        <f t="shared" si="25"/>
        <v>Caregiver Functioning - Caregiver #4_10</v>
      </c>
      <c r="C97" s="25" t="str">
        <f t="shared" si="30"/>
        <v/>
      </c>
      <c r="D97" s="25" t="str">
        <f t="shared" si="26"/>
        <v/>
      </c>
      <c r="E97" s="25" t="str">
        <f t="shared" si="26"/>
        <v/>
      </c>
      <c r="F97" s="95">
        <f t="shared" si="41"/>
        <v>7</v>
      </c>
      <c r="G97" s="25">
        <f t="shared" si="42"/>
        <v>10</v>
      </c>
      <c r="H97" s="25" t="str">
        <f t="shared" si="31"/>
        <v>CGF</v>
      </c>
      <c r="I97" s="25" t="str">
        <f t="shared" si="32"/>
        <v>CGF</v>
      </c>
      <c r="J97" s="25" t="str">
        <f t="shared" si="27"/>
        <v>Caregiver Functioning - Caregiver #4</v>
      </c>
      <c r="K97" s="108">
        <v>1</v>
      </c>
      <c r="L97" s="95" t="str">
        <f t="shared" ca="1" si="33"/>
        <v/>
      </c>
      <c r="M97" s="25" t="str">
        <f t="shared" ca="1" si="34"/>
        <v/>
      </c>
      <c r="N97" s="25" t="str">
        <f t="shared" ca="1" si="35"/>
        <v/>
      </c>
      <c r="O97" s="25" t="str">
        <f t="shared" ca="1" si="36"/>
        <v/>
      </c>
      <c r="P97" s="91" t="str">
        <f ca="1">IFERROR(IF(AND($X97=3, ISNUMBER($X97)), COUNTIFS(X$18:X97, "=3", $AC$18:$AC97, $AC97), "-"), "err")</f>
        <v>-</v>
      </c>
      <c r="Q97" s="26" t="str">
        <f ca="1">IFERROR(IF(AND($X97=2, ISNUMBER($X97)), COUNTIFS(X$18:X97, "=2", $AC$18:$AC97, $AC97), "-"), "err")</f>
        <v>-</v>
      </c>
      <c r="R97" s="25">
        <f t="shared" ca="1" si="37"/>
        <v>0</v>
      </c>
      <c r="S97" s="26" t="str">
        <f ca="1">IFERROR(IF(AND($X97&gt;=2, ISNUMBER($X97)), COUNTIFS(X$18:X97, "&gt;=2", $AC$18:$AC97, $AC97), "-"), "err")</f>
        <v>-</v>
      </c>
      <c r="T97" s="25">
        <f t="shared" ca="1" si="38"/>
        <v>0</v>
      </c>
      <c r="U97" s="26" t="str">
        <f ca="1">IFERROR(IF(Y97="Yes", COUNTIFS(Y$18:Y97, "Yes", $AC$18:$AC97, $AC97), "-"), "err")</f>
        <v>-</v>
      </c>
      <c r="V97" s="25">
        <f t="shared" ca="1" si="39"/>
        <v>0</v>
      </c>
      <c r="W97" s="26" t="str">
        <f ca="1">IFERROR(IF($Z97="Yes", COUNTIFS(Z$18:Z97, "Yes", $AC$18:AC97, $AC97), "-"), "err")</f>
        <v>-</v>
      </c>
      <c r="X97" s="91">
        <f t="shared" ca="1" si="5"/>
        <v>0</v>
      </c>
      <c r="Y97" s="26" t="str">
        <f t="shared" ca="1" si="28"/>
        <v/>
      </c>
      <c r="Z97" s="26" t="str">
        <f t="shared" ca="1" si="29"/>
        <v/>
      </c>
      <c r="AA97" s="91">
        <f t="shared" si="40"/>
        <v>70</v>
      </c>
      <c r="AB97" s="17" t="s">
        <v>280</v>
      </c>
      <c r="AC97" s="185" t="s">
        <v>280</v>
      </c>
      <c r="AD97" s="87"/>
      <c r="AE97" s="87"/>
      <c r="AF97" s="115"/>
      <c r="AG97" s="201"/>
      <c r="AH97" s="116"/>
      <c r="AI97" s="117"/>
      <c r="AJ97" s="115"/>
      <c r="AK97" s="201"/>
      <c r="AL97" s="116"/>
      <c r="AM97" s="117"/>
      <c r="AN97" s="115"/>
      <c r="AO97" s="201"/>
      <c r="AP97" s="116"/>
      <c r="AQ97" s="117"/>
      <c r="AR97" s="130"/>
    </row>
    <row r="98" spans="1:44" hidden="1" x14ac:dyDescent="0.25">
      <c r="A98" s="41"/>
      <c r="B98" s="25" t="str">
        <f t="shared" si="25"/>
        <v>Caregiver Functioning - Caregiver #4_11</v>
      </c>
      <c r="C98" s="25" t="str">
        <f t="shared" si="30"/>
        <v/>
      </c>
      <c r="D98" s="25" t="str">
        <f t="shared" si="26"/>
        <v/>
      </c>
      <c r="E98" s="25" t="str">
        <f t="shared" si="26"/>
        <v/>
      </c>
      <c r="F98" s="95">
        <f t="shared" si="41"/>
        <v>7</v>
      </c>
      <c r="G98" s="25">
        <f t="shared" si="42"/>
        <v>11</v>
      </c>
      <c r="H98" s="25" t="str">
        <f t="shared" si="31"/>
        <v>CGF</v>
      </c>
      <c r="I98" s="25" t="str">
        <f t="shared" si="32"/>
        <v>CGF</v>
      </c>
      <c r="J98" s="25" t="str">
        <f t="shared" si="27"/>
        <v>Caregiver Functioning - Caregiver #4</v>
      </c>
      <c r="K98" s="108">
        <v>1</v>
      </c>
      <c r="L98" s="95" t="str">
        <f t="shared" ca="1" si="33"/>
        <v/>
      </c>
      <c r="M98" s="25" t="str">
        <f t="shared" ca="1" si="34"/>
        <v/>
      </c>
      <c r="N98" s="25" t="str">
        <f t="shared" ca="1" si="35"/>
        <v/>
      </c>
      <c r="O98" s="25" t="str">
        <f t="shared" ca="1" si="36"/>
        <v/>
      </c>
      <c r="P98" s="91" t="str">
        <f ca="1">IFERROR(IF(AND($X98=3, ISNUMBER($X98)), COUNTIFS(X$18:X98, "=3", $AC$18:$AC98, $AC98), "-"), "err")</f>
        <v>-</v>
      </c>
      <c r="Q98" s="26" t="str">
        <f ca="1">IFERROR(IF(AND($X98=2, ISNUMBER($X98)), COUNTIFS(X$18:X98, "=2", $AC$18:$AC98, $AC98), "-"), "err")</f>
        <v>-</v>
      </c>
      <c r="R98" s="25">
        <f t="shared" ca="1" si="37"/>
        <v>0</v>
      </c>
      <c r="S98" s="26" t="str">
        <f ca="1">IFERROR(IF(AND($X98&gt;=2, ISNUMBER($X98)), COUNTIFS(X$18:X98, "&gt;=2", $AC$18:$AC98, $AC98), "-"), "err")</f>
        <v>-</v>
      </c>
      <c r="T98" s="25">
        <f t="shared" ca="1" si="38"/>
        <v>0</v>
      </c>
      <c r="U98" s="26" t="str">
        <f ca="1">IFERROR(IF(Y98="Yes", COUNTIFS(Y$18:Y98, "Yes", $AC$18:$AC98, $AC98), "-"), "err")</f>
        <v>-</v>
      </c>
      <c r="V98" s="25">
        <f t="shared" ca="1" si="39"/>
        <v>0</v>
      </c>
      <c r="W98" s="26" t="str">
        <f ca="1">IFERROR(IF($Z98="Yes", COUNTIFS(Z$18:Z98, "Yes", $AC$18:AC98, $AC98), "-"), "err")</f>
        <v>-</v>
      </c>
      <c r="X98" s="91">
        <f t="shared" ca="1" si="5"/>
        <v>0</v>
      </c>
      <c r="Y98" s="26" t="str">
        <f t="shared" ca="1" si="28"/>
        <v/>
      </c>
      <c r="Z98" s="26" t="str">
        <f t="shared" ca="1" si="29"/>
        <v/>
      </c>
      <c r="AA98" s="91">
        <f t="shared" si="40"/>
        <v>71</v>
      </c>
      <c r="AB98" s="17" t="s">
        <v>281</v>
      </c>
      <c r="AC98" s="184" t="s">
        <v>281</v>
      </c>
      <c r="AD98" s="54"/>
      <c r="AE98" s="54"/>
      <c r="AF98" s="112"/>
      <c r="AG98" s="200"/>
      <c r="AH98" s="113"/>
      <c r="AI98" s="114"/>
      <c r="AJ98" s="112"/>
      <c r="AK98" s="200"/>
      <c r="AL98" s="113"/>
      <c r="AM98" s="114"/>
      <c r="AN98" s="112"/>
      <c r="AO98" s="200"/>
      <c r="AP98" s="113"/>
      <c r="AQ98" s="114"/>
      <c r="AR98" s="130"/>
    </row>
    <row r="99" spans="1:44" hidden="1" x14ac:dyDescent="0.25">
      <c r="A99" s="41"/>
      <c r="B99" s="25" t="str">
        <f t="shared" si="25"/>
        <v>Caregiver Functioning - Caregiver #4_12</v>
      </c>
      <c r="C99" s="25" t="str">
        <f t="shared" si="30"/>
        <v/>
      </c>
      <c r="D99" s="25" t="str">
        <f t="shared" si="26"/>
        <v/>
      </c>
      <c r="E99" s="25" t="str">
        <f t="shared" si="26"/>
        <v/>
      </c>
      <c r="F99" s="95">
        <f t="shared" si="41"/>
        <v>7</v>
      </c>
      <c r="G99" s="25">
        <f t="shared" si="42"/>
        <v>12</v>
      </c>
      <c r="H99" s="25" t="str">
        <f t="shared" si="31"/>
        <v>CGF</v>
      </c>
      <c r="I99" s="25" t="str">
        <f t="shared" si="32"/>
        <v>CGF</v>
      </c>
      <c r="J99" s="25" t="str">
        <f t="shared" si="27"/>
        <v>Caregiver Functioning - Caregiver #4</v>
      </c>
      <c r="K99" s="108">
        <v>1</v>
      </c>
      <c r="L99" s="95" t="str">
        <f t="shared" ca="1" si="33"/>
        <v/>
      </c>
      <c r="M99" s="25" t="str">
        <f t="shared" ca="1" si="34"/>
        <v/>
      </c>
      <c r="N99" s="25" t="str">
        <f t="shared" ca="1" si="35"/>
        <v/>
      </c>
      <c r="O99" s="25" t="str">
        <f t="shared" ca="1" si="36"/>
        <v/>
      </c>
      <c r="P99" s="91" t="str">
        <f ca="1">IFERROR(IF(AND($X99=3, ISNUMBER($X99)), COUNTIFS(X$18:X99, "=3", $AC$18:$AC99, $AC99), "-"), "err")</f>
        <v>-</v>
      </c>
      <c r="Q99" s="26" t="str">
        <f ca="1">IFERROR(IF(AND($X99=2, ISNUMBER($X99)), COUNTIFS(X$18:X99, "=2", $AC$18:$AC99, $AC99), "-"), "err")</f>
        <v>-</v>
      </c>
      <c r="R99" s="25">
        <f t="shared" ca="1" si="37"/>
        <v>0</v>
      </c>
      <c r="S99" s="26" t="str">
        <f ca="1">IFERROR(IF(AND($X99&gt;=2, ISNUMBER($X99)), COUNTIFS(X$18:X99, "&gt;=2", $AC$18:$AC99, $AC99), "-"), "err")</f>
        <v>-</v>
      </c>
      <c r="T99" s="25">
        <f t="shared" ca="1" si="38"/>
        <v>0</v>
      </c>
      <c r="U99" s="26" t="str">
        <f ca="1">IFERROR(IF(Y99="Yes", COUNTIFS(Y$18:Y99, "Yes", $AC$18:$AC99, $AC99), "-"), "err")</f>
        <v>-</v>
      </c>
      <c r="V99" s="25">
        <f t="shared" ca="1" si="39"/>
        <v>0</v>
      </c>
      <c r="W99" s="26" t="str">
        <f ca="1">IFERROR(IF($Z99="Yes", COUNTIFS(Z$18:Z99, "Yes", $AC$18:AC99, $AC99), "-"), "err")</f>
        <v>-</v>
      </c>
      <c r="X99" s="91">
        <f t="shared" ca="1" si="5"/>
        <v>0</v>
      </c>
      <c r="Y99" s="26" t="str">
        <f t="shared" ca="1" si="28"/>
        <v/>
      </c>
      <c r="Z99" s="26" t="str">
        <f t="shared" ca="1" si="29"/>
        <v/>
      </c>
      <c r="AA99" s="91">
        <f t="shared" si="40"/>
        <v>72</v>
      </c>
      <c r="AB99" s="17" t="s">
        <v>282</v>
      </c>
      <c r="AC99" s="185" t="s">
        <v>282</v>
      </c>
      <c r="AD99" s="87"/>
      <c r="AE99" s="87"/>
      <c r="AF99" s="115"/>
      <c r="AG99" s="201"/>
      <c r="AH99" s="122"/>
      <c r="AI99" s="123"/>
      <c r="AJ99" s="115"/>
      <c r="AK99" s="201"/>
      <c r="AL99" s="122"/>
      <c r="AM99" s="123"/>
      <c r="AN99" s="115"/>
      <c r="AO99" s="201"/>
      <c r="AP99" s="122"/>
      <c r="AQ99" s="123"/>
      <c r="AR99" s="130"/>
    </row>
    <row r="100" spans="1:44" hidden="1" x14ac:dyDescent="0.25">
      <c r="A100" s="41"/>
      <c r="B100" s="25" t="str">
        <f t="shared" si="25"/>
        <v>Caregiver Functioning - Caregiver #4_13</v>
      </c>
      <c r="C100" s="25" t="str">
        <f t="shared" si="30"/>
        <v/>
      </c>
      <c r="D100" s="25" t="str">
        <f t="shared" si="26"/>
        <v/>
      </c>
      <c r="E100" s="25" t="str">
        <f t="shared" si="26"/>
        <v/>
      </c>
      <c r="F100" s="95">
        <f t="shared" si="41"/>
        <v>7</v>
      </c>
      <c r="G100" s="25">
        <f t="shared" si="42"/>
        <v>13</v>
      </c>
      <c r="H100" s="25" t="str">
        <f t="shared" si="31"/>
        <v>CGF</v>
      </c>
      <c r="I100" s="25" t="str">
        <f t="shared" si="32"/>
        <v>CGF</v>
      </c>
      <c r="J100" s="25" t="str">
        <f t="shared" si="27"/>
        <v>Caregiver Functioning - Caregiver #4</v>
      </c>
      <c r="K100" s="108">
        <v>1</v>
      </c>
      <c r="L100" s="95" t="str">
        <f t="shared" ca="1" si="33"/>
        <v/>
      </c>
      <c r="M100" s="25" t="str">
        <f t="shared" ca="1" si="34"/>
        <v/>
      </c>
      <c r="N100" s="25" t="str">
        <f t="shared" ca="1" si="35"/>
        <v/>
      </c>
      <c r="O100" s="25" t="str">
        <f t="shared" ca="1" si="36"/>
        <v/>
      </c>
      <c r="P100" s="91" t="str">
        <f ca="1">IFERROR(IF(AND($X100=3, ISNUMBER($X100)), COUNTIFS(X$18:X100, "=3", $AC$18:$AC100, $AC100), "-"), "err")</f>
        <v>-</v>
      </c>
      <c r="Q100" s="26" t="str">
        <f ca="1">IFERROR(IF(AND($X100=2, ISNUMBER($X100)), COUNTIFS(X$18:X100, "=2", $AC$18:$AC100, $AC100), "-"), "err")</f>
        <v>-</v>
      </c>
      <c r="R100" s="25">
        <f t="shared" ca="1" si="37"/>
        <v>0</v>
      </c>
      <c r="S100" s="26" t="str">
        <f ca="1">IFERROR(IF(AND($X100&gt;=2, ISNUMBER($X100)), COUNTIFS(X$18:X100, "&gt;=2", $AC$18:$AC100, $AC100), "-"), "err")</f>
        <v>-</v>
      </c>
      <c r="T100" s="25">
        <f t="shared" ca="1" si="38"/>
        <v>0</v>
      </c>
      <c r="U100" s="26" t="str">
        <f ca="1">IFERROR(IF(Y100="Yes", COUNTIFS(Y$18:Y100, "Yes", $AC$18:$AC100, $AC100), "-"), "err")</f>
        <v>-</v>
      </c>
      <c r="V100" s="25">
        <f t="shared" ca="1" si="39"/>
        <v>0</v>
      </c>
      <c r="W100" s="26" t="str">
        <f ca="1">IFERROR(IF($Z100="Yes", COUNTIFS(Z$18:Z100, "Yes", $AC$18:AC100, $AC100), "-"), "err")</f>
        <v>-</v>
      </c>
      <c r="X100" s="91">
        <f t="shared" ca="1" si="5"/>
        <v>0</v>
      </c>
      <c r="Y100" s="26" t="str">
        <f t="shared" ca="1" si="28"/>
        <v/>
      </c>
      <c r="Z100" s="26" t="str">
        <f t="shared" ca="1" si="29"/>
        <v/>
      </c>
      <c r="AA100" s="91">
        <f t="shared" si="40"/>
        <v>73</v>
      </c>
      <c r="AB100" s="17" t="s">
        <v>283</v>
      </c>
      <c r="AC100" s="184" t="s">
        <v>283</v>
      </c>
      <c r="AD100" s="54"/>
      <c r="AE100" s="54"/>
      <c r="AF100" s="112"/>
      <c r="AG100" s="200"/>
      <c r="AH100" s="122"/>
      <c r="AI100" s="123"/>
      <c r="AJ100" s="112"/>
      <c r="AK100" s="200"/>
      <c r="AL100" s="122"/>
      <c r="AM100" s="123"/>
      <c r="AN100" s="112"/>
      <c r="AO100" s="200"/>
      <c r="AP100" s="122"/>
      <c r="AQ100" s="123"/>
      <c r="AR100" s="130"/>
    </row>
    <row r="101" spans="1:44" hidden="1" x14ac:dyDescent="0.25">
      <c r="A101" s="41"/>
      <c r="B101" s="25" t="str">
        <f t="shared" si="25"/>
        <v>Caregiver Functioning - Caregiver #4_14</v>
      </c>
      <c r="C101" s="25" t="str">
        <f t="shared" si="30"/>
        <v>CGF</v>
      </c>
      <c r="D101" s="25" t="str">
        <f t="shared" si="26"/>
        <v>CGF</v>
      </c>
      <c r="E101" s="25" t="str">
        <f t="shared" si="26"/>
        <v>Caregiver Functioning - Caregiver #4</v>
      </c>
      <c r="F101" s="95">
        <f t="shared" si="41"/>
        <v>7</v>
      </c>
      <c r="G101" s="25">
        <f t="shared" si="42"/>
        <v>14</v>
      </c>
      <c r="H101" s="25" t="str">
        <f t="shared" si="31"/>
        <v>CGF</v>
      </c>
      <c r="I101" s="25" t="str">
        <f t="shared" si="32"/>
        <v>CGF</v>
      </c>
      <c r="J101" s="25" t="str">
        <f t="shared" si="27"/>
        <v>Caregiver Functioning - Caregiver #4</v>
      </c>
      <c r="K101" s="108">
        <v>1</v>
      </c>
      <c r="L101" s="95" t="str">
        <f t="shared" ca="1" si="33"/>
        <v/>
      </c>
      <c r="M101" s="25" t="str">
        <f t="shared" ca="1" si="34"/>
        <v/>
      </c>
      <c r="N101" s="25" t="str">
        <f t="shared" ca="1" si="35"/>
        <v/>
      </c>
      <c r="O101" s="25" t="str">
        <f t="shared" ca="1" si="36"/>
        <v/>
      </c>
      <c r="P101" s="91" t="str">
        <f ca="1">IFERROR(IF(AND($X101=3, ISNUMBER($X101)), COUNTIFS(X$18:X101, "=3", $AC$18:$AC101, $AC101), "-"), "err")</f>
        <v>-</v>
      </c>
      <c r="Q101" s="26" t="str">
        <f ca="1">IFERROR(IF(AND($X101=2, ISNUMBER($X101)), COUNTIFS(X$18:X101, "=2", $AC$18:$AC101, $AC101), "-"), "err")</f>
        <v>-</v>
      </c>
      <c r="R101" s="25">
        <f t="shared" ca="1" si="37"/>
        <v>0</v>
      </c>
      <c r="S101" s="26" t="str">
        <f ca="1">IFERROR(IF(AND($X101&gt;=2, ISNUMBER($X101)), COUNTIFS(X$18:X101, "&gt;=2", $AC$18:$AC101, $AC101), "-"), "err")</f>
        <v>-</v>
      </c>
      <c r="T101" s="25">
        <f t="shared" ca="1" si="38"/>
        <v>0</v>
      </c>
      <c r="U101" s="26" t="str">
        <f ca="1">IFERROR(IF(Y101="Yes", COUNTIFS(Y$18:Y101, "Yes", $AC$18:$AC101, $AC101), "-"), "err")</f>
        <v>-</v>
      </c>
      <c r="V101" s="25">
        <f t="shared" ca="1" si="39"/>
        <v>0</v>
      </c>
      <c r="W101" s="26" t="str">
        <f ca="1">IFERROR(IF($Z101="Yes", COUNTIFS(Z$18:Z101, "Yes", $AC$18:AC101, $AC101), "-"), "err")</f>
        <v>-</v>
      </c>
      <c r="X101" s="91">
        <f t="shared" ca="1" si="5"/>
        <v>0</v>
      </c>
      <c r="Y101" s="26" t="str">
        <f t="shared" ca="1" si="28"/>
        <v/>
      </c>
      <c r="Z101" s="26" t="str">
        <f t="shared" ca="1" si="29"/>
        <v/>
      </c>
      <c r="AA101" s="91">
        <f t="shared" si="40"/>
        <v>74</v>
      </c>
      <c r="AB101" s="17" t="s">
        <v>131</v>
      </c>
      <c r="AC101" s="185" t="s">
        <v>131</v>
      </c>
      <c r="AD101" s="87"/>
      <c r="AE101" s="87"/>
      <c r="AF101" s="115"/>
      <c r="AG101" s="201"/>
      <c r="AH101" s="116"/>
      <c r="AI101" s="117"/>
      <c r="AJ101" s="115"/>
      <c r="AK101" s="201"/>
      <c r="AL101" s="116"/>
      <c r="AM101" s="117"/>
      <c r="AN101" s="115"/>
      <c r="AO101" s="201"/>
      <c r="AP101" s="116"/>
      <c r="AQ101" s="117"/>
      <c r="AR101" s="130"/>
    </row>
    <row r="102" spans="1:44" x14ac:dyDescent="0.25">
      <c r="A102" s="41"/>
      <c r="B102" s="25" t="str">
        <f t="shared" si="25"/>
        <v>Child Functioning -- Child #1_0</v>
      </c>
      <c r="C102" s="25" t="str">
        <f t="shared" si="30"/>
        <v/>
      </c>
      <c r="D102" s="25" t="str">
        <f t="shared" si="26"/>
        <v/>
      </c>
      <c r="E102" s="25" t="str">
        <f t="shared" si="26"/>
        <v/>
      </c>
      <c r="F102" s="95">
        <f t="shared" si="41"/>
        <v>8</v>
      </c>
      <c r="G102" s="25">
        <f t="shared" si="42"/>
        <v>0</v>
      </c>
      <c r="H102" s="25" t="str">
        <f t="shared" si="31"/>
        <v>CF</v>
      </c>
      <c r="I102" s="25" t="str">
        <f t="shared" si="32"/>
        <v>CF</v>
      </c>
      <c r="J102" s="25" t="str">
        <f t="shared" si="27"/>
        <v>Child Functioning -- Child #1</v>
      </c>
      <c r="K102" s="108">
        <v>0</v>
      </c>
      <c r="L102" s="95" t="str">
        <f t="shared" ca="1" si="33"/>
        <v/>
      </c>
      <c r="M102" s="25" t="str">
        <f t="shared" ca="1" si="34"/>
        <v/>
      </c>
      <c r="N102" s="25" t="str">
        <f t="shared" ca="1" si="35"/>
        <v/>
      </c>
      <c r="O102" s="25" t="str">
        <f t="shared" ca="1" si="36"/>
        <v/>
      </c>
      <c r="P102" s="91" t="str">
        <f ca="1">IFERROR(IF(AND($X102=3, ISNUMBER($X102)), COUNTIFS(X$18:X102, "=3", $AC$18:$AC102, $AC102), "-"), "err")</f>
        <v>-</v>
      </c>
      <c r="Q102" s="26" t="str">
        <f ca="1">IFERROR(IF(AND($X102=2, ISNUMBER($X102)), COUNTIFS(X$18:X102, "=2", $AC$18:$AC102, $AC102), "-"), "err")</f>
        <v>-</v>
      </c>
      <c r="R102" s="25">
        <f t="shared" ca="1" si="37"/>
        <v>0</v>
      </c>
      <c r="S102" s="26" t="str">
        <f ca="1">IFERROR(IF(AND($X102&gt;=2, ISNUMBER($X102)), COUNTIFS(X$18:X102, "&gt;=2", $AC$18:$AC102, $AC102), "-"), "err")</f>
        <v>-</v>
      </c>
      <c r="T102" s="25">
        <f t="shared" ca="1" si="38"/>
        <v>0</v>
      </c>
      <c r="U102" s="26" t="str">
        <f ca="1">IFERROR(IF(Y102="Yes", COUNTIFS(Y$18:Y102, "Yes", $AC$18:$AC102, $AC102), "-"), "err")</f>
        <v>-</v>
      </c>
      <c r="V102" s="25">
        <f t="shared" ca="1" si="39"/>
        <v>0</v>
      </c>
      <c r="W102" s="26" t="str">
        <f ca="1">IFERROR(IF($Z102="Yes", COUNTIFS(Z$18:Z102, "Yes", $AC$18:AC102, $AC102), "-"), "err")</f>
        <v>-</v>
      </c>
      <c r="X102" s="91">
        <f t="shared" ca="1" si="5"/>
        <v>0</v>
      </c>
      <c r="Y102" s="26" t="str">
        <f t="shared" ca="1" si="28"/>
        <v/>
      </c>
      <c r="Z102" s="26" t="str">
        <f t="shared" ca="1" si="29"/>
        <v/>
      </c>
      <c r="AA102" s="91">
        <f t="shared" si="40"/>
        <v>74</v>
      </c>
      <c r="AC102" s="183" t="s">
        <v>326</v>
      </c>
      <c r="AD102" s="61"/>
      <c r="AE102" s="61"/>
      <c r="AF102" s="118"/>
      <c r="AG102" s="119"/>
      <c r="AH102" s="120"/>
      <c r="AI102" s="121"/>
      <c r="AJ102" s="118"/>
      <c r="AK102" s="119"/>
      <c r="AL102" s="120"/>
      <c r="AM102" s="121"/>
      <c r="AN102" s="118"/>
      <c r="AO102" s="119"/>
      <c r="AP102" s="120"/>
      <c r="AQ102" s="121"/>
      <c r="AR102" s="130"/>
    </row>
    <row r="103" spans="1:44" x14ac:dyDescent="0.25">
      <c r="A103" s="41"/>
      <c r="B103" s="25" t="str">
        <f t="shared" si="25"/>
        <v>Child Functioning -- Child #1_0</v>
      </c>
      <c r="C103" s="25" t="str">
        <f t="shared" ref="C103:E104" si="43">IF(H103&lt;&gt;H105, H103, "")</f>
        <v/>
      </c>
      <c r="D103" s="25" t="str">
        <f t="shared" si="43"/>
        <v/>
      </c>
      <c r="E103" s="25" t="str">
        <f t="shared" si="43"/>
        <v/>
      </c>
      <c r="F103" s="95">
        <f t="shared" si="41"/>
        <v>8</v>
      </c>
      <c r="G103" s="25">
        <f t="shared" si="42"/>
        <v>0</v>
      </c>
      <c r="H103" s="25" t="str">
        <f t="shared" si="31"/>
        <v>CF</v>
      </c>
      <c r="I103" s="25" t="str">
        <f t="shared" si="32"/>
        <v>CF</v>
      </c>
      <c r="J103" s="25" t="str">
        <f t="shared" si="27"/>
        <v>Child Functioning -- Child #1</v>
      </c>
      <c r="K103" s="108">
        <v>2</v>
      </c>
      <c r="L103" s="95" t="str">
        <f t="shared" ca="1" si="33"/>
        <v/>
      </c>
      <c r="M103" s="25" t="str">
        <f t="shared" ca="1" si="34"/>
        <v/>
      </c>
      <c r="N103" s="25" t="str">
        <f t="shared" ca="1" si="35"/>
        <v/>
      </c>
      <c r="O103" s="25" t="str">
        <f t="shared" ca="1" si="36"/>
        <v/>
      </c>
      <c r="P103" s="91" t="str">
        <f ca="1">IFERROR(IF(AND($X103=3, ISNUMBER($X103)), COUNTIFS(X$18:X103, "=3", $AC$18:$AC103, $AC103), "-"), "err")</f>
        <v>-</v>
      </c>
      <c r="Q103" s="26" t="str">
        <f ca="1">IFERROR(IF(AND($X103=2, ISNUMBER($X103)), COUNTIFS(X$18:X103, "=2", $AC$18:$AC103, $AC103), "-"), "err")</f>
        <v>-</v>
      </c>
      <c r="R103" s="25">
        <f t="shared" ca="1" si="37"/>
        <v>0</v>
      </c>
      <c r="S103" s="26" t="str">
        <f ca="1">IFERROR(IF(AND($X103&gt;=2, ISNUMBER($X103)), COUNTIFS(X$18:X103, "&gt;=2", $AC$18:$AC103, $AC103), "-"), "err")</f>
        <v>-</v>
      </c>
      <c r="T103" s="25">
        <f t="shared" ca="1" si="38"/>
        <v>0</v>
      </c>
      <c r="U103" s="26" t="str">
        <f ca="1">IFERROR(IF(Y103="Yes", COUNTIFS(Y$18:Y103, "Yes", $AC$18:$AC103, $AC103), "-"), "err")</f>
        <v>-</v>
      </c>
      <c r="V103" s="25">
        <f t="shared" ca="1" si="39"/>
        <v>0</v>
      </c>
      <c r="W103" s="26" t="str">
        <f ca="1">IFERROR(IF($Z103="Yes", COUNTIFS(Z$18:Z103, "Yes", $AC$18:AC103, $AC103), "-"), "err")</f>
        <v>-</v>
      </c>
      <c r="X103" s="91">
        <f t="shared" ca="1" si="5"/>
        <v>0</v>
      </c>
      <c r="Y103" s="26" t="str">
        <f t="shared" ca="1" si="28"/>
        <v/>
      </c>
      <c r="Z103" s="26" t="str">
        <f t="shared" ca="1" si="29"/>
        <v/>
      </c>
      <c r="AA103" s="91">
        <f t="shared" si="40"/>
        <v>74</v>
      </c>
      <c r="AC103" s="133" t="s">
        <v>332</v>
      </c>
      <c r="AD103" s="197"/>
      <c r="AE103" s="61"/>
      <c r="AF103" s="118"/>
      <c r="AG103" s="119"/>
      <c r="AH103" s="120"/>
      <c r="AI103" s="121"/>
      <c r="AJ103" s="118"/>
      <c r="AK103" s="119"/>
      <c r="AL103" s="120"/>
      <c r="AM103" s="121"/>
      <c r="AN103" s="118"/>
      <c r="AO103" s="119"/>
      <c r="AP103" s="120"/>
      <c r="AQ103" s="121"/>
      <c r="AR103" s="130"/>
    </row>
    <row r="104" spans="1:44" x14ac:dyDescent="0.25">
      <c r="A104" s="41"/>
      <c r="B104" s="25" t="str">
        <f>J104&amp;"_"&amp;G104</f>
        <v>Child Functioning -- Child #1_0</v>
      </c>
      <c r="C104" s="25" t="str">
        <f t="shared" si="43"/>
        <v/>
      </c>
      <c r="D104" s="25" t="str">
        <f t="shared" si="43"/>
        <v/>
      </c>
      <c r="E104" s="25" t="str">
        <f t="shared" si="43"/>
        <v/>
      </c>
      <c r="F104" s="95">
        <f>IF(K104=0, IF(ISNUMBER(F103), F103+1, 1), F103)</f>
        <v>8</v>
      </c>
      <c r="G104" s="25">
        <f>IF(K104=0, 0, IF(K104=1, G103+1, G103))</f>
        <v>0</v>
      </c>
      <c r="H104" s="25" t="str">
        <f>IF(OR(I104="FF", I104="CGA"), "FF/CGA", I104)</f>
        <v>CF</v>
      </c>
      <c r="I104" s="25" t="str">
        <f>IF(NOT(ISERROR(SEARCH("Family Functioning", J104))), "FF", IF(NOT(ISERROR(SEARCH("Caregiver Advocacy", J104))), "CGA", IF(NOT(ISERROR(SEARCH("Caregiver Functioning", J104))), "CGF", IF(NOT(ISERROR(SEARCH("Child Functioning", J104))), "CF", ""))))</f>
        <v>CF</v>
      </c>
      <c r="J104" s="25" t="str">
        <f t="shared" si="27"/>
        <v>Child Functioning -- Child #1</v>
      </c>
      <c r="K104" s="108">
        <v>2</v>
      </c>
      <c r="L104" s="95" t="str">
        <f t="shared" ca="1" si="33"/>
        <v/>
      </c>
      <c r="M104" s="25" t="str">
        <f t="shared" ca="1" si="34"/>
        <v/>
      </c>
      <c r="N104" s="25" t="str">
        <f t="shared" ca="1" si="35"/>
        <v/>
      </c>
      <c r="O104" s="25" t="str">
        <f t="shared" ca="1" si="36"/>
        <v/>
      </c>
      <c r="P104" s="91" t="str">
        <f ca="1">IFERROR(IF(AND($X104=3, ISNUMBER($X104)), COUNTIFS(X$18:X104, "=3", $AC$18:$AC104, $AC104), "-"), "err")</f>
        <v>-</v>
      </c>
      <c r="Q104" s="26" t="str">
        <f ca="1">IFERROR(IF(AND($X104=2, ISNUMBER($X104)), COUNTIFS(X$18:X104, "=2", $AC$18:$AC104, $AC104), "-"), "err")</f>
        <v>-</v>
      </c>
      <c r="R104" s="25">
        <f t="shared" ca="1" si="37"/>
        <v>0</v>
      </c>
      <c r="S104" s="26" t="str">
        <f ca="1">IFERROR(IF(AND($X104&gt;=2, ISNUMBER($X104)), COUNTIFS(X$18:X104, "&gt;=2", $AC$18:$AC104, $AC104), "-"), "err")</f>
        <v>-</v>
      </c>
      <c r="T104" s="25">
        <f t="shared" ca="1" si="38"/>
        <v>0</v>
      </c>
      <c r="U104" s="26" t="str">
        <f ca="1">IFERROR(IF(Y104="Yes", COUNTIFS(Y$18:Y104, "Yes", $AC$18:$AC104, $AC104), "-"), "err")</f>
        <v>-</v>
      </c>
      <c r="V104" s="25">
        <f t="shared" ca="1" si="39"/>
        <v>0</v>
      </c>
      <c r="W104" s="26" t="str">
        <f ca="1">IFERROR(IF($Z104="Yes", COUNTIFS(Z$18:Z104, "Yes", $AC$18:AC104, $AC104), "-"), "err")</f>
        <v>-</v>
      </c>
      <c r="X104" s="91">
        <f t="shared" ca="1" si="5"/>
        <v>0</v>
      </c>
      <c r="Y104" s="26" t="str">
        <f t="shared" ca="1" si="28"/>
        <v/>
      </c>
      <c r="Z104" s="26" t="str">
        <f t="shared" ca="1" si="29"/>
        <v/>
      </c>
      <c r="AA104" s="91">
        <f t="shared" si="40"/>
        <v>74</v>
      </c>
      <c r="AC104" s="133" t="s">
        <v>923</v>
      </c>
      <c r="AD104" s="197"/>
      <c r="AE104" s="61"/>
      <c r="AF104" s="118"/>
      <c r="AG104" s="119"/>
      <c r="AH104" s="120"/>
      <c r="AI104" s="121"/>
      <c r="AJ104" s="118"/>
      <c r="AK104" s="119"/>
      <c r="AL104" s="120"/>
      <c r="AM104" s="121"/>
      <c r="AN104" s="118"/>
      <c r="AO104" s="119"/>
      <c r="AP104" s="120"/>
      <c r="AQ104" s="121"/>
      <c r="AR104" s="130"/>
    </row>
    <row r="105" spans="1:44" x14ac:dyDescent="0.25">
      <c r="A105" s="41"/>
      <c r="B105" s="25" t="str">
        <f t="shared" si="25"/>
        <v>Child Functioning -- Child #1_1</v>
      </c>
      <c r="C105" s="25" t="str">
        <f t="shared" si="30"/>
        <v/>
      </c>
      <c r="D105" s="25" t="str">
        <f t="shared" si="26"/>
        <v/>
      </c>
      <c r="E105" s="25" t="str">
        <f t="shared" si="26"/>
        <v/>
      </c>
      <c r="F105" s="95">
        <f>IF(K105=0, IF(ISNUMBER(F103), F103+1, 1), F103)</f>
        <v>8</v>
      </c>
      <c r="G105" s="25">
        <f>IF(K105=0, 0, IF(K105=1, G103+1, G103))</f>
        <v>1</v>
      </c>
      <c r="H105" s="25" t="str">
        <f t="shared" si="31"/>
        <v>CF</v>
      </c>
      <c r="I105" s="25" t="str">
        <f t="shared" si="32"/>
        <v>CF</v>
      </c>
      <c r="J105" s="25" t="str">
        <f>IF(K105=0, AC105, J103)</f>
        <v>Child Functioning -- Child #1</v>
      </c>
      <c r="K105" s="108">
        <v>1</v>
      </c>
      <c r="L105" s="95" t="str">
        <f t="shared" ca="1" si="33"/>
        <v/>
      </c>
      <c r="M105" s="25" t="str">
        <f t="shared" ca="1" si="34"/>
        <v/>
      </c>
      <c r="N105" s="25" t="str">
        <f t="shared" ca="1" si="35"/>
        <v/>
      </c>
      <c r="O105" s="25" t="str">
        <f t="shared" ca="1" si="36"/>
        <v/>
      </c>
      <c r="P105" s="91" t="str">
        <f ca="1">IFERROR(IF(AND($X105=3, ISNUMBER($X105)), COUNTIFS(X$18:X105, "=3", $AC$18:$AC105, $AC105), "-"), "err")</f>
        <v>-</v>
      </c>
      <c r="Q105" s="26" t="str">
        <f ca="1">IFERROR(IF(AND($X105=2, ISNUMBER($X105)), COUNTIFS(X$18:X105, "=2", $AC$18:$AC105, $AC105), "-"), "err")</f>
        <v>-</v>
      </c>
      <c r="R105" s="25">
        <f t="shared" ca="1" si="37"/>
        <v>0</v>
      </c>
      <c r="S105" s="26" t="str">
        <f ca="1">IFERROR(IF(AND($X105&gt;=2, ISNUMBER($X105)), COUNTIFS(X$18:X105, "&gt;=2", $AC$18:$AC105, $AC105), "-"), "err")</f>
        <v>-</v>
      </c>
      <c r="T105" s="25">
        <f t="shared" ca="1" si="38"/>
        <v>0</v>
      </c>
      <c r="U105" s="26" t="str">
        <f ca="1">IFERROR(IF(Y105="Yes", COUNTIFS(Y$18:Y105, "Yes", $AC$18:$AC105, $AC105), "-"), "err")</f>
        <v>-</v>
      </c>
      <c r="V105" s="25">
        <f t="shared" ca="1" si="39"/>
        <v>0</v>
      </c>
      <c r="W105" s="26" t="str">
        <f ca="1">IFERROR(IF($Z105="Yes", COUNTIFS(Z$18:Z105, "Yes", $AC$18:AC105, $AC105), "-"), "err")</f>
        <v>-</v>
      </c>
      <c r="X105" s="91">
        <f t="shared" ca="1" si="5"/>
        <v>0</v>
      </c>
      <c r="Y105" s="26" t="str">
        <f t="shared" ca="1" si="28"/>
        <v/>
      </c>
      <c r="Z105" s="26" t="str">
        <f t="shared" ca="1" si="29"/>
        <v/>
      </c>
      <c r="AA105" s="91">
        <f>AA103+IF(AB105=0, 0, 1)</f>
        <v>75</v>
      </c>
      <c r="AB105" s="17" t="s">
        <v>284</v>
      </c>
      <c r="AC105" s="184" t="s">
        <v>284</v>
      </c>
      <c r="AD105" s="54"/>
      <c r="AE105" s="54"/>
      <c r="AF105" s="112"/>
      <c r="AG105" s="200"/>
      <c r="AH105" s="122"/>
      <c r="AI105" s="123"/>
      <c r="AJ105" s="112"/>
      <c r="AK105" s="200"/>
      <c r="AL105" s="122"/>
      <c r="AM105" s="123"/>
      <c r="AN105" s="112"/>
      <c r="AO105" s="200"/>
      <c r="AP105" s="122"/>
      <c r="AQ105" s="123"/>
      <c r="AR105" s="130"/>
    </row>
    <row r="106" spans="1:44" x14ac:dyDescent="0.25">
      <c r="A106" s="41"/>
      <c r="B106" s="25" t="str">
        <f t="shared" si="25"/>
        <v>Child Functioning -- Child #1_2</v>
      </c>
      <c r="C106" s="25" t="str">
        <f t="shared" si="30"/>
        <v/>
      </c>
      <c r="D106" s="25" t="str">
        <f t="shared" si="26"/>
        <v/>
      </c>
      <c r="E106" s="25" t="str">
        <f t="shared" si="26"/>
        <v/>
      </c>
      <c r="F106" s="95">
        <f t="shared" si="41"/>
        <v>8</v>
      </c>
      <c r="G106" s="25">
        <f t="shared" si="42"/>
        <v>2</v>
      </c>
      <c r="H106" s="25" t="str">
        <f t="shared" si="31"/>
        <v>CF</v>
      </c>
      <c r="I106" s="25" t="str">
        <f t="shared" si="32"/>
        <v>CF</v>
      </c>
      <c r="J106" s="25" t="str">
        <f t="shared" ref="J106:J122" si="44">IF(K106=0, AC106, J105)</f>
        <v>Child Functioning -- Child #1</v>
      </c>
      <c r="K106" s="108">
        <v>1</v>
      </c>
      <c r="L106" s="95" t="str">
        <f t="shared" ca="1" si="33"/>
        <v/>
      </c>
      <c r="M106" s="25" t="str">
        <f t="shared" ca="1" si="34"/>
        <v/>
      </c>
      <c r="N106" s="25" t="str">
        <f t="shared" ca="1" si="35"/>
        <v/>
      </c>
      <c r="O106" s="25" t="str">
        <f t="shared" ca="1" si="36"/>
        <v/>
      </c>
      <c r="P106" s="91" t="str">
        <f ca="1">IFERROR(IF(AND($X106=3, ISNUMBER($X106)), COUNTIFS(X$18:X106, "=3", $AC$18:$AC106, $AC106), "-"), "err")</f>
        <v>-</v>
      </c>
      <c r="Q106" s="26" t="str">
        <f ca="1">IFERROR(IF(AND($X106=2, ISNUMBER($X106)), COUNTIFS(X$18:X106, "=2", $AC$18:$AC106, $AC106), "-"), "err")</f>
        <v>-</v>
      </c>
      <c r="R106" s="25">
        <f t="shared" ca="1" si="37"/>
        <v>0</v>
      </c>
      <c r="S106" s="26" t="str">
        <f ca="1">IFERROR(IF(AND($X106&gt;=2, ISNUMBER($X106)), COUNTIFS(X$18:X106, "&gt;=2", $AC$18:$AC106, $AC106), "-"), "err")</f>
        <v>-</v>
      </c>
      <c r="T106" s="25">
        <f t="shared" ca="1" si="38"/>
        <v>0</v>
      </c>
      <c r="U106" s="26" t="str">
        <f ca="1">IFERROR(IF(Y106="Yes", COUNTIFS(Y$18:Y106, "Yes", $AC$18:$AC106, $AC106), "-"), "err")</f>
        <v>-</v>
      </c>
      <c r="V106" s="25">
        <f t="shared" ca="1" si="39"/>
        <v>0</v>
      </c>
      <c r="W106" s="26" t="str">
        <f ca="1">IFERROR(IF($Z106="Yes", COUNTIFS(Z$18:Z106, "Yes", $AC$18:AC106, $AC106), "-"), "err")</f>
        <v>-</v>
      </c>
      <c r="X106" s="91">
        <f t="shared" ca="1" si="5"/>
        <v>0</v>
      </c>
      <c r="Y106" s="26" t="str">
        <f t="shared" ca="1" si="28"/>
        <v/>
      </c>
      <c r="Z106" s="26" t="str">
        <f t="shared" ca="1" si="29"/>
        <v/>
      </c>
      <c r="AA106" s="91">
        <f t="shared" ref="AA106:AA122" si="45">AA105+IF(AB106=0, 0, 1)</f>
        <v>76</v>
      </c>
      <c r="AB106" s="17" t="s">
        <v>285</v>
      </c>
      <c r="AC106" s="185" t="s">
        <v>285</v>
      </c>
      <c r="AD106" s="87"/>
      <c r="AE106" s="87"/>
      <c r="AF106" s="115"/>
      <c r="AG106" s="201"/>
      <c r="AH106" s="116"/>
      <c r="AI106" s="117"/>
      <c r="AJ106" s="115"/>
      <c r="AK106" s="201"/>
      <c r="AL106" s="116"/>
      <c r="AM106" s="117"/>
      <c r="AN106" s="115"/>
      <c r="AO106" s="201"/>
      <c r="AP106" s="116"/>
      <c r="AQ106" s="117"/>
      <c r="AR106" s="130"/>
    </row>
    <row r="107" spans="1:44" x14ac:dyDescent="0.25">
      <c r="A107" s="41"/>
      <c r="B107" s="25" t="str">
        <f t="shared" si="25"/>
        <v>Child Functioning -- Child #1_3</v>
      </c>
      <c r="C107" s="25" t="str">
        <f t="shared" si="30"/>
        <v/>
      </c>
      <c r="D107" s="25" t="str">
        <f t="shared" si="26"/>
        <v/>
      </c>
      <c r="E107" s="25" t="str">
        <f t="shared" si="26"/>
        <v/>
      </c>
      <c r="F107" s="95">
        <f t="shared" si="41"/>
        <v>8</v>
      </c>
      <c r="G107" s="25">
        <f t="shared" si="42"/>
        <v>3</v>
      </c>
      <c r="H107" s="25" t="str">
        <f t="shared" si="31"/>
        <v>CF</v>
      </c>
      <c r="I107" s="25" t="str">
        <f t="shared" si="32"/>
        <v>CF</v>
      </c>
      <c r="J107" s="25" t="str">
        <f t="shared" si="44"/>
        <v>Child Functioning -- Child #1</v>
      </c>
      <c r="K107" s="108">
        <v>1</v>
      </c>
      <c r="L107" s="95" t="str">
        <f t="shared" ca="1" si="33"/>
        <v/>
      </c>
      <c r="M107" s="25" t="str">
        <f t="shared" ca="1" si="34"/>
        <v/>
      </c>
      <c r="N107" s="25" t="str">
        <f t="shared" ca="1" si="35"/>
        <v/>
      </c>
      <c r="O107" s="25" t="str">
        <f t="shared" ca="1" si="36"/>
        <v/>
      </c>
      <c r="P107" s="91" t="str">
        <f ca="1">IFERROR(IF(AND($X107=3, ISNUMBER($X107)), COUNTIFS(X$18:X107, "=3", $AC$18:$AC107, $AC107), "-"), "err")</f>
        <v>-</v>
      </c>
      <c r="Q107" s="26" t="str">
        <f ca="1">IFERROR(IF(AND($X107=2, ISNUMBER($X107)), COUNTIFS(X$18:X107, "=2", $AC$18:$AC107, $AC107), "-"), "err")</f>
        <v>-</v>
      </c>
      <c r="R107" s="25">
        <f t="shared" ca="1" si="37"/>
        <v>0</v>
      </c>
      <c r="S107" s="26" t="str">
        <f ca="1">IFERROR(IF(AND($X107&gt;=2, ISNUMBER($X107)), COUNTIFS(X$18:X107, "&gt;=2", $AC$18:$AC107, $AC107), "-"), "err")</f>
        <v>-</v>
      </c>
      <c r="T107" s="25">
        <f t="shared" ca="1" si="38"/>
        <v>0</v>
      </c>
      <c r="U107" s="26" t="str">
        <f ca="1">IFERROR(IF(Y107="Yes", COUNTIFS(Y$18:Y107, "Yes", $AC$18:$AC107, $AC107), "-"), "err")</f>
        <v>-</v>
      </c>
      <c r="V107" s="25">
        <f t="shared" ca="1" si="39"/>
        <v>0</v>
      </c>
      <c r="W107" s="26" t="str">
        <f ca="1">IFERROR(IF($Z107="Yes", COUNTIFS(Z$18:Z107, "Yes", $AC$18:AC107, $AC107), "-"), "err")</f>
        <v>-</v>
      </c>
      <c r="X107" s="91">
        <f t="shared" ca="1" si="5"/>
        <v>0</v>
      </c>
      <c r="Y107" s="26" t="str">
        <f t="shared" ca="1" si="28"/>
        <v/>
      </c>
      <c r="Z107" s="26" t="str">
        <f t="shared" ca="1" si="29"/>
        <v/>
      </c>
      <c r="AA107" s="91">
        <f t="shared" si="45"/>
        <v>77</v>
      </c>
      <c r="AB107" s="17" t="s">
        <v>287</v>
      </c>
      <c r="AC107" s="184" t="s">
        <v>287</v>
      </c>
      <c r="AD107" s="54"/>
      <c r="AE107" s="54"/>
      <c r="AF107" s="112"/>
      <c r="AG107" s="200"/>
      <c r="AH107" s="113"/>
      <c r="AI107" s="114"/>
      <c r="AJ107" s="112"/>
      <c r="AK107" s="200"/>
      <c r="AL107" s="113"/>
      <c r="AM107" s="114"/>
      <c r="AN107" s="112"/>
      <c r="AO107" s="200"/>
      <c r="AP107" s="113"/>
      <c r="AQ107" s="114"/>
      <c r="AR107" s="130"/>
    </row>
    <row r="108" spans="1:44" x14ac:dyDescent="0.25">
      <c r="A108" s="41"/>
      <c r="B108" s="25" t="str">
        <f t="shared" si="25"/>
        <v>Child Functioning -- Child #1_4</v>
      </c>
      <c r="C108" s="25" t="str">
        <f t="shared" si="30"/>
        <v/>
      </c>
      <c r="D108" s="25" t="str">
        <f t="shared" si="26"/>
        <v/>
      </c>
      <c r="E108" s="25" t="str">
        <f t="shared" si="26"/>
        <v/>
      </c>
      <c r="F108" s="95">
        <f t="shared" si="41"/>
        <v>8</v>
      </c>
      <c r="G108" s="25">
        <f t="shared" si="42"/>
        <v>4</v>
      </c>
      <c r="H108" s="25" t="str">
        <f t="shared" si="31"/>
        <v>CF</v>
      </c>
      <c r="I108" s="25" t="str">
        <f t="shared" si="32"/>
        <v>CF</v>
      </c>
      <c r="J108" s="25" t="str">
        <f t="shared" si="44"/>
        <v>Child Functioning -- Child #1</v>
      </c>
      <c r="K108" s="108">
        <v>1</v>
      </c>
      <c r="L108" s="95" t="str">
        <f t="shared" ca="1" si="33"/>
        <v/>
      </c>
      <c r="M108" s="25" t="str">
        <f t="shared" ca="1" si="34"/>
        <v/>
      </c>
      <c r="N108" s="25" t="str">
        <f t="shared" ca="1" si="35"/>
        <v/>
      </c>
      <c r="O108" s="25" t="str">
        <f t="shared" ca="1" si="36"/>
        <v/>
      </c>
      <c r="P108" s="91" t="str">
        <f ca="1">IFERROR(IF(AND($X108=3, ISNUMBER($X108)), COUNTIFS(X$18:X108, "=3", $AC$18:$AC108, $AC108), "-"), "err")</f>
        <v>-</v>
      </c>
      <c r="Q108" s="26" t="str">
        <f ca="1">IFERROR(IF(AND($X108=2, ISNUMBER($X108)), COUNTIFS(X$18:X108, "=2", $AC$18:$AC108, $AC108), "-"), "err")</f>
        <v>-</v>
      </c>
      <c r="R108" s="25">
        <f t="shared" ca="1" si="37"/>
        <v>0</v>
      </c>
      <c r="S108" s="26" t="str">
        <f ca="1">IFERROR(IF(AND($X108&gt;=2, ISNUMBER($X108)), COUNTIFS(X$18:X108, "&gt;=2", $AC$18:$AC108, $AC108), "-"), "err")</f>
        <v>-</v>
      </c>
      <c r="T108" s="25">
        <f t="shared" ca="1" si="38"/>
        <v>0</v>
      </c>
      <c r="U108" s="26" t="str">
        <f ca="1">IFERROR(IF(Y108="Yes", COUNTIFS(Y$18:Y108, "Yes", $AC$18:$AC108, $AC108), "-"), "err")</f>
        <v>-</v>
      </c>
      <c r="V108" s="25">
        <f t="shared" ca="1" si="39"/>
        <v>0</v>
      </c>
      <c r="W108" s="26" t="str">
        <f ca="1">IFERROR(IF($Z108="Yes", COUNTIFS(Z$18:Z108, "Yes", $AC$18:AC108, $AC108), "-"), "err")</f>
        <v>-</v>
      </c>
      <c r="X108" s="91">
        <f t="shared" ca="1" si="5"/>
        <v>0</v>
      </c>
      <c r="Y108" s="26" t="str">
        <f t="shared" ca="1" si="28"/>
        <v/>
      </c>
      <c r="Z108" s="26" t="str">
        <f t="shared" ca="1" si="29"/>
        <v/>
      </c>
      <c r="AA108" s="91">
        <f t="shared" si="45"/>
        <v>78</v>
      </c>
      <c r="AB108" s="17" t="s">
        <v>482</v>
      </c>
      <c r="AC108" s="185" t="s">
        <v>286</v>
      </c>
      <c r="AD108" s="87"/>
      <c r="AE108" s="87"/>
      <c r="AF108" s="115"/>
      <c r="AG108" s="201"/>
      <c r="AH108" s="116"/>
      <c r="AI108" s="117"/>
      <c r="AJ108" s="115"/>
      <c r="AK108" s="201"/>
      <c r="AL108" s="116"/>
      <c r="AM108" s="117"/>
      <c r="AN108" s="115"/>
      <c r="AO108" s="201"/>
      <c r="AP108" s="116"/>
      <c r="AQ108" s="117"/>
      <c r="AR108" s="130"/>
    </row>
    <row r="109" spans="1:44" x14ac:dyDescent="0.25">
      <c r="A109" s="41"/>
      <c r="B109" s="25" t="str">
        <f t="shared" si="25"/>
        <v>Child Functioning -- Child #1_5</v>
      </c>
      <c r="C109" s="25" t="str">
        <f t="shared" si="30"/>
        <v/>
      </c>
      <c r="D109" s="25" t="str">
        <f t="shared" si="26"/>
        <v/>
      </c>
      <c r="E109" s="25" t="str">
        <f t="shared" si="26"/>
        <v/>
      </c>
      <c r="F109" s="95">
        <f t="shared" si="41"/>
        <v>8</v>
      </c>
      <c r="G109" s="25">
        <f t="shared" si="42"/>
        <v>5</v>
      </c>
      <c r="H109" s="25" t="str">
        <f t="shared" si="31"/>
        <v>CF</v>
      </c>
      <c r="I109" s="25" t="str">
        <f t="shared" si="32"/>
        <v>CF</v>
      </c>
      <c r="J109" s="25" t="str">
        <f t="shared" si="44"/>
        <v>Child Functioning -- Child #1</v>
      </c>
      <c r="K109" s="108">
        <v>1</v>
      </c>
      <c r="L109" s="95" t="str">
        <f t="shared" ca="1" si="33"/>
        <v/>
      </c>
      <c r="M109" s="25" t="str">
        <f t="shared" ca="1" si="34"/>
        <v/>
      </c>
      <c r="N109" s="25" t="str">
        <f t="shared" ca="1" si="35"/>
        <v/>
      </c>
      <c r="O109" s="25" t="str">
        <f t="shared" ca="1" si="36"/>
        <v/>
      </c>
      <c r="P109" s="91" t="str">
        <f ca="1">IFERROR(IF(AND($X109=3, ISNUMBER($X109)), COUNTIFS(X$18:X109, "=3", $AC$18:$AC109, $AC109), "-"), "err")</f>
        <v>-</v>
      </c>
      <c r="Q109" s="26" t="str">
        <f ca="1">IFERROR(IF(AND($X109=2, ISNUMBER($X109)), COUNTIFS(X$18:X109, "=2", $AC$18:$AC109, $AC109), "-"), "err")</f>
        <v>-</v>
      </c>
      <c r="R109" s="25">
        <f t="shared" ca="1" si="37"/>
        <v>0</v>
      </c>
      <c r="S109" s="26" t="str">
        <f ca="1">IFERROR(IF(AND($X109&gt;=2, ISNUMBER($X109)), COUNTIFS(X$18:X109, "&gt;=2", $AC$18:$AC109, $AC109), "-"), "err")</f>
        <v>-</v>
      </c>
      <c r="T109" s="25">
        <f t="shared" ca="1" si="38"/>
        <v>0</v>
      </c>
      <c r="U109" s="26" t="str">
        <f ca="1">IFERROR(IF(Y109="Yes", COUNTIFS(Y$18:Y109, "Yes", $AC$18:$AC109, $AC109), "-"), "err")</f>
        <v>-</v>
      </c>
      <c r="V109" s="25">
        <f t="shared" ca="1" si="39"/>
        <v>0</v>
      </c>
      <c r="W109" s="26" t="str">
        <f ca="1">IFERROR(IF($Z109="Yes", COUNTIFS(Z$18:Z109, "Yes", $AC$18:AC109, $AC109), "-"), "err")</f>
        <v>-</v>
      </c>
      <c r="X109" s="91">
        <f t="shared" ca="1" si="5"/>
        <v>0</v>
      </c>
      <c r="Y109" s="26" t="str">
        <f t="shared" ca="1" si="28"/>
        <v/>
      </c>
      <c r="Z109" s="26" t="str">
        <f t="shared" ca="1" si="29"/>
        <v/>
      </c>
      <c r="AA109" s="91">
        <f t="shared" si="45"/>
        <v>79</v>
      </c>
      <c r="AB109" s="17" t="s">
        <v>288</v>
      </c>
      <c r="AC109" s="184" t="s">
        <v>288</v>
      </c>
      <c r="AD109" s="54"/>
      <c r="AE109" s="54"/>
      <c r="AF109" s="112"/>
      <c r="AG109" s="200"/>
      <c r="AH109" s="113"/>
      <c r="AI109" s="114"/>
      <c r="AJ109" s="112"/>
      <c r="AK109" s="200"/>
      <c r="AL109" s="113"/>
      <c r="AM109" s="114"/>
      <c r="AN109" s="112"/>
      <c r="AO109" s="200"/>
      <c r="AP109" s="113"/>
      <c r="AQ109" s="114"/>
      <c r="AR109" s="130"/>
    </row>
    <row r="110" spans="1:44" x14ac:dyDescent="0.25">
      <c r="A110" s="41"/>
      <c r="B110" s="25" t="str">
        <f t="shared" si="25"/>
        <v>Child Functioning -- Child #1_6</v>
      </c>
      <c r="C110" s="25" t="str">
        <f t="shared" si="30"/>
        <v/>
      </c>
      <c r="D110" s="25" t="str">
        <f t="shared" si="26"/>
        <v/>
      </c>
      <c r="E110" s="25" t="str">
        <f t="shared" si="26"/>
        <v/>
      </c>
      <c r="F110" s="95">
        <f t="shared" si="41"/>
        <v>8</v>
      </c>
      <c r="G110" s="25">
        <f t="shared" si="42"/>
        <v>6</v>
      </c>
      <c r="H110" s="25" t="str">
        <f t="shared" si="31"/>
        <v>CF</v>
      </c>
      <c r="I110" s="25" t="str">
        <f t="shared" si="32"/>
        <v>CF</v>
      </c>
      <c r="J110" s="25" t="str">
        <f t="shared" si="44"/>
        <v>Child Functioning -- Child #1</v>
      </c>
      <c r="K110" s="108">
        <v>1</v>
      </c>
      <c r="L110" s="95" t="str">
        <f t="shared" ca="1" si="33"/>
        <v/>
      </c>
      <c r="M110" s="25" t="str">
        <f t="shared" ca="1" si="34"/>
        <v/>
      </c>
      <c r="N110" s="25" t="str">
        <f t="shared" ca="1" si="35"/>
        <v/>
      </c>
      <c r="O110" s="25" t="str">
        <f t="shared" ca="1" si="36"/>
        <v/>
      </c>
      <c r="P110" s="91" t="str">
        <f ca="1">IFERROR(IF(AND($X110=3, ISNUMBER($X110)), COUNTIFS(X$18:X110, "=3", $AC$18:$AC110, $AC110), "-"), "err")</f>
        <v>-</v>
      </c>
      <c r="Q110" s="26" t="str">
        <f ca="1">IFERROR(IF(AND($X110=2, ISNUMBER($X110)), COUNTIFS(X$18:X110, "=2", $AC$18:$AC110, $AC110), "-"), "err")</f>
        <v>-</v>
      </c>
      <c r="R110" s="25">
        <f t="shared" ca="1" si="37"/>
        <v>0</v>
      </c>
      <c r="S110" s="26" t="str">
        <f ca="1">IFERROR(IF(AND($X110&gt;=2, ISNUMBER($X110)), COUNTIFS(X$18:X110, "&gt;=2", $AC$18:$AC110, $AC110), "-"), "err")</f>
        <v>-</v>
      </c>
      <c r="T110" s="25">
        <f t="shared" ca="1" si="38"/>
        <v>0</v>
      </c>
      <c r="U110" s="26" t="str">
        <f ca="1">IFERROR(IF(Y110="Yes", COUNTIFS(Y$18:Y110, "Yes", $AC$18:$AC110, $AC110), "-"), "err")</f>
        <v>-</v>
      </c>
      <c r="V110" s="25">
        <f t="shared" ca="1" si="39"/>
        <v>0</v>
      </c>
      <c r="W110" s="26" t="str">
        <f ca="1">IFERROR(IF($Z110="Yes", COUNTIFS(Z$18:Z110, "Yes", $AC$18:AC110, $AC110), "-"), "err")</f>
        <v>-</v>
      </c>
      <c r="X110" s="91">
        <f t="shared" ca="1" si="5"/>
        <v>0</v>
      </c>
      <c r="Y110" s="26" t="str">
        <f t="shared" ca="1" si="28"/>
        <v/>
      </c>
      <c r="Z110" s="26" t="str">
        <f t="shared" ca="1" si="29"/>
        <v/>
      </c>
      <c r="AA110" s="91">
        <f t="shared" si="45"/>
        <v>80</v>
      </c>
      <c r="AB110" s="17" t="s">
        <v>289</v>
      </c>
      <c r="AC110" s="185" t="s">
        <v>289</v>
      </c>
      <c r="AD110" s="87"/>
      <c r="AE110" s="87"/>
      <c r="AF110" s="115"/>
      <c r="AG110" s="201"/>
      <c r="AH110" s="116"/>
      <c r="AI110" s="117"/>
      <c r="AJ110" s="115"/>
      <c r="AK110" s="201"/>
      <c r="AL110" s="116"/>
      <c r="AM110" s="117"/>
      <c r="AN110" s="115"/>
      <c r="AO110" s="201"/>
      <c r="AP110" s="116"/>
      <c r="AQ110" s="117"/>
      <c r="AR110" s="130"/>
    </row>
    <row r="111" spans="1:44" x14ac:dyDescent="0.25">
      <c r="A111" s="41"/>
      <c r="B111" s="25" t="str">
        <f t="shared" si="25"/>
        <v>Child Functioning -- Child #1_7</v>
      </c>
      <c r="C111" s="25" t="str">
        <f t="shared" si="30"/>
        <v/>
      </c>
      <c r="D111" s="25" t="str">
        <f t="shared" si="26"/>
        <v/>
      </c>
      <c r="E111" s="25" t="str">
        <f t="shared" si="26"/>
        <v/>
      </c>
      <c r="F111" s="95">
        <f t="shared" si="41"/>
        <v>8</v>
      </c>
      <c r="G111" s="25">
        <f t="shared" si="42"/>
        <v>7</v>
      </c>
      <c r="H111" s="25" t="str">
        <f t="shared" si="31"/>
        <v>CF</v>
      </c>
      <c r="I111" s="25" t="str">
        <f t="shared" si="32"/>
        <v>CF</v>
      </c>
      <c r="J111" s="25" t="str">
        <f t="shared" si="44"/>
        <v>Child Functioning -- Child #1</v>
      </c>
      <c r="K111" s="108">
        <v>1</v>
      </c>
      <c r="L111" s="95" t="str">
        <f t="shared" ca="1" si="33"/>
        <v/>
      </c>
      <c r="M111" s="25" t="str">
        <f t="shared" ca="1" si="34"/>
        <v/>
      </c>
      <c r="N111" s="25" t="str">
        <f t="shared" ca="1" si="35"/>
        <v/>
      </c>
      <c r="O111" s="25" t="str">
        <f t="shared" ca="1" si="36"/>
        <v/>
      </c>
      <c r="P111" s="91" t="str">
        <f ca="1">IFERROR(IF(AND($X111=3, ISNUMBER($X111)), COUNTIFS(X$18:X111, "=3", $AC$18:$AC111, $AC111), "-"), "err")</f>
        <v>-</v>
      </c>
      <c r="Q111" s="26" t="str">
        <f ca="1">IFERROR(IF(AND($X111=2, ISNUMBER($X111)), COUNTIFS(X$18:X111, "=2", $AC$18:$AC111, $AC111), "-"), "err")</f>
        <v>-</v>
      </c>
      <c r="R111" s="25">
        <f t="shared" ca="1" si="37"/>
        <v>0</v>
      </c>
      <c r="S111" s="26" t="str">
        <f ca="1">IFERROR(IF(AND($X111&gt;=2, ISNUMBER($X111)), COUNTIFS(X$18:X111, "&gt;=2", $AC$18:$AC111, $AC111), "-"), "err")</f>
        <v>-</v>
      </c>
      <c r="T111" s="25">
        <f t="shared" ca="1" si="38"/>
        <v>0</v>
      </c>
      <c r="U111" s="26" t="str">
        <f ca="1">IFERROR(IF(Y111="Yes", COUNTIFS(Y$18:Y111, "Yes", $AC$18:$AC111, $AC111), "-"), "err")</f>
        <v>-</v>
      </c>
      <c r="V111" s="25">
        <f t="shared" ca="1" si="39"/>
        <v>0</v>
      </c>
      <c r="W111" s="26" t="str">
        <f ca="1">IFERROR(IF($Z111="Yes", COUNTIFS(Z$18:Z111, "Yes", $AC$18:AC111, $AC111), "-"), "err")</f>
        <v>-</v>
      </c>
      <c r="X111" s="91">
        <f t="shared" ca="1" si="5"/>
        <v>0</v>
      </c>
      <c r="Y111" s="26" t="str">
        <f t="shared" ca="1" si="28"/>
        <v/>
      </c>
      <c r="Z111" s="26" t="str">
        <f t="shared" ca="1" si="29"/>
        <v/>
      </c>
      <c r="AA111" s="91">
        <f t="shared" si="45"/>
        <v>81</v>
      </c>
      <c r="AB111" s="17" t="s">
        <v>132</v>
      </c>
      <c r="AC111" s="184" t="s">
        <v>132</v>
      </c>
      <c r="AD111" s="54"/>
      <c r="AE111" s="54"/>
      <c r="AF111" s="112"/>
      <c r="AG111" s="200"/>
      <c r="AH111" s="113"/>
      <c r="AI111" s="114"/>
      <c r="AJ111" s="112"/>
      <c r="AK111" s="200"/>
      <c r="AL111" s="113"/>
      <c r="AM111" s="114"/>
      <c r="AN111" s="112"/>
      <c r="AO111" s="200"/>
      <c r="AP111" s="113"/>
      <c r="AQ111" s="114"/>
      <c r="AR111" s="130"/>
    </row>
    <row r="112" spans="1:44" x14ac:dyDescent="0.25">
      <c r="A112" s="41"/>
      <c r="B112" s="25" t="str">
        <f t="shared" si="25"/>
        <v>Child Functioning -- Child #1_8</v>
      </c>
      <c r="C112" s="25" t="str">
        <f t="shared" si="30"/>
        <v/>
      </c>
      <c r="D112" s="25" t="str">
        <f t="shared" si="26"/>
        <v/>
      </c>
      <c r="E112" s="25" t="str">
        <f t="shared" si="26"/>
        <v/>
      </c>
      <c r="F112" s="95">
        <f t="shared" si="41"/>
        <v>8</v>
      </c>
      <c r="G112" s="25">
        <f t="shared" si="42"/>
        <v>8</v>
      </c>
      <c r="H112" s="25" t="str">
        <f t="shared" si="31"/>
        <v>CF</v>
      </c>
      <c r="I112" s="25" t="str">
        <f t="shared" si="32"/>
        <v>CF</v>
      </c>
      <c r="J112" s="25" t="str">
        <f t="shared" si="44"/>
        <v>Child Functioning -- Child #1</v>
      </c>
      <c r="K112" s="108">
        <v>1</v>
      </c>
      <c r="L112" s="95" t="str">
        <f t="shared" ca="1" si="33"/>
        <v/>
      </c>
      <c r="M112" s="25" t="str">
        <f t="shared" ca="1" si="34"/>
        <v/>
      </c>
      <c r="N112" s="25" t="str">
        <f t="shared" ca="1" si="35"/>
        <v/>
      </c>
      <c r="O112" s="25" t="str">
        <f t="shared" ca="1" si="36"/>
        <v/>
      </c>
      <c r="P112" s="91" t="str">
        <f ca="1">IFERROR(IF(AND($X112=3, ISNUMBER($X112)), COUNTIFS(X$18:X112, "=3", $AC$18:$AC112, $AC112), "-"), "err")</f>
        <v>-</v>
      </c>
      <c r="Q112" s="26" t="str">
        <f ca="1">IFERROR(IF(AND($X112=2, ISNUMBER($X112)), COUNTIFS(X$18:X112, "=2", $AC$18:$AC112, $AC112), "-"), "err")</f>
        <v>-</v>
      </c>
      <c r="R112" s="25">
        <f t="shared" ca="1" si="37"/>
        <v>0</v>
      </c>
      <c r="S112" s="26" t="str">
        <f ca="1">IFERROR(IF(AND($X112&gt;=2, ISNUMBER($X112)), COUNTIFS(X$18:X112, "&gt;=2", $AC$18:$AC112, $AC112), "-"), "err")</f>
        <v>-</v>
      </c>
      <c r="T112" s="25">
        <f t="shared" ca="1" si="38"/>
        <v>0</v>
      </c>
      <c r="U112" s="26" t="str">
        <f ca="1">IFERROR(IF(Y112="Yes", COUNTIFS(Y$18:Y112, "Yes", $AC$18:$AC112, $AC112), "-"), "err")</f>
        <v>-</v>
      </c>
      <c r="V112" s="25">
        <f t="shared" ca="1" si="39"/>
        <v>0</v>
      </c>
      <c r="W112" s="26" t="str">
        <f ca="1">IFERROR(IF($Z112="Yes", COUNTIFS(Z$18:Z112, "Yes", $AC$18:AC112, $AC112), "-"), "err")</f>
        <v>-</v>
      </c>
      <c r="X112" s="91">
        <f t="shared" ca="1" si="5"/>
        <v>0</v>
      </c>
      <c r="Y112" s="26" t="str">
        <f t="shared" ca="1" si="28"/>
        <v/>
      </c>
      <c r="Z112" s="26" t="str">
        <f t="shared" ca="1" si="29"/>
        <v/>
      </c>
      <c r="AA112" s="91">
        <f t="shared" si="45"/>
        <v>82</v>
      </c>
      <c r="AB112" s="17" t="s">
        <v>290</v>
      </c>
      <c r="AC112" s="185" t="s">
        <v>290</v>
      </c>
      <c r="AD112" s="87"/>
      <c r="AE112" s="87"/>
      <c r="AF112" s="115"/>
      <c r="AG112" s="201"/>
      <c r="AH112" s="116"/>
      <c r="AI112" s="117"/>
      <c r="AJ112" s="115"/>
      <c r="AK112" s="201"/>
      <c r="AL112" s="116"/>
      <c r="AM112" s="117"/>
      <c r="AN112" s="115"/>
      <c r="AO112" s="201"/>
      <c r="AP112" s="116"/>
      <c r="AQ112" s="117"/>
      <c r="AR112" s="130"/>
    </row>
    <row r="113" spans="1:44" x14ac:dyDescent="0.25">
      <c r="A113" s="41"/>
      <c r="B113" s="25" t="str">
        <f t="shared" si="25"/>
        <v>Child Functioning -- Child #1_9</v>
      </c>
      <c r="C113" s="25" t="str">
        <f t="shared" si="30"/>
        <v/>
      </c>
      <c r="D113" s="25" t="str">
        <f t="shared" si="26"/>
        <v/>
      </c>
      <c r="E113" s="25" t="str">
        <f t="shared" si="26"/>
        <v/>
      </c>
      <c r="F113" s="95">
        <f t="shared" si="41"/>
        <v>8</v>
      </c>
      <c r="G113" s="25">
        <f t="shared" si="42"/>
        <v>9</v>
      </c>
      <c r="H113" s="25" t="str">
        <f t="shared" si="31"/>
        <v>CF</v>
      </c>
      <c r="I113" s="25" t="str">
        <f t="shared" si="32"/>
        <v>CF</v>
      </c>
      <c r="J113" s="25" t="str">
        <f t="shared" si="44"/>
        <v>Child Functioning -- Child #1</v>
      </c>
      <c r="K113" s="108">
        <v>1</v>
      </c>
      <c r="L113" s="95" t="str">
        <f t="shared" ca="1" si="33"/>
        <v/>
      </c>
      <c r="M113" s="25" t="str">
        <f t="shared" ca="1" si="34"/>
        <v/>
      </c>
      <c r="N113" s="25" t="str">
        <f t="shared" ca="1" si="35"/>
        <v/>
      </c>
      <c r="O113" s="25" t="str">
        <f t="shared" ca="1" si="36"/>
        <v/>
      </c>
      <c r="P113" s="91" t="str">
        <f ca="1">IFERROR(IF(AND($X113=3, ISNUMBER($X113)), COUNTIFS(X$18:X113, "=3", $AC$18:$AC113, $AC113), "-"), "err")</f>
        <v>-</v>
      </c>
      <c r="Q113" s="26" t="str">
        <f ca="1">IFERROR(IF(AND($X113=2, ISNUMBER($X113)), COUNTIFS(X$18:X113, "=2", $AC$18:$AC113, $AC113), "-"), "err")</f>
        <v>-</v>
      </c>
      <c r="R113" s="25">
        <f t="shared" ca="1" si="37"/>
        <v>0</v>
      </c>
      <c r="S113" s="26" t="str">
        <f ca="1">IFERROR(IF(AND($X113&gt;=2, ISNUMBER($X113)), COUNTIFS(X$18:X113, "&gt;=2", $AC$18:$AC113, $AC113), "-"), "err")</f>
        <v>-</v>
      </c>
      <c r="T113" s="25">
        <f t="shared" ca="1" si="38"/>
        <v>0</v>
      </c>
      <c r="U113" s="26" t="str">
        <f ca="1">IFERROR(IF(Y113="Yes", COUNTIFS(Y$18:Y113, "Yes", $AC$18:$AC113, $AC113), "-"), "err")</f>
        <v>-</v>
      </c>
      <c r="V113" s="25">
        <f t="shared" ca="1" si="39"/>
        <v>0</v>
      </c>
      <c r="W113" s="26" t="str">
        <f ca="1">IFERROR(IF($Z113="Yes", COUNTIFS(Z$18:Z113, "Yes", $AC$18:AC113, $AC113), "-"), "err")</f>
        <v>-</v>
      </c>
      <c r="X113" s="91">
        <f t="shared" ca="1" si="5"/>
        <v>0</v>
      </c>
      <c r="Y113" s="26" t="str">
        <f t="shared" ca="1" si="28"/>
        <v/>
      </c>
      <c r="Z113" s="26" t="str">
        <f t="shared" ca="1" si="29"/>
        <v/>
      </c>
      <c r="AA113" s="91">
        <f t="shared" si="45"/>
        <v>83</v>
      </c>
      <c r="AB113" s="17" t="s">
        <v>291</v>
      </c>
      <c r="AC113" s="184" t="s">
        <v>291</v>
      </c>
      <c r="AD113" s="54"/>
      <c r="AE113" s="54"/>
      <c r="AF113" s="112"/>
      <c r="AG113" s="200"/>
      <c r="AH113" s="113"/>
      <c r="AI113" s="114"/>
      <c r="AJ113" s="112"/>
      <c r="AK113" s="200"/>
      <c r="AL113" s="113"/>
      <c r="AM113" s="114"/>
      <c r="AN113" s="112"/>
      <c r="AO113" s="200"/>
      <c r="AP113" s="113"/>
      <c r="AQ113" s="114"/>
      <c r="AR113" s="130"/>
    </row>
    <row r="114" spans="1:44" x14ac:dyDescent="0.25">
      <c r="A114" s="41"/>
      <c r="B114" s="25" t="str">
        <f t="shared" si="25"/>
        <v>Child Functioning -- Child #1_10</v>
      </c>
      <c r="C114" s="25" t="str">
        <f t="shared" si="30"/>
        <v/>
      </c>
      <c r="D114" s="25" t="str">
        <f t="shared" si="26"/>
        <v/>
      </c>
      <c r="E114" s="25" t="str">
        <f t="shared" si="26"/>
        <v/>
      </c>
      <c r="F114" s="95">
        <f t="shared" si="41"/>
        <v>8</v>
      </c>
      <c r="G114" s="25">
        <f t="shared" si="42"/>
        <v>10</v>
      </c>
      <c r="H114" s="25" t="str">
        <f t="shared" si="31"/>
        <v>CF</v>
      </c>
      <c r="I114" s="25" t="str">
        <f t="shared" si="32"/>
        <v>CF</v>
      </c>
      <c r="J114" s="25" t="str">
        <f t="shared" si="44"/>
        <v>Child Functioning -- Child #1</v>
      </c>
      <c r="K114" s="108">
        <v>1</v>
      </c>
      <c r="L114" s="95" t="str">
        <f t="shared" ca="1" si="33"/>
        <v/>
      </c>
      <c r="M114" s="25" t="str">
        <f t="shared" ca="1" si="34"/>
        <v/>
      </c>
      <c r="N114" s="25" t="str">
        <f t="shared" ca="1" si="35"/>
        <v/>
      </c>
      <c r="O114" s="25" t="str">
        <f t="shared" ca="1" si="36"/>
        <v/>
      </c>
      <c r="P114" s="91" t="str">
        <f ca="1">IFERROR(IF(AND($X114=3, ISNUMBER($X114)), COUNTIFS(X$18:X114, "=3", $AC$18:$AC114, $AC114), "-"), "err")</f>
        <v>-</v>
      </c>
      <c r="Q114" s="26" t="str">
        <f ca="1">IFERROR(IF(AND($X114=2, ISNUMBER($X114)), COUNTIFS(X$18:X114, "=2", $AC$18:$AC114, $AC114), "-"), "err")</f>
        <v>-</v>
      </c>
      <c r="R114" s="25">
        <f t="shared" ca="1" si="37"/>
        <v>0</v>
      </c>
      <c r="S114" s="26" t="str">
        <f ca="1">IFERROR(IF(AND($X114&gt;=2, ISNUMBER($X114)), COUNTIFS(X$18:X114, "&gt;=2", $AC$18:$AC114, $AC114), "-"), "err")</f>
        <v>-</v>
      </c>
      <c r="T114" s="25">
        <f t="shared" ca="1" si="38"/>
        <v>0</v>
      </c>
      <c r="U114" s="26" t="str">
        <f ca="1">IFERROR(IF(Y114="Yes", COUNTIFS(Y$18:Y114, "Yes", $AC$18:$AC114, $AC114), "-"), "err")</f>
        <v>-</v>
      </c>
      <c r="V114" s="25">
        <f t="shared" ca="1" si="39"/>
        <v>0</v>
      </c>
      <c r="W114" s="26" t="str">
        <f ca="1">IFERROR(IF($Z114="Yes", COUNTIFS(Z$18:Z114, "Yes", $AC$18:AC114, $AC114), "-"), "err")</f>
        <v>-</v>
      </c>
      <c r="X114" s="91">
        <f t="shared" ca="1" si="5"/>
        <v>0</v>
      </c>
      <c r="Y114" s="26" t="str">
        <f t="shared" ca="1" si="28"/>
        <v/>
      </c>
      <c r="Z114" s="26" t="str">
        <f t="shared" ca="1" si="29"/>
        <v/>
      </c>
      <c r="AA114" s="91">
        <f t="shared" si="45"/>
        <v>84</v>
      </c>
      <c r="AB114" s="17" t="s">
        <v>292</v>
      </c>
      <c r="AC114" s="185" t="s">
        <v>292</v>
      </c>
      <c r="AD114" s="87"/>
      <c r="AE114" s="87"/>
      <c r="AF114" s="115"/>
      <c r="AG114" s="201"/>
      <c r="AH114" s="122"/>
      <c r="AI114" s="123"/>
      <c r="AJ114" s="115"/>
      <c r="AK114" s="201"/>
      <c r="AL114" s="122"/>
      <c r="AM114" s="123"/>
      <c r="AN114" s="115"/>
      <c r="AO114" s="201"/>
      <c r="AP114" s="122"/>
      <c r="AQ114" s="123"/>
      <c r="AR114" s="130"/>
    </row>
    <row r="115" spans="1:44" x14ac:dyDescent="0.25">
      <c r="A115" s="41"/>
      <c r="B115" s="25" t="str">
        <f t="shared" si="25"/>
        <v>Child Functioning -- Child #1_11</v>
      </c>
      <c r="C115" s="25" t="str">
        <f t="shared" si="30"/>
        <v/>
      </c>
      <c r="D115" s="25" t="str">
        <f t="shared" si="26"/>
        <v/>
      </c>
      <c r="E115" s="25" t="str">
        <f t="shared" si="26"/>
        <v/>
      </c>
      <c r="F115" s="95">
        <f t="shared" si="41"/>
        <v>8</v>
      </c>
      <c r="G115" s="25">
        <f t="shared" si="42"/>
        <v>11</v>
      </c>
      <c r="H115" s="25" t="str">
        <f t="shared" si="31"/>
        <v>CF</v>
      </c>
      <c r="I115" s="25" t="str">
        <f t="shared" si="32"/>
        <v>CF</v>
      </c>
      <c r="J115" s="25" t="str">
        <f t="shared" si="44"/>
        <v>Child Functioning -- Child #1</v>
      </c>
      <c r="K115" s="108">
        <v>1</v>
      </c>
      <c r="L115" s="95" t="str">
        <f t="shared" ca="1" si="33"/>
        <v/>
      </c>
      <c r="M115" s="25" t="str">
        <f t="shared" ca="1" si="34"/>
        <v/>
      </c>
      <c r="N115" s="25" t="str">
        <f t="shared" ca="1" si="35"/>
        <v/>
      </c>
      <c r="O115" s="25" t="str">
        <f t="shared" ca="1" si="36"/>
        <v/>
      </c>
      <c r="P115" s="91" t="str">
        <f ca="1">IFERROR(IF(AND($X115=3, ISNUMBER($X115)), COUNTIFS(X$18:X115, "=3", $AC$18:$AC115, $AC115), "-"), "err")</f>
        <v>-</v>
      </c>
      <c r="Q115" s="26" t="str">
        <f ca="1">IFERROR(IF(AND($X115=2, ISNUMBER($X115)), COUNTIFS(X$18:X115, "=2", $AC$18:$AC115, $AC115), "-"), "err")</f>
        <v>-</v>
      </c>
      <c r="R115" s="25">
        <f t="shared" ca="1" si="37"/>
        <v>0</v>
      </c>
      <c r="S115" s="26" t="str">
        <f ca="1">IFERROR(IF(AND($X115&gt;=2, ISNUMBER($X115)), COUNTIFS(X$18:X115, "&gt;=2", $AC$18:$AC115, $AC115), "-"), "err")</f>
        <v>-</v>
      </c>
      <c r="T115" s="25">
        <f t="shared" ca="1" si="38"/>
        <v>0</v>
      </c>
      <c r="U115" s="26" t="str">
        <f ca="1">IFERROR(IF(Y115="Yes", COUNTIFS(Y$18:Y115, "Yes", $AC$18:$AC115, $AC115), "-"), "err")</f>
        <v>-</v>
      </c>
      <c r="V115" s="25">
        <f t="shared" ca="1" si="39"/>
        <v>0</v>
      </c>
      <c r="W115" s="26" t="str">
        <f ca="1">IFERROR(IF($Z115="Yes", COUNTIFS(Z$18:Z115, "Yes", $AC$18:AC115, $AC115), "-"), "err")</f>
        <v>-</v>
      </c>
      <c r="X115" s="91">
        <f t="shared" ref="X115:X182" ca="1" si="46">INDIRECT(ADDRESS(ROW(), lastAssessCol))</f>
        <v>0</v>
      </c>
      <c r="Y115" s="26" t="str">
        <f t="shared" ref="Y115:Y148" ca="1" si="47">T(INDIRECT(ADDRESS(ROW(), lastAssessCol+2)))</f>
        <v/>
      </c>
      <c r="Z115" s="26" t="str">
        <f t="shared" ref="Z115:Z148" ca="1" si="48">T(INDIRECT(ADDRESS(ROW(), lastAssessCol+3)))</f>
        <v/>
      </c>
      <c r="AA115" s="91">
        <f t="shared" si="45"/>
        <v>85</v>
      </c>
      <c r="AB115" s="17" t="s">
        <v>293</v>
      </c>
      <c r="AC115" s="184" t="s">
        <v>293</v>
      </c>
      <c r="AD115" s="54"/>
      <c r="AE115" s="54"/>
      <c r="AF115" s="112"/>
      <c r="AG115" s="200"/>
      <c r="AH115" s="122"/>
      <c r="AI115" s="123"/>
      <c r="AJ115" s="112"/>
      <c r="AK115" s="200"/>
      <c r="AL115" s="122"/>
      <c r="AM115" s="123"/>
      <c r="AN115" s="112"/>
      <c r="AO115" s="200"/>
      <c r="AP115" s="122"/>
      <c r="AQ115" s="123"/>
      <c r="AR115" s="130"/>
    </row>
    <row r="116" spans="1:44" x14ac:dyDescent="0.25">
      <c r="A116" s="41"/>
      <c r="B116" s="25" t="str">
        <f t="shared" si="25"/>
        <v>Child Functioning -- Child #1_12</v>
      </c>
      <c r="C116" s="25" t="str">
        <f t="shared" si="30"/>
        <v/>
      </c>
      <c r="D116" s="25" t="str">
        <f t="shared" si="26"/>
        <v/>
      </c>
      <c r="E116" s="25" t="str">
        <f t="shared" si="26"/>
        <v/>
      </c>
      <c r="F116" s="95">
        <f t="shared" si="41"/>
        <v>8</v>
      </c>
      <c r="G116" s="25">
        <f t="shared" si="42"/>
        <v>12</v>
      </c>
      <c r="H116" s="25" t="str">
        <f t="shared" si="31"/>
        <v>CF</v>
      </c>
      <c r="I116" s="25" t="str">
        <f t="shared" si="32"/>
        <v>CF</v>
      </c>
      <c r="J116" s="25" t="str">
        <f t="shared" si="44"/>
        <v>Child Functioning -- Child #1</v>
      </c>
      <c r="K116" s="108">
        <v>1</v>
      </c>
      <c r="L116" s="95" t="str">
        <f t="shared" ca="1" si="33"/>
        <v/>
      </c>
      <c r="M116" s="25" t="str">
        <f t="shared" ca="1" si="34"/>
        <v/>
      </c>
      <c r="N116" s="25" t="str">
        <f t="shared" ca="1" si="35"/>
        <v/>
      </c>
      <c r="O116" s="25" t="str">
        <f t="shared" ca="1" si="36"/>
        <v/>
      </c>
      <c r="P116" s="91" t="str">
        <f ca="1">IFERROR(IF(AND($X116=3, ISNUMBER($X116)), COUNTIFS(X$18:X116, "=3", $AC$18:$AC116, $AC116), "-"), "err")</f>
        <v>-</v>
      </c>
      <c r="Q116" s="26" t="str">
        <f ca="1">IFERROR(IF(AND($X116=2, ISNUMBER($X116)), COUNTIFS(X$18:X116, "=2", $AC$18:$AC116, $AC116), "-"), "err")</f>
        <v>-</v>
      </c>
      <c r="R116" s="25">
        <f t="shared" ca="1" si="37"/>
        <v>0</v>
      </c>
      <c r="S116" s="26" t="str">
        <f ca="1">IFERROR(IF(AND($X116&gt;=2, ISNUMBER($X116)), COUNTIFS(X$18:X116, "&gt;=2", $AC$18:$AC116, $AC116), "-"), "err")</f>
        <v>-</v>
      </c>
      <c r="T116" s="25">
        <f t="shared" ca="1" si="38"/>
        <v>0</v>
      </c>
      <c r="U116" s="26" t="str">
        <f ca="1">IFERROR(IF(Y116="Yes", COUNTIFS(Y$18:Y116, "Yes", $AC$18:$AC116, $AC116), "-"), "err")</f>
        <v>-</v>
      </c>
      <c r="V116" s="25">
        <f t="shared" ca="1" si="39"/>
        <v>0</v>
      </c>
      <c r="W116" s="26" t="str">
        <f ca="1">IFERROR(IF($Z116="Yes", COUNTIFS(Z$18:Z116, "Yes", $AC$18:AC116, $AC116), "-"), "err")</f>
        <v>-</v>
      </c>
      <c r="X116" s="91">
        <f t="shared" ca="1" si="46"/>
        <v>0</v>
      </c>
      <c r="Y116" s="26" t="str">
        <f t="shared" ca="1" si="47"/>
        <v/>
      </c>
      <c r="Z116" s="26" t="str">
        <f t="shared" ca="1" si="48"/>
        <v/>
      </c>
      <c r="AA116" s="91">
        <f t="shared" si="45"/>
        <v>86</v>
      </c>
      <c r="AB116" s="17" t="s">
        <v>294</v>
      </c>
      <c r="AC116" s="185" t="s">
        <v>294</v>
      </c>
      <c r="AD116" s="87"/>
      <c r="AE116" s="87"/>
      <c r="AF116" s="115"/>
      <c r="AG116" s="201"/>
      <c r="AH116" s="116"/>
      <c r="AI116" s="117"/>
      <c r="AJ116" s="115"/>
      <c r="AK116" s="201"/>
      <c r="AL116" s="116"/>
      <c r="AM116" s="117"/>
      <c r="AN116" s="115"/>
      <c r="AO116" s="201"/>
      <c r="AP116" s="116"/>
      <c r="AQ116" s="117"/>
      <c r="AR116" s="130"/>
    </row>
    <row r="117" spans="1:44" x14ac:dyDescent="0.25">
      <c r="A117" s="41"/>
      <c r="B117" s="25" t="str">
        <f t="shared" si="25"/>
        <v>Child Functioning -- Child #1_13</v>
      </c>
      <c r="C117" s="25" t="str">
        <f t="shared" si="30"/>
        <v/>
      </c>
      <c r="D117" s="25" t="str">
        <f t="shared" si="26"/>
        <v/>
      </c>
      <c r="E117" s="25" t="str">
        <f t="shared" si="26"/>
        <v/>
      </c>
      <c r="F117" s="95">
        <f t="shared" si="41"/>
        <v>8</v>
      </c>
      <c r="G117" s="25">
        <f t="shared" si="42"/>
        <v>13</v>
      </c>
      <c r="H117" s="25" t="str">
        <f t="shared" si="31"/>
        <v>CF</v>
      </c>
      <c r="I117" s="25" t="str">
        <f t="shared" si="32"/>
        <v>CF</v>
      </c>
      <c r="J117" s="25" t="str">
        <f t="shared" si="44"/>
        <v>Child Functioning -- Child #1</v>
      </c>
      <c r="K117" s="108">
        <v>1</v>
      </c>
      <c r="L117" s="95" t="str">
        <f t="shared" ca="1" si="33"/>
        <v/>
      </c>
      <c r="M117" s="25" t="str">
        <f t="shared" ca="1" si="34"/>
        <v/>
      </c>
      <c r="N117" s="25" t="str">
        <f t="shared" ca="1" si="35"/>
        <v/>
      </c>
      <c r="O117" s="25" t="str">
        <f t="shared" ca="1" si="36"/>
        <v/>
      </c>
      <c r="P117" s="91" t="str">
        <f ca="1">IFERROR(IF(AND($X117=3, ISNUMBER($X117)), COUNTIFS(X$18:X117, "=3", $AC$18:$AC117, $AC117), "-"), "err")</f>
        <v>-</v>
      </c>
      <c r="Q117" s="26" t="str">
        <f ca="1">IFERROR(IF(AND($X117=2, ISNUMBER($X117)), COUNTIFS(X$18:X117, "=2", $AC$18:$AC117, $AC117), "-"), "err")</f>
        <v>-</v>
      </c>
      <c r="R117" s="25">
        <f t="shared" ca="1" si="37"/>
        <v>0</v>
      </c>
      <c r="S117" s="26" t="str">
        <f ca="1">IFERROR(IF(AND($X117&gt;=2, ISNUMBER($X117)), COUNTIFS(X$18:X117, "&gt;=2", $AC$18:$AC117, $AC117), "-"), "err")</f>
        <v>-</v>
      </c>
      <c r="T117" s="25">
        <f t="shared" ca="1" si="38"/>
        <v>0</v>
      </c>
      <c r="U117" s="26" t="str">
        <f ca="1">IFERROR(IF(Y117="Yes", COUNTIFS(Y$18:Y117, "Yes", $AC$18:$AC117, $AC117), "-"), "err")</f>
        <v>-</v>
      </c>
      <c r="V117" s="25">
        <f t="shared" ca="1" si="39"/>
        <v>0</v>
      </c>
      <c r="W117" s="26" t="str">
        <f ca="1">IFERROR(IF($Z117="Yes", COUNTIFS(Z$18:Z117, "Yes", $AC$18:AC117, $AC117), "-"), "err")</f>
        <v>-</v>
      </c>
      <c r="X117" s="91">
        <f t="shared" ca="1" si="46"/>
        <v>0</v>
      </c>
      <c r="Y117" s="26" t="str">
        <f t="shared" ca="1" si="47"/>
        <v/>
      </c>
      <c r="Z117" s="26" t="str">
        <f t="shared" ca="1" si="48"/>
        <v/>
      </c>
      <c r="AA117" s="91">
        <f t="shared" si="45"/>
        <v>87</v>
      </c>
      <c r="AB117" s="17" t="s">
        <v>5</v>
      </c>
      <c r="AC117" s="184" t="s">
        <v>5</v>
      </c>
      <c r="AD117" s="54"/>
      <c r="AE117" s="54"/>
      <c r="AF117" s="112"/>
      <c r="AG117" s="200"/>
      <c r="AH117" s="113"/>
      <c r="AI117" s="114"/>
      <c r="AJ117" s="112"/>
      <c r="AK117" s="200"/>
      <c r="AL117" s="113"/>
      <c r="AM117" s="114"/>
      <c r="AN117" s="112"/>
      <c r="AO117" s="200"/>
      <c r="AP117" s="113"/>
      <c r="AQ117" s="114"/>
      <c r="AR117" s="130"/>
    </row>
    <row r="118" spans="1:44" x14ac:dyDescent="0.25">
      <c r="A118" s="41"/>
      <c r="B118" s="25" t="str">
        <f t="shared" si="25"/>
        <v>Child Functioning -- Child #1_14</v>
      </c>
      <c r="C118" s="25" t="str">
        <f t="shared" si="30"/>
        <v/>
      </c>
      <c r="D118" s="25" t="str">
        <f t="shared" si="26"/>
        <v/>
      </c>
      <c r="E118" s="25" t="str">
        <f t="shared" si="26"/>
        <v/>
      </c>
      <c r="F118" s="95">
        <f t="shared" si="41"/>
        <v>8</v>
      </c>
      <c r="G118" s="25">
        <f t="shared" si="42"/>
        <v>14</v>
      </c>
      <c r="H118" s="25" t="str">
        <f t="shared" si="31"/>
        <v>CF</v>
      </c>
      <c r="I118" s="25" t="str">
        <f t="shared" si="32"/>
        <v>CF</v>
      </c>
      <c r="J118" s="25" t="str">
        <f t="shared" si="44"/>
        <v>Child Functioning -- Child #1</v>
      </c>
      <c r="K118" s="108">
        <v>1</v>
      </c>
      <c r="L118" s="95" t="str">
        <f t="shared" ca="1" si="33"/>
        <v/>
      </c>
      <c r="M118" s="25" t="str">
        <f t="shared" ca="1" si="34"/>
        <v/>
      </c>
      <c r="N118" s="25" t="str">
        <f t="shared" ca="1" si="35"/>
        <v/>
      </c>
      <c r="O118" s="25" t="str">
        <f t="shared" ca="1" si="36"/>
        <v/>
      </c>
      <c r="P118" s="91" t="str">
        <f ca="1">IFERROR(IF(AND($X118=3, ISNUMBER($X118)), COUNTIFS(X$18:X118, "=3", $AC$18:$AC118, $AC118), "-"), "err")</f>
        <v>-</v>
      </c>
      <c r="Q118" s="26" t="str">
        <f ca="1">IFERROR(IF(AND($X118=2, ISNUMBER($X118)), COUNTIFS(X$18:X118, "=2", $AC$18:$AC118, $AC118), "-"), "err")</f>
        <v>-</v>
      </c>
      <c r="R118" s="25">
        <f t="shared" ca="1" si="37"/>
        <v>0</v>
      </c>
      <c r="S118" s="26" t="str">
        <f ca="1">IFERROR(IF(AND($X118&gt;=2, ISNUMBER($X118)), COUNTIFS(X$18:X118, "&gt;=2", $AC$18:$AC118, $AC118), "-"), "err")</f>
        <v>-</v>
      </c>
      <c r="T118" s="25">
        <f t="shared" ca="1" si="38"/>
        <v>0</v>
      </c>
      <c r="U118" s="26" t="str">
        <f ca="1">IFERROR(IF(Y118="Yes", COUNTIFS(Y$18:Y118, "Yes", $AC$18:$AC118, $AC118), "-"), "err")</f>
        <v>-</v>
      </c>
      <c r="V118" s="25">
        <f t="shared" ca="1" si="39"/>
        <v>0</v>
      </c>
      <c r="W118" s="26" t="str">
        <f ca="1">IFERROR(IF($Z118="Yes", COUNTIFS(Z$18:Z118, "Yes", $AC$18:AC118, $AC118), "-"), "err")</f>
        <v>-</v>
      </c>
      <c r="X118" s="91">
        <f t="shared" ca="1" si="46"/>
        <v>0</v>
      </c>
      <c r="Y118" s="26" t="str">
        <f t="shared" ca="1" si="47"/>
        <v/>
      </c>
      <c r="Z118" s="26" t="str">
        <f t="shared" ca="1" si="48"/>
        <v/>
      </c>
      <c r="AA118" s="91">
        <f t="shared" si="45"/>
        <v>88</v>
      </c>
      <c r="AB118" s="17" t="s">
        <v>295</v>
      </c>
      <c r="AC118" s="185" t="s">
        <v>295</v>
      </c>
      <c r="AD118" s="87"/>
      <c r="AE118" s="87"/>
      <c r="AF118" s="115"/>
      <c r="AG118" s="201"/>
      <c r="AH118" s="116"/>
      <c r="AI118" s="117"/>
      <c r="AJ118" s="115"/>
      <c r="AK118" s="201"/>
      <c r="AL118" s="116"/>
      <c r="AM118" s="117"/>
      <c r="AN118" s="115"/>
      <c r="AO118" s="201"/>
      <c r="AP118" s="116"/>
      <c r="AQ118" s="117"/>
      <c r="AR118" s="130"/>
    </row>
    <row r="119" spans="1:44" x14ac:dyDescent="0.25">
      <c r="A119" s="41"/>
      <c r="B119" s="25" t="str">
        <f t="shared" si="25"/>
        <v>Child Functioning -- Child #1_15</v>
      </c>
      <c r="C119" s="25" t="str">
        <f t="shared" si="30"/>
        <v/>
      </c>
      <c r="D119" s="25" t="str">
        <f t="shared" si="26"/>
        <v/>
      </c>
      <c r="E119" s="25" t="str">
        <f t="shared" si="26"/>
        <v>Child Functioning -- Child #1</v>
      </c>
      <c r="F119" s="95">
        <f t="shared" si="41"/>
        <v>8</v>
      </c>
      <c r="G119" s="25">
        <f t="shared" si="42"/>
        <v>15</v>
      </c>
      <c r="H119" s="25" t="str">
        <f t="shared" si="31"/>
        <v>CF</v>
      </c>
      <c r="I119" s="25" t="str">
        <f t="shared" si="32"/>
        <v>CF</v>
      </c>
      <c r="J119" s="25" t="str">
        <f t="shared" si="44"/>
        <v>Child Functioning -- Child #1</v>
      </c>
      <c r="K119" s="108">
        <v>1</v>
      </c>
      <c r="L119" s="95" t="str">
        <f t="shared" ca="1" si="33"/>
        <v/>
      </c>
      <c r="M119" s="25" t="str">
        <f t="shared" ca="1" si="34"/>
        <v/>
      </c>
      <c r="N119" s="25" t="str">
        <f t="shared" ca="1" si="35"/>
        <v/>
      </c>
      <c r="O119" s="25" t="str">
        <f t="shared" ca="1" si="36"/>
        <v/>
      </c>
      <c r="P119" s="91" t="str">
        <f ca="1">IFERROR(IF(AND($X119=3, ISNUMBER($X119)), COUNTIFS(X$18:X119, "=3", $AC$18:$AC119, $AC119), "-"), "err")</f>
        <v>-</v>
      </c>
      <c r="Q119" s="26" t="str">
        <f ca="1">IFERROR(IF(AND($X119=2, ISNUMBER($X119)), COUNTIFS(X$18:X119, "=2", $AC$18:$AC119, $AC119), "-"), "err")</f>
        <v>-</v>
      </c>
      <c r="R119" s="25">
        <f t="shared" ca="1" si="37"/>
        <v>0</v>
      </c>
      <c r="S119" s="26" t="str">
        <f ca="1">IFERROR(IF(AND($X119&gt;=2, ISNUMBER($X119)), COUNTIFS(X$18:X119, "&gt;=2", $AC$18:$AC119, $AC119), "-"), "err")</f>
        <v>-</v>
      </c>
      <c r="T119" s="25">
        <f t="shared" ca="1" si="38"/>
        <v>0</v>
      </c>
      <c r="U119" s="26" t="str">
        <f ca="1">IFERROR(IF(Y119="Yes", COUNTIFS(Y$18:Y119, "Yes", $AC$18:$AC119, $AC119), "-"), "err")</f>
        <v>-</v>
      </c>
      <c r="V119" s="25">
        <f t="shared" ca="1" si="39"/>
        <v>0</v>
      </c>
      <c r="W119" s="26" t="str">
        <f ca="1">IFERROR(IF($Z119="Yes", COUNTIFS(Z$18:Z119, "Yes", $AC$18:AC119, $AC119), "-"), "err")</f>
        <v>-</v>
      </c>
      <c r="X119" s="91">
        <f t="shared" ca="1" si="46"/>
        <v>0</v>
      </c>
      <c r="Y119" s="26" t="str">
        <f t="shared" ca="1" si="47"/>
        <v/>
      </c>
      <c r="Z119" s="26" t="str">
        <f t="shared" ca="1" si="48"/>
        <v/>
      </c>
      <c r="AA119" s="91">
        <f t="shared" si="45"/>
        <v>89</v>
      </c>
      <c r="AB119" s="17" t="s">
        <v>32</v>
      </c>
      <c r="AC119" s="184" t="s">
        <v>32</v>
      </c>
      <c r="AD119" s="54"/>
      <c r="AE119" s="54"/>
      <c r="AF119" s="112"/>
      <c r="AG119" s="200"/>
      <c r="AH119" s="122"/>
      <c r="AI119" s="123"/>
      <c r="AJ119" s="112"/>
      <c r="AK119" s="200"/>
      <c r="AL119" s="122"/>
      <c r="AM119" s="123"/>
      <c r="AN119" s="112"/>
      <c r="AO119" s="200"/>
      <c r="AP119" s="122"/>
      <c r="AQ119" s="123"/>
      <c r="AR119" s="130"/>
    </row>
    <row r="120" spans="1:44" hidden="1" x14ac:dyDescent="0.25">
      <c r="A120" s="41"/>
      <c r="B120" s="25" t="str">
        <f t="shared" si="25"/>
        <v>Child Functioning -- Child #2_0</v>
      </c>
      <c r="C120" s="25" t="str">
        <f t="shared" si="30"/>
        <v/>
      </c>
      <c r="D120" s="25" t="str">
        <f t="shared" si="26"/>
        <v/>
      </c>
      <c r="E120" s="25" t="str">
        <f t="shared" si="26"/>
        <v/>
      </c>
      <c r="F120" s="95">
        <f t="shared" si="41"/>
        <v>9</v>
      </c>
      <c r="G120" s="25">
        <f t="shared" si="42"/>
        <v>0</v>
      </c>
      <c r="H120" s="25" t="str">
        <f t="shared" si="31"/>
        <v>CF</v>
      </c>
      <c r="I120" s="25" t="str">
        <f t="shared" si="32"/>
        <v>CF</v>
      </c>
      <c r="J120" s="25" t="str">
        <f t="shared" si="44"/>
        <v>Child Functioning -- Child #2</v>
      </c>
      <c r="K120" s="108">
        <v>0</v>
      </c>
      <c r="L120" s="95" t="str">
        <f t="shared" ca="1" si="33"/>
        <v/>
      </c>
      <c r="M120" s="25" t="str">
        <f t="shared" ca="1" si="34"/>
        <v/>
      </c>
      <c r="N120" s="25" t="str">
        <f t="shared" ca="1" si="35"/>
        <v/>
      </c>
      <c r="O120" s="25" t="str">
        <f t="shared" ca="1" si="36"/>
        <v/>
      </c>
      <c r="P120" s="91" t="str">
        <f ca="1">IFERROR(IF(AND($X120=3, ISNUMBER($X120)), COUNTIFS(X$18:X120, "=3", $AC$18:$AC120, $AC120), "-"), "err")</f>
        <v>-</v>
      </c>
      <c r="Q120" s="26" t="str">
        <f ca="1">IFERROR(IF(AND($X120=2, ISNUMBER($X120)), COUNTIFS(X$18:X120, "=2", $AC$18:$AC120, $AC120), "-"), "err")</f>
        <v>-</v>
      </c>
      <c r="R120" s="25">
        <f t="shared" ca="1" si="37"/>
        <v>0</v>
      </c>
      <c r="S120" s="26" t="str">
        <f ca="1">IFERROR(IF(AND($X120&gt;=2, ISNUMBER($X120)), COUNTIFS(X$18:X120, "&gt;=2", $AC$18:$AC120, $AC120), "-"), "err")</f>
        <v>-</v>
      </c>
      <c r="T120" s="25">
        <f t="shared" ca="1" si="38"/>
        <v>0</v>
      </c>
      <c r="U120" s="26" t="str">
        <f ca="1">IFERROR(IF(Y120="Yes", COUNTIFS(Y$18:Y120, "Yes", $AC$18:$AC120, $AC120), "-"), "err")</f>
        <v>-</v>
      </c>
      <c r="V120" s="25">
        <f t="shared" ca="1" si="39"/>
        <v>0</v>
      </c>
      <c r="W120" s="26" t="str">
        <f ca="1">IFERROR(IF($Z120="Yes", COUNTIFS(Z$18:Z120, "Yes", $AC$18:AC120, $AC120), "-"), "err")</f>
        <v>-</v>
      </c>
      <c r="X120" s="91">
        <f t="shared" ca="1" si="46"/>
        <v>0</v>
      </c>
      <c r="Y120" s="26" t="str">
        <f t="shared" ca="1" si="47"/>
        <v/>
      </c>
      <c r="Z120" s="26" t="str">
        <f t="shared" ca="1" si="48"/>
        <v/>
      </c>
      <c r="AA120" s="91">
        <f t="shared" si="45"/>
        <v>89</v>
      </c>
      <c r="AC120" s="183" t="s">
        <v>327</v>
      </c>
      <c r="AD120" s="61"/>
      <c r="AE120" s="61"/>
      <c r="AF120" s="118"/>
      <c r="AG120" s="119"/>
      <c r="AH120" s="120"/>
      <c r="AI120" s="121"/>
      <c r="AJ120" s="118"/>
      <c r="AK120" s="119"/>
      <c r="AL120" s="120"/>
      <c r="AM120" s="121"/>
      <c r="AN120" s="118"/>
      <c r="AO120" s="119"/>
      <c r="AP120" s="120"/>
      <c r="AQ120" s="121"/>
      <c r="AR120" s="130"/>
    </row>
    <row r="121" spans="1:44" hidden="1" x14ac:dyDescent="0.25">
      <c r="A121" s="41"/>
      <c r="B121" s="25" t="str">
        <f t="shared" si="25"/>
        <v>Child Functioning -- Child #2_0</v>
      </c>
      <c r="C121" s="25" t="str">
        <f t="shared" ref="C121:E122" si="49">IF(H121&lt;&gt;H123, H121, "")</f>
        <v/>
      </c>
      <c r="D121" s="25" t="str">
        <f t="shared" si="49"/>
        <v/>
      </c>
      <c r="E121" s="25" t="str">
        <f t="shared" si="49"/>
        <v/>
      </c>
      <c r="F121" s="95">
        <f t="shared" si="41"/>
        <v>9</v>
      </c>
      <c r="G121" s="25">
        <f t="shared" si="42"/>
        <v>0</v>
      </c>
      <c r="H121" s="25" t="str">
        <f t="shared" si="31"/>
        <v>CF</v>
      </c>
      <c r="I121" s="25" t="str">
        <f t="shared" si="32"/>
        <v>CF</v>
      </c>
      <c r="J121" s="25" t="str">
        <f t="shared" si="44"/>
        <v>Child Functioning -- Child #2</v>
      </c>
      <c r="K121" s="108">
        <v>2</v>
      </c>
      <c r="L121" s="95" t="str">
        <f t="shared" ca="1" si="33"/>
        <v/>
      </c>
      <c r="M121" s="25" t="str">
        <f t="shared" ca="1" si="34"/>
        <v/>
      </c>
      <c r="N121" s="25" t="str">
        <f t="shared" ca="1" si="35"/>
        <v/>
      </c>
      <c r="O121" s="25" t="str">
        <f t="shared" ca="1" si="36"/>
        <v/>
      </c>
      <c r="P121" s="91" t="str">
        <f ca="1">IFERROR(IF(AND($X121=3, ISNUMBER($X121)), COUNTIFS(X$18:X121, "=3", $AC$18:$AC121, $AC121), "-"), "err")</f>
        <v>-</v>
      </c>
      <c r="Q121" s="26" t="str">
        <f ca="1">IFERROR(IF(AND($X121=2, ISNUMBER($X121)), COUNTIFS(X$18:X121, "=2", $AC$18:$AC121, $AC121), "-"), "err")</f>
        <v>-</v>
      </c>
      <c r="R121" s="25">
        <f t="shared" ca="1" si="37"/>
        <v>0</v>
      </c>
      <c r="S121" s="26" t="str">
        <f ca="1">IFERROR(IF(AND($X121&gt;=2, ISNUMBER($X121)), COUNTIFS(X$18:X121, "&gt;=2", $AC$18:$AC121, $AC121), "-"), "err")</f>
        <v>-</v>
      </c>
      <c r="T121" s="25">
        <f t="shared" ca="1" si="38"/>
        <v>0</v>
      </c>
      <c r="U121" s="26" t="str">
        <f ca="1">IFERROR(IF(Y121="Yes", COUNTIFS(Y$18:Y121, "Yes", $AC$18:$AC121, $AC121), "-"), "err")</f>
        <v>-</v>
      </c>
      <c r="V121" s="25">
        <f t="shared" ca="1" si="39"/>
        <v>0</v>
      </c>
      <c r="W121" s="26" t="str">
        <f ca="1">IFERROR(IF($Z121="Yes", COUNTIFS(Z$18:Z121, "Yes", $AC$18:AC121, $AC121), "-"), "err")</f>
        <v>-</v>
      </c>
      <c r="X121" s="91">
        <f t="shared" ca="1" si="46"/>
        <v>0</v>
      </c>
      <c r="Y121" s="26" t="str">
        <f t="shared" ca="1" si="47"/>
        <v/>
      </c>
      <c r="Z121" s="26" t="str">
        <f t="shared" ca="1" si="48"/>
        <v/>
      </c>
      <c r="AA121" s="91">
        <f t="shared" si="45"/>
        <v>89</v>
      </c>
      <c r="AC121" s="133" t="s">
        <v>332</v>
      </c>
      <c r="AD121" s="197"/>
      <c r="AE121" s="61"/>
      <c r="AF121" s="118"/>
      <c r="AG121" s="119"/>
      <c r="AH121" s="120"/>
      <c r="AI121" s="121"/>
      <c r="AJ121" s="118"/>
      <c r="AK121" s="119"/>
      <c r="AL121" s="120"/>
      <c r="AM121" s="121"/>
      <c r="AN121" s="118"/>
      <c r="AO121" s="119"/>
      <c r="AP121" s="120"/>
      <c r="AQ121" s="121"/>
      <c r="AR121" s="130"/>
    </row>
    <row r="122" spans="1:44" hidden="1" x14ac:dyDescent="0.25">
      <c r="A122" s="41"/>
      <c r="B122" s="25" t="str">
        <f>J122&amp;"_"&amp;G122</f>
        <v>Child Functioning -- Child #2_0</v>
      </c>
      <c r="C122" s="25" t="str">
        <f t="shared" si="49"/>
        <v/>
      </c>
      <c r="D122" s="25" t="str">
        <f t="shared" si="49"/>
        <v/>
      </c>
      <c r="E122" s="25" t="str">
        <f t="shared" si="49"/>
        <v/>
      </c>
      <c r="F122" s="95">
        <f>IF(K122=0, IF(ISNUMBER(F121), F121+1, 1), F121)</f>
        <v>9</v>
      </c>
      <c r="G122" s="25">
        <f>IF(K122=0, 0, IF(K122=1, G121+1, G121))</f>
        <v>0</v>
      </c>
      <c r="H122" s="25" t="str">
        <f>IF(OR(I122="FF", I122="CGA"), "FF/CGA", I122)</f>
        <v>CF</v>
      </c>
      <c r="I122" s="25" t="str">
        <f>IF(NOT(ISERROR(SEARCH("Family Functioning", J122))), "FF", IF(NOT(ISERROR(SEARCH("Caregiver Advocacy", J122))), "CGA", IF(NOT(ISERROR(SEARCH("Caregiver Functioning", J122))), "CGF", IF(NOT(ISERROR(SEARCH("Child Functioning", J122))), "CF", ""))))</f>
        <v>CF</v>
      </c>
      <c r="J122" s="25" t="str">
        <f t="shared" si="44"/>
        <v>Child Functioning -- Child #2</v>
      </c>
      <c r="K122" s="108">
        <v>2</v>
      </c>
      <c r="L122" s="95" t="str">
        <f t="shared" ca="1" si="33"/>
        <v/>
      </c>
      <c r="M122" s="25" t="str">
        <f t="shared" ca="1" si="34"/>
        <v/>
      </c>
      <c r="N122" s="25" t="str">
        <f t="shared" ca="1" si="35"/>
        <v/>
      </c>
      <c r="O122" s="25" t="str">
        <f t="shared" ca="1" si="36"/>
        <v/>
      </c>
      <c r="P122" s="91" t="str">
        <f ca="1">IFERROR(IF(AND($X122=3, ISNUMBER($X122)), COUNTIFS(X$18:X122, "=3", $AC$18:$AC122, $AC122), "-"), "err")</f>
        <v>-</v>
      </c>
      <c r="Q122" s="26" t="str">
        <f ca="1">IFERROR(IF(AND($X122=2, ISNUMBER($X122)), COUNTIFS(X$18:X122, "=2", $AC$18:$AC122, $AC122), "-"), "err")</f>
        <v>-</v>
      </c>
      <c r="R122" s="25">
        <f t="shared" ca="1" si="37"/>
        <v>0</v>
      </c>
      <c r="S122" s="26" t="str">
        <f ca="1">IFERROR(IF(AND($X122&gt;=2, ISNUMBER($X122)), COUNTIFS(X$18:X122, "&gt;=2", $AC$18:$AC122, $AC122), "-"), "err")</f>
        <v>-</v>
      </c>
      <c r="T122" s="25">
        <f t="shared" ca="1" si="38"/>
        <v>0</v>
      </c>
      <c r="U122" s="26" t="str">
        <f ca="1">IFERROR(IF(Y122="Yes", COUNTIFS(Y$18:Y122, "Yes", $AC$18:$AC122, $AC122), "-"), "err")</f>
        <v>-</v>
      </c>
      <c r="V122" s="25">
        <f t="shared" ca="1" si="39"/>
        <v>0</v>
      </c>
      <c r="W122" s="26" t="str">
        <f ca="1">IFERROR(IF($Z122="Yes", COUNTIFS(Z$18:Z122, "Yes", $AC$18:AC122, $AC122), "-"), "err")</f>
        <v>-</v>
      </c>
      <c r="X122" s="91">
        <f t="shared" ca="1" si="46"/>
        <v>0</v>
      </c>
      <c r="Y122" s="26" t="str">
        <f t="shared" ca="1" si="47"/>
        <v/>
      </c>
      <c r="Z122" s="26" t="str">
        <f t="shared" ca="1" si="48"/>
        <v/>
      </c>
      <c r="AA122" s="91">
        <f t="shared" si="45"/>
        <v>89</v>
      </c>
      <c r="AC122" s="133" t="s">
        <v>923</v>
      </c>
      <c r="AD122" s="197"/>
      <c r="AE122" s="61"/>
      <c r="AF122" s="118"/>
      <c r="AG122" s="119"/>
      <c r="AH122" s="120"/>
      <c r="AI122" s="121"/>
      <c r="AJ122" s="118"/>
      <c r="AK122" s="119"/>
      <c r="AL122" s="120"/>
      <c r="AM122" s="121"/>
      <c r="AN122" s="118"/>
      <c r="AO122" s="119"/>
      <c r="AP122" s="120"/>
      <c r="AQ122" s="121"/>
      <c r="AR122" s="130"/>
    </row>
    <row r="123" spans="1:44" hidden="1" x14ac:dyDescent="0.25">
      <c r="A123" s="41"/>
      <c r="B123" s="25" t="str">
        <f t="shared" si="25"/>
        <v>Child Functioning -- Child #2_1</v>
      </c>
      <c r="C123" s="25" t="str">
        <f t="shared" si="30"/>
        <v/>
      </c>
      <c r="D123" s="25" t="str">
        <f t="shared" si="26"/>
        <v/>
      </c>
      <c r="E123" s="25" t="str">
        <f t="shared" si="26"/>
        <v/>
      </c>
      <c r="F123" s="95">
        <f>IF(K123=0, IF(ISNUMBER(F121), F121+1, 1), F121)</f>
        <v>9</v>
      </c>
      <c r="G123" s="25">
        <f>IF(K123=0, 0, IF(K123=1, G121+1, G121))</f>
        <v>1</v>
      </c>
      <c r="H123" s="25" t="str">
        <f t="shared" si="31"/>
        <v>CF</v>
      </c>
      <c r="I123" s="25" t="str">
        <f t="shared" si="32"/>
        <v>CF</v>
      </c>
      <c r="J123" s="25" t="str">
        <f>IF(K123=0, AC123, J121)</f>
        <v>Child Functioning -- Child #2</v>
      </c>
      <c r="K123" s="108">
        <v>1</v>
      </c>
      <c r="L123" s="95" t="str">
        <f t="shared" ca="1" si="33"/>
        <v/>
      </c>
      <c r="M123" s="25" t="str">
        <f t="shared" ca="1" si="34"/>
        <v/>
      </c>
      <c r="N123" s="25" t="str">
        <f t="shared" ca="1" si="35"/>
        <v/>
      </c>
      <c r="O123" s="25" t="str">
        <f t="shared" ca="1" si="36"/>
        <v/>
      </c>
      <c r="P123" s="91" t="str">
        <f ca="1">IFERROR(IF(AND($X123=3, ISNUMBER($X123)), COUNTIFS(X$18:X123, "=3", $AC$18:$AC123, $AC123), "-"), "err")</f>
        <v>-</v>
      </c>
      <c r="Q123" s="26" t="str">
        <f ca="1">IFERROR(IF(AND($X123=2, ISNUMBER($X123)), COUNTIFS(X$18:X123, "=2", $AC$18:$AC123, $AC123), "-"), "err")</f>
        <v>-</v>
      </c>
      <c r="R123" s="25">
        <f t="shared" ca="1" si="37"/>
        <v>0</v>
      </c>
      <c r="S123" s="26" t="str">
        <f ca="1">IFERROR(IF(AND($X123&gt;=2, ISNUMBER($X123)), COUNTIFS(X$18:X123, "&gt;=2", $AC$18:$AC123, $AC123), "-"), "err")</f>
        <v>-</v>
      </c>
      <c r="T123" s="25">
        <f t="shared" ca="1" si="38"/>
        <v>0</v>
      </c>
      <c r="U123" s="26" t="str">
        <f ca="1">IFERROR(IF(Y123="Yes", COUNTIFS(Y$18:Y123, "Yes", $AC$18:$AC123, $AC123), "-"), "err")</f>
        <v>-</v>
      </c>
      <c r="V123" s="25">
        <f t="shared" ca="1" si="39"/>
        <v>0</v>
      </c>
      <c r="W123" s="26" t="str">
        <f ca="1">IFERROR(IF($Z123="Yes", COUNTIFS(Z$18:Z123, "Yes", $AC$18:AC123, $AC123), "-"), "err")</f>
        <v>-</v>
      </c>
      <c r="X123" s="91">
        <f t="shared" ca="1" si="46"/>
        <v>0</v>
      </c>
      <c r="Y123" s="26" t="str">
        <f t="shared" ca="1" si="47"/>
        <v/>
      </c>
      <c r="Z123" s="26" t="str">
        <f t="shared" ca="1" si="48"/>
        <v/>
      </c>
      <c r="AA123" s="91">
        <f>AA121+IF(AB123=0, 0, 1)</f>
        <v>90</v>
      </c>
      <c r="AB123" s="17" t="s">
        <v>284</v>
      </c>
      <c r="AC123" s="184" t="s">
        <v>284</v>
      </c>
      <c r="AD123" s="54"/>
      <c r="AE123" s="54"/>
      <c r="AF123" s="112"/>
      <c r="AG123" s="200"/>
      <c r="AH123" s="122"/>
      <c r="AI123" s="123"/>
      <c r="AJ123" s="112"/>
      <c r="AK123" s="200"/>
      <c r="AL123" s="122"/>
      <c r="AM123" s="123"/>
      <c r="AN123" s="112"/>
      <c r="AO123" s="200"/>
      <c r="AP123" s="122"/>
      <c r="AQ123" s="123"/>
      <c r="AR123" s="130"/>
    </row>
    <row r="124" spans="1:44" hidden="1" x14ac:dyDescent="0.25">
      <c r="A124" s="41"/>
      <c r="B124" s="25" t="str">
        <f t="shared" si="25"/>
        <v>Child Functioning -- Child #2_2</v>
      </c>
      <c r="C124" s="25" t="str">
        <f t="shared" si="30"/>
        <v/>
      </c>
      <c r="D124" s="25" t="str">
        <f t="shared" si="26"/>
        <v/>
      </c>
      <c r="E124" s="25" t="str">
        <f t="shared" si="26"/>
        <v/>
      </c>
      <c r="F124" s="95">
        <f t="shared" si="41"/>
        <v>9</v>
      </c>
      <c r="G124" s="25">
        <f t="shared" si="42"/>
        <v>2</v>
      </c>
      <c r="H124" s="25" t="str">
        <f t="shared" si="31"/>
        <v>CF</v>
      </c>
      <c r="I124" s="25" t="str">
        <f t="shared" si="32"/>
        <v>CF</v>
      </c>
      <c r="J124" s="25" t="str">
        <f t="shared" ref="J124:J140" si="50">IF(K124=0, AC124, J123)</f>
        <v>Child Functioning -- Child #2</v>
      </c>
      <c r="K124" s="108">
        <v>1</v>
      </c>
      <c r="L124" s="95" t="str">
        <f t="shared" ca="1" si="33"/>
        <v/>
      </c>
      <c r="M124" s="25" t="str">
        <f t="shared" ca="1" si="34"/>
        <v/>
      </c>
      <c r="N124" s="25" t="str">
        <f t="shared" ca="1" si="35"/>
        <v/>
      </c>
      <c r="O124" s="25" t="str">
        <f t="shared" ca="1" si="36"/>
        <v/>
      </c>
      <c r="P124" s="91" t="str">
        <f ca="1">IFERROR(IF(AND($X124=3, ISNUMBER($X124)), COUNTIFS(X$18:X124, "=3", $AC$18:$AC124, $AC124), "-"), "err")</f>
        <v>-</v>
      </c>
      <c r="Q124" s="26" t="str">
        <f ca="1">IFERROR(IF(AND($X124=2, ISNUMBER($X124)), COUNTIFS(X$18:X124, "=2", $AC$18:$AC124, $AC124), "-"), "err")</f>
        <v>-</v>
      </c>
      <c r="R124" s="25">
        <f t="shared" ca="1" si="37"/>
        <v>0</v>
      </c>
      <c r="S124" s="26" t="str">
        <f ca="1">IFERROR(IF(AND($X124&gt;=2, ISNUMBER($X124)), COUNTIFS(X$18:X124, "&gt;=2", $AC$18:$AC124, $AC124), "-"), "err")</f>
        <v>-</v>
      </c>
      <c r="T124" s="25">
        <f t="shared" ca="1" si="38"/>
        <v>0</v>
      </c>
      <c r="U124" s="26" t="str">
        <f ca="1">IFERROR(IF(Y124="Yes", COUNTIFS(Y$18:Y124, "Yes", $AC$18:$AC124, $AC124), "-"), "err")</f>
        <v>-</v>
      </c>
      <c r="V124" s="25">
        <f t="shared" ca="1" si="39"/>
        <v>0</v>
      </c>
      <c r="W124" s="26" t="str">
        <f ca="1">IFERROR(IF($Z124="Yes", COUNTIFS(Z$18:Z124, "Yes", $AC$18:AC124, $AC124), "-"), "err")</f>
        <v>-</v>
      </c>
      <c r="X124" s="91">
        <f t="shared" ca="1" si="46"/>
        <v>0</v>
      </c>
      <c r="Y124" s="26" t="str">
        <f t="shared" ca="1" si="47"/>
        <v/>
      </c>
      <c r="Z124" s="26" t="str">
        <f t="shared" ca="1" si="48"/>
        <v/>
      </c>
      <c r="AA124" s="91">
        <f t="shared" ref="AA124:AA140" si="51">AA123+IF(AB124=0, 0, 1)</f>
        <v>91</v>
      </c>
      <c r="AB124" s="17" t="s">
        <v>285</v>
      </c>
      <c r="AC124" s="185" t="s">
        <v>285</v>
      </c>
      <c r="AD124" s="87"/>
      <c r="AE124" s="87"/>
      <c r="AF124" s="115"/>
      <c r="AG124" s="201"/>
      <c r="AH124" s="116"/>
      <c r="AI124" s="117"/>
      <c r="AJ124" s="115"/>
      <c r="AK124" s="201"/>
      <c r="AL124" s="116"/>
      <c r="AM124" s="117"/>
      <c r="AN124" s="115"/>
      <c r="AO124" s="201"/>
      <c r="AP124" s="116"/>
      <c r="AQ124" s="117"/>
      <c r="AR124" s="130"/>
    </row>
    <row r="125" spans="1:44" hidden="1" x14ac:dyDescent="0.25">
      <c r="A125" s="41"/>
      <c r="B125" s="25" t="str">
        <f t="shared" si="25"/>
        <v>Child Functioning -- Child #2_3</v>
      </c>
      <c r="C125" s="25" t="str">
        <f t="shared" si="30"/>
        <v/>
      </c>
      <c r="D125" s="25" t="str">
        <f t="shared" si="26"/>
        <v/>
      </c>
      <c r="E125" s="25" t="str">
        <f t="shared" si="26"/>
        <v/>
      </c>
      <c r="F125" s="95">
        <f t="shared" si="41"/>
        <v>9</v>
      </c>
      <c r="G125" s="25">
        <f t="shared" si="42"/>
        <v>3</v>
      </c>
      <c r="H125" s="25" t="str">
        <f t="shared" si="31"/>
        <v>CF</v>
      </c>
      <c r="I125" s="25" t="str">
        <f t="shared" si="32"/>
        <v>CF</v>
      </c>
      <c r="J125" s="25" t="str">
        <f t="shared" si="50"/>
        <v>Child Functioning -- Child #2</v>
      </c>
      <c r="K125" s="108">
        <v>1</v>
      </c>
      <c r="L125" s="95" t="str">
        <f t="shared" ca="1" si="33"/>
        <v/>
      </c>
      <c r="M125" s="25" t="str">
        <f t="shared" ca="1" si="34"/>
        <v/>
      </c>
      <c r="N125" s="25" t="str">
        <f t="shared" ca="1" si="35"/>
        <v/>
      </c>
      <c r="O125" s="25" t="str">
        <f t="shared" ca="1" si="36"/>
        <v/>
      </c>
      <c r="P125" s="91" t="str">
        <f ca="1">IFERROR(IF(AND($X125=3, ISNUMBER($X125)), COUNTIFS(X$18:X125, "=3", $AC$18:$AC125, $AC125), "-"), "err")</f>
        <v>-</v>
      </c>
      <c r="Q125" s="26" t="str">
        <f ca="1">IFERROR(IF(AND($X125=2, ISNUMBER($X125)), COUNTIFS(X$18:X125, "=2", $AC$18:$AC125, $AC125), "-"), "err")</f>
        <v>-</v>
      </c>
      <c r="R125" s="25">
        <f t="shared" ca="1" si="37"/>
        <v>0</v>
      </c>
      <c r="S125" s="26" t="str">
        <f ca="1">IFERROR(IF(AND($X125&gt;=2, ISNUMBER($X125)), COUNTIFS(X$18:X125, "&gt;=2", $AC$18:$AC125, $AC125), "-"), "err")</f>
        <v>-</v>
      </c>
      <c r="T125" s="25">
        <f t="shared" ca="1" si="38"/>
        <v>0</v>
      </c>
      <c r="U125" s="26" t="str">
        <f ca="1">IFERROR(IF(Y125="Yes", COUNTIFS(Y$18:Y125, "Yes", $AC$18:$AC125, $AC125), "-"), "err")</f>
        <v>-</v>
      </c>
      <c r="V125" s="25">
        <f t="shared" ca="1" si="39"/>
        <v>0</v>
      </c>
      <c r="W125" s="26" t="str">
        <f ca="1">IFERROR(IF($Z125="Yes", COUNTIFS(Z$18:Z125, "Yes", $AC$18:AC125, $AC125), "-"), "err")</f>
        <v>-</v>
      </c>
      <c r="X125" s="91">
        <f t="shared" ca="1" si="46"/>
        <v>0</v>
      </c>
      <c r="Y125" s="26" t="str">
        <f t="shared" ca="1" si="47"/>
        <v/>
      </c>
      <c r="Z125" s="26" t="str">
        <f t="shared" ca="1" si="48"/>
        <v/>
      </c>
      <c r="AA125" s="91">
        <f t="shared" si="51"/>
        <v>92</v>
      </c>
      <c r="AB125" s="17" t="s">
        <v>287</v>
      </c>
      <c r="AC125" s="184" t="s">
        <v>287</v>
      </c>
      <c r="AD125" s="54"/>
      <c r="AE125" s="54"/>
      <c r="AF125" s="112"/>
      <c r="AG125" s="200"/>
      <c r="AH125" s="113"/>
      <c r="AI125" s="114"/>
      <c r="AJ125" s="112"/>
      <c r="AK125" s="200"/>
      <c r="AL125" s="113"/>
      <c r="AM125" s="114"/>
      <c r="AN125" s="112"/>
      <c r="AO125" s="200"/>
      <c r="AP125" s="113"/>
      <c r="AQ125" s="114"/>
      <c r="AR125" s="130"/>
    </row>
    <row r="126" spans="1:44" hidden="1" x14ac:dyDescent="0.25">
      <c r="A126" s="41"/>
      <c r="B126" s="25" t="str">
        <f t="shared" si="25"/>
        <v>Child Functioning -- Child #2_4</v>
      </c>
      <c r="C126" s="25" t="str">
        <f t="shared" si="30"/>
        <v/>
      </c>
      <c r="D126" s="25" t="str">
        <f t="shared" si="26"/>
        <v/>
      </c>
      <c r="E126" s="25" t="str">
        <f t="shared" si="26"/>
        <v/>
      </c>
      <c r="F126" s="95">
        <f t="shared" si="41"/>
        <v>9</v>
      </c>
      <c r="G126" s="25">
        <f t="shared" si="42"/>
        <v>4</v>
      </c>
      <c r="H126" s="25" t="str">
        <f t="shared" si="31"/>
        <v>CF</v>
      </c>
      <c r="I126" s="25" t="str">
        <f t="shared" si="32"/>
        <v>CF</v>
      </c>
      <c r="J126" s="25" t="str">
        <f t="shared" si="50"/>
        <v>Child Functioning -- Child #2</v>
      </c>
      <c r="K126" s="108">
        <v>1</v>
      </c>
      <c r="L126" s="95" t="str">
        <f t="shared" ca="1" si="33"/>
        <v/>
      </c>
      <c r="M126" s="25" t="str">
        <f t="shared" ca="1" si="34"/>
        <v/>
      </c>
      <c r="N126" s="25" t="str">
        <f t="shared" ca="1" si="35"/>
        <v/>
      </c>
      <c r="O126" s="25" t="str">
        <f t="shared" ca="1" si="36"/>
        <v/>
      </c>
      <c r="P126" s="91" t="str">
        <f ca="1">IFERROR(IF(AND($X126=3, ISNUMBER($X126)), COUNTIFS(X$18:X126, "=3", $AC$18:$AC126, $AC126), "-"), "err")</f>
        <v>-</v>
      </c>
      <c r="Q126" s="26" t="str">
        <f ca="1">IFERROR(IF(AND($X126=2, ISNUMBER($X126)), COUNTIFS(X$18:X126, "=2", $AC$18:$AC126, $AC126), "-"), "err")</f>
        <v>-</v>
      </c>
      <c r="R126" s="25">
        <f t="shared" ca="1" si="37"/>
        <v>0</v>
      </c>
      <c r="S126" s="26" t="str">
        <f ca="1">IFERROR(IF(AND($X126&gt;=2, ISNUMBER($X126)), COUNTIFS(X$18:X126, "&gt;=2", $AC$18:$AC126, $AC126), "-"), "err")</f>
        <v>-</v>
      </c>
      <c r="T126" s="25">
        <f t="shared" ca="1" si="38"/>
        <v>0</v>
      </c>
      <c r="U126" s="26" t="str">
        <f ca="1">IFERROR(IF(Y126="Yes", COUNTIFS(Y$18:Y126, "Yes", $AC$18:$AC126, $AC126), "-"), "err")</f>
        <v>-</v>
      </c>
      <c r="V126" s="25">
        <f t="shared" ca="1" si="39"/>
        <v>0</v>
      </c>
      <c r="W126" s="26" t="str">
        <f ca="1">IFERROR(IF($Z126="Yes", COUNTIFS(Z$18:Z126, "Yes", $AC$18:AC126, $AC126), "-"), "err")</f>
        <v>-</v>
      </c>
      <c r="X126" s="91">
        <f t="shared" ca="1" si="46"/>
        <v>0</v>
      </c>
      <c r="Y126" s="26" t="str">
        <f t="shared" ca="1" si="47"/>
        <v/>
      </c>
      <c r="Z126" s="26" t="str">
        <f t="shared" ca="1" si="48"/>
        <v/>
      </c>
      <c r="AA126" s="91">
        <f t="shared" si="51"/>
        <v>93</v>
      </c>
      <c r="AB126" s="17" t="s">
        <v>482</v>
      </c>
      <c r="AC126" s="185" t="s">
        <v>286</v>
      </c>
      <c r="AD126" s="87"/>
      <c r="AE126" s="87"/>
      <c r="AF126" s="115"/>
      <c r="AG126" s="201"/>
      <c r="AH126" s="116"/>
      <c r="AI126" s="117"/>
      <c r="AJ126" s="115"/>
      <c r="AK126" s="201"/>
      <c r="AL126" s="116"/>
      <c r="AM126" s="117"/>
      <c r="AN126" s="115"/>
      <c r="AO126" s="201"/>
      <c r="AP126" s="116"/>
      <c r="AQ126" s="117"/>
      <c r="AR126" s="130"/>
    </row>
    <row r="127" spans="1:44" hidden="1" x14ac:dyDescent="0.25">
      <c r="A127" s="41"/>
      <c r="B127" s="25" t="str">
        <f t="shared" si="25"/>
        <v>Child Functioning -- Child #2_5</v>
      </c>
      <c r="C127" s="25" t="str">
        <f t="shared" si="30"/>
        <v/>
      </c>
      <c r="D127" s="25" t="str">
        <f t="shared" si="26"/>
        <v/>
      </c>
      <c r="E127" s="25" t="str">
        <f t="shared" si="26"/>
        <v/>
      </c>
      <c r="F127" s="95">
        <f t="shared" si="41"/>
        <v>9</v>
      </c>
      <c r="G127" s="25">
        <f t="shared" si="42"/>
        <v>5</v>
      </c>
      <c r="H127" s="25" t="str">
        <f t="shared" si="31"/>
        <v>CF</v>
      </c>
      <c r="I127" s="25" t="str">
        <f t="shared" si="32"/>
        <v>CF</v>
      </c>
      <c r="J127" s="25" t="str">
        <f t="shared" si="50"/>
        <v>Child Functioning -- Child #2</v>
      </c>
      <c r="K127" s="108">
        <v>1</v>
      </c>
      <c r="L127" s="95" t="str">
        <f t="shared" ca="1" si="33"/>
        <v/>
      </c>
      <c r="M127" s="25" t="str">
        <f t="shared" ca="1" si="34"/>
        <v/>
      </c>
      <c r="N127" s="25" t="str">
        <f t="shared" ca="1" si="35"/>
        <v/>
      </c>
      <c r="O127" s="25" t="str">
        <f t="shared" ca="1" si="36"/>
        <v/>
      </c>
      <c r="P127" s="91" t="str">
        <f ca="1">IFERROR(IF(AND($X127=3, ISNUMBER($X127)), COUNTIFS(X$18:X127, "=3", $AC$18:$AC127, $AC127), "-"), "err")</f>
        <v>-</v>
      </c>
      <c r="Q127" s="26" t="str">
        <f ca="1">IFERROR(IF(AND($X127=2, ISNUMBER($X127)), COUNTIFS(X$18:X127, "=2", $AC$18:$AC127, $AC127), "-"), "err")</f>
        <v>-</v>
      </c>
      <c r="R127" s="25">
        <f t="shared" ca="1" si="37"/>
        <v>0</v>
      </c>
      <c r="S127" s="26" t="str">
        <f ca="1">IFERROR(IF(AND($X127&gt;=2, ISNUMBER($X127)), COUNTIFS(X$18:X127, "&gt;=2", $AC$18:$AC127, $AC127), "-"), "err")</f>
        <v>-</v>
      </c>
      <c r="T127" s="25">
        <f t="shared" ca="1" si="38"/>
        <v>0</v>
      </c>
      <c r="U127" s="26" t="str">
        <f ca="1">IFERROR(IF(Y127="Yes", COUNTIFS(Y$18:Y127, "Yes", $AC$18:$AC127, $AC127), "-"), "err")</f>
        <v>-</v>
      </c>
      <c r="V127" s="25">
        <f t="shared" ca="1" si="39"/>
        <v>0</v>
      </c>
      <c r="W127" s="26" t="str">
        <f ca="1">IFERROR(IF($Z127="Yes", COUNTIFS(Z$18:Z127, "Yes", $AC$18:AC127, $AC127), "-"), "err")</f>
        <v>-</v>
      </c>
      <c r="X127" s="91">
        <f t="shared" ca="1" si="46"/>
        <v>0</v>
      </c>
      <c r="Y127" s="26" t="str">
        <f t="shared" ca="1" si="47"/>
        <v/>
      </c>
      <c r="Z127" s="26" t="str">
        <f t="shared" ca="1" si="48"/>
        <v/>
      </c>
      <c r="AA127" s="91">
        <f t="shared" si="51"/>
        <v>94</v>
      </c>
      <c r="AB127" s="17" t="s">
        <v>288</v>
      </c>
      <c r="AC127" s="184" t="s">
        <v>288</v>
      </c>
      <c r="AD127" s="54"/>
      <c r="AE127" s="54"/>
      <c r="AF127" s="112"/>
      <c r="AG127" s="200"/>
      <c r="AH127" s="113"/>
      <c r="AI127" s="114"/>
      <c r="AJ127" s="112"/>
      <c r="AK127" s="200"/>
      <c r="AL127" s="113"/>
      <c r="AM127" s="114"/>
      <c r="AN127" s="112"/>
      <c r="AO127" s="200"/>
      <c r="AP127" s="113"/>
      <c r="AQ127" s="114"/>
      <c r="AR127" s="130"/>
    </row>
    <row r="128" spans="1:44" hidden="1" x14ac:dyDescent="0.25">
      <c r="A128" s="41"/>
      <c r="B128" s="25" t="str">
        <f t="shared" si="25"/>
        <v>Child Functioning -- Child #2_6</v>
      </c>
      <c r="C128" s="25" t="str">
        <f t="shared" si="30"/>
        <v/>
      </c>
      <c r="D128" s="25" t="str">
        <f t="shared" si="26"/>
        <v/>
      </c>
      <c r="E128" s="25" t="str">
        <f t="shared" si="26"/>
        <v/>
      </c>
      <c r="F128" s="95">
        <f t="shared" si="41"/>
        <v>9</v>
      </c>
      <c r="G128" s="25">
        <f t="shared" si="42"/>
        <v>6</v>
      </c>
      <c r="H128" s="25" t="str">
        <f t="shared" si="31"/>
        <v>CF</v>
      </c>
      <c r="I128" s="25" t="str">
        <f t="shared" si="32"/>
        <v>CF</v>
      </c>
      <c r="J128" s="25" t="str">
        <f t="shared" si="50"/>
        <v>Child Functioning -- Child #2</v>
      </c>
      <c r="K128" s="108">
        <v>1</v>
      </c>
      <c r="L128" s="95" t="str">
        <f t="shared" ca="1" si="33"/>
        <v/>
      </c>
      <c r="M128" s="25" t="str">
        <f t="shared" ca="1" si="34"/>
        <v/>
      </c>
      <c r="N128" s="25" t="str">
        <f t="shared" ca="1" si="35"/>
        <v/>
      </c>
      <c r="O128" s="25" t="str">
        <f t="shared" ca="1" si="36"/>
        <v/>
      </c>
      <c r="P128" s="91" t="str">
        <f ca="1">IFERROR(IF(AND($X128=3, ISNUMBER($X128)), COUNTIFS(X$18:X128, "=3", $AC$18:$AC128, $AC128), "-"), "err")</f>
        <v>-</v>
      </c>
      <c r="Q128" s="26" t="str">
        <f ca="1">IFERROR(IF(AND($X128=2, ISNUMBER($X128)), COUNTIFS(X$18:X128, "=2", $AC$18:$AC128, $AC128), "-"), "err")</f>
        <v>-</v>
      </c>
      <c r="R128" s="25">
        <f t="shared" ca="1" si="37"/>
        <v>0</v>
      </c>
      <c r="S128" s="26" t="str">
        <f ca="1">IFERROR(IF(AND($X128&gt;=2, ISNUMBER($X128)), COUNTIFS(X$18:X128, "&gt;=2", $AC$18:$AC128, $AC128), "-"), "err")</f>
        <v>-</v>
      </c>
      <c r="T128" s="25">
        <f t="shared" ca="1" si="38"/>
        <v>0</v>
      </c>
      <c r="U128" s="26" t="str">
        <f ca="1">IFERROR(IF(Y128="Yes", COUNTIFS(Y$18:Y128, "Yes", $AC$18:$AC128, $AC128), "-"), "err")</f>
        <v>-</v>
      </c>
      <c r="V128" s="25">
        <f t="shared" ca="1" si="39"/>
        <v>0</v>
      </c>
      <c r="W128" s="26" t="str">
        <f ca="1">IFERROR(IF($Z128="Yes", COUNTIFS(Z$18:Z128, "Yes", $AC$18:AC128, $AC128), "-"), "err")</f>
        <v>-</v>
      </c>
      <c r="X128" s="91">
        <f t="shared" ca="1" si="46"/>
        <v>0</v>
      </c>
      <c r="Y128" s="26" t="str">
        <f t="shared" ca="1" si="47"/>
        <v/>
      </c>
      <c r="Z128" s="26" t="str">
        <f t="shared" ca="1" si="48"/>
        <v/>
      </c>
      <c r="AA128" s="91">
        <f t="shared" si="51"/>
        <v>95</v>
      </c>
      <c r="AB128" s="17" t="s">
        <v>289</v>
      </c>
      <c r="AC128" s="185" t="s">
        <v>289</v>
      </c>
      <c r="AD128" s="87"/>
      <c r="AE128" s="87"/>
      <c r="AF128" s="115"/>
      <c r="AG128" s="201"/>
      <c r="AH128" s="116"/>
      <c r="AI128" s="117"/>
      <c r="AJ128" s="115"/>
      <c r="AK128" s="201"/>
      <c r="AL128" s="116"/>
      <c r="AM128" s="117"/>
      <c r="AN128" s="115"/>
      <c r="AO128" s="201"/>
      <c r="AP128" s="116"/>
      <c r="AQ128" s="117"/>
      <c r="AR128" s="130"/>
    </row>
    <row r="129" spans="1:44" hidden="1" x14ac:dyDescent="0.25">
      <c r="A129" s="41"/>
      <c r="B129" s="25" t="str">
        <f t="shared" si="25"/>
        <v>Child Functioning -- Child #2_7</v>
      </c>
      <c r="C129" s="25" t="str">
        <f t="shared" si="30"/>
        <v/>
      </c>
      <c r="D129" s="25" t="str">
        <f t="shared" si="26"/>
        <v/>
      </c>
      <c r="E129" s="25" t="str">
        <f t="shared" si="26"/>
        <v/>
      </c>
      <c r="F129" s="95">
        <f t="shared" si="41"/>
        <v>9</v>
      </c>
      <c r="G129" s="25">
        <f t="shared" si="42"/>
        <v>7</v>
      </c>
      <c r="H129" s="25" t="str">
        <f t="shared" si="31"/>
        <v>CF</v>
      </c>
      <c r="I129" s="25" t="str">
        <f t="shared" si="32"/>
        <v>CF</v>
      </c>
      <c r="J129" s="25" t="str">
        <f t="shared" si="50"/>
        <v>Child Functioning -- Child #2</v>
      </c>
      <c r="K129" s="108">
        <v>1</v>
      </c>
      <c r="L129" s="95" t="str">
        <f t="shared" ca="1" si="33"/>
        <v/>
      </c>
      <c r="M129" s="25" t="str">
        <f t="shared" ca="1" si="34"/>
        <v/>
      </c>
      <c r="N129" s="25" t="str">
        <f t="shared" ca="1" si="35"/>
        <v/>
      </c>
      <c r="O129" s="25" t="str">
        <f t="shared" ca="1" si="36"/>
        <v/>
      </c>
      <c r="P129" s="91" t="str">
        <f ca="1">IFERROR(IF(AND($X129=3, ISNUMBER($X129)), COUNTIFS(X$18:X129, "=3", $AC$18:$AC129, $AC129), "-"), "err")</f>
        <v>-</v>
      </c>
      <c r="Q129" s="26" t="str">
        <f ca="1">IFERROR(IF(AND($X129=2, ISNUMBER($X129)), COUNTIFS(X$18:X129, "=2", $AC$18:$AC129, $AC129), "-"), "err")</f>
        <v>-</v>
      </c>
      <c r="R129" s="25">
        <f t="shared" ca="1" si="37"/>
        <v>0</v>
      </c>
      <c r="S129" s="26" t="str">
        <f ca="1">IFERROR(IF(AND($X129&gt;=2, ISNUMBER($X129)), COUNTIFS(X$18:X129, "&gt;=2", $AC$18:$AC129, $AC129), "-"), "err")</f>
        <v>-</v>
      </c>
      <c r="T129" s="25">
        <f t="shared" ca="1" si="38"/>
        <v>0</v>
      </c>
      <c r="U129" s="26" t="str">
        <f ca="1">IFERROR(IF(Y129="Yes", COUNTIFS(Y$18:Y129, "Yes", $AC$18:$AC129, $AC129), "-"), "err")</f>
        <v>-</v>
      </c>
      <c r="V129" s="25">
        <f t="shared" ca="1" si="39"/>
        <v>0</v>
      </c>
      <c r="W129" s="26" t="str">
        <f ca="1">IFERROR(IF($Z129="Yes", COUNTIFS(Z$18:Z129, "Yes", $AC$18:AC129, $AC129), "-"), "err")</f>
        <v>-</v>
      </c>
      <c r="X129" s="91">
        <f t="shared" ca="1" si="46"/>
        <v>0</v>
      </c>
      <c r="Y129" s="26" t="str">
        <f t="shared" ca="1" si="47"/>
        <v/>
      </c>
      <c r="Z129" s="26" t="str">
        <f t="shared" ca="1" si="48"/>
        <v/>
      </c>
      <c r="AA129" s="91">
        <f t="shared" si="51"/>
        <v>96</v>
      </c>
      <c r="AB129" s="17" t="s">
        <v>132</v>
      </c>
      <c r="AC129" s="184" t="s">
        <v>132</v>
      </c>
      <c r="AD129" s="54"/>
      <c r="AE129" s="54"/>
      <c r="AF129" s="112"/>
      <c r="AG129" s="200"/>
      <c r="AH129" s="113"/>
      <c r="AI129" s="114"/>
      <c r="AJ129" s="112"/>
      <c r="AK129" s="200"/>
      <c r="AL129" s="113"/>
      <c r="AM129" s="114"/>
      <c r="AN129" s="112"/>
      <c r="AO129" s="200"/>
      <c r="AP129" s="113"/>
      <c r="AQ129" s="114"/>
      <c r="AR129" s="130"/>
    </row>
    <row r="130" spans="1:44" hidden="1" x14ac:dyDescent="0.25">
      <c r="A130" s="41"/>
      <c r="B130" s="25" t="str">
        <f t="shared" si="25"/>
        <v>Child Functioning -- Child #2_8</v>
      </c>
      <c r="C130" s="25" t="str">
        <f t="shared" si="30"/>
        <v/>
      </c>
      <c r="D130" s="25" t="str">
        <f t="shared" si="26"/>
        <v/>
      </c>
      <c r="E130" s="25" t="str">
        <f t="shared" si="26"/>
        <v/>
      </c>
      <c r="F130" s="95">
        <f t="shared" si="41"/>
        <v>9</v>
      </c>
      <c r="G130" s="25">
        <f t="shared" si="42"/>
        <v>8</v>
      </c>
      <c r="H130" s="25" t="str">
        <f t="shared" si="31"/>
        <v>CF</v>
      </c>
      <c r="I130" s="25" t="str">
        <f t="shared" si="32"/>
        <v>CF</v>
      </c>
      <c r="J130" s="25" t="str">
        <f t="shared" si="50"/>
        <v>Child Functioning -- Child #2</v>
      </c>
      <c r="K130" s="108">
        <v>1</v>
      </c>
      <c r="L130" s="95" t="str">
        <f t="shared" ca="1" si="33"/>
        <v/>
      </c>
      <c r="M130" s="25" t="str">
        <f t="shared" ca="1" si="34"/>
        <v/>
      </c>
      <c r="N130" s="25" t="str">
        <f t="shared" ca="1" si="35"/>
        <v/>
      </c>
      <c r="O130" s="25" t="str">
        <f t="shared" ca="1" si="36"/>
        <v/>
      </c>
      <c r="P130" s="91" t="str">
        <f ca="1">IFERROR(IF(AND($X130=3, ISNUMBER($X130)), COUNTIFS(X$18:X130, "=3", $AC$18:$AC130, $AC130), "-"), "err")</f>
        <v>-</v>
      </c>
      <c r="Q130" s="26" t="str">
        <f ca="1">IFERROR(IF(AND($X130=2, ISNUMBER($X130)), COUNTIFS(X$18:X130, "=2", $AC$18:$AC130, $AC130), "-"), "err")</f>
        <v>-</v>
      </c>
      <c r="R130" s="25">
        <f t="shared" ca="1" si="37"/>
        <v>0</v>
      </c>
      <c r="S130" s="26" t="str">
        <f ca="1">IFERROR(IF(AND($X130&gt;=2, ISNUMBER($X130)), COUNTIFS(X$18:X130, "&gt;=2", $AC$18:$AC130, $AC130), "-"), "err")</f>
        <v>-</v>
      </c>
      <c r="T130" s="25">
        <f t="shared" ca="1" si="38"/>
        <v>0</v>
      </c>
      <c r="U130" s="26" t="str">
        <f ca="1">IFERROR(IF(Y130="Yes", COUNTIFS(Y$18:Y130, "Yes", $AC$18:$AC130, $AC130), "-"), "err")</f>
        <v>-</v>
      </c>
      <c r="V130" s="25">
        <f t="shared" ca="1" si="39"/>
        <v>0</v>
      </c>
      <c r="W130" s="26" t="str">
        <f ca="1">IFERROR(IF($Z130="Yes", COUNTIFS(Z$18:Z130, "Yes", $AC$18:AC130, $AC130), "-"), "err")</f>
        <v>-</v>
      </c>
      <c r="X130" s="91">
        <f t="shared" ca="1" si="46"/>
        <v>0</v>
      </c>
      <c r="Y130" s="26" t="str">
        <f t="shared" ca="1" si="47"/>
        <v/>
      </c>
      <c r="Z130" s="26" t="str">
        <f t="shared" ca="1" si="48"/>
        <v/>
      </c>
      <c r="AA130" s="91">
        <f t="shared" si="51"/>
        <v>97</v>
      </c>
      <c r="AB130" s="17" t="s">
        <v>290</v>
      </c>
      <c r="AC130" s="185" t="s">
        <v>290</v>
      </c>
      <c r="AD130" s="87"/>
      <c r="AE130" s="87"/>
      <c r="AF130" s="115"/>
      <c r="AG130" s="201"/>
      <c r="AH130" s="116"/>
      <c r="AI130" s="117"/>
      <c r="AJ130" s="115"/>
      <c r="AK130" s="201"/>
      <c r="AL130" s="116"/>
      <c r="AM130" s="117"/>
      <c r="AN130" s="115"/>
      <c r="AO130" s="201"/>
      <c r="AP130" s="116"/>
      <c r="AQ130" s="117"/>
      <c r="AR130" s="130"/>
    </row>
    <row r="131" spans="1:44" hidden="1" x14ac:dyDescent="0.25">
      <c r="A131" s="41"/>
      <c r="B131" s="25" t="str">
        <f t="shared" si="25"/>
        <v>Child Functioning -- Child #2_9</v>
      </c>
      <c r="C131" s="25" t="str">
        <f t="shared" si="30"/>
        <v/>
      </c>
      <c r="D131" s="25" t="str">
        <f t="shared" si="26"/>
        <v/>
      </c>
      <c r="E131" s="25" t="str">
        <f t="shared" si="26"/>
        <v/>
      </c>
      <c r="F131" s="95">
        <f t="shared" si="41"/>
        <v>9</v>
      </c>
      <c r="G131" s="25">
        <f t="shared" si="42"/>
        <v>9</v>
      </c>
      <c r="H131" s="25" t="str">
        <f t="shared" si="31"/>
        <v>CF</v>
      </c>
      <c r="I131" s="25" t="str">
        <f t="shared" si="32"/>
        <v>CF</v>
      </c>
      <c r="J131" s="25" t="str">
        <f t="shared" si="50"/>
        <v>Child Functioning -- Child #2</v>
      </c>
      <c r="K131" s="108">
        <v>1</v>
      </c>
      <c r="L131" s="95" t="str">
        <f t="shared" ca="1" si="33"/>
        <v/>
      </c>
      <c r="M131" s="25" t="str">
        <f t="shared" ca="1" si="34"/>
        <v/>
      </c>
      <c r="N131" s="25" t="str">
        <f t="shared" ca="1" si="35"/>
        <v/>
      </c>
      <c r="O131" s="25" t="str">
        <f t="shared" ca="1" si="36"/>
        <v/>
      </c>
      <c r="P131" s="91" t="str">
        <f ca="1">IFERROR(IF(AND($X131=3, ISNUMBER($X131)), COUNTIFS(X$18:X131, "=3", $AC$18:$AC131, $AC131), "-"), "err")</f>
        <v>-</v>
      </c>
      <c r="Q131" s="26" t="str">
        <f ca="1">IFERROR(IF(AND($X131=2, ISNUMBER($X131)), COUNTIFS(X$18:X131, "=2", $AC$18:$AC131, $AC131), "-"), "err")</f>
        <v>-</v>
      </c>
      <c r="R131" s="25">
        <f t="shared" ca="1" si="37"/>
        <v>0</v>
      </c>
      <c r="S131" s="26" t="str">
        <f ca="1">IFERROR(IF(AND($X131&gt;=2, ISNUMBER($X131)), COUNTIFS(X$18:X131, "&gt;=2", $AC$18:$AC131, $AC131), "-"), "err")</f>
        <v>-</v>
      </c>
      <c r="T131" s="25">
        <f t="shared" ca="1" si="38"/>
        <v>0</v>
      </c>
      <c r="U131" s="26" t="str">
        <f ca="1">IFERROR(IF(Y131="Yes", COUNTIFS(Y$18:Y131, "Yes", $AC$18:$AC131, $AC131), "-"), "err")</f>
        <v>-</v>
      </c>
      <c r="V131" s="25">
        <f t="shared" ca="1" si="39"/>
        <v>0</v>
      </c>
      <c r="W131" s="26" t="str">
        <f ca="1">IFERROR(IF($Z131="Yes", COUNTIFS(Z$18:Z131, "Yes", $AC$18:AC131, $AC131), "-"), "err")</f>
        <v>-</v>
      </c>
      <c r="X131" s="91">
        <f t="shared" ca="1" si="46"/>
        <v>0</v>
      </c>
      <c r="Y131" s="26" t="str">
        <f t="shared" ca="1" si="47"/>
        <v/>
      </c>
      <c r="Z131" s="26" t="str">
        <f t="shared" ca="1" si="48"/>
        <v/>
      </c>
      <c r="AA131" s="91">
        <f t="shared" si="51"/>
        <v>98</v>
      </c>
      <c r="AB131" s="17" t="s">
        <v>291</v>
      </c>
      <c r="AC131" s="184" t="s">
        <v>291</v>
      </c>
      <c r="AD131" s="54"/>
      <c r="AE131" s="54"/>
      <c r="AF131" s="112"/>
      <c r="AG131" s="200"/>
      <c r="AH131" s="113"/>
      <c r="AI131" s="114"/>
      <c r="AJ131" s="112"/>
      <c r="AK131" s="200"/>
      <c r="AL131" s="113"/>
      <c r="AM131" s="114"/>
      <c r="AN131" s="112"/>
      <c r="AO131" s="200"/>
      <c r="AP131" s="113"/>
      <c r="AQ131" s="114"/>
      <c r="AR131" s="130"/>
    </row>
    <row r="132" spans="1:44" hidden="1" x14ac:dyDescent="0.25">
      <c r="A132" s="41"/>
      <c r="B132" s="25" t="str">
        <f t="shared" si="25"/>
        <v>Child Functioning -- Child #2_10</v>
      </c>
      <c r="C132" s="25" t="str">
        <f t="shared" si="30"/>
        <v/>
      </c>
      <c r="D132" s="25" t="str">
        <f t="shared" si="26"/>
        <v/>
      </c>
      <c r="E132" s="25" t="str">
        <f t="shared" si="26"/>
        <v/>
      </c>
      <c r="F132" s="95">
        <f t="shared" si="41"/>
        <v>9</v>
      </c>
      <c r="G132" s="25">
        <f t="shared" si="42"/>
        <v>10</v>
      </c>
      <c r="H132" s="25" t="str">
        <f t="shared" si="31"/>
        <v>CF</v>
      </c>
      <c r="I132" s="25" t="str">
        <f t="shared" si="32"/>
        <v>CF</v>
      </c>
      <c r="J132" s="25" t="str">
        <f t="shared" si="50"/>
        <v>Child Functioning -- Child #2</v>
      </c>
      <c r="K132" s="108">
        <v>1</v>
      </c>
      <c r="L132" s="95" t="str">
        <f t="shared" ca="1" si="33"/>
        <v/>
      </c>
      <c r="M132" s="25" t="str">
        <f t="shared" ca="1" si="34"/>
        <v/>
      </c>
      <c r="N132" s="25" t="str">
        <f t="shared" ca="1" si="35"/>
        <v/>
      </c>
      <c r="O132" s="25" t="str">
        <f t="shared" ca="1" si="36"/>
        <v/>
      </c>
      <c r="P132" s="91" t="str">
        <f ca="1">IFERROR(IF(AND($X132=3, ISNUMBER($X132)), COUNTIFS(X$18:X132, "=3", $AC$18:$AC132, $AC132), "-"), "err")</f>
        <v>-</v>
      </c>
      <c r="Q132" s="26" t="str">
        <f ca="1">IFERROR(IF(AND($X132=2, ISNUMBER($X132)), COUNTIFS(X$18:X132, "=2", $AC$18:$AC132, $AC132), "-"), "err")</f>
        <v>-</v>
      </c>
      <c r="R132" s="25">
        <f t="shared" ca="1" si="37"/>
        <v>0</v>
      </c>
      <c r="S132" s="26" t="str">
        <f ca="1">IFERROR(IF(AND($X132&gt;=2, ISNUMBER($X132)), COUNTIFS(X$18:X132, "&gt;=2", $AC$18:$AC132, $AC132), "-"), "err")</f>
        <v>-</v>
      </c>
      <c r="T132" s="25">
        <f t="shared" ca="1" si="38"/>
        <v>0</v>
      </c>
      <c r="U132" s="26" t="str">
        <f ca="1">IFERROR(IF(Y132="Yes", COUNTIFS(Y$18:Y132, "Yes", $AC$18:$AC132, $AC132), "-"), "err")</f>
        <v>-</v>
      </c>
      <c r="V132" s="25">
        <f t="shared" ca="1" si="39"/>
        <v>0</v>
      </c>
      <c r="W132" s="26" t="str">
        <f ca="1">IFERROR(IF($Z132="Yes", COUNTIFS(Z$18:Z132, "Yes", $AC$18:AC132, $AC132), "-"), "err")</f>
        <v>-</v>
      </c>
      <c r="X132" s="91">
        <f t="shared" ca="1" si="46"/>
        <v>0</v>
      </c>
      <c r="Y132" s="26" t="str">
        <f t="shared" ca="1" si="47"/>
        <v/>
      </c>
      <c r="Z132" s="26" t="str">
        <f t="shared" ca="1" si="48"/>
        <v/>
      </c>
      <c r="AA132" s="91">
        <f t="shared" si="51"/>
        <v>99</v>
      </c>
      <c r="AB132" s="17" t="s">
        <v>292</v>
      </c>
      <c r="AC132" s="185" t="s">
        <v>292</v>
      </c>
      <c r="AD132" s="87"/>
      <c r="AE132" s="87"/>
      <c r="AF132" s="115"/>
      <c r="AG132" s="201"/>
      <c r="AH132" s="122"/>
      <c r="AI132" s="123"/>
      <c r="AJ132" s="115"/>
      <c r="AK132" s="201"/>
      <c r="AL132" s="122"/>
      <c r="AM132" s="123"/>
      <c r="AN132" s="115"/>
      <c r="AO132" s="201"/>
      <c r="AP132" s="122"/>
      <c r="AQ132" s="123"/>
      <c r="AR132" s="130"/>
    </row>
    <row r="133" spans="1:44" hidden="1" x14ac:dyDescent="0.25">
      <c r="A133" s="41"/>
      <c r="B133" s="25" t="str">
        <f t="shared" si="25"/>
        <v>Child Functioning -- Child #2_11</v>
      </c>
      <c r="C133" s="25" t="str">
        <f t="shared" si="30"/>
        <v/>
      </c>
      <c r="D133" s="25" t="str">
        <f t="shared" si="26"/>
        <v/>
      </c>
      <c r="E133" s="25" t="str">
        <f t="shared" si="26"/>
        <v/>
      </c>
      <c r="F133" s="95">
        <f t="shared" si="41"/>
        <v>9</v>
      </c>
      <c r="G133" s="25">
        <f t="shared" si="42"/>
        <v>11</v>
      </c>
      <c r="H133" s="25" t="str">
        <f t="shared" si="31"/>
        <v>CF</v>
      </c>
      <c r="I133" s="25" t="str">
        <f t="shared" si="32"/>
        <v>CF</v>
      </c>
      <c r="J133" s="25" t="str">
        <f t="shared" si="50"/>
        <v>Child Functioning -- Child #2</v>
      </c>
      <c r="K133" s="108">
        <v>1</v>
      </c>
      <c r="L133" s="95" t="str">
        <f t="shared" ca="1" si="33"/>
        <v/>
      </c>
      <c r="M133" s="25" t="str">
        <f t="shared" ca="1" si="34"/>
        <v/>
      </c>
      <c r="N133" s="25" t="str">
        <f t="shared" ca="1" si="35"/>
        <v/>
      </c>
      <c r="O133" s="25" t="str">
        <f t="shared" ca="1" si="36"/>
        <v/>
      </c>
      <c r="P133" s="91" t="str">
        <f ca="1">IFERROR(IF(AND($X133=3, ISNUMBER($X133)), COUNTIFS(X$18:X133, "=3", $AC$18:$AC133, $AC133), "-"), "err")</f>
        <v>-</v>
      </c>
      <c r="Q133" s="26" t="str">
        <f ca="1">IFERROR(IF(AND($X133=2, ISNUMBER($X133)), COUNTIFS(X$18:X133, "=2", $AC$18:$AC133, $AC133), "-"), "err")</f>
        <v>-</v>
      </c>
      <c r="R133" s="25">
        <f t="shared" ca="1" si="37"/>
        <v>0</v>
      </c>
      <c r="S133" s="26" t="str">
        <f ca="1">IFERROR(IF(AND($X133&gt;=2, ISNUMBER($X133)), COUNTIFS(X$18:X133, "&gt;=2", $AC$18:$AC133, $AC133), "-"), "err")</f>
        <v>-</v>
      </c>
      <c r="T133" s="25">
        <f t="shared" ca="1" si="38"/>
        <v>0</v>
      </c>
      <c r="U133" s="26" t="str">
        <f ca="1">IFERROR(IF(Y133="Yes", COUNTIFS(Y$18:Y133, "Yes", $AC$18:$AC133, $AC133), "-"), "err")</f>
        <v>-</v>
      </c>
      <c r="V133" s="25">
        <f t="shared" ca="1" si="39"/>
        <v>0</v>
      </c>
      <c r="W133" s="26" t="str">
        <f ca="1">IFERROR(IF($Z133="Yes", COUNTIFS(Z$18:Z133, "Yes", $AC$18:AC133, $AC133), "-"), "err")</f>
        <v>-</v>
      </c>
      <c r="X133" s="91">
        <f t="shared" ca="1" si="46"/>
        <v>0</v>
      </c>
      <c r="Y133" s="26" t="str">
        <f t="shared" ca="1" si="47"/>
        <v/>
      </c>
      <c r="Z133" s="26" t="str">
        <f t="shared" ca="1" si="48"/>
        <v/>
      </c>
      <c r="AA133" s="91">
        <f t="shared" si="51"/>
        <v>100</v>
      </c>
      <c r="AB133" s="17" t="s">
        <v>293</v>
      </c>
      <c r="AC133" s="184" t="s">
        <v>293</v>
      </c>
      <c r="AD133" s="54"/>
      <c r="AE133" s="54"/>
      <c r="AF133" s="112"/>
      <c r="AG133" s="200"/>
      <c r="AH133" s="122"/>
      <c r="AI133" s="123"/>
      <c r="AJ133" s="112"/>
      <c r="AK133" s="200"/>
      <c r="AL133" s="122"/>
      <c r="AM133" s="123"/>
      <c r="AN133" s="112"/>
      <c r="AO133" s="200"/>
      <c r="AP133" s="122"/>
      <c r="AQ133" s="123"/>
      <c r="AR133" s="130"/>
    </row>
    <row r="134" spans="1:44" hidden="1" x14ac:dyDescent="0.25">
      <c r="A134" s="41"/>
      <c r="B134" s="25" t="str">
        <f t="shared" si="25"/>
        <v>Child Functioning -- Child #2_12</v>
      </c>
      <c r="C134" s="25" t="str">
        <f t="shared" si="30"/>
        <v/>
      </c>
      <c r="D134" s="25" t="str">
        <f t="shared" si="26"/>
        <v/>
      </c>
      <c r="E134" s="25" t="str">
        <f t="shared" si="26"/>
        <v/>
      </c>
      <c r="F134" s="95">
        <f t="shared" si="41"/>
        <v>9</v>
      </c>
      <c r="G134" s="25">
        <f t="shared" si="42"/>
        <v>12</v>
      </c>
      <c r="H134" s="25" t="str">
        <f t="shared" si="31"/>
        <v>CF</v>
      </c>
      <c r="I134" s="25" t="str">
        <f t="shared" si="32"/>
        <v>CF</v>
      </c>
      <c r="J134" s="25" t="str">
        <f t="shared" si="50"/>
        <v>Child Functioning -- Child #2</v>
      </c>
      <c r="K134" s="108">
        <v>1</v>
      </c>
      <c r="L134" s="95" t="str">
        <f t="shared" ca="1" si="33"/>
        <v/>
      </c>
      <c r="M134" s="25" t="str">
        <f t="shared" ca="1" si="34"/>
        <v/>
      </c>
      <c r="N134" s="25" t="str">
        <f t="shared" ca="1" si="35"/>
        <v/>
      </c>
      <c r="O134" s="25" t="str">
        <f t="shared" ca="1" si="36"/>
        <v/>
      </c>
      <c r="P134" s="91" t="str">
        <f ca="1">IFERROR(IF(AND($X134=3, ISNUMBER($X134)), COUNTIFS(X$18:X134, "=3", $AC$18:$AC134, $AC134), "-"), "err")</f>
        <v>-</v>
      </c>
      <c r="Q134" s="26" t="str">
        <f ca="1">IFERROR(IF(AND($X134=2, ISNUMBER($X134)), COUNTIFS(X$18:X134, "=2", $AC$18:$AC134, $AC134), "-"), "err")</f>
        <v>-</v>
      </c>
      <c r="R134" s="25">
        <f t="shared" ca="1" si="37"/>
        <v>0</v>
      </c>
      <c r="S134" s="26" t="str">
        <f ca="1">IFERROR(IF(AND($X134&gt;=2, ISNUMBER($X134)), COUNTIFS(X$18:X134, "&gt;=2", $AC$18:$AC134, $AC134), "-"), "err")</f>
        <v>-</v>
      </c>
      <c r="T134" s="25">
        <f t="shared" ca="1" si="38"/>
        <v>0</v>
      </c>
      <c r="U134" s="26" t="str">
        <f ca="1">IFERROR(IF(Y134="Yes", COUNTIFS(Y$18:Y134, "Yes", $AC$18:$AC134, $AC134), "-"), "err")</f>
        <v>-</v>
      </c>
      <c r="V134" s="25">
        <f t="shared" ca="1" si="39"/>
        <v>0</v>
      </c>
      <c r="W134" s="26" t="str">
        <f ca="1">IFERROR(IF($Z134="Yes", COUNTIFS(Z$18:Z134, "Yes", $AC$18:AC134, $AC134), "-"), "err")</f>
        <v>-</v>
      </c>
      <c r="X134" s="91">
        <f t="shared" ca="1" si="46"/>
        <v>0</v>
      </c>
      <c r="Y134" s="26" t="str">
        <f t="shared" ca="1" si="47"/>
        <v/>
      </c>
      <c r="Z134" s="26" t="str">
        <f t="shared" ca="1" si="48"/>
        <v/>
      </c>
      <c r="AA134" s="91">
        <f t="shared" si="51"/>
        <v>101</v>
      </c>
      <c r="AB134" s="17" t="s">
        <v>294</v>
      </c>
      <c r="AC134" s="185" t="s">
        <v>294</v>
      </c>
      <c r="AD134" s="87"/>
      <c r="AE134" s="87"/>
      <c r="AF134" s="115"/>
      <c r="AG134" s="201"/>
      <c r="AH134" s="116"/>
      <c r="AI134" s="117"/>
      <c r="AJ134" s="115"/>
      <c r="AK134" s="201"/>
      <c r="AL134" s="116"/>
      <c r="AM134" s="117"/>
      <c r="AN134" s="115"/>
      <c r="AO134" s="201"/>
      <c r="AP134" s="116"/>
      <c r="AQ134" s="117"/>
      <c r="AR134" s="130"/>
    </row>
    <row r="135" spans="1:44" hidden="1" x14ac:dyDescent="0.25">
      <c r="A135" s="41"/>
      <c r="B135" s="25" t="str">
        <f t="shared" si="25"/>
        <v>Child Functioning -- Child #2_13</v>
      </c>
      <c r="C135" s="25" t="str">
        <f t="shared" si="30"/>
        <v/>
      </c>
      <c r="D135" s="25" t="str">
        <f t="shared" si="26"/>
        <v/>
      </c>
      <c r="E135" s="25" t="str">
        <f t="shared" si="26"/>
        <v/>
      </c>
      <c r="F135" s="95">
        <f t="shared" si="41"/>
        <v>9</v>
      </c>
      <c r="G135" s="25">
        <f t="shared" si="42"/>
        <v>13</v>
      </c>
      <c r="H135" s="25" t="str">
        <f t="shared" si="31"/>
        <v>CF</v>
      </c>
      <c r="I135" s="25" t="str">
        <f t="shared" si="32"/>
        <v>CF</v>
      </c>
      <c r="J135" s="25" t="str">
        <f t="shared" si="50"/>
        <v>Child Functioning -- Child #2</v>
      </c>
      <c r="K135" s="108">
        <v>1</v>
      </c>
      <c r="L135" s="95" t="str">
        <f t="shared" ca="1" si="33"/>
        <v/>
      </c>
      <c r="M135" s="25" t="str">
        <f t="shared" ca="1" si="34"/>
        <v/>
      </c>
      <c r="N135" s="25" t="str">
        <f t="shared" ca="1" si="35"/>
        <v/>
      </c>
      <c r="O135" s="25" t="str">
        <f t="shared" ca="1" si="36"/>
        <v/>
      </c>
      <c r="P135" s="91" t="str">
        <f ca="1">IFERROR(IF(AND($X135=3, ISNUMBER($X135)), COUNTIFS(X$18:X135, "=3", $AC$18:$AC135, $AC135), "-"), "err")</f>
        <v>-</v>
      </c>
      <c r="Q135" s="26" t="str">
        <f ca="1">IFERROR(IF(AND($X135=2, ISNUMBER($X135)), COUNTIFS(X$18:X135, "=2", $AC$18:$AC135, $AC135), "-"), "err")</f>
        <v>-</v>
      </c>
      <c r="R135" s="25">
        <f t="shared" ca="1" si="37"/>
        <v>0</v>
      </c>
      <c r="S135" s="26" t="str">
        <f ca="1">IFERROR(IF(AND($X135&gt;=2, ISNUMBER($X135)), COUNTIFS(X$18:X135, "&gt;=2", $AC$18:$AC135, $AC135), "-"), "err")</f>
        <v>-</v>
      </c>
      <c r="T135" s="25">
        <f t="shared" ca="1" si="38"/>
        <v>0</v>
      </c>
      <c r="U135" s="26" t="str">
        <f ca="1">IFERROR(IF(Y135="Yes", COUNTIFS(Y$18:Y135, "Yes", $AC$18:$AC135, $AC135), "-"), "err")</f>
        <v>-</v>
      </c>
      <c r="V135" s="25">
        <f t="shared" ca="1" si="39"/>
        <v>0</v>
      </c>
      <c r="W135" s="26" t="str">
        <f ca="1">IFERROR(IF($Z135="Yes", COUNTIFS(Z$18:Z135, "Yes", $AC$18:AC135, $AC135), "-"), "err")</f>
        <v>-</v>
      </c>
      <c r="X135" s="91">
        <f t="shared" ca="1" si="46"/>
        <v>0</v>
      </c>
      <c r="Y135" s="26" t="str">
        <f t="shared" ca="1" si="47"/>
        <v/>
      </c>
      <c r="Z135" s="26" t="str">
        <f t="shared" ca="1" si="48"/>
        <v/>
      </c>
      <c r="AA135" s="91">
        <f t="shared" si="51"/>
        <v>102</v>
      </c>
      <c r="AB135" s="17" t="s">
        <v>5</v>
      </c>
      <c r="AC135" s="184" t="s">
        <v>5</v>
      </c>
      <c r="AD135" s="54"/>
      <c r="AE135" s="54"/>
      <c r="AF135" s="112"/>
      <c r="AG135" s="200"/>
      <c r="AH135" s="113"/>
      <c r="AI135" s="114"/>
      <c r="AJ135" s="112"/>
      <c r="AK135" s="200"/>
      <c r="AL135" s="113"/>
      <c r="AM135" s="114"/>
      <c r="AN135" s="112"/>
      <c r="AO135" s="200"/>
      <c r="AP135" s="113"/>
      <c r="AQ135" s="114"/>
      <c r="AR135" s="130"/>
    </row>
    <row r="136" spans="1:44" hidden="1" x14ac:dyDescent="0.25">
      <c r="A136" s="41"/>
      <c r="B136" s="25" t="str">
        <f t="shared" si="25"/>
        <v>Child Functioning -- Child #2_14</v>
      </c>
      <c r="C136" s="25" t="str">
        <f t="shared" si="30"/>
        <v/>
      </c>
      <c r="D136" s="25" t="str">
        <f t="shared" si="26"/>
        <v/>
      </c>
      <c r="E136" s="25" t="str">
        <f t="shared" si="26"/>
        <v/>
      </c>
      <c r="F136" s="95">
        <f t="shared" si="41"/>
        <v>9</v>
      </c>
      <c r="G136" s="25">
        <f t="shared" si="42"/>
        <v>14</v>
      </c>
      <c r="H136" s="25" t="str">
        <f t="shared" si="31"/>
        <v>CF</v>
      </c>
      <c r="I136" s="25" t="str">
        <f t="shared" si="32"/>
        <v>CF</v>
      </c>
      <c r="J136" s="25" t="str">
        <f t="shared" si="50"/>
        <v>Child Functioning -- Child #2</v>
      </c>
      <c r="K136" s="108">
        <v>1</v>
      </c>
      <c r="L136" s="95" t="str">
        <f t="shared" ca="1" si="33"/>
        <v/>
      </c>
      <c r="M136" s="25" t="str">
        <f t="shared" ca="1" si="34"/>
        <v/>
      </c>
      <c r="N136" s="25" t="str">
        <f t="shared" ca="1" si="35"/>
        <v/>
      </c>
      <c r="O136" s="25" t="str">
        <f t="shared" ca="1" si="36"/>
        <v/>
      </c>
      <c r="P136" s="91" t="str">
        <f ca="1">IFERROR(IF(AND($X136=3, ISNUMBER($X136)), COUNTIFS(X$18:X136, "=3", $AC$18:$AC136, $AC136), "-"), "err")</f>
        <v>-</v>
      </c>
      <c r="Q136" s="26" t="str">
        <f ca="1">IFERROR(IF(AND($X136=2, ISNUMBER($X136)), COUNTIFS(X$18:X136, "=2", $AC$18:$AC136, $AC136), "-"), "err")</f>
        <v>-</v>
      </c>
      <c r="R136" s="25">
        <f t="shared" ca="1" si="37"/>
        <v>0</v>
      </c>
      <c r="S136" s="26" t="str">
        <f ca="1">IFERROR(IF(AND($X136&gt;=2, ISNUMBER($X136)), COUNTIFS(X$18:X136, "&gt;=2", $AC$18:$AC136, $AC136), "-"), "err")</f>
        <v>-</v>
      </c>
      <c r="T136" s="25">
        <f t="shared" ca="1" si="38"/>
        <v>0</v>
      </c>
      <c r="U136" s="26" t="str">
        <f ca="1">IFERROR(IF(Y136="Yes", COUNTIFS(Y$18:Y136, "Yes", $AC$18:$AC136, $AC136), "-"), "err")</f>
        <v>-</v>
      </c>
      <c r="V136" s="25">
        <f t="shared" ca="1" si="39"/>
        <v>0</v>
      </c>
      <c r="W136" s="26" t="str">
        <f ca="1">IFERROR(IF($Z136="Yes", COUNTIFS(Z$18:Z136, "Yes", $AC$18:AC136, $AC136), "-"), "err")</f>
        <v>-</v>
      </c>
      <c r="X136" s="91">
        <f t="shared" ca="1" si="46"/>
        <v>0</v>
      </c>
      <c r="Y136" s="26" t="str">
        <f t="shared" ca="1" si="47"/>
        <v/>
      </c>
      <c r="Z136" s="26" t="str">
        <f t="shared" ca="1" si="48"/>
        <v/>
      </c>
      <c r="AA136" s="91">
        <f t="shared" si="51"/>
        <v>103</v>
      </c>
      <c r="AB136" s="17" t="s">
        <v>295</v>
      </c>
      <c r="AC136" s="185" t="s">
        <v>295</v>
      </c>
      <c r="AD136" s="87"/>
      <c r="AE136" s="87"/>
      <c r="AF136" s="115"/>
      <c r="AG136" s="201"/>
      <c r="AH136" s="116"/>
      <c r="AI136" s="117"/>
      <c r="AJ136" s="115"/>
      <c r="AK136" s="201"/>
      <c r="AL136" s="116"/>
      <c r="AM136" s="117"/>
      <c r="AN136" s="115"/>
      <c r="AO136" s="201"/>
      <c r="AP136" s="116"/>
      <c r="AQ136" s="117"/>
      <c r="AR136" s="130"/>
    </row>
    <row r="137" spans="1:44" hidden="1" x14ac:dyDescent="0.25">
      <c r="A137" s="41"/>
      <c r="B137" s="25" t="str">
        <f t="shared" si="25"/>
        <v>Child Functioning -- Child #2_15</v>
      </c>
      <c r="C137" s="25" t="str">
        <f t="shared" si="30"/>
        <v/>
      </c>
      <c r="D137" s="25" t="str">
        <f t="shared" si="26"/>
        <v/>
      </c>
      <c r="E137" s="25" t="str">
        <f t="shared" si="26"/>
        <v>Child Functioning -- Child #2</v>
      </c>
      <c r="F137" s="95">
        <f t="shared" si="41"/>
        <v>9</v>
      </c>
      <c r="G137" s="25">
        <f t="shared" si="42"/>
        <v>15</v>
      </c>
      <c r="H137" s="25" t="str">
        <f t="shared" si="31"/>
        <v>CF</v>
      </c>
      <c r="I137" s="25" t="str">
        <f t="shared" si="32"/>
        <v>CF</v>
      </c>
      <c r="J137" s="25" t="str">
        <f t="shared" si="50"/>
        <v>Child Functioning -- Child #2</v>
      </c>
      <c r="K137" s="108">
        <v>1</v>
      </c>
      <c r="L137" s="95" t="str">
        <f t="shared" ca="1" si="33"/>
        <v/>
      </c>
      <c r="M137" s="25" t="str">
        <f t="shared" ca="1" si="34"/>
        <v/>
      </c>
      <c r="N137" s="25" t="str">
        <f t="shared" ca="1" si="35"/>
        <v/>
      </c>
      <c r="O137" s="25" t="str">
        <f t="shared" ca="1" si="36"/>
        <v/>
      </c>
      <c r="P137" s="91" t="str">
        <f ca="1">IFERROR(IF(AND($X137=3, ISNUMBER($X137)), COUNTIFS(X$18:X137, "=3", $AC$18:$AC137, $AC137), "-"), "err")</f>
        <v>-</v>
      </c>
      <c r="Q137" s="26" t="str">
        <f ca="1">IFERROR(IF(AND($X137=2, ISNUMBER($X137)), COUNTIFS(X$18:X137, "=2", $AC$18:$AC137, $AC137), "-"), "err")</f>
        <v>-</v>
      </c>
      <c r="R137" s="25">
        <f t="shared" ca="1" si="37"/>
        <v>0</v>
      </c>
      <c r="S137" s="26" t="str">
        <f ca="1">IFERROR(IF(AND($X137&gt;=2, ISNUMBER($X137)), COUNTIFS(X$18:X137, "&gt;=2", $AC$18:$AC137, $AC137), "-"), "err")</f>
        <v>-</v>
      </c>
      <c r="T137" s="25">
        <f t="shared" ca="1" si="38"/>
        <v>0</v>
      </c>
      <c r="U137" s="26" t="str">
        <f ca="1">IFERROR(IF(Y137="Yes", COUNTIFS(Y$18:Y137, "Yes", $AC$18:$AC137, $AC137), "-"), "err")</f>
        <v>-</v>
      </c>
      <c r="V137" s="25">
        <f t="shared" ca="1" si="39"/>
        <v>0</v>
      </c>
      <c r="W137" s="26" t="str">
        <f ca="1">IFERROR(IF($Z137="Yes", COUNTIFS(Z$18:Z137, "Yes", $AC$18:AC137, $AC137), "-"), "err")</f>
        <v>-</v>
      </c>
      <c r="X137" s="91">
        <f t="shared" ca="1" si="46"/>
        <v>0</v>
      </c>
      <c r="Y137" s="26" t="str">
        <f t="shared" ca="1" si="47"/>
        <v/>
      </c>
      <c r="Z137" s="26" t="str">
        <f t="shared" ca="1" si="48"/>
        <v/>
      </c>
      <c r="AA137" s="91">
        <f t="shared" si="51"/>
        <v>104</v>
      </c>
      <c r="AB137" s="17" t="s">
        <v>32</v>
      </c>
      <c r="AC137" s="184" t="s">
        <v>32</v>
      </c>
      <c r="AD137" s="54"/>
      <c r="AE137" s="54"/>
      <c r="AF137" s="112"/>
      <c r="AG137" s="200"/>
      <c r="AH137" s="122"/>
      <c r="AI137" s="123"/>
      <c r="AJ137" s="112"/>
      <c r="AK137" s="200"/>
      <c r="AL137" s="122"/>
      <c r="AM137" s="123"/>
      <c r="AN137" s="112"/>
      <c r="AO137" s="200"/>
      <c r="AP137" s="122"/>
      <c r="AQ137" s="123"/>
      <c r="AR137" s="130"/>
    </row>
    <row r="138" spans="1:44" hidden="1" x14ac:dyDescent="0.25">
      <c r="A138" s="41"/>
      <c r="B138" s="25" t="str">
        <f t="shared" si="25"/>
        <v>Child Functioning -- Child #3_0</v>
      </c>
      <c r="C138" s="25" t="str">
        <f t="shared" si="30"/>
        <v/>
      </c>
      <c r="D138" s="25" t="str">
        <f t="shared" si="26"/>
        <v/>
      </c>
      <c r="E138" s="25" t="str">
        <f t="shared" si="26"/>
        <v/>
      </c>
      <c r="F138" s="95">
        <f t="shared" si="41"/>
        <v>10</v>
      </c>
      <c r="G138" s="25">
        <f t="shared" si="42"/>
        <v>0</v>
      </c>
      <c r="H138" s="25" t="str">
        <f t="shared" si="31"/>
        <v>CF</v>
      </c>
      <c r="I138" s="25" t="str">
        <f t="shared" si="32"/>
        <v>CF</v>
      </c>
      <c r="J138" s="25" t="str">
        <f t="shared" si="50"/>
        <v>Child Functioning -- Child #3</v>
      </c>
      <c r="K138" s="108">
        <v>0</v>
      </c>
      <c r="L138" s="95" t="str">
        <f t="shared" ca="1" si="33"/>
        <v/>
      </c>
      <c r="M138" s="25" t="str">
        <f t="shared" ca="1" si="34"/>
        <v/>
      </c>
      <c r="N138" s="25" t="str">
        <f t="shared" ca="1" si="35"/>
        <v/>
      </c>
      <c r="O138" s="25" t="str">
        <f t="shared" ca="1" si="36"/>
        <v/>
      </c>
      <c r="P138" s="91" t="str">
        <f ca="1">IFERROR(IF(AND($X138=3, ISNUMBER($X138)), COUNTIFS(X$18:X138, "=3", $AC$18:$AC138, $AC138), "-"), "err")</f>
        <v>-</v>
      </c>
      <c r="Q138" s="26" t="str">
        <f ca="1">IFERROR(IF(AND($X138=2, ISNUMBER($X138)), COUNTIFS(X$18:X138, "=2", $AC$18:$AC138, $AC138), "-"), "err")</f>
        <v>-</v>
      </c>
      <c r="R138" s="25">
        <f t="shared" ca="1" si="37"/>
        <v>0</v>
      </c>
      <c r="S138" s="26" t="str">
        <f ca="1">IFERROR(IF(AND($X138&gt;=2, ISNUMBER($X138)), COUNTIFS(X$18:X138, "&gt;=2", $AC$18:$AC138, $AC138), "-"), "err")</f>
        <v>-</v>
      </c>
      <c r="T138" s="25">
        <f t="shared" ca="1" si="38"/>
        <v>0</v>
      </c>
      <c r="U138" s="26" t="str">
        <f ca="1">IFERROR(IF(Y138="Yes", COUNTIFS(Y$18:Y138, "Yes", $AC$18:$AC138, $AC138), "-"), "err")</f>
        <v>-</v>
      </c>
      <c r="V138" s="25">
        <f t="shared" ca="1" si="39"/>
        <v>0</v>
      </c>
      <c r="W138" s="26" t="str">
        <f ca="1">IFERROR(IF($Z138="Yes", COUNTIFS(Z$18:Z138, "Yes", $AC$18:AC138, $AC138), "-"), "err")</f>
        <v>-</v>
      </c>
      <c r="X138" s="91">
        <f t="shared" ca="1" si="46"/>
        <v>0</v>
      </c>
      <c r="Y138" s="26" t="str">
        <f t="shared" ca="1" si="47"/>
        <v/>
      </c>
      <c r="Z138" s="26" t="str">
        <f t="shared" ca="1" si="48"/>
        <v/>
      </c>
      <c r="AA138" s="91">
        <f t="shared" si="51"/>
        <v>104</v>
      </c>
      <c r="AC138" s="183" t="s">
        <v>328</v>
      </c>
      <c r="AD138" s="61"/>
      <c r="AE138" s="61"/>
      <c r="AF138" s="118"/>
      <c r="AG138" s="119"/>
      <c r="AH138" s="120"/>
      <c r="AI138" s="121"/>
      <c r="AJ138" s="118"/>
      <c r="AK138" s="119"/>
      <c r="AL138" s="120"/>
      <c r="AM138" s="121"/>
      <c r="AN138" s="118"/>
      <c r="AO138" s="119"/>
      <c r="AP138" s="120"/>
      <c r="AQ138" s="121"/>
      <c r="AR138" s="130"/>
    </row>
    <row r="139" spans="1:44" hidden="1" x14ac:dyDescent="0.25">
      <c r="A139" s="41"/>
      <c r="B139" s="25" t="str">
        <f t="shared" si="25"/>
        <v>Child Functioning -- Child #3_0</v>
      </c>
      <c r="C139" s="25" t="str">
        <f t="shared" ref="C139:E140" si="52">IF(H139&lt;&gt;H141, H139, "")</f>
        <v/>
      </c>
      <c r="D139" s="25" t="str">
        <f t="shared" si="52"/>
        <v/>
      </c>
      <c r="E139" s="25" t="str">
        <f t="shared" si="52"/>
        <v/>
      </c>
      <c r="F139" s="95">
        <f t="shared" si="41"/>
        <v>10</v>
      </c>
      <c r="G139" s="25">
        <f t="shared" si="42"/>
        <v>0</v>
      </c>
      <c r="H139" s="25" t="str">
        <f t="shared" si="31"/>
        <v>CF</v>
      </c>
      <c r="I139" s="25" t="str">
        <f t="shared" si="32"/>
        <v>CF</v>
      </c>
      <c r="J139" s="25" t="str">
        <f t="shared" si="50"/>
        <v>Child Functioning -- Child #3</v>
      </c>
      <c r="K139" s="108">
        <v>2</v>
      </c>
      <c r="L139" s="95" t="str">
        <f t="shared" ca="1" si="33"/>
        <v/>
      </c>
      <c r="M139" s="25" t="str">
        <f t="shared" ca="1" si="34"/>
        <v/>
      </c>
      <c r="N139" s="25" t="str">
        <f t="shared" ca="1" si="35"/>
        <v/>
      </c>
      <c r="O139" s="25" t="str">
        <f t="shared" ca="1" si="36"/>
        <v/>
      </c>
      <c r="P139" s="91" t="str">
        <f ca="1">IFERROR(IF(AND($X139=3, ISNUMBER($X139)), COUNTIFS(X$18:X139, "=3", $AC$18:$AC139, $AC139), "-"), "err")</f>
        <v>-</v>
      </c>
      <c r="Q139" s="26" t="str">
        <f ca="1">IFERROR(IF(AND($X139=2, ISNUMBER($X139)), COUNTIFS(X$18:X139, "=2", $AC$18:$AC139, $AC139), "-"), "err")</f>
        <v>-</v>
      </c>
      <c r="R139" s="25">
        <f t="shared" ca="1" si="37"/>
        <v>0</v>
      </c>
      <c r="S139" s="26" t="str">
        <f ca="1">IFERROR(IF(AND($X139&gt;=2, ISNUMBER($X139)), COUNTIFS(X$18:X139, "&gt;=2", $AC$18:$AC139, $AC139), "-"), "err")</f>
        <v>-</v>
      </c>
      <c r="T139" s="25">
        <f t="shared" ca="1" si="38"/>
        <v>0</v>
      </c>
      <c r="U139" s="26" t="str">
        <f ca="1">IFERROR(IF(Y139="Yes", COUNTIFS(Y$18:Y139, "Yes", $AC$18:$AC139, $AC139), "-"), "err")</f>
        <v>-</v>
      </c>
      <c r="V139" s="25">
        <f t="shared" ca="1" si="39"/>
        <v>0</v>
      </c>
      <c r="W139" s="26" t="str">
        <f ca="1">IFERROR(IF($Z139="Yes", COUNTIFS(Z$18:Z139, "Yes", $AC$18:AC139, $AC139), "-"), "err")</f>
        <v>-</v>
      </c>
      <c r="X139" s="91">
        <f t="shared" ca="1" si="46"/>
        <v>0</v>
      </c>
      <c r="Y139" s="26" t="str">
        <f t="shared" ca="1" si="47"/>
        <v/>
      </c>
      <c r="Z139" s="26" t="str">
        <f t="shared" ca="1" si="48"/>
        <v/>
      </c>
      <c r="AA139" s="91">
        <f t="shared" si="51"/>
        <v>104</v>
      </c>
      <c r="AC139" s="133" t="s">
        <v>332</v>
      </c>
      <c r="AD139" s="197"/>
      <c r="AE139" s="61"/>
      <c r="AF139" s="118"/>
      <c r="AG139" s="119"/>
      <c r="AH139" s="120"/>
      <c r="AI139" s="121"/>
      <c r="AJ139" s="118"/>
      <c r="AK139" s="119"/>
      <c r="AL139" s="120"/>
      <c r="AM139" s="121"/>
      <c r="AN139" s="118"/>
      <c r="AO139" s="119"/>
      <c r="AP139" s="120"/>
      <c r="AQ139" s="121"/>
      <c r="AR139" s="130"/>
    </row>
    <row r="140" spans="1:44" hidden="1" x14ac:dyDescent="0.25">
      <c r="A140" s="41"/>
      <c r="B140" s="25" t="str">
        <f>J140&amp;"_"&amp;G140</f>
        <v>Child Functioning -- Child #3_0</v>
      </c>
      <c r="C140" s="25" t="str">
        <f t="shared" si="52"/>
        <v/>
      </c>
      <c r="D140" s="25" t="str">
        <f t="shared" si="52"/>
        <v/>
      </c>
      <c r="E140" s="25" t="str">
        <f t="shared" si="52"/>
        <v/>
      </c>
      <c r="F140" s="95">
        <f>IF(K140=0, IF(ISNUMBER(F139), F139+1, 1), F139)</f>
        <v>10</v>
      </c>
      <c r="G140" s="25">
        <f>IF(K140=0, 0, IF(K140=1, G139+1, G139))</f>
        <v>0</v>
      </c>
      <c r="H140" s="25" t="str">
        <f>IF(OR(I140="FF", I140="CGA"), "FF/CGA", I140)</f>
        <v>CF</v>
      </c>
      <c r="I140" s="25" t="str">
        <f>IF(NOT(ISERROR(SEARCH("Family Functioning", J140))), "FF", IF(NOT(ISERROR(SEARCH("Caregiver Advocacy", J140))), "CGA", IF(NOT(ISERROR(SEARCH("Caregiver Functioning", J140))), "CGF", IF(NOT(ISERROR(SEARCH("Child Functioning", J140))), "CF", ""))))</f>
        <v>CF</v>
      </c>
      <c r="J140" s="25" t="str">
        <f t="shared" si="50"/>
        <v>Child Functioning -- Child #3</v>
      </c>
      <c r="K140" s="108">
        <v>2</v>
      </c>
      <c r="L140" s="95" t="str">
        <f t="shared" ca="1" si="33"/>
        <v/>
      </c>
      <c r="M140" s="25" t="str">
        <f t="shared" ca="1" si="34"/>
        <v/>
      </c>
      <c r="N140" s="25" t="str">
        <f t="shared" ca="1" si="35"/>
        <v/>
      </c>
      <c r="O140" s="25" t="str">
        <f t="shared" ca="1" si="36"/>
        <v/>
      </c>
      <c r="P140" s="91" t="str">
        <f ca="1">IFERROR(IF(AND($X140=3, ISNUMBER($X140)), COUNTIFS(X$18:X140, "=3", $AC$18:$AC140, $AC140), "-"), "err")</f>
        <v>-</v>
      </c>
      <c r="Q140" s="26" t="str">
        <f ca="1">IFERROR(IF(AND($X140=2, ISNUMBER($X140)), COUNTIFS(X$18:X140, "=2", $AC$18:$AC140, $AC140), "-"), "err")</f>
        <v>-</v>
      </c>
      <c r="R140" s="25">
        <f t="shared" ca="1" si="37"/>
        <v>0</v>
      </c>
      <c r="S140" s="26" t="str">
        <f ca="1">IFERROR(IF(AND($X140&gt;=2, ISNUMBER($X140)), COUNTIFS(X$18:X140, "&gt;=2", $AC$18:$AC140, $AC140), "-"), "err")</f>
        <v>-</v>
      </c>
      <c r="T140" s="25">
        <f t="shared" ca="1" si="38"/>
        <v>0</v>
      </c>
      <c r="U140" s="26" t="str">
        <f ca="1">IFERROR(IF(Y140="Yes", COUNTIFS(Y$18:Y140, "Yes", $AC$18:$AC140, $AC140), "-"), "err")</f>
        <v>-</v>
      </c>
      <c r="V140" s="25">
        <f t="shared" ca="1" si="39"/>
        <v>0</v>
      </c>
      <c r="W140" s="26" t="str">
        <f ca="1">IFERROR(IF($Z140="Yes", COUNTIFS(Z$18:Z140, "Yes", $AC$18:AC140, $AC140), "-"), "err")</f>
        <v>-</v>
      </c>
      <c r="X140" s="91">
        <f t="shared" ca="1" si="46"/>
        <v>0</v>
      </c>
      <c r="Y140" s="26" t="str">
        <f t="shared" ca="1" si="47"/>
        <v/>
      </c>
      <c r="Z140" s="26" t="str">
        <f t="shared" ca="1" si="48"/>
        <v/>
      </c>
      <c r="AA140" s="91">
        <f t="shared" si="51"/>
        <v>104</v>
      </c>
      <c r="AC140" s="133" t="s">
        <v>923</v>
      </c>
      <c r="AD140" s="197"/>
      <c r="AE140" s="61"/>
      <c r="AF140" s="118"/>
      <c r="AG140" s="119"/>
      <c r="AH140" s="120"/>
      <c r="AI140" s="121"/>
      <c r="AJ140" s="118"/>
      <c r="AK140" s="119"/>
      <c r="AL140" s="120"/>
      <c r="AM140" s="121"/>
      <c r="AN140" s="118"/>
      <c r="AO140" s="119"/>
      <c r="AP140" s="120"/>
      <c r="AQ140" s="121"/>
      <c r="AR140" s="130"/>
    </row>
    <row r="141" spans="1:44" hidden="1" x14ac:dyDescent="0.25">
      <c r="A141" s="41"/>
      <c r="B141" s="25" t="str">
        <f t="shared" si="25"/>
        <v>Child Functioning -- Child #3_1</v>
      </c>
      <c r="C141" s="25" t="str">
        <f t="shared" si="30"/>
        <v/>
      </c>
      <c r="D141" s="25" t="str">
        <f t="shared" si="26"/>
        <v/>
      </c>
      <c r="E141" s="25" t="str">
        <f t="shared" si="26"/>
        <v/>
      </c>
      <c r="F141" s="95">
        <f>IF(K141=0, IF(ISNUMBER(F139), F139+1, 1), F139)</f>
        <v>10</v>
      </c>
      <c r="G141" s="25">
        <f>IF(K141=0, 0, IF(K141=1, G139+1, G139))</f>
        <v>1</v>
      </c>
      <c r="H141" s="25" t="str">
        <f t="shared" si="31"/>
        <v>CF</v>
      </c>
      <c r="I141" s="25" t="str">
        <f t="shared" si="32"/>
        <v>CF</v>
      </c>
      <c r="J141" s="25" t="str">
        <f>IF(K141=0, AC141, J139)</f>
        <v>Child Functioning -- Child #3</v>
      </c>
      <c r="K141" s="108">
        <v>1</v>
      </c>
      <c r="L141" s="95" t="str">
        <f t="shared" ca="1" si="33"/>
        <v/>
      </c>
      <c r="M141" s="25" t="str">
        <f t="shared" ca="1" si="34"/>
        <v/>
      </c>
      <c r="N141" s="25" t="str">
        <f t="shared" ca="1" si="35"/>
        <v/>
      </c>
      <c r="O141" s="25" t="str">
        <f t="shared" ca="1" si="36"/>
        <v/>
      </c>
      <c r="P141" s="91" t="str">
        <f ca="1">IFERROR(IF(AND($X141=3, ISNUMBER($X141)), COUNTIFS(X$18:X141, "=3", $AC$18:$AC141, $AC141), "-"), "err")</f>
        <v>-</v>
      </c>
      <c r="Q141" s="26" t="str">
        <f ca="1">IFERROR(IF(AND($X141=2, ISNUMBER($X141)), COUNTIFS(X$18:X141, "=2", $AC$18:$AC141, $AC141), "-"), "err")</f>
        <v>-</v>
      </c>
      <c r="R141" s="25">
        <f t="shared" ca="1" si="37"/>
        <v>0</v>
      </c>
      <c r="S141" s="26" t="str">
        <f ca="1">IFERROR(IF(AND($X141&gt;=2, ISNUMBER($X141)), COUNTIFS(X$18:X141, "&gt;=2", $AC$18:$AC141, $AC141), "-"), "err")</f>
        <v>-</v>
      </c>
      <c r="T141" s="25">
        <f t="shared" ca="1" si="38"/>
        <v>0</v>
      </c>
      <c r="U141" s="26" t="str">
        <f ca="1">IFERROR(IF(Y141="Yes", COUNTIFS(Y$18:Y141, "Yes", $AC$18:$AC141, $AC141), "-"), "err")</f>
        <v>-</v>
      </c>
      <c r="V141" s="25">
        <f t="shared" ca="1" si="39"/>
        <v>0</v>
      </c>
      <c r="W141" s="26" t="str">
        <f ca="1">IFERROR(IF($Z141="Yes", COUNTIFS(Z$18:Z141, "Yes", $AC$18:AC141, $AC141), "-"), "err")</f>
        <v>-</v>
      </c>
      <c r="X141" s="91">
        <f t="shared" ca="1" si="46"/>
        <v>0</v>
      </c>
      <c r="Y141" s="26" t="str">
        <f t="shared" ca="1" si="47"/>
        <v/>
      </c>
      <c r="Z141" s="26" t="str">
        <f t="shared" ca="1" si="48"/>
        <v/>
      </c>
      <c r="AA141" s="91">
        <f>AA139+IF(AB141=0, 0, 1)</f>
        <v>105</v>
      </c>
      <c r="AB141" s="17" t="s">
        <v>284</v>
      </c>
      <c r="AC141" s="184" t="s">
        <v>284</v>
      </c>
      <c r="AD141" s="54"/>
      <c r="AE141" s="54"/>
      <c r="AF141" s="112"/>
      <c r="AG141" s="200"/>
      <c r="AH141" s="122"/>
      <c r="AI141" s="123"/>
      <c r="AJ141" s="112"/>
      <c r="AK141" s="200"/>
      <c r="AL141" s="122"/>
      <c r="AM141" s="123"/>
      <c r="AN141" s="112"/>
      <c r="AO141" s="200"/>
      <c r="AP141" s="122"/>
      <c r="AQ141" s="123"/>
      <c r="AR141" s="130"/>
    </row>
    <row r="142" spans="1:44" hidden="1" x14ac:dyDescent="0.25">
      <c r="A142" s="41"/>
      <c r="B142" s="25" t="str">
        <f t="shared" si="25"/>
        <v>Child Functioning -- Child #3_2</v>
      </c>
      <c r="C142" s="25" t="str">
        <f t="shared" si="30"/>
        <v/>
      </c>
      <c r="D142" s="25" t="str">
        <f t="shared" si="26"/>
        <v/>
      </c>
      <c r="E142" s="25" t="str">
        <f t="shared" si="26"/>
        <v/>
      </c>
      <c r="F142" s="95">
        <f t="shared" si="41"/>
        <v>10</v>
      </c>
      <c r="G142" s="25">
        <f t="shared" si="42"/>
        <v>2</v>
      </c>
      <c r="H142" s="25" t="str">
        <f t="shared" si="31"/>
        <v>CF</v>
      </c>
      <c r="I142" s="25" t="str">
        <f t="shared" si="32"/>
        <v>CF</v>
      </c>
      <c r="J142" s="25" t="str">
        <f t="shared" ref="J142:J158" si="53">IF(K142=0, AC142, J141)</f>
        <v>Child Functioning -- Child #3</v>
      </c>
      <c r="K142" s="108">
        <v>1</v>
      </c>
      <c r="L142" s="95" t="str">
        <f t="shared" ca="1" si="33"/>
        <v/>
      </c>
      <c r="M142" s="25" t="str">
        <f t="shared" ca="1" si="34"/>
        <v/>
      </c>
      <c r="N142" s="25" t="str">
        <f t="shared" ca="1" si="35"/>
        <v/>
      </c>
      <c r="O142" s="25" t="str">
        <f t="shared" ca="1" si="36"/>
        <v/>
      </c>
      <c r="P142" s="91" t="str">
        <f ca="1">IFERROR(IF(AND($X142=3, ISNUMBER($X142)), COUNTIFS(X$18:X142, "=3", $AC$18:$AC142, $AC142), "-"), "err")</f>
        <v>-</v>
      </c>
      <c r="Q142" s="26" t="str">
        <f ca="1">IFERROR(IF(AND($X142=2, ISNUMBER($X142)), COUNTIFS(X$18:X142, "=2", $AC$18:$AC142, $AC142), "-"), "err")</f>
        <v>-</v>
      </c>
      <c r="R142" s="25">
        <f t="shared" ca="1" si="37"/>
        <v>0</v>
      </c>
      <c r="S142" s="26" t="str">
        <f ca="1">IFERROR(IF(AND($X142&gt;=2, ISNUMBER($X142)), COUNTIFS(X$18:X142, "&gt;=2", $AC$18:$AC142, $AC142), "-"), "err")</f>
        <v>-</v>
      </c>
      <c r="T142" s="25">
        <f t="shared" ca="1" si="38"/>
        <v>0</v>
      </c>
      <c r="U142" s="26" t="str">
        <f ca="1">IFERROR(IF(Y142="Yes", COUNTIFS(Y$18:Y142, "Yes", $AC$18:$AC142, $AC142), "-"), "err")</f>
        <v>-</v>
      </c>
      <c r="V142" s="25">
        <f t="shared" ca="1" si="39"/>
        <v>0</v>
      </c>
      <c r="W142" s="26" t="str">
        <f ca="1">IFERROR(IF($Z142="Yes", COUNTIFS(Z$18:Z142, "Yes", $AC$18:AC142, $AC142), "-"), "err")</f>
        <v>-</v>
      </c>
      <c r="X142" s="91">
        <f t="shared" ca="1" si="46"/>
        <v>0</v>
      </c>
      <c r="Y142" s="26" t="str">
        <f t="shared" ca="1" si="47"/>
        <v/>
      </c>
      <c r="Z142" s="26" t="str">
        <f t="shared" ca="1" si="48"/>
        <v/>
      </c>
      <c r="AA142" s="91">
        <f t="shared" ref="AA142:AA158" si="54">AA141+IF(AB142=0, 0, 1)</f>
        <v>106</v>
      </c>
      <c r="AB142" s="17" t="s">
        <v>285</v>
      </c>
      <c r="AC142" s="185" t="s">
        <v>285</v>
      </c>
      <c r="AD142" s="87"/>
      <c r="AE142" s="87"/>
      <c r="AF142" s="115"/>
      <c r="AG142" s="201"/>
      <c r="AH142" s="116"/>
      <c r="AI142" s="117"/>
      <c r="AJ142" s="115"/>
      <c r="AK142" s="201"/>
      <c r="AL142" s="116"/>
      <c r="AM142" s="117"/>
      <c r="AN142" s="115"/>
      <c r="AO142" s="201"/>
      <c r="AP142" s="116"/>
      <c r="AQ142" s="117"/>
      <c r="AR142" s="130"/>
    </row>
    <row r="143" spans="1:44" hidden="1" x14ac:dyDescent="0.25">
      <c r="A143" s="41"/>
      <c r="B143" s="25" t="str">
        <f t="shared" si="25"/>
        <v>Child Functioning -- Child #3_3</v>
      </c>
      <c r="C143" s="25" t="str">
        <f t="shared" si="30"/>
        <v/>
      </c>
      <c r="D143" s="25" t="str">
        <f t="shared" si="26"/>
        <v/>
      </c>
      <c r="E143" s="25" t="str">
        <f t="shared" si="26"/>
        <v/>
      </c>
      <c r="F143" s="95">
        <f t="shared" si="41"/>
        <v>10</v>
      </c>
      <c r="G143" s="25">
        <f t="shared" si="42"/>
        <v>3</v>
      </c>
      <c r="H143" s="25" t="str">
        <f t="shared" si="31"/>
        <v>CF</v>
      </c>
      <c r="I143" s="25" t="str">
        <f t="shared" si="32"/>
        <v>CF</v>
      </c>
      <c r="J143" s="25" t="str">
        <f t="shared" si="53"/>
        <v>Child Functioning -- Child #3</v>
      </c>
      <c r="K143" s="108">
        <v>1</v>
      </c>
      <c r="L143" s="95" t="str">
        <f t="shared" ca="1" si="33"/>
        <v/>
      </c>
      <c r="M143" s="25" t="str">
        <f t="shared" ca="1" si="34"/>
        <v/>
      </c>
      <c r="N143" s="25" t="str">
        <f t="shared" ca="1" si="35"/>
        <v/>
      </c>
      <c r="O143" s="25" t="str">
        <f t="shared" ca="1" si="36"/>
        <v/>
      </c>
      <c r="P143" s="91" t="str">
        <f ca="1">IFERROR(IF(AND($X143=3, ISNUMBER($X143)), COUNTIFS(X$18:X143, "=3", $AC$18:$AC143, $AC143), "-"), "err")</f>
        <v>-</v>
      </c>
      <c r="Q143" s="26" t="str">
        <f ca="1">IFERROR(IF(AND($X143=2, ISNUMBER($X143)), COUNTIFS(X$18:X143, "=2", $AC$18:$AC143, $AC143), "-"), "err")</f>
        <v>-</v>
      </c>
      <c r="R143" s="25">
        <f t="shared" ca="1" si="37"/>
        <v>0</v>
      </c>
      <c r="S143" s="26" t="str">
        <f ca="1">IFERROR(IF(AND($X143&gt;=2, ISNUMBER($X143)), COUNTIFS(X$18:X143, "&gt;=2", $AC$18:$AC143, $AC143), "-"), "err")</f>
        <v>-</v>
      </c>
      <c r="T143" s="25">
        <f t="shared" ca="1" si="38"/>
        <v>0</v>
      </c>
      <c r="U143" s="26" t="str">
        <f ca="1">IFERROR(IF(Y143="Yes", COUNTIFS(Y$18:Y143, "Yes", $AC$18:$AC143, $AC143), "-"), "err")</f>
        <v>-</v>
      </c>
      <c r="V143" s="25">
        <f t="shared" ca="1" si="39"/>
        <v>0</v>
      </c>
      <c r="W143" s="26" t="str">
        <f ca="1">IFERROR(IF($Z143="Yes", COUNTIFS(Z$18:Z143, "Yes", $AC$18:AC143, $AC143), "-"), "err")</f>
        <v>-</v>
      </c>
      <c r="X143" s="91">
        <f t="shared" ca="1" si="46"/>
        <v>0</v>
      </c>
      <c r="Y143" s="26" t="str">
        <f t="shared" ca="1" si="47"/>
        <v/>
      </c>
      <c r="Z143" s="26" t="str">
        <f t="shared" ca="1" si="48"/>
        <v/>
      </c>
      <c r="AA143" s="91">
        <f t="shared" si="54"/>
        <v>107</v>
      </c>
      <c r="AB143" s="17" t="s">
        <v>287</v>
      </c>
      <c r="AC143" s="184" t="s">
        <v>287</v>
      </c>
      <c r="AD143" s="54"/>
      <c r="AE143" s="54"/>
      <c r="AF143" s="112"/>
      <c r="AG143" s="200"/>
      <c r="AH143" s="113"/>
      <c r="AI143" s="114"/>
      <c r="AJ143" s="112"/>
      <c r="AK143" s="200"/>
      <c r="AL143" s="113"/>
      <c r="AM143" s="114"/>
      <c r="AN143" s="112"/>
      <c r="AO143" s="200"/>
      <c r="AP143" s="113"/>
      <c r="AQ143" s="114"/>
      <c r="AR143" s="130"/>
    </row>
    <row r="144" spans="1:44" hidden="1" x14ac:dyDescent="0.25">
      <c r="A144" s="41"/>
      <c r="B144" s="25" t="str">
        <f t="shared" si="25"/>
        <v>Child Functioning -- Child #3_4</v>
      </c>
      <c r="C144" s="25" t="str">
        <f t="shared" si="30"/>
        <v/>
      </c>
      <c r="D144" s="25" t="str">
        <f t="shared" si="26"/>
        <v/>
      </c>
      <c r="E144" s="25" t="str">
        <f t="shared" si="26"/>
        <v/>
      </c>
      <c r="F144" s="95">
        <f t="shared" si="41"/>
        <v>10</v>
      </c>
      <c r="G144" s="25">
        <f t="shared" si="42"/>
        <v>4</v>
      </c>
      <c r="H144" s="25" t="str">
        <f t="shared" si="31"/>
        <v>CF</v>
      </c>
      <c r="I144" s="25" t="str">
        <f t="shared" si="32"/>
        <v>CF</v>
      </c>
      <c r="J144" s="25" t="str">
        <f t="shared" si="53"/>
        <v>Child Functioning -- Child #3</v>
      </c>
      <c r="K144" s="108">
        <v>1</v>
      </c>
      <c r="L144" s="95" t="str">
        <f t="shared" ca="1" si="33"/>
        <v/>
      </c>
      <c r="M144" s="25" t="str">
        <f t="shared" ca="1" si="34"/>
        <v/>
      </c>
      <c r="N144" s="25" t="str">
        <f t="shared" ca="1" si="35"/>
        <v/>
      </c>
      <c r="O144" s="25" t="str">
        <f t="shared" ca="1" si="36"/>
        <v/>
      </c>
      <c r="P144" s="91" t="str">
        <f ca="1">IFERROR(IF(AND($X144=3, ISNUMBER($X144)), COUNTIFS(X$18:X144, "=3", $AC$18:$AC144, $AC144), "-"), "err")</f>
        <v>-</v>
      </c>
      <c r="Q144" s="26" t="str">
        <f ca="1">IFERROR(IF(AND($X144=2, ISNUMBER($X144)), COUNTIFS(X$18:X144, "=2", $AC$18:$AC144, $AC144), "-"), "err")</f>
        <v>-</v>
      </c>
      <c r="R144" s="25">
        <f t="shared" ca="1" si="37"/>
        <v>0</v>
      </c>
      <c r="S144" s="26" t="str">
        <f ca="1">IFERROR(IF(AND($X144&gt;=2, ISNUMBER($X144)), COUNTIFS(X$18:X144, "&gt;=2", $AC$18:$AC144, $AC144), "-"), "err")</f>
        <v>-</v>
      </c>
      <c r="T144" s="25">
        <f t="shared" ca="1" si="38"/>
        <v>0</v>
      </c>
      <c r="U144" s="26" t="str">
        <f ca="1">IFERROR(IF(Y144="Yes", COUNTIFS(Y$18:Y144, "Yes", $AC$18:$AC144, $AC144), "-"), "err")</f>
        <v>-</v>
      </c>
      <c r="V144" s="25">
        <f t="shared" ca="1" si="39"/>
        <v>0</v>
      </c>
      <c r="W144" s="26" t="str">
        <f ca="1">IFERROR(IF($Z144="Yes", COUNTIFS(Z$18:Z144, "Yes", $AC$18:AC144, $AC144), "-"), "err")</f>
        <v>-</v>
      </c>
      <c r="X144" s="91">
        <f t="shared" ca="1" si="46"/>
        <v>0</v>
      </c>
      <c r="Y144" s="26" t="str">
        <f t="shared" ca="1" si="47"/>
        <v/>
      </c>
      <c r="Z144" s="26" t="str">
        <f t="shared" ca="1" si="48"/>
        <v/>
      </c>
      <c r="AA144" s="91">
        <f t="shared" si="54"/>
        <v>108</v>
      </c>
      <c r="AB144" s="17" t="s">
        <v>482</v>
      </c>
      <c r="AC144" s="185" t="s">
        <v>286</v>
      </c>
      <c r="AD144" s="87"/>
      <c r="AE144" s="87"/>
      <c r="AF144" s="115"/>
      <c r="AG144" s="201"/>
      <c r="AH144" s="116"/>
      <c r="AI144" s="117"/>
      <c r="AJ144" s="115"/>
      <c r="AK144" s="201"/>
      <c r="AL144" s="116"/>
      <c r="AM144" s="117"/>
      <c r="AN144" s="115"/>
      <c r="AO144" s="201"/>
      <c r="AP144" s="116"/>
      <c r="AQ144" s="117"/>
      <c r="AR144" s="130"/>
    </row>
    <row r="145" spans="1:44" hidden="1" x14ac:dyDescent="0.25">
      <c r="A145" s="41"/>
      <c r="B145" s="25" t="str">
        <f t="shared" si="25"/>
        <v>Child Functioning -- Child #3_5</v>
      </c>
      <c r="C145" s="25" t="str">
        <f t="shared" si="30"/>
        <v/>
      </c>
      <c r="D145" s="25" t="str">
        <f t="shared" si="26"/>
        <v/>
      </c>
      <c r="E145" s="25" t="str">
        <f t="shared" si="26"/>
        <v/>
      </c>
      <c r="F145" s="95">
        <f t="shared" si="41"/>
        <v>10</v>
      </c>
      <c r="G145" s="25">
        <f t="shared" si="42"/>
        <v>5</v>
      </c>
      <c r="H145" s="25" t="str">
        <f t="shared" si="31"/>
        <v>CF</v>
      </c>
      <c r="I145" s="25" t="str">
        <f t="shared" si="32"/>
        <v>CF</v>
      </c>
      <c r="J145" s="25" t="str">
        <f t="shared" si="53"/>
        <v>Child Functioning -- Child #3</v>
      </c>
      <c r="K145" s="108">
        <v>1</v>
      </c>
      <c r="L145" s="95" t="str">
        <f t="shared" ca="1" si="33"/>
        <v/>
      </c>
      <c r="M145" s="25" t="str">
        <f t="shared" ca="1" si="34"/>
        <v/>
      </c>
      <c r="N145" s="25" t="str">
        <f t="shared" ca="1" si="35"/>
        <v/>
      </c>
      <c r="O145" s="25" t="str">
        <f t="shared" ca="1" si="36"/>
        <v/>
      </c>
      <c r="P145" s="91" t="str">
        <f ca="1">IFERROR(IF(AND($X145=3, ISNUMBER($X145)), COUNTIFS(X$18:X145, "=3", $AC$18:$AC145, $AC145), "-"), "err")</f>
        <v>-</v>
      </c>
      <c r="Q145" s="26" t="str">
        <f ca="1">IFERROR(IF(AND($X145=2, ISNUMBER($X145)), COUNTIFS(X$18:X145, "=2", $AC$18:$AC145, $AC145), "-"), "err")</f>
        <v>-</v>
      </c>
      <c r="R145" s="25">
        <f t="shared" ca="1" si="37"/>
        <v>0</v>
      </c>
      <c r="S145" s="26" t="str">
        <f ca="1">IFERROR(IF(AND($X145&gt;=2, ISNUMBER($X145)), COUNTIFS(X$18:X145, "&gt;=2", $AC$18:$AC145, $AC145), "-"), "err")</f>
        <v>-</v>
      </c>
      <c r="T145" s="25">
        <f t="shared" ca="1" si="38"/>
        <v>0</v>
      </c>
      <c r="U145" s="26" t="str">
        <f ca="1">IFERROR(IF(Y145="Yes", COUNTIFS(Y$18:Y145, "Yes", $AC$18:$AC145, $AC145), "-"), "err")</f>
        <v>-</v>
      </c>
      <c r="V145" s="25">
        <f t="shared" ca="1" si="39"/>
        <v>0</v>
      </c>
      <c r="W145" s="26" t="str">
        <f ca="1">IFERROR(IF($Z145="Yes", COUNTIFS(Z$18:Z145, "Yes", $AC$18:AC145, $AC145), "-"), "err")</f>
        <v>-</v>
      </c>
      <c r="X145" s="91">
        <f t="shared" ca="1" si="46"/>
        <v>0</v>
      </c>
      <c r="Y145" s="26" t="str">
        <f t="shared" ca="1" si="47"/>
        <v/>
      </c>
      <c r="Z145" s="26" t="str">
        <f t="shared" ca="1" si="48"/>
        <v/>
      </c>
      <c r="AA145" s="91">
        <f t="shared" si="54"/>
        <v>109</v>
      </c>
      <c r="AB145" s="17" t="s">
        <v>288</v>
      </c>
      <c r="AC145" s="184" t="s">
        <v>288</v>
      </c>
      <c r="AD145" s="54"/>
      <c r="AE145" s="54"/>
      <c r="AF145" s="112"/>
      <c r="AG145" s="200"/>
      <c r="AH145" s="113"/>
      <c r="AI145" s="114"/>
      <c r="AJ145" s="112"/>
      <c r="AK145" s="200"/>
      <c r="AL145" s="113"/>
      <c r="AM145" s="114"/>
      <c r="AN145" s="112"/>
      <c r="AO145" s="200"/>
      <c r="AP145" s="113"/>
      <c r="AQ145" s="114"/>
      <c r="AR145" s="130"/>
    </row>
    <row r="146" spans="1:44" hidden="1" x14ac:dyDescent="0.25">
      <c r="A146" s="41"/>
      <c r="B146" s="25" t="str">
        <f t="shared" si="25"/>
        <v>Child Functioning -- Child #3_6</v>
      </c>
      <c r="C146" s="25" t="str">
        <f t="shared" si="30"/>
        <v/>
      </c>
      <c r="D146" s="25" t="str">
        <f t="shared" si="26"/>
        <v/>
      </c>
      <c r="E146" s="25" t="str">
        <f t="shared" si="26"/>
        <v/>
      </c>
      <c r="F146" s="95">
        <f t="shared" si="41"/>
        <v>10</v>
      </c>
      <c r="G146" s="25">
        <f t="shared" si="42"/>
        <v>6</v>
      </c>
      <c r="H146" s="25" t="str">
        <f t="shared" si="31"/>
        <v>CF</v>
      </c>
      <c r="I146" s="25" t="str">
        <f t="shared" si="32"/>
        <v>CF</v>
      </c>
      <c r="J146" s="25" t="str">
        <f t="shared" si="53"/>
        <v>Child Functioning -- Child #3</v>
      </c>
      <c r="K146" s="108">
        <v>1</v>
      </c>
      <c r="L146" s="95" t="str">
        <f t="shared" ca="1" si="33"/>
        <v/>
      </c>
      <c r="M146" s="25" t="str">
        <f t="shared" ca="1" si="34"/>
        <v/>
      </c>
      <c r="N146" s="25" t="str">
        <f t="shared" ca="1" si="35"/>
        <v/>
      </c>
      <c r="O146" s="25" t="str">
        <f t="shared" ca="1" si="36"/>
        <v/>
      </c>
      <c r="P146" s="91" t="str">
        <f ca="1">IFERROR(IF(AND($X146=3, ISNUMBER($X146)), COUNTIFS(X$18:X146, "=3", $AC$18:$AC146, $AC146), "-"), "err")</f>
        <v>-</v>
      </c>
      <c r="Q146" s="26" t="str">
        <f ca="1">IFERROR(IF(AND($X146=2, ISNUMBER($X146)), COUNTIFS(X$18:X146, "=2", $AC$18:$AC146, $AC146), "-"), "err")</f>
        <v>-</v>
      </c>
      <c r="R146" s="25">
        <f t="shared" ca="1" si="37"/>
        <v>0</v>
      </c>
      <c r="S146" s="26" t="str">
        <f ca="1">IFERROR(IF(AND($X146&gt;=2, ISNUMBER($X146)), COUNTIFS(X$18:X146, "&gt;=2", $AC$18:$AC146, $AC146), "-"), "err")</f>
        <v>-</v>
      </c>
      <c r="T146" s="25">
        <f t="shared" ca="1" si="38"/>
        <v>0</v>
      </c>
      <c r="U146" s="26" t="str">
        <f ca="1">IFERROR(IF(Y146="Yes", COUNTIFS(Y$18:Y146, "Yes", $AC$18:$AC146, $AC146), "-"), "err")</f>
        <v>-</v>
      </c>
      <c r="V146" s="25">
        <f t="shared" ca="1" si="39"/>
        <v>0</v>
      </c>
      <c r="W146" s="26" t="str">
        <f ca="1">IFERROR(IF($Z146="Yes", COUNTIFS(Z$18:Z146, "Yes", $AC$18:AC146, $AC146), "-"), "err")</f>
        <v>-</v>
      </c>
      <c r="X146" s="91">
        <f t="shared" ca="1" si="46"/>
        <v>0</v>
      </c>
      <c r="Y146" s="26" t="str">
        <f t="shared" ca="1" si="47"/>
        <v/>
      </c>
      <c r="Z146" s="26" t="str">
        <f t="shared" ca="1" si="48"/>
        <v/>
      </c>
      <c r="AA146" s="91">
        <f t="shared" si="54"/>
        <v>110</v>
      </c>
      <c r="AB146" s="17" t="s">
        <v>289</v>
      </c>
      <c r="AC146" s="185" t="s">
        <v>289</v>
      </c>
      <c r="AD146" s="87"/>
      <c r="AE146" s="87"/>
      <c r="AF146" s="115"/>
      <c r="AG146" s="201"/>
      <c r="AH146" s="116"/>
      <c r="AI146" s="117"/>
      <c r="AJ146" s="115"/>
      <c r="AK146" s="201"/>
      <c r="AL146" s="116"/>
      <c r="AM146" s="117"/>
      <c r="AN146" s="115"/>
      <c r="AO146" s="201"/>
      <c r="AP146" s="116"/>
      <c r="AQ146" s="117"/>
      <c r="AR146" s="130"/>
    </row>
    <row r="147" spans="1:44" hidden="1" x14ac:dyDescent="0.25">
      <c r="A147" s="41"/>
      <c r="B147" s="25" t="str">
        <f t="shared" si="25"/>
        <v>Child Functioning -- Child #3_7</v>
      </c>
      <c r="C147" s="25" t="str">
        <f t="shared" si="30"/>
        <v/>
      </c>
      <c r="D147" s="25" t="str">
        <f t="shared" si="26"/>
        <v/>
      </c>
      <c r="E147" s="25" t="str">
        <f t="shared" si="26"/>
        <v/>
      </c>
      <c r="F147" s="95">
        <f t="shared" si="41"/>
        <v>10</v>
      </c>
      <c r="G147" s="25">
        <f t="shared" si="42"/>
        <v>7</v>
      </c>
      <c r="H147" s="25" t="str">
        <f t="shared" si="31"/>
        <v>CF</v>
      </c>
      <c r="I147" s="25" t="str">
        <f t="shared" si="32"/>
        <v>CF</v>
      </c>
      <c r="J147" s="25" t="str">
        <f t="shared" si="53"/>
        <v>Child Functioning -- Child #3</v>
      </c>
      <c r="K147" s="108">
        <v>1</v>
      </c>
      <c r="L147" s="95" t="str">
        <f t="shared" ref="L147:L209" ca="1" si="55">IF($J147=$J146, L146, "")&amp;IF(P147=1, IF(L146="",  "", ", ")&amp;$AC147, "")</f>
        <v/>
      </c>
      <c r="M147" s="25" t="str">
        <f t="shared" ref="M147:M209" ca="1" si="56">IF($J147=$J146, M146, "")&amp;IF(Q147=1, IF(M146="",  "", ", ")&amp;$AC147, "")</f>
        <v/>
      </c>
      <c r="N147" s="25" t="str">
        <f t="shared" ref="N147:N209" ca="1" si="57">IF($H147=$H146, N146, "")&amp;IF(U147=1, IF(N146="",  "", ", ")&amp;$AC147, "")</f>
        <v/>
      </c>
      <c r="O147" s="25" t="str">
        <f t="shared" ref="O147:O209" ca="1" si="58">IF($H147=$H146, O146, "")&amp;IF(W147=1, IF(O146="",  "", ", ")&amp;$AC147, "")</f>
        <v/>
      </c>
      <c r="P147" s="91" t="str">
        <f ca="1">IFERROR(IF(AND($X147=3, ISNUMBER($X147)), COUNTIFS(X$18:X147, "=3", $AC$18:$AC147, $AC147), "-"), "err")</f>
        <v>-</v>
      </c>
      <c r="Q147" s="26" t="str">
        <f ca="1">IFERROR(IF(AND($X147=2, ISNUMBER($X147)), COUNTIFS(X$18:X147, "=2", $AC$18:$AC147, $AC147), "-"), "err")</f>
        <v>-</v>
      </c>
      <c r="R147" s="25">
        <f t="shared" ref="R147:R209" ca="1" si="59">R146+IF(AND(S147&lt;&gt;"-", S147&gt;0), 1, 0)</f>
        <v>0</v>
      </c>
      <c r="S147" s="26" t="str">
        <f ca="1">IFERROR(IF(AND($X147&gt;=2, ISNUMBER($X147)), COUNTIFS(X$18:X147, "&gt;=2", $AC$18:$AC147, $AC147), "-"), "err")</f>
        <v>-</v>
      </c>
      <c r="T147" s="25">
        <f t="shared" ref="T147:T209" ca="1" si="60">T146+IF(AND(U147&lt;&gt;"-", U147&gt;0), 1, 0)</f>
        <v>0</v>
      </c>
      <c r="U147" s="26" t="str">
        <f ca="1">IFERROR(IF(Y147="Yes", COUNTIFS(Y$18:Y147, "Yes", $AC$18:$AC147, $AC147), "-"), "err")</f>
        <v>-</v>
      </c>
      <c r="V147" s="25">
        <f t="shared" ref="V147:V209" ca="1" si="61">V146+IF(AND(W147&lt;&gt;"-", W147&gt;0), 1, 0)</f>
        <v>0</v>
      </c>
      <c r="W147" s="26" t="str">
        <f ca="1">IFERROR(IF($Z147="Yes", COUNTIFS(Z$18:Z147, "Yes", $AC$18:AC147, $AC147), "-"), "err")</f>
        <v>-</v>
      </c>
      <c r="X147" s="91">
        <f t="shared" ca="1" si="46"/>
        <v>0</v>
      </c>
      <c r="Y147" s="26" t="str">
        <f t="shared" ca="1" si="47"/>
        <v/>
      </c>
      <c r="Z147" s="26" t="str">
        <f t="shared" ca="1" si="48"/>
        <v/>
      </c>
      <c r="AA147" s="91">
        <f t="shared" si="54"/>
        <v>111</v>
      </c>
      <c r="AB147" s="17" t="s">
        <v>132</v>
      </c>
      <c r="AC147" s="184" t="s">
        <v>132</v>
      </c>
      <c r="AD147" s="54"/>
      <c r="AE147" s="54"/>
      <c r="AF147" s="112"/>
      <c r="AG147" s="200"/>
      <c r="AH147" s="113"/>
      <c r="AI147" s="114"/>
      <c r="AJ147" s="112"/>
      <c r="AK147" s="200"/>
      <c r="AL147" s="113"/>
      <c r="AM147" s="114"/>
      <c r="AN147" s="112"/>
      <c r="AO147" s="200"/>
      <c r="AP147" s="113"/>
      <c r="AQ147" s="114"/>
      <c r="AR147" s="130"/>
    </row>
    <row r="148" spans="1:44" hidden="1" x14ac:dyDescent="0.25">
      <c r="A148" s="41"/>
      <c r="B148" s="25" t="str">
        <f t="shared" si="25"/>
        <v>Child Functioning -- Child #3_8</v>
      </c>
      <c r="C148" s="25" t="str">
        <f t="shared" si="30"/>
        <v/>
      </c>
      <c r="D148" s="25" t="str">
        <f t="shared" si="26"/>
        <v/>
      </c>
      <c r="E148" s="25" t="str">
        <f t="shared" si="26"/>
        <v/>
      </c>
      <c r="F148" s="95">
        <f t="shared" si="41"/>
        <v>10</v>
      </c>
      <c r="G148" s="25">
        <f t="shared" si="42"/>
        <v>8</v>
      </c>
      <c r="H148" s="25" t="str">
        <f t="shared" si="31"/>
        <v>CF</v>
      </c>
      <c r="I148" s="25" t="str">
        <f t="shared" si="32"/>
        <v>CF</v>
      </c>
      <c r="J148" s="25" t="str">
        <f t="shared" si="53"/>
        <v>Child Functioning -- Child #3</v>
      </c>
      <c r="K148" s="108">
        <v>1</v>
      </c>
      <c r="L148" s="95" t="str">
        <f t="shared" ca="1" si="55"/>
        <v/>
      </c>
      <c r="M148" s="25" t="str">
        <f t="shared" ca="1" si="56"/>
        <v/>
      </c>
      <c r="N148" s="25" t="str">
        <f t="shared" ca="1" si="57"/>
        <v/>
      </c>
      <c r="O148" s="25" t="str">
        <f t="shared" ca="1" si="58"/>
        <v/>
      </c>
      <c r="P148" s="91" t="str">
        <f ca="1">IFERROR(IF(AND($X148=3, ISNUMBER($X148)), COUNTIFS(X$18:X148, "=3", $AC$18:$AC148, $AC148), "-"), "err")</f>
        <v>-</v>
      </c>
      <c r="Q148" s="26" t="str">
        <f ca="1">IFERROR(IF(AND($X148=2, ISNUMBER($X148)), COUNTIFS(X$18:X148, "=2", $AC$18:$AC148, $AC148), "-"), "err")</f>
        <v>-</v>
      </c>
      <c r="R148" s="25">
        <f t="shared" ca="1" si="59"/>
        <v>0</v>
      </c>
      <c r="S148" s="26" t="str">
        <f ca="1">IFERROR(IF(AND($X148&gt;=2, ISNUMBER($X148)), COUNTIFS(X$18:X148, "&gt;=2", $AC$18:$AC148, $AC148), "-"), "err")</f>
        <v>-</v>
      </c>
      <c r="T148" s="25">
        <f t="shared" ca="1" si="60"/>
        <v>0</v>
      </c>
      <c r="U148" s="26" t="str">
        <f ca="1">IFERROR(IF(Y148="Yes", COUNTIFS(Y$18:Y148, "Yes", $AC$18:$AC148, $AC148), "-"), "err")</f>
        <v>-</v>
      </c>
      <c r="V148" s="25">
        <f t="shared" ca="1" si="61"/>
        <v>0</v>
      </c>
      <c r="W148" s="26" t="str">
        <f ca="1">IFERROR(IF($Z148="Yes", COUNTIFS(Z$18:Z148, "Yes", $AC$18:AC148, $AC148), "-"), "err")</f>
        <v>-</v>
      </c>
      <c r="X148" s="91">
        <f t="shared" ca="1" si="46"/>
        <v>0</v>
      </c>
      <c r="Y148" s="26" t="str">
        <f t="shared" ca="1" si="47"/>
        <v/>
      </c>
      <c r="Z148" s="26" t="str">
        <f t="shared" ca="1" si="48"/>
        <v/>
      </c>
      <c r="AA148" s="91">
        <f t="shared" si="54"/>
        <v>112</v>
      </c>
      <c r="AB148" s="17" t="s">
        <v>290</v>
      </c>
      <c r="AC148" s="185" t="s">
        <v>290</v>
      </c>
      <c r="AD148" s="87"/>
      <c r="AE148" s="87"/>
      <c r="AF148" s="115"/>
      <c r="AG148" s="201"/>
      <c r="AH148" s="116"/>
      <c r="AI148" s="117"/>
      <c r="AJ148" s="115"/>
      <c r="AK148" s="201"/>
      <c r="AL148" s="116"/>
      <c r="AM148" s="117"/>
      <c r="AN148" s="115"/>
      <c r="AO148" s="201"/>
      <c r="AP148" s="116"/>
      <c r="AQ148" s="117"/>
      <c r="AR148" s="130"/>
    </row>
    <row r="149" spans="1:44" hidden="1" x14ac:dyDescent="0.25">
      <c r="A149" s="41"/>
      <c r="B149" s="25" t="str">
        <f t="shared" ref="B149:B209" si="62">J149&amp;"_"&amp;G149</f>
        <v>Child Functioning -- Child #3_9</v>
      </c>
      <c r="C149" s="25" t="str">
        <f t="shared" si="30"/>
        <v/>
      </c>
      <c r="D149" s="25" t="str">
        <f t="shared" ref="D149:E209" si="63">IF(I149&lt;&gt;I150, I149, "")</f>
        <v/>
      </c>
      <c r="E149" s="25" t="str">
        <f t="shared" si="63"/>
        <v/>
      </c>
      <c r="F149" s="95">
        <f t="shared" si="41"/>
        <v>10</v>
      </c>
      <c r="G149" s="25">
        <f t="shared" si="42"/>
        <v>9</v>
      </c>
      <c r="H149" s="25" t="str">
        <f t="shared" si="31"/>
        <v>CF</v>
      </c>
      <c r="I149" s="25" t="str">
        <f t="shared" si="32"/>
        <v>CF</v>
      </c>
      <c r="J149" s="25" t="str">
        <f t="shared" si="53"/>
        <v>Child Functioning -- Child #3</v>
      </c>
      <c r="K149" s="108">
        <v>1</v>
      </c>
      <c r="L149" s="95" t="str">
        <f t="shared" ca="1" si="55"/>
        <v/>
      </c>
      <c r="M149" s="25" t="str">
        <f t="shared" ca="1" si="56"/>
        <v/>
      </c>
      <c r="N149" s="25" t="str">
        <f t="shared" ca="1" si="57"/>
        <v/>
      </c>
      <c r="O149" s="25" t="str">
        <f t="shared" ca="1" si="58"/>
        <v/>
      </c>
      <c r="P149" s="91" t="str">
        <f ca="1">IFERROR(IF(AND($X149=3, ISNUMBER($X149)), COUNTIFS(X$18:X149, "=3", $AC$18:$AC149, $AC149), "-"), "err")</f>
        <v>-</v>
      </c>
      <c r="Q149" s="26" t="str">
        <f ca="1">IFERROR(IF(AND($X149=2, ISNUMBER($X149)), COUNTIFS(X$18:X149, "=2", $AC$18:$AC149, $AC149), "-"), "err")</f>
        <v>-</v>
      </c>
      <c r="R149" s="25">
        <f t="shared" ca="1" si="59"/>
        <v>0</v>
      </c>
      <c r="S149" s="26" t="str">
        <f ca="1">IFERROR(IF(AND($X149&gt;=2, ISNUMBER($X149)), COUNTIFS(X$18:X149, "&gt;=2", $AC$18:$AC149, $AC149), "-"), "err")</f>
        <v>-</v>
      </c>
      <c r="T149" s="25">
        <f t="shared" ca="1" si="60"/>
        <v>0</v>
      </c>
      <c r="U149" s="26" t="str">
        <f ca="1">IFERROR(IF(Y149="Yes", COUNTIFS(Y$18:Y149, "Yes", $AC$18:$AC149, $AC149), "-"), "err")</f>
        <v>-</v>
      </c>
      <c r="V149" s="25">
        <f t="shared" ca="1" si="61"/>
        <v>0</v>
      </c>
      <c r="W149" s="26" t="str">
        <f ca="1">IFERROR(IF($Z149="Yes", COUNTIFS(Z$18:Z149, "Yes", $AC$18:AC149, $AC149), "-"), "err")</f>
        <v>-</v>
      </c>
      <c r="X149" s="91">
        <f t="shared" ca="1" si="46"/>
        <v>0</v>
      </c>
      <c r="Y149" s="26" t="str">
        <f t="shared" ref="Y149:Y182" ca="1" si="64">T(INDIRECT(ADDRESS(ROW(), lastAssessCol+2)))</f>
        <v/>
      </c>
      <c r="Z149" s="26" t="str">
        <f t="shared" ref="Z149:Z182" ca="1" si="65">T(INDIRECT(ADDRESS(ROW(), lastAssessCol+3)))</f>
        <v/>
      </c>
      <c r="AA149" s="91">
        <f t="shared" si="54"/>
        <v>113</v>
      </c>
      <c r="AB149" s="17" t="s">
        <v>291</v>
      </c>
      <c r="AC149" s="184" t="s">
        <v>291</v>
      </c>
      <c r="AD149" s="54"/>
      <c r="AE149" s="54"/>
      <c r="AF149" s="112"/>
      <c r="AG149" s="200"/>
      <c r="AH149" s="113"/>
      <c r="AI149" s="114"/>
      <c r="AJ149" s="112"/>
      <c r="AK149" s="200"/>
      <c r="AL149" s="113"/>
      <c r="AM149" s="114"/>
      <c r="AN149" s="112"/>
      <c r="AO149" s="200"/>
      <c r="AP149" s="113"/>
      <c r="AQ149" s="114"/>
      <c r="AR149" s="130"/>
    </row>
    <row r="150" spans="1:44" hidden="1" x14ac:dyDescent="0.25">
      <c r="A150" s="41"/>
      <c r="B150" s="25" t="str">
        <f t="shared" si="62"/>
        <v>Child Functioning -- Child #3_10</v>
      </c>
      <c r="C150" s="25" t="str">
        <f t="shared" ref="C150:C209" si="66">IF(H150&lt;&gt;H151, H150, "")</f>
        <v/>
      </c>
      <c r="D150" s="25" t="str">
        <f t="shared" si="63"/>
        <v/>
      </c>
      <c r="E150" s="25" t="str">
        <f t="shared" si="63"/>
        <v/>
      </c>
      <c r="F150" s="95">
        <f t="shared" si="41"/>
        <v>10</v>
      </c>
      <c r="G150" s="25">
        <f t="shared" si="42"/>
        <v>10</v>
      </c>
      <c r="H150" s="25" t="str">
        <f t="shared" ref="H150:H209" si="67">IF(OR(I150="FF", I150="CGA"), "FF/CGA", I150)</f>
        <v>CF</v>
      </c>
      <c r="I150" s="25" t="str">
        <f t="shared" ref="I150:I209" si="68">IF(NOT(ISERROR(SEARCH("Family Functioning", J150))), "FF", IF(NOT(ISERROR(SEARCH("Caregiver Advocacy", J150))), "CGA", IF(NOT(ISERROR(SEARCH("Caregiver Functioning", J150))), "CGF", IF(NOT(ISERROR(SEARCH("Child Functioning", J150))), "CF", ""))))</f>
        <v>CF</v>
      </c>
      <c r="J150" s="25" t="str">
        <f t="shared" si="53"/>
        <v>Child Functioning -- Child #3</v>
      </c>
      <c r="K150" s="108">
        <v>1</v>
      </c>
      <c r="L150" s="95" t="str">
        <f t="shared" ca="1" si="55"/>
        <v/>
      </c>
      <c r="M150" s="25" t="str">
        <f t="shared" ca="1" si="56"/>
        <v/>
      </c>
      <c r="N150" s="25" t="str">
        <f t="shared" ca="1" si="57"/>
        <v/>
      </c>
      <c r="O150" s="25" t="str">
        <f t="shared" ca="1" si="58"/>
        <v/>
      </c>
      <c r="P150" s="91" t="str">
        <f ca="1">IFERROR(IF(AND($X150=3, ISNUMBER($X150)), COUNTIFS(X$18:X150, "=3", $AC$18:$AC150, $AC150), "-"), "err")</f>
        <v>-</v>
      </c>
      <c r="Q150" s="26" t="str">
        <f ca="1">IFERROR(IF(AND($X150=2, ISNUMBER($X150)), COUNTIFS(X$18:X150, "=2", $AC$18:$AC150, $AC150), "-"), "err")</f>
        <v>-</v>
      </c>
      <c r="R150" s="25">
        <f t="shared" ca="1" si="59"/>
        <v>0</v>
      </c>
      <c r="S150" s="26" t="str">
        <f ca="1">IFERROR(IF(AND($X150&gt;=2, ISNUMBER($X150)), COUNTIFS(X$18:X150, "&gt;=2", $AC$18:$AC150, $AC150), "-"), "err")</f>
        <v>-</v>
      </c>
      <c r="T150" s="25">
        <f t="shared" ca="1" si="60"/>
        <v>0</v>
      </c>
      <c r="U150" s="26" t="str">
        <f ca="1">IFERROR(IF(Y150="Yes", COUNTIFS(Y$18:Y150, "Yes", $AC$18:$AC150, $AC150), "-"), "err")</f>
        <v>-</v>
      </c>
      <c r="V150" s="25">
        <f t="shared" ca="1" si="61"/>
        <v>0</v>
      </c>
      <c r="W150" s="26" t="str">
        <f ca="1">IFERROR(IF($Z150="Yes", COUNTIFS(Z$18:Z150, "Yes", $AC$18:AC150, $AC150), "-"), "err")</f>
        <v>-</v>
      </c>
      <c r="X150" s="91">
        <f t="shared" ca="1" si="46"/>
        <v>0</v>
      </c>
      <c r="Y150" s="26" t="str">
        <f t="shared" ca="1" si="64"/>
        <v/>
      </c>
      <c r="Z150" s="26" t="str">
        <f t="shared" ca="1" si="65"/>
        <v/>
      </c>
      <c r="AA150" s="91">
        <f t="shared" si="54"/>
        <v>114</v>
      </c>
      <c r="AB150" s="17" t="s">
        <v>292</v>
      </c>
      <c r="AC150" s="185" t="s">
        <v>292</v>
      </c>
      <c r="AD150" s="87"/>
      <c r="AE150" s="87"/>
      <c r="AF150" s="115"/>
      <c r="AG150" s="201"/>
      <c r="AH150" s="122"/>
      <c r="AI150" s="123"/>
      <c r="AJ150" s="115"/>
      <c r="AK150" s="201"/>
      <c r="AL150" s="122"/>
      <c r="AM150" s="123"/>
      <c r="AN150" s="115"/>
      <c r="AO150" s="201"/>
      <c r="AP150" s="122"/>
      <c r="AQ150" s="123"/>
      <c r="AR150" s="130"/>
    </row>
    <row r="151" spans="1:44" hidden="1" x14ac:dyDescent="0.25">
      <c r="A151" s="41"/>
      <c r="B151" s="25" t="str">
        <f t="shared" si="62"/>
        <v>Child Functioning -- Child #3_11</v>
      </c>
      <c r="C151" s="25" t="str">
        <f t="shared" si="66"/>
        <v/>
      </c>
      <c r="D151" s="25" t="str">
        <f t="shared" si="63"/>
        <v/>
      </c>
      <c r="E151" s="25" t="str">
        <f t="shared" si="63"/>
        <v/>
      </c>
      <c r="F151" s="95">
        <f t="shared" si="41"/>
        <v>10</v>
      </c>
      <c r="G151" s="25">
        <f t="shared" si="42"/>
        <v>11</v>
      </c>
      <c r="H151" s="25" t="str">
        <f t="shared" si="67"/>
        <v>CF</v>
      </c>
      <c r="I151" s="25" t="str">
        <f t="shared" si="68"/>
        <v>CF</v>
      </c>
      <c r="J151" s="25" t="str">
        <f t="shared" si="53"/>
        <v>Child Functioning -- Child #3</v>
      </c>
      <c r="K151" s="108">
        <v>1</v>
      </c>
      <c r="L151" s="95" t="str">
        <f t="shared" ca="1" si="55"/>
        <v/>
      </c>
      <c r="M151" s="25" t="str">
        <f t="shared" ca="1" si="56"/>
        <v/>
      </c>
      <c r="N151" s="25" t="str">
        <f t="shared" ca="1" si="57"/>
        <v/>
      </c>
      <c r="O151" s="25" t="str">
        <f t="shared" ca="1" si="58"/>
        <v/>
      </c>
      <c r="P151" s="91" t="str">
        <f ca="1">IFERROR(IF(AND($X151=3, ISNUMBER($X151)), COUNTIFS(X$18:X151, "=3", $AC$18:$AC151, $AC151), "-"), "err")</f>
        <v>-</v>
      </c>
      <c r="Q151" s="26" t="str">
        <f ca="1">IFERROR(IF(AND($X151=2, ISNUMBER($X151)), COUNTIFS(X$18:X151, "=2", $AC$18:$AC151, $AC151), "-"), "err")</f>
        <v>-</v>
      </c>
      <c r="R151" s="25">
        <f t="shared" ca="1" si="59"/>
        <v>0</v>
      </c>
      <c r="S151" s="26" t="str">
        <f ca="1">IFERROR(IF(AND($X151&gt;=2, ISNUMBER($X151)), COUNTIFS(X$18:X151, "&gt;=2", $AC$18:$AC151, $AC151), "-"), "err")</f>
        <v>-</v>
      </c>
      <c r="T151" s="25">
        <f t="shared" ca="1" si="60"/>
        <v>0</v>
      </c>
      <c r="U151" s="26" t="str">
        <f ca="1">IFERROR(IF(Y151="Yes", COUNTIFS(Y$18:Y151, "Yes", $AC$18:$AC151, $AC151), "-"), "err")</f>
        <v>-</v>
      </c>
      <c r="V151" s="25">
        <f t="shared" ca="1" si="61"/>
        <v>0</v>
      </c>
      <c r="W151" s="26" t="str">
        <f ca="1">IFERROR(IF($Z151="Yes", COUNTIFS(Z$18:Z151, "Yes", $AC$18:AC151, $AC151), "-"), "err")</f>
        <v>-</v>
      </c>
      <c r="X151" s="91">
        <f t="shared" ca="1" si="46"/>
        <v>0</v>
      </c>
      <c r="Y151" s="26" t="str">
        <f t="shared" ca="1" si="64"/>
        <v/>
      </c>
      <c r="Z151" s="26" t="str">
        <f t="shared" ca="1" si="65"/>
        <v/>
      </c>
      <c r="AA151" s="91">
        <f t="shared" si="54"/>
        <v>115</v>
      </c>
      <c r="AB151" s="17" t="s">
        <v>293</v>
      </c>
      <c r="AC151" s="184" t="s">
        <v>293</v>
      </c>
      <c r="AD151" s="54"/>
      <c r="AE151" s="54"/>
      <c r="AF151" s="112"/>
      <c r="AG151" s="200"/>
      <c r="AH151" s="122"/>
      <c r="AI151" s="123"/>
      <c r="AJ151" s="112"/>
      <c r="AK151" s="200"/>
      <c r="AL151" s="122"/>
      <c r="AM151" s="123"/>
      <c r="AN151" s="112"/>
      <c r="AO151" s="200"/>
      <c r="AP151" s="122"/>
      <c r="AQ151" s="123"/>
      <c r="AR151" s="130"/>
    </row>
    <row r="152" spans="1:44" hidden="1" x14ac:dyDescent="0.25">
      <c r="A152" s="41"/>
      <c r="B152" s="25" t="str">
        <f t="shared" si="62"/>
        <v>Child Functioning -- Child #3_12</v>
      </c>
      <c r="C152" s="25" t="str">
        <f t="shared" si="66"/>
        <v/>
      </c>
      <c r="D152" s="25" t="str">
        <f t="shared" si="63"/>
        <v/>
      </c>
      <c r="E152" s="25" t="str">
        <f t="shared" si="63"/>
        <v/>
      </c>
      <c r="F152" s="95">
        <f t="shared" si="41"/>
        <v>10</v>
      </c>
      <c r="G152" s="25">
        <f t="shared" si="42"/>
        <v>12</v>
      </c>
      <c r="H152" s="25" t="str">
        <f t="shared" si="67"/>
        <v>CF</v>
      </c>
      <c r="I152" s="25" t="str">
        <f t="shared" si="68"/>
        <v>CF</v>
      </c>
      <c r="J152" s="25" t="str">
        <f t="shared" si="53"/>
        <v>Child Functioning -- Child #3</v>
      </c>
      <c r="K152" s="108">
        <v>1</v>
      </c>
      <c r="L152" s="95" t="str">
        <f t="shared" ca="1" si="55"/>
        <v/>
      </c>
      <c r="M152" s="25" t="str">
        <f t="shared" ca="1" si="56"/>
        <v/>
      </c>
      <c r="N152" s="25" t="str">
        <f t="shared" ca="1" si="57"/>
        <v/>
      </c>
      <c r="O152" s="25" t="str">
        <f t="shared" ca="1" si="58"/>
        <v/>
      </c>
      <c r="P152" s="91" t="str">
        <f ca="1">IFERROR(IF(AND($X152=3, ISNUMBER($X152)), COUNTIFS(X$18:X152, "=3", $AC$18:$AC152, $AC152), "-"), "err")</f>
        <v>-</v>
      </c>
      <c r="Q152" s="26" t="str">
        <f ca="1">IFERROR(IF(AND($X152=2, ISNUMBER($X152)), COUNTIFS(X$18:X152, "=2", $AC$18:$AC152, $AC152), "-"), "err")</f>
        <v>-</v>
      </c>
      <c r="R152" s="25">
        <f t="shared" ca="1" si="59"/>
        <v>0</v>
      </c>
      <c r="S152" s="26" t="str">
        <f ca="1">IFERROR(IF(AND($X152&gt;=2, ISNUMBER($X152)), COUNTIFS(X$18:X152, "&gt;=2", $AC$18:$AC152, $AC152), "-"), "err")</f>
        <v>-</v>
      </c>
      <c r="T152" s="25">
        <f t="shared" ca="1" si="60"/>
        <v>0</v>
      </c>
      <c r="U152" s="26" t="str">
        <f ca="1">IFERROR(IF(Y152="Yes", COUNTIFS(Y$18:Y152, "Yes", $AC$18:$AC152, $AC152), "-"), "err")</f>
        <v>-</v>
      </c>
      <c r="V152" s="25">
        <f t="shared" ca="1" si="61"/>
        <v>0</v>
      </c>
      <c r="W152" s="26" t="str">
        <f ca="1">IFERROR(IF($Z152="Yes", COUNTIFS(Z$18:Z152, "Yes", $AC$18:AC152, $AC152), "-"), "err")</f>
        <v>-</v>
      </c>
      <c r="X152" s="91">
        <f t="shared" ca="1" si="46"/>
        <v>0</v>
      </c>
      <c r="Y152" s="26" t="str">
        <f t="shared" ca="1" si="64"/>
        <v/>
      </c>
      <c r="Z152" s="26" t="str">
        <f t="shared" ca="1" si="65"/>
        <v/>
      </c>
      <c r="AA152" s="91">
        <f t="shared" si="54"/>
        <v>116</v>
      </c>
      <c r="AB152" s="17" t="s">
        <v>294</v>
      </c>
      <c r="AC152" s="185" t="s">
        <v>294</v>
      </c>
      <c r="AD152" s="87"/>
      <c r="AE152" s="87"/>
      <c r="AF152" s="115"/>
      <c r="AG152" s="201"/>
      <c r="AH152" s="116"/>
      <c r="AI152" s="117"/>
      <c r="AJ152" s="115"/>
      <c r="AK152" s="201"/>
      <c r="AL152" s="116"/>
      <c r="AM152" s="117"/>
      <c r="AN152" s="115"/>
      <c r="AO152" s="201"/>
      <c r="AP152" s="116"/>
      <c r="AQ152" s="117"/>
      <c r="AR152" s="130"/>
    </row>
    <row r="153" spans="1:44" hidden="1" x14ac:dyDescent="0.25">
      <c r="A153" s="41"/>
      <c r="B153" s="25" t="str">
        <f t="shared" si="62"/>
        <v>Child Functioning -- Child #3_13</v>
      </c>
      <c r="C153" s="25" t="str">
        <f t="shared" si="66"/>
        <v/>
      </c>
      <c r="D153" s="25" t="str">
        <f t="shared" si="63"/>
        <v/>
      </c>
      <c r="E153" s="25" t="str">
        <f t="shared" si="63"/>
        <v/>
      </c>
      <c r="F153" s="95">
        <f t="shared" si="41"/>
        <v>10</v>
      </c>
      <c r="G153" s="25">
        <f t="shared" si="42"/>
        <v>13</v>
      </c>
      <c r="H153" s="25" t="str">
        <f t="shared" si="67"/>
        <v>CF</v>
      </c>
      <c r="I153" s="25" t="str">
        <f t="shared" si="68"/>
        <v>CF</v>
      </c>
      <c r="J153" s="25" t="str">
        <f t="shared" si="53"/>
        <v>Child Functioning -- Child #3</v>
      </c>
      <c r="K153" s="108">
        <v>1</v>
      </c>
      <c r="L153" s="95" t="str">
        <f t="shared" ca="1" si="55"/>
        <v/>
      </c>
      <c r="M153" s="25" t="str">
        <f t="shared" ca="1" si="56"/>
        <v/>
      </c>
      <c r="N153" s="25" t="str">
        <f t="shared" ca="1" si="57"/>
        <v/>
      </c>
      <c r="O153" s="25" t="str">
        <f t="shared" ca="1" si="58"/>
        <v/>
      </c>
      <c r="P153" s="91" t="str">
        <f ca="1">IFERROR(IF(AND($X153=3, ISNUMBER($X153)), COUNTIFS(X$18:X153, "=3", $AC$18:$AC153, $AC153), "-"), "err")</f>
        <v>-</v>
      </c>
      <c r="Q153" s="26" t="str">
        <f ca="1">IFERROR(IF(AND($X153=2, ISNUMBER($X153)), COUNTIFS(X$18:X153, "=2", $AC$18:$AC153, $AC153), "-"), "err")</f>
        <v>-</v>
      </c>
      <c r="R153" s="25">
        <f t="shared" ca="1" si="59"/>
        <v>0</v>
      </c>
      <c r="S153" s="26" t="str">
        <f ca="1">IFERROR(IF(AND($X153&gt;=2, ISNUMBER($X153)), COUNTIFS(X$18:X153, "&gt;=2", $AC$18:$AC153, $AC153), "-"), "err")</f>
        <v>-</v>
      </c>
      <c r="T153" s="25">
        <f t="shared" ca="1" si="60"/>
        <v>0</v>
      </c>
      <c r="U153" s="26" t="str">
        <f ca="1">IFERROR(IF(Y153="Yes", COUNTIFS(Y$18:Y153, "Yes", $AC$18:$AC153, $AC153), "-"), "err")</f>
        <v>-</v>
      </c>
      <c r="V153" s="25">
        <f t="shared" ca="1" si="61"/>
        <v>0</v>
      </c>
      <c r="W153" s="26" t="str">
        <f ca="1">IFERROR(IF($Z153="Yes", COUNTIFS(Z$18:Z153, "Yes", $AC$18:AC153, $AC153), "-"), "err")</f>
        <v>-</v>
      </c>
      <c r="X153" s="91">
        <f t="shared" ca="1" si="46"/>
        <v>0</v>
      </c>
      <c r="Y153" s="26" t="str">
        <f t="shared" ca="1" si="64"/>
        <v/>
      </c>
      <c r="Z153" s="26" t="str">
        <f t="shared" ca="1" si="65"/>
        <v/>
      </c>
      <c r="AA153" s="91">
        <f t="shared" si="54"/>
        <v>117</v>
      </c>
      <c r="AB153" s="17" t="s">
        <v>5</v>
      </c>
      <c r="AC153" s="184" t="s">
        <v>5</v>
      </c>
      <c r="AD153" s="54"/>
      <c r="AE153" s="54"/>
      <c r="AF153" s="112"/>
      <c r="AG153" s="200"/>
      <c r="AH153" s="113"/>
      <c r="AI153" s="114"/>
      <c r="AJ153" s="112"/>
      <c r="AK153" s="200"/>
      <c r="AL153" s="113"/>
      <c r="AM153" s="114"/>
      <c r="AN153" s="112"/>
      <c r="AO153" s="200"/>
      <c r="AP153" s="113"/>
      <c r="AQ153" s="114"/>
      <c r="AR153" s="130"/>
    </row>
    <row r="154" spans="1:44" hidden="1" x14ac:dyDescent="0.25">
      <c r="A154" s="41"/>
      <c r="B154" s="25" t="str">
        <f t="shared" si="62"/>
        <v>Child Functioning -- Child #3_14</v>
      </c>
      <c r="C154" s="25" t="str">
        <f t="shared" si="66"/>
        <v/>
      </c>
      <c r="D154" s="25" t="str">
        <f t="shared" si="63"/>
        <v/>
      </c>
      <c r="E154" s="25" t="str">
        <f t="shared" si="63"/>
        <v/>
      </c>
      <c r="F154" s="95">
        <f t="shared" si="41"/>
        <v>10</v>
      </c>
      <c r="G154" s="25">
        <f t="shared" si="42"/>
        <v>14</v>
      </c>
      <c r="H154" s="25" t="str">
        <f t="shared" si="67"/>
        <v>CF</v>
      </c>
      <c r="I154" s="25" t="str">
        <f t="shared" si="68"/>
        <v>CF</v>
      </c>
      <c r="J154" s="25" t="str">
        <f t="shared" si="53"/>
        <v>Child Functioning -- Child #3</v>
      </c>
      <c r="K154" s="108">
        <v>1</v>
      </c>
      <c r="L154" s="95" t="str">
        <f t="shared" ca="1" si="55"/>
        <v/>
      </c>
      <c r="M154" s="25" t="str">
        <f t="shared" ca="1" si="56"/>
        <v/>
      </c>
      <c r="N154" s="25" t="str">
        <f t="shared" ca="1" si="57"/>
        <v/>
      </c>
      <c r="O154" s="25" t="str">
        <f t="shared" ca="1" si="58"/>
        <v/>
      </c>
      <c r="P154" s="91" t="str">
        <f ca="1">IFERROR(IF(AND($X154=3, ISNUMBER($X154)), COUNTIFS(X$18:X154, "=3", $AC$18:$AC154, $AC154), "-"), "err")</f>
        <v>-</v>
      </c>
      <c r="Q154" s="26" t="str">
        <f ca="1">IFERROR(IF(AND($X154=2, ISNUMBER($X154)), COUNTIFS(X$18:X154, "=2", $AC$18:$AC154, $AC154), "-"), "err")</f>
        <v>-</v>
      </c>
      <c r="R154" s="25">
        <f t="shared" ca="1" si="59"/>
        <v>0</v>
      </c>
      <c r="S154" s="26" t="str">
        <f ca="1">IFERROR(IF(AND($X154&gt;=2, ISNUMBER($X154)), COUNTIFS(X$18:X154, "&gt;=2", $AC$18:$AC154, $AC154), "-"), "err")</f>
        <v>-</v>
      </c>
      <c r="T154" s="25">
        <f t="shared" ca="1" si="60"/>
        <v>0</v>
      </c>
      <c r="U154" s="26" t="str">
        <f ca="1">IFERROR(IF(Y154="Yes", COUNTIFS(Y$18:Y154, "Yes", $AC$18:$AC154, $AC154), "-"), "err")</f>
        <v>-</v>
      </c>
      <c r="V154" s="25">
        <f t="shared" ca="1" si="61"/>
        <v>0</v>
      </c>
      <c r="W154" s="26" t="str">
        <f ca="1">IFERROR(IF($Z154="Yes", COUNTIFS(Z$18:Z154, "Yes", $AC$18:AC154, $AC154), "-"), "err")</f>
        <v>-</v>
      </c>
      <c r="X154" s="91">
        <f t="shared" ca="1" si="46"/>
        <v>0</v>
      </c>
      <c r="Y154" s="26" t="str">
        <f t="shared" ca="1" si="64"/>
        <v/>
      </c>
      <c r="Z154" s="26" t="str">
        <f t="shared" ca="1" si="65"/>
        <v/>
      </c>
      <c r="AA154" s="91">
        <f t="shared" si="54"/>
        <v>118</v>
      </c>
      <c r="AB154" s="17" t="s">
        <v>295</v>
      </c>
      <c r="AC154" s="185" t="s">
        <v>295</v>
      </c>
      <c r="AD154" s="87"/>
      <c r="AE154" s="87"/>
      <c r="AF154" s="115"/>
      <c r="AG154" s="201"/>
      <c r="AH154" s="116"/>
      <c r="AI154" s="117"/>
      <c r="AJ154" s="115"/>
      <c r="AK154" s="201"/>
      <c r="AL154" s="116"/>
      <c r="AM154" s="117"/>
      <c r="AN154" s="115"/>
      <c r="AO154" s="201"/>
      <c r="AP154" s="116"/>
      <c r="AQ154" s="117"/>
      <c r="AR154" s="130"/>
    </row>
    <row r="155" spans="1:44" hidden="1" x14ac:dyDescent="0.25">
      <c r="A155" s="41"/>
      <c r="B155" s="25" t="str">
        <f t="shared" si="62"/>
        <v>Child Functioning -- Child #3_15</v>
      </c>
      <c r="C155" s="25" t="str">
        <f t="shared" si="66"/>
        <v/>
      </c>
      <c r="D155" s="25" t="str">
        <f t="shared" si="63"/>
        <v/>
      </c>
      <c r="E155" s="25" t="str">
        <f t="shared" si="63"/>
        <v>Child Functioning -- Child #3</v>
      </c>
      <c r="F155" s="95">
        <f t="shared" si="41"/>
        <v>10</v>
      </c>
      <c r="G155" s="25">
        <f t="shared" si="42"/>
        <v>15</v>
      </c>
      <c r="H155" s="25" t="str">
        <f t="shared" si="67"/>
        <v>CF</v>
      </c>
      <c r="I155" s="25" t="str">
        <f t="shared" si="68"/>
        <v>CF</v>
      </c>
      <c r="J155" s="25" t="str">
        <f t="shared" si="53"/>
        <v>Child Functioning -- Child #3</v>
      </c>
      <c r="K155" s="108">
        <v>1</v>
      </c>
      <c r="L155" s="95" t="str">
        <f t="shared" ca="1" si="55"/>
        <v/>
      </c>
      <c r="M155" s="25" t="str">
        <f t="shared" ca="1" si="56"/>
        <v/>
      </c>
      <c r="N155" s="25" t="str">
        <f t="shared" ca="1" si="57"/>
        <v/>
      </c>
      <c r="O155" s="25" t="str">
        <f t="shared" ca="1" si="58"/>
        <v/>
      </c>
      <c r="P155" s="91" t="str">
        <f ca="1">IFERROR(IF(AND($X155=3, ISNUMBER($X155)), COUNTIFS(X$18:X155, "=3", $AC$18:$AC155, $AC155), "-"), "err")</f>
        <v>-</v>
      </c>
      <c r="Q155" s="26" t="str">
        <f ca="1">IFERROR(IF(AND($X155=2, ISNUMBER($X155)), COUNTIFS(X$18:X155, "=2", $AC$18:$AC155, $AC155), "-"), "err")</f>
        <v>-</v>
      </c>
      <c r="R155" s="25">
        <f t="shared" ca="1" si="59"/>
        <v>0</v>
      </c>
      <c r="S155" s="26" t="str">
        <f ca="1">IFERROR(IF(AND($X155&gt;=2, ISNUMBER($X155)), COUNTIFS(X$18:X155, "&gt;=2", $AC$18:$AC155, $AC155), "-"), "err")</f>
        <v>-</v>
      </c>
      <c r="T155" s="25">
        <f t="shared" ca="1" si="60"/>
        <v>0</v>
      </c>
      <c r="U155" s="26" t="str">
        <f ca="1">IFERROR(IF(Y155="Yes", COUNTIFS(Y$18:Y155, "Yes", $AC$18:$AC155, $AC155), "-"), "err")</f>
        <v>-</v>
      </c>
      <c r="V155" s="25">
        <f t="shared" ca="1" si="61"/>
        <v>0</v>
      </c>
      <c r="W155" s="26" t="str">
        <f ca="1">IFERROR(IF($Z155="Yes", COUNTIFS(Z$18:Z155, "Yes", $AC$18:AC155, $AC155), "-"), "err")</f>
        <v>-</v>
      </c>
      <c r="X155" s="91">
        <f t="shared" ca="1" si="46"/>
        <v>0</v>
      </c>
      <c r="Y155" s="26" t="str">
        <f t="shared" ca="1" si="64"/>
        <v/>
      </c>
      <c r="Z155" s="26" t="str">
        <f t="shared" ca="1" si="65"/>
        <v/>
      </c>
      <c r="AA155" s="91">
        <f t="shared" si="54"/>
        <v>119</v>
      </c>
      <c r="AB155" s="17" t="s">
        <v>32</v>
      </c>
      <c r="AC155" s="184" t="s">
        <v>32</v>
      </c>
      <c r="AD155" s="54"/>
      <c r="AE155" s="54"/>
      <c r="AF155" s="112"/>
      <c r="AG155" s="200"/>
      <c r="AH155" s="122"/>
      <c r="AI155" s="123"/>
      <c r="AJ155" s="112"/>
      <c r="AK155" s="200"/>
      <c r="AL155" s="122"/>
      <c r="AM155" s="123"/>
      <c r="AN155" s="112"/>
      <c r="AO155" s="200"/>
      <c r="AP155" s="122"/>
      <c r="AQ155" s="123"/>
      <c r="AR155" s="130"/>
    </row>
    <row r="156" spans="1:44" hidden="1" x14ac:dyDescent="0.25">
      <c r="A156" s="41"/>
      <c r="B156" s="25" t="str">
        <f t="shared" si="62"/>
        <v>Child Functioning -- Child #4_0</v>
      </c>
      <c r="C156" s="25" t="str">
        <f t="shared" si="66"/>
        <v/>
      </c>
      <c r="D156" s="25" t="str">
        <f t="shared" si="63"/>
        <v/>
      </c>
      <c r="E156" s="25" t="str">
        <f t="shared" si="63"/>
        <v/>
      </c>
      <c r="F156" s="95">
        <f t="shared" si="41"/>
        <v>11</v>
      </c>
      <c r="G156" s="25">
        <f t="shared" si="42"/>
        <v>0</v>
      </c>
      <c r="H156" s="25" t="str">
        <f t="shared" si="67"/>
        <v>CF</v>
      </c>
      <c r="I156" s="25" t="str">
        <f t="shared" si="68"/>
        <v>CF</v>
      </c>
      <c r="J156" s="25" t="str">
        <f t="shared" si="53"/>
        <v>Child Functioning -- Child #4</v>
      </c>
      <c r="K156" s="108">
        <v>0</v>
      </c>
      <c r="L156" s="95" t="str">
        <f t="shared" ca="1" si="55"/>
        <v/>
      </c>
      <c r="M156" s="25" t="str">
        <f t="shared" ca="1" si="56"/>
        <v/>
      </c>
      <c r="N156" s="25" t="str">
        <f t="shared" ca="1" si="57"/>
        <v/>
      </c>
      <c r="O156" s="25" t="str">
        <f t="shared" ca="1" si="58"/>
        <v/>
      </c>
      <c r="P156" s="91" t="str">
        <f ca="1">IFERROR(IF(AND($X156=3, ISNUMBER($X156)), COUNTIFS(X$18:X156, "=3", $AC$18:$AC156, $AC156), "-"), "err")</f>
        <v>-</v>
      </c>
      <c r="Q156" s="26" t="str">
        <f ca="1">IFERROR(IF(AND($X156=2, ISNUMBER($X156)), COUNTIFS(X$18:X156, "=2", $AC$18:$AC156, $AC156), "-"), "err")</f>
        <v>-</v>
      </c>
      <c r="R156" s="25">
        <f t="shared" ca="1" si="59"/>
        <v>0</v>
      </c>
      <c r="S156" s="26" t="str">
        <f ca="1">IFERROR(IF(AND($X156&gt;=2, ISNUMBER($X156)), COUNTIFS(X$18:X156, "&gt;=2", $AC$18:$AC156, $AC156), "-"), "err")</f>
        <v>-</v>
      </c>
      <c r="T156" s="25">
        <f t="shared" ca="1" si="60"/>
        <v>0</v>
      </c>
      <c r="U156" s="26" t="str">
        <f ca="1">IFERROR(IF(Y156="Yes", COUNTIFS(Y$18:Y156, "Yes", $AC$18:$AC156, $AC156), "-"), "err")</f>
        <v>-</v>
      </c>
      <c r="V156" s="25">
        <f t="shared" ca="1" si="61"/>
        <v>0</v>
      </c>
      <c r="W156" s="26" t="str">
        <f ca="1">IFERROR(IF($Z156="Yes", COUNTIFS(Z$18:Z156, "Yes", $AC$18:AC156, $AC156), "-"), "err")</f>
        <v>-</v>
      </c>
      <c r="X156" s="91">
        <f t="shared" ca="1" si="46"/>
        <v>0</v>
      </c>
      <c r="Y156" s="26" t="str">
        <f t="shared" ca="1" si="64"/>
        <v/>
      </c>
      <c r="Z156" s="26" t="str">
        <f t="shared" ca="1" si="65"/>
        <v/>
      </c>
      <c r="AA156" s="91">
        <f t="shared" si="54"/>
        <v>119</v>
      </c>
      <c r="AC156" s="186" t="s">
        <v>329</v>
      </c>
      <c r="AD156" s="61"/>
      <c r="AE156" s="61"/>
      <c r="AF156" s="118"/>
      <c r="AG156" s="119"/>
      <c r="AH156" s="120"/>
      <c r="AI156" s="121"/>
      <c r="AJ156" s="118"/>
      <c r="AK156" s="119"/>
      <c r="AL156" s="120"/>
      <c r="AM156" s="121"/>
      <c r="AN156" s="118"/>
      <c r="AO156" s="119"/>
      <c r="AP156" s="120"/>
      <c r="AQ156" s="121"/>
      <c r="AR156" s="130"/>
    </row>
    <row r="157" spans="1:44" hidden="1" x14ac:dyDescent="0.25">
      <c r="A157" s="41"/>
      <c r="B157" s="25" t="str">
        <f t="shared" si="62"/>
        <v>Child Functioning -- Child #4_0</v>
      </c>
      <c r="C157" s="25" t="str">
        <f t="shared" ref="C157:E158" si="69">IF(H157&lt;&gt;H159, H157, "")</f>
        <v/>
      </c>
      <c r="D157" s="25" t="str">
        <f t="shared" si="69"/>
        <v/>
      </c>
      <c r="E157" s="25" t="str">
        <f t="shared" si="69"/>
        <v/>
      </c>
      <c r="F157" s="95">
        <f t="shared" si="41"/>
        <v>11</v>
      </c>
      <c r="G157" s="25">
        <f t="shared" si="42"/>
        <v>0</v>
      </c>
      <c r="H157" s="25" t="str">
        <f t="shared" si="67"/>
        <v>CF</v>
      </c>
      <c r="I157" s="25" t="str">
        <f t="shared" si="68"/>
        <v>CF</v>
      </c>
      <c r="J157" s="25" t="str">
        <f t="shared" si="53"/>
        <v>Child Functioning -- Child #4</v>
      </c>
      <c r="K157" s="108">
        <v>2</v>
      </c>
      <c r="L157" s="95" t="str">
        <f t="shared" ca="1" si="55"/>
        <v/>
      </c>
      <c r="M157" s="25" t="str">
        <f t="shared" ca="1" si="56"/>
        <v/>
      </c>
      <c r="N157" s="25" t="str">
        <f t="shared" ca="1" si="57"/>
        <v/>
      </c>
      <c r="O157" s="25" t="str">
        <f t="shared" ca="1" si="58"/>
        <v/>
      </c>
      <c r="P157" s="91" t="str">
        <f ca="1">IFERROR(IF(AND($X157=3, ISNUMBER($X157)), COUNTIFS(X$18:X157, "=3", $AC$18:$AC157, $AC157), "-"), "err")</f>
        <v>-</v>
      </c>
      <c r="Q157" s="26" t="str">
        <f ca="1">IFERROR(IF(AND($X157=2, ISNUMBER($X157)), COUNTIFS(X$18:X157, "=2", $AC$18:$AC157, $AC157), "-"), "err")</f>
        <v>-</v>
      </c>
      <c r="R157" s="25">
        <f t="shared" ca="1" si="59"/>
        <v>0</v>
      </c>
      <c r="S157" s="26" t="str">
        <f ca="1">IFERROR(IF(AND($X157&gt;=2, ISNUMBER($X157)), COUNTIFS(X$18:X157, "&gt;=2", $AC$18:$AC157, $AC157), "-"), "err")</f>
        <v>-</v>
      </c>
      <c r="T157" s="25">
        <f t="shared" ca="1" si="60"/>
        <v>0</v>
      </c>
      <c r="U157" s="26" t="str">
        <f ca="1">IFERROR(IF(Y157="Yes", COUNTIFS(Y$18:Y157, "Yes", $AC$18:$AC157, $AC157), "-"), "err")</f>
        <v>-</v>
      </c>
      <c r="V157" s="25">
        <f t="shared" ca="1" si="61"/>
        <v>0</v>
      </c>
      <c r="W157" s="26" t="str">
        <f ca="1">IFERROR(IF($Z157="Yes", COUNTIFS(Z$18:Z157, "Yes", $AC$18:AC157, $AC157), "-"), "err")</f>
        <v>-</v>
      </c>
      <c r="X157" s="91">
        <f t="shared" ca="1" si="46"/>
        <v>0</v>
      </c>
      <c r="Y157" s="26" t="str">
        <f t="shared" ca="1" si="64"/>
        <v/>
      </c>
      <c r="Z157" s="26" t="str">
        <f t="shared" ca="1" si="65"/>
        <v/>
      </c>
      <c r="AA157" s="91">
        <f t="shared" si="54"/>
        <v>119</v>
      </c>
      <c r="AC157" s="109" t="s">
        <v>332</v>
      </c>
      <c r="AD157" s="197"/>
      <c r="AE157" s="61"/>
      <c r="AF157" s="118"/>
      <c r="AG157" s="119"/>
      <c r="AH157" s="120"/>
      <c r="AI157" s="121"/>
      <c r="AJ157" s="118"/>
      <c r="AK157" s="119"/>
      <c r="AL157" s="120"/>
      <c r="AM157" s="121"/>
      <c r="AN157" s="118"/>
      <c r="AO157" s="119"/>
      <c r="AP157" s="120"/>
      <c r="AQ157" s="121"/>
      <c r="AR157" s="130"/>
    </row>
    <row r="158" spans="1:44" hidden="1" x14ac:dyDescent="0.25">
      <c r="A158" s="41"/>
      <c r="B158" s="25" t="str">
        <f>J158&amp;"_"&amp;G158</f>
        <v>Child Functioning -- Child #4_0</v>
      </c>
      <c r="C158" s="25" t="str">
        <f t="shared" si="69"/>
        <v/>
      </c>
      <c r="D158" s="25" t="str">
        <f t="shared" si="69"/>
        <v/>
      </c>
      <c r="E158" s="25" t="str">
        <f t="shared" si="69"/>
        <v/>
      </c>
      <c r="F158" s="95">
        <f>IF(K158=0, IF(ISNUMBER(F157), F157+1, 1), F157)</f>
        <v>11</v>
      </c>
      <c r="G158" s="25">
        <f>IF(K158=0, 0, IF(K158=1, G157+1, G157))</f>
        <v>0</v>
      </c>
      <c r="H158" s="25" t="str">
        <f>IF(OR(I158="FF", I158="CGA"), "FF/CGA", I158)</f>
        <v>CF</v>
      </c>
      <c r="I158" s="25" t="str">
        <f>IF(NOT(ISERROR(SEARCH("Family Functioning", J158))), "FF", IF(NOT(ISERROR(SEARCH("Caregiver Advocacy", J158))), "CGA", IF(NOT(ISERROR(SEARCH("Caregiver Functioning", J158))), "CGF", IF(NOT(ISERROR(SEARCH("Child Functioning", J158))), "CF", ""))))</f>
        <v>CF</v>
      </c>
      <c r="J158" s="25" t="str">
        <f t="shared" si="53"/>
        <v>Child Functioning -- Child #4</v>
      </c>
      <c r="K158" s="108">
        <v>2</v>
      </c>
      <c r="L158" s="95" t="str">
        <f t="shared" ca="1" si="55"/>
        <v/>
      </c>
      <c r="M158" s="25" t="str">
        <f t="shared" ca="1" si="56"/>
        <v/>
      </c>
      <c r="N158" s="25" t="str">
        <f t="shared" ca="1" si="57"/>
        <v/>
      </c>
      <c r="O158" s="25" t="str">
        <f t="shared" ca="1" si="58"/>
        <v/>
      </c>
      <c r="P158" s="91" t="str">
        <f ca="1">IFERROR(IF(AND($X158=3, ISNUMBER($X158)), COUNTIFS(X$18:X158, "=3", $AC$18:$AC158, $AC158), "-"), "err")</f>
        <v>-</v>
      </c>
      <c r="Q158" s="26" t="str">
        <f ca="1">IFERROR(IF(AND($X158=2, ISNUMBER($X158)), COUNTIFS(X$18:X158, "=2", $AC$18:$AC158, $AC158), "-"), "err")</f>
        <v>-</v>
      </c>
      <c r="R158" s="25">
        <f t="shared" ca="1" si="59"/>
        <v>0</v>
      </c>
      <c r="S158" s="26" t="str">
        <f ca="1">IFERROR(IF(AND($X158&gt;=2, ISNUMBER($X158)), COUNTIFS(X$18:X158, "&gt;=2", $AC$18:$AC158, $AC158), "-"), "err")</f>
        <v>-</v>
      </c>
      <c r="T158" s="25">
        <f t="shared" ca="1" si="60"/>
        <v>0</v>
      </c>
      <c r="U158" s="26" t="str">
        <f ca="1">IFERROR(IF(Y158="Yes", COUNTIFS(Y$18:Y158, "Yes", $AC$18:$AC158, $AC158), "-"), "err")</f>
        <v>-</v>
      </c>
      <c r="V158" s="25">
        <f t="shared" ca="1" si="61"/>
        <v>0</v>
      </c>
      <c r="W158" s="26" t="str">
        <f ca="1">IFERROR(IF($Z158="Yes", COUNTIFS(Z$18:Z158, "Yes", $AC$18:AC158, $AC158), "-"), "err")</f>
        <v>-</v>
      </c>
      <c r="X158" s="91">
        <f t="shared" ca="1" si="46"/>
        <v>0</v>
      </c>
      <c r="Y158" s="26" t="str">
        <f t="shared" ca="1" si="64"/>
        <v/>
      </c>
      <c r="Z158" s="26" t="str">
        <f t="shared" ca="1" si="65"/>
        <v/>
      </c>
      <c r="AA158" s="91">
        <f t="shared" si="54"/>
        <v>119</v>
      </c>
      <c r="AC158" s="109" t="s">
        <v>923</v>
      </c>
      <c r="AD158" s="197"/>
      <c r="AE158" s="61"/>
      <c r="AF158" s="118"/>
      <c r="AG158" s="119"/>
      <c r="AH158" s="120"/>
      <c r="AI158" s="121"/>
      <c r="AJ158" s="118"/>
      <c r="AK158" s="119"/>
      <c r="AL158" s="120"/>
      <c r="AM158" s="121"/>
      <c r="AN158" s="118"/>
      <c r="AO158" s="119"/>
      <c r="AP158" s="120"/>
      <c r="AQ158" s="121"/>
      <c r="AR158" s="130"/>
    </row>
    <row r="159" spans="1:44" hidden="1" x14ac:dyDescent="0.25">
      <c r="A159" s="41"/>
      <c r="B159" s="25" t="str">
        <f t="shared" si="62"/>
        <v>Child Functioning -- Child #4_1</v>
      </c>
      <c r="C159" s="25" t="str">
        <f t="shared" si="66"/>
        <v/>
      </c>
      <c r="D159" s="25" t="str">
        <f t="shared" si="63"/>
        <v/>
      </c>
      <c r="E159" s="25" t="str">
        <f t="shared" si="63"/>
        <v/>
      </c>
      <c r="F159" s="95">
        <f>IF(K159=0, IF(ISNUMBER(F157), F157+1, 1), F157)</f>
        <v>11</v>
      </c>
      <c r="G159" s="25">
        <f>IF(K159=0, 0, IF(K159=1, G157+1, G157))</f>
        <v>1</v>
      </c>
      <c r="H159" s="25" t="str">
        <f t="shared" si="67"/>
        <v>CF</v>
      </c>
      <c r="I159" s="25" t="str">
        <f t="shared" si="68"/>
        <v>CF</v>
      </c>
      <c r="J159" s="25" t="str">
        <f>IF(K159=0, AC159, J157)</f>
        <v>Child Functioning -- Child #4</v>
      </c>
      <c r="K159" s="108">
        <v>1</v>
      </c>
      <c r="L159" s="95" t="str">
        <f t="shared" ca="1" si="55"/>
        <v/>
      </c>
      <c r="M159" s="25" t="str">
        <f t="shared" ca="1" si="56"/>
        <v/>
      </c>
      <c r="N159" s="25" t="str">
        <f t="shared" ca="1" si="57"/>
        <v/>
      </c>
      <c r="O159" s="25" t="str">
        <f t="shared" ca="1" si="58"/>
        <v/>
      </c>
      <c r="P159" s="91" t="str">
        <f ca="1">IFERROR(IF(AND($X159=3, ISNUMBER($X159)), COUNTIFS(X$18:X159, "=3", $AC$18:$AC159, $AC159), "-"), "err")</f>
        <v>-</v>
      </c>
      <c r="Q159" s="26" t="str">
        <f ca="1">IFERROR(IF(AND($X159=2, ISNUMBER($X159)), COUNTIFS(X$18:X159, "=2", $AC$18:$AC159, $AC159), "-"), "err")</f>
        <v>-</v>
      </c>
      <c r="R159" s="25">
        <f t="shared" ca="1" si="59"/>
        <v>0</v>
      </c>
      <c r="S159" s="26" t="str">
        <f ca="1">IFERROR(IF(AND($X159&gt;=2, ISNUMBER($X159)), COUNTIFS(X$18:X159, "&gt;=2", $AC$18:$AC159, $AC159), "-"), "err")</f>
        <v>-</v>
      </c>
      <c r="T159" s="25">
        <f t="shared" ca="1" si="60"/>
        <v>0</v>
      </c>
      <c r="U159" s="26" t="str">
        <f ca="1">IFERROR(IF(Y159="Yes", COUNTIFS(Y$18:Y159, "Yes", $AC$18:$AC159, $AC159), "-"), "err")</f>
        <v>-</v>
      </c>
      <c r="V159" s="25">
        <f t="shared" ca="1" si="61"/>
        <v>0</v>
      </c>
      <c r="W159" s="26" t="str">
        <f ca="1">IFERROR(IF($Z159="Yes", COUNTIFS(Z$18:Z159, "Yes", $AC$18:AC159, $AC159), "-"), "err")</f>
        <v>-</v>
      </c>
      <c r="X159" s="91">
        <f t="shared" ca="1" si="46"/>
        <v>0</v>
      </c>
      <c r="Y159" s="26" t="str">
        <f t="shared" ca="1" si="64"/>
        <v/>
      </c>
      <c r="Z159" s="26" t="str">
        <f t="shared" ca="1" si="65"/>
        <v/>
      </c>
      <c r="AA159" s="91">
        <f>AA157+IF(AB159=0, 0, 1)</f>
        <v>120</v>
      </c>
      <c r="AB159" s="17" t="s">
        <v>284</v>
      </c>
      <c r="AC159" s="184" t="s">
        <v>284</v>
      </c>
      <c r="AD159" s="54"/>
      <c r="AE159" s="54"/>
      <c r="AF159" s="112"/>
      <c r="AG159" s="200"/>
      <c r="AH159" s="122"/>
      <c r="AI159" s="123"/>
      <c r="AJ159" s="112"/>
      <c r="AK159" s="200"/>
      <c r="AL159" s="122"/>
      <c r="AM159" s="123"/>
      <c r="AN159" s="112"/>
      <c r="AO159" s="200"/>
      <c r="AP159" s="122"/>
      <c r="AQ159" s="123"/>
      <c r="AR159" s="130"/>
    </row>
    <row r="160" spans="1:44" hidden="1" x14ac:dyDescent="0.25">
      <c r="A160" s="41"/>
      <c r="B160" s="25" t="str">
        <f t="shared" si="62"/>
        <v>Child Functioning -- Child #4_2</v>
      </c>
      <c r="C160" s="25" t="str">
        <f t="shared" si="66"/>
        <v/>
      </c>
      <c r="D160" s="25" t="str">
        <f t="shared" si="63"/>
        <v/>
      </c>
      <c r="E160" s="25" t="str">
        <f t="shared" si="63"/>
        <v/>
      </c>
      <c r="F160" s="95">
        <f t="shared" si="41"/>
        <v>11</v>
      </c>
      <c r="G160" s="25">
        <f t="shared" si="42"/>
        <v>2</v>
      </c>
      <c r="H160" s="25" t="str">
        <f t="shared" si="67"/>
        <v>CF</v>
      </c>
      <c r="I160" s="25" t="str">
        <f t="shared" si="68"/>
        <v>CF</v>
      </c>
      <c r="J160" s="25" t="str">
        <f t="shared" ref="J160:J176" si="70">IF(K160=0, AC160, J159)</f>
        <v>Child Functioning -- Child #4</v>
      </c>
      <c r="K160" s="108">
        <v>1</v>
      </c>
      <c r="L160" s="95" t="str">
        <f t="shared" ca="1" si="55"/>
        <v/>
      </c>
      <c r="M160" s="25" t="str">
        <f t="shared" ca="1" si="56"/>
        <v/>
      </c>
      <c r="N160" s="25" t="str">
        <f t="shared" ca="1" si="57"/>
        <v/>
      </c>
      <c r="O160" s="25" t="str">
        <f t="shared" ca="1" si="58"/>
        <v/>
      </c>
      <c r="P160" s="91" t="str">
        <f ca="1">IFERROR(IF(AND($X160=3, ISNUMBER($X160)), COUNTIFS(X$18:X160, "=3", $AC$18:$AC160, $AC160), "-"), "err")</f>
        <v>-</v>
      </c>
      <c r="Q160" s="26" t="str">
        <f ca="1">IFERROR(IF(AND($X160=2, ISNUMBER($X160)), COUNTIFS(X$18:X160, "=2", $AC$18:$AC160, $AC160), "-"), "err")</f>
        <v>-</v>
      </c>
      <c r="R160" s="25">
        <f t="shared" ca="1" si="59"/>
        <v>0</v>
      </c>
      <c r="S160" s="26" t="str">
        <f ca="1">IFERROR(IF(AND($X160&gt;=2, ISNUMBER($X160)), COUNTIFS(X$18:X160, "&gt;=2", $AC$18:$AC160, $AC160), "-"), "err")</f>
        <v>-</v>
      </c>
      <c r="T160" s="25">
        <f t="shared" ca="1" si="60"/>
        <v>0</v>
      </c>
      <c r="U160" s="26" t="str">
        <f ca="1">IFERROR(IF(Y160="Yes", COUNTIFS(Y$18:Y160, "Yes", $AC$18:$AC160, $AC160), "-"), "err")</f>
        <v>-</v>
      </c>
      <c r="V160" s="25">
        <f t="shared" ca="1" si="61"/>
        <v>0</v>
      </c>
      <c r="W160" s="26" t="str">
        <f ca="1">IFERROR(IF($Z160="Yes", COUNTIFS(Z$18:Z160, "Yes", $AC$18:AC160, $AC160), "-"), "err")</f>
        <v>-</v>
      </c>
      <c r="X160" s="91">
        <f t="shared" ca="1" si="46"/>
        <v>0</v>
      </c>
      <c r="Y160" s="26" t="str">
        <f t="shared" ca="1" si="64"/>
        <v/>
      </c>
      <c r="Z160" s="26" t="str">
        <f t="shared" ca="1" si="65"/>
        <v/>
      </c>
      <c r="AA160" s="91">
        <f t="shared" ref="AA160:AA176" si="71">AA159+IF(AB160=0, 0, 1)</f>
        <v>121</v>
      </c>
      <c r="AB160" s="17" t="s">
        <v>285</v>
      </c>
      <c r="AC160" s="185" t="s">
        <v>285</v>
      </c>
      <c r="AD160" s="87"/>
      <c r="AE160" s="87"/>
      <c r="AF160" s="115"/>
      <c r="AG160" s="201"/>
      <c r="AH160" s="116"/>
      <c r="AI160" s="117"/>
      <c r="AJ160" s="115"/>
      <c r="AK160" s="201"/>
      <c r="AL160" s="116"/>
      <c r="AM160" s="117"/>
      <c r="AN160" s="115"/>
      <c r="AO160" s="201"/>
      <c r="AP160" s="116"/>
      <c r="AQ160" s="117"/>
      <c r="AR160" s="130"/>
    </row>
    <row r="161" spans="1:44" hidden="1" x14ac:dyDescent="0.25">
      <c r="A161" s="41"/>
      <c r="B161" s="25" t="str">
        <f t="shared" si="62"/>
        <v>Child Functioning -- Child #4_3</v>
      </c>
      <c r="C161" s="25" t="str">
        <f t="shared" si="66"/>
        <v/>
      </c>
      <c r="D161" s="25" t="str">
        <f t="shared" si="63"/>
        <v/>
      </c>
      <c r="E161" s="25" t="str">
        <f t="shared" si="63"/>
        <v/>
      </c>
      <c r="F161" s="95">
        <f t="shared" ref="F161:F209" si="72">IF(K161=0, IF(ISNUMBER(F160), F160+1, 1), F160)</f>
        <v>11</v>
      </c>
      <c r="G161" s="25">
        <f t="shared" ref="G161:G209" si="73">IF(K161=0, 0, IF(K161=1, G160+1, G160))</f>
        <v>3</v>
      </c>
      <c r="H161" s="25" t="str">
        <f t="shared" si="67"/>
        <v>CF</v>
      </c>
      <c r="I161" s="25" t="str">
        <f t="shared" si="68"/>
        <v>CF</v>
      </c>
      <c r="J161" s="25" t="str">
        <f t="shared" si="70"/>
        <v>Child Functioning -- Child #4</v>
      </c>
      <c r="K161" s="108">
        <v>1</v>
      </c>
      <c r="L161" s="95" t="str">
        <f t="shared" ca="1" si="55"/>
        <v/>
      </c>
      <c r="M161" s="25" t="str">
        <f t="shared" ca="1" si="56"/>
        <v/>
      </c>
      <c r="N161" s="25" t="str">
        <f t="shared" ca="1" si="57"/>
        <v/>
      </c>
      <c r="O161" s="25" t="str">
        <f t="shared" ca="1" si="58"/>
        <v/>
      </c>
      <c r="P161" s="91" t="str">
        <f ca="1">IFERROR(IF(AND($X161=3, ISNUMBER($X161)), COUNTIFS(X$18:X161, "=3", $AC$18:$AC161, $AC161), "-"), "err")</f>
        <v>-</v>
      </c>
      <c r="Q161" s="26" t="str">
        <f ca="1">IFERROR(IF(AND($X161=2, ISNUMBER($X161)), COUNTIFS(X$18:X161, "=2", $AC$18:$AC161, $AC161), "-"), "err")</f>
        <v>-</v>
      </c>
      <c r="R161" s="25">
        <f t="shared" ca="1" si="59"/>
        <v>0</v>
      </c>
      <c r="S161" s="26" t="str">
        <f ca="1">IFERROR(IF(AND($X161&gt;=2, ISNUMBER($X161)), COUNTIFS(X$18:X161, "&gt;=2", $AC$18:$AC161, $AC161), "-"), "err")</f>
        <v>-</v>
      </c>
      <c r="T161" s="25">
        <f t="shared" ca="1" si="60"/>
        <v>0</v>
      </c>
      <c r="U161" s="26" t="str">
        <f ca="1">IFERROR(IF(Y161="Yes", COUNTIFS(Y$18:Y161, "Yes", $AC$18:$AC161, $AC161), "-"), "err")</f>
        <v>-</v>
      </c>
      <c r="V161" s="25">
        <f t="shared" ca="1" si="61"/>
        <v>0</v>
      </c>
      <c r="W161" s="26" t="str">
        <f ca="1">IFERROR(IF($Z161="Yes", COUNTIFS(Z$18:Z161, "Yes", $AC$18:AC161, $AC161), "-"), "err")</f>
        <v>-</v>
      </c>
      <c r="X161" s="91">
        <f t="shared" ca="1" si="46"/>
        <v>0</v>
      </c>
      <c r="Y161" s="26" t="str">
        <f t="shared" ca="1" si="64"/>
        <v/>
      </c>
      <c r="Z161" s="26" t="str">
        <f t="shared" ca="1" si="65"/>
        <v/>
      </c>
      <c r="AA161" s="91">
        <f t="shared" si="71"/>
        <v>122</v>
      </c>
      <c r="AB161" s="17" t="s">
        <v>287</v>
      </c>
      <c r="AC161" s="184" t="s">
        <v>287</v>
      </c>
      <c r="AD161" s="54"/>
      <c r="AE161" s="54"/>
      <c r="AF161" s="112"/>
      <c r="AG161" s="200"/>
      <c r="AH161" s="113"/>
      <c r="AI161" s="114"/>
      <c r="AJ161" s="112"/>
      <c r="AK161" s="200"/>
      <c r="AL161" s="113"/>
      <c r="AM161" s="114"/>
      <c r="AN161" s="112"/>
      <c r="AO161" s="200"/>
      <c r="AP161" s="113"/>
      <c r="AQ161" s="114"/>
      <c r="AR161" s="130"/>
    </row>
    <row r="162" spans="1:44" hidden="1" x14ac:dyDescent="0.25">
      <c r="A162" s="41"/>
      <c r="B162" s="25" t="str">
        <f t="shared" si="62"/>
        <v>Child Functioning -- Child #4_4</v>
      </c>
      <c r="C162" s="25" t="str">
        <f t="shared" si="66"/>
        <v/>
      </c>
      <c r="D162" s="25" t="str">
        <f t="shared" si="63"/>
        <v/>
      </c>
      <c r="E162" s="25" t="str">
        <f t="shared" si="63"/>
        <v/>
      </c>
      <c r="F162" s="95">
        <f t="shared" si="72"/>
        <v>11</v>
      </c>
      <c r="G162" s="25">
        <f t="shared" si="73"/>
        <v>4</v>
      </c>
      <c r="H162" s="25" t="str">
        <f t="shared" si="67"/>
        <v>CF</v>
      </c>
      <c r="I162" s="25" t="str">
        <f t="shared" si="68"/>
        <v>CF</v>
      </c>
      <c r="J162" s="25" t="str">
        <f t="shared" si="70"/>
        <v>Child Functioning -- Child #4</v>
      </c>
      <c r="K162" s="108">
        <v>1</v>
      </c>
      <c r="L162" s="95" t="str">
        <f t="shared" ca="1" si="55"/>
        <v/>
      </c>
      <c r="M162" s="25" t="str">
        <f t="shared" ca="1" si="56"/>
        <v/>
      </c>
      <c r="N162" s="25" t="str">
        <f t="shared" ca="1" si="57"/>
        <v/>
      </c>
      <c r="O162" s="25" t="str">
        <f t="shared" ca="1" si="58"/>
        <v/>
      </c>
      <c r="P162" s="91" t="str">
        <f ca="1">IFERROR(IF(AND($X162=3, ISNUMBER($X162)), COUNTIFS(X$18:X162, "=3", $AC$18:$AC162, $AC162), "-"), "err")</f>
        <v>-</v>
      </c>
      <c r="Q162" s="26" t="str">
        <f ca="1">IFERROR(IF(AND($X162=2, ISNUMBER($X162)), COUNTIFS(X$18:X162, "=2", $AC$18:$AC162, $AC162), "-"), "err")</f>
        <v>-</v>
      </c>
      <c r="R162" s="25">
        <f t="shared" ca="1" si="59"/>
        <v>0</v>
      </c>
      <c r="S162" s="26" t="str">
        <f ca="1">IFERROR(IF(AND($X162&gt;=2, ISNUMBER($X162)), COUNTIFS(X$18:X162, "&gt;=2", $AC$18:$AC162, $AC162), "-"), "err")</f>
        <v>-</v>
      </c>
      <c r="T162" s="25">
        <f t="shared" ca="1" si="60"/>
        <v>0</v>
      </c>
      <c r="U162" s="26" t="str">
        <f ca="1">IFERROR(IF(Y162="Yes", COUNTIFS(Y$18:Y162, "Yes", $AC$18:$AC162, $AC162), "-"), "err")</f>
        <v>-</v>
      </c>
      <c r="V162" s="25">
        <f t="shared" ca="1" si="61"/>
        <v>0</v>
      </c>
      <c r="W162" s="26" t="str">
        <f ca="1">IFERROR(IF($Z162="Yes", COUNTIFS(Z$18:Z162, "Yes", $AC$18:AC162, $AC162), "-"), "err")</f>
        <v>-</v>
      </c>
      <c r="X162" s="91">
        <f t="shared" ca="1" si="46"/>
        <v>0</v>
      </c>
      <c r="Y162" s="26" t="str">
        <f t="shared" ca="1" si="64"/>
        <v/>
      </c>
      <c r="Z162" s="26" t="str">
        <f t="shared" ca="1" si="65"/>
        <v/>
      </c>
      <c r="AA162" s="91">
        <f t="shared" si="71"/>
        <v>123</v>
      </c>
      <c r="AB162" s="17" t="s">
        <v>482</v>
      </c>
      <c r="AC162" s="185" t="s">
        <v>286</v>
      </c>
      <c r="AD162" s="87"/>
      <c r="AE162" s="87"/>
      <c r="AF162" s="115"/>
      <c r="AG162" s="201"/>
      <c r="AH162" s="116"/>
      <c r="AI162" s="117"/>
      <c r="AJ162" s="115"/>
      <c r="AK162" s="201"/>
      <c r="AL162" s="116"/>
      <c r="AM162" s="117"/>
      <c r="AN162" s="115"/>
      <c r="AO162" s="201"/>
      <c r="AP162" s="116"/>
      <c r="AQ162" s="117"/>
      <c r="AR162" s="130"/>
    </row>
    <row r="163" spans="1:44" hidden="1" x14ac:dyDescent="0.25">
      <c r="A163" s="41"/>
      <c r="B163" s="25" t="str">
        <f t="shared" si="62"/>
        <v>Child Functioning -- Child #4_5</v>
      </c>
      <c r="C163" s="25" t="str">
        <f t="shared" si="66"/>
        <v/>
      </c>
      <c r="D163" s="25" t="str">
        <f t="shared" si="63"/>
        <v/>
      </c>
      <c r="E163" s="25" t="str">
        <f t="shared" si="63"/>
        <v/>
      </c>
      <c r="F163" s="95">
        <f t="shared" si="72"/>
        <v>11</v>
      </c>
      <c r="G163" s="25">
        <f t="shared" si="73"/>
        <v>5</v>
      </c>
      <c r="H163" s="25" t="str">
        <f t="shared" si="67"/>
        <v>CF</v>
      </c>
      <c r="I163" s="25" t="str">
        <f t="shared" si="68"/>
        <v>CF</v>
      </c>
      <c r="J163" s="25" t="str">
        <f t="shared" si="70"/>
        <v>Child Functioning -- Child #4</v>
      </c>
      <c r="K163" s="108">
        <v>1</v>
      </c>
      <c r="L163" s="95" t="str">
        <f t="shared" ca="1" si="55"/>
        <v/>
      </c>
      <c r="M163" s="25" t="str">
        <f t="shared" ca="1" si="56"/>
        <v/>
      </c>
      <c r="N163" s="25" t="str">
        <f t="shared" ca="1" si="57"/>
        <v/>
      </c>
      <c r="O163" s="25" t="str">
        <f t="shared" ca="1" si="58"/>
        <v/>
      </c>
      <c r="P163" s="91" t="str">
        <f ca="1">IFERROR(IF(AND($X163=3, ISNUMBER($X163)), COUNTIFS(X$18:X163, "=3", $AC$18:$AC163, $AC163), "-"), "err")</f>
        <v>-</v>
      </c>
      <c r="Q163" s="26" t="str">
        <f ca="1">IFERROR(IF(AND($X163=2, ISNUMBER($X163)), COUNTIFS(X$18:X163, "=2", $AC$18:$AC163, $AC163), "-"), "err")</f>
        <v>-</v>
      </c>
      <c r="R163" s="25">
        <f t="shared" ca="1" si="59"/>
        <v>0</v>
      </c>
      <c r="S163" s="26" t="str">
        <f ca="1">IFERROR(IF(AND($X163&gt;=2, ISNUMBER($X163)), COUNTIFS(X$18:X163, "&gt;=2", $AC$18:$AC163, $AC163), "-"), "err")</f>
        <v>-</v>
      </c>
      <c r="T163" s="25">
        <f t="shared" ca="1" si="60"/>
        <v>0</v>
      </c>
      <c r="U163" s="26" t="str">
        <f ca="1">IFERROR(IF(Y163="Yes", COUNTIFS(Y$18:Y163, "Yes", $AC$18:$AC163, $AC163), "-"), "err")</f>
        <v>-</v>
      </c>
      <c r="V163" s="25">
        <f t="shared" ca="1" si="61"/>
        <v>0</v>
      </c>
      <c r="W163" s="26" t="str">
        <f ca="1">IFERROR(IF($Z163="Yes", COUNTIFS(Z$18:Z163, "Yes", $AC$18:AC163, $AC163), "-"), "err")</f>
        <v>-</v>
      </c>
      <c r="X163" s="91">
        <f t="shared" ca="1" si="46"/>
        <v>0</v>
      </c>
      <c r="Y163" s="26" t="str">
        <f t="shared" ca="1" si="64"/>
        <v/>
      </c>
      <c r="Z163" s="26" t="str">
        <f t="shared" ca="1" si="65"/>
        <v/>
      </c>
      <c r="AA163" s="91">
        <f t="shared" si="71"/>
        <v>124</v>
      </c>
      <c r="AB163" s="17" t="s">
        <v>288</v>
      </c>
      <c r="AC163" s="184" t="s">
        <v>288</v>
      </c>
      <c r="AD163" s="54"/>
      <c r="AE163" s="54"/>
      <c r="AF163" s="112"/>
      <c r="AG163" s="200"/>
      <c r="AH163" s="113"/>
      <c r="AI163" s="114"/>
      <c r="AJ163" s="112"/>
      <c r="AK163" s="200"/>
      <c r="AL163" s="113"/>
      <c r="AM163" s="114"/>
      <c r="AN163" s="112"/>
      <c r="AO163" s="200"/>
      <c r="AP163" s="113"/>
      <c r="AQ163" s="114"/>
      <c r="AR163" s="130"/>
    </row>
    <row r="164" spans="1:44" hidden="1" x14ac:dyDescent="0.25">
      <c r="A164" s="41"/>
      <c r="B164" s="25" t="str">
        <f t="shared" si="62"/>
        <v>Child Functioning -- Child #4_6</v>
      </c>
      <c r="C164" s="25" t="str">
        <f t="shared" si="66"/>
        <v/>
      </c>
      <c r="D164" s="25" t="str">
        <f t="shared" si="63"/>
        <v/>
      </c>
      <c r="E164" s="25" t="str">
        <f t="shared" si="63"/>
        <v/>
      </c>
      <c r="F164" s="95">
        <f t="shared" si="72"/>
        <v>11</v>
      </c>
      <c r="G164" s="25">
        <f t="shared" si="73"/>
        <v>6</v>
      </c>
      <c r="H164" s="25" t="str">
        <f t="shared" si="67"/>
        <v>CF</v>
      </c>
      <c r="I164" s="25" t="str">
        <f t="shared" si="68"/>
        <v>CF</v>
      </c>
      <c r="J164" s="25" t="str">
        <f t="shared" si="70"/>
        <v>Child Functioning -- Child #4</v>
      </c>
      <c r="K164" s="108">
        <v>1</v>
      </c>
      <c r="L164" s="95" t="str">
        <f t="shared" ca="1" si="55"/>
        <v/>
      </c>
      <c r="M164" s="25" t="str">
        <f t="shared" ca="1" si="56"/>
        <v/>
      </c>
      <c r="N164" s="25" t="str">
        <f t="shared" ca="1" si="57"/>
        <v/>
      </c>
      <c r="O164" s="25" t="str">
        <f t="shared" ca="1" si="58"/>
        <v/>
      </c>
      <c r="P164" s="91" t="str">
        <f ca="1">IFERROR(IF(AND($X164=3, ISNUMBER($X164)), COUNTIFS(X$18:X164, "=3", $AC$18:$AC164, $AC164), "-"), "err")</f>
        <v>-</v>
      </c>
      <c r="Q164" s="26" t="str">
        <f ca="1">IFERROR(IF(AND($X164=2, ISNUMBER($X164)), COUNTIFS(X$18:X164, "=2", $AC$18:$AC164, $AC164), "-"), "err")</f>
        <v>-</v>
      </c>
      <c r="R164" s="25">
        <f t="shared" ca="1" si="59"/>
        <v>0</v>
      </c>
      <c r="S164" s="26" t="str">
        <f ca="1">IFERROR(IF(AND($X164&gt;=2, ISNUMBER($X164)), COUNTIFS(X$18:X164, "&gt;=2", $AC$18:$AC164, $AC164), "-"), "err")</f>
        <v>-</v>
      </c>
      <c r="T164" s="25">
        <f t="shared" ca="1" si="60"/>
        <v>0</v>
      </c>
      <c r="U164" s="26" t="str">
        <f ca="1">IFERROR(IF(Y164="Yes", COUNTIFS(Y$18:Y164, "Yes", $AC$18:$AC164, $AC164), "-"), "err")</f>
        <v>-</v>
      </c>
      <c r="V164" s="25">
        <f t="shared" ca="1" si="61"/>
        <v>0</v>
      </c>
      <c r="W164" s="26" t="str">
        <f ca="1">IFERROR(IF($Z164="Yes", COUNTIFS(Z$18:Z164, "Yes", $AC$18:AC164, $AC164), "-"), "err")</f>
        <v>-</v>
      </c>
      <c r="X164" s="91">
        <f t="shared" ca="1" si="46"/>
        <v>0</v>
      </c>
      <c r="Y164" s="26" t="str">
        <f t="shared" ca="1" si="64"/>
        <v/>
      </c>
      <c r="Z164" s="26" t="str">
        <f t="shared" ca="1" si="65"/>
        <v/>
      </c>
      <c r="AA164" s="91">
        <f t="shared" si="71"/>
        <v>125</v>
      </c>
      <c r="AB164" s="17" t="s">
        <v>289</v>
      </c>
      <c r="AC164" s="185" t="s">
        <v>289</v>
      </c>
      <c r="AD164" s="87"/>
      <c r="AE164" s="87"/>
      <c r="AF164" s="115"/>
      <c r="AG164" s="201"/>
      <c r="AH164" s="116"/>
      <c r="AI164" s="117"/>
      <c r="AJ164" s="115"/>
      <c r="AK164" s="201"/>
      <c r="AL164" s="116"/>
      <c r="AM164" s="117"/>
      <c r="AN164" s="115"/>
      <c r="AO164" s="201"/>
      <c r="AP164" s="116"/>
      <c r="AQ164" s="117"/>
      <c r="AR164" s="130"/>
    </row>
    <row r="165" spans="1:44" hidden="1" x14ac:dyDescent="0.25">
      <c r="A165" s="41"/>
      <c r="B165" s="25" t="str">
        <f t="shared" si="62"/>
        <v>Child Functioning -- Child #4_7</v>
      </c>
      <c r="C165" s="25" t="str">
        <f t="shared" si="66"/>
        <v/>
      </c>
      <c r="D165" s="25" t="str">
        <f t="shared" si="63"/>
        <v/>
      </c>
      <c r="E165" s="25" t="str">
        <f t="shared" si="63"/>
        <v/>
      </c>
      <c r="F165" s="95">
        <f t="shared" si="72"/>
        <v>11</v>
      </c>
      <c r="G165" s="25">
        <f t="shared" si="73"/>
        <v>7</v>
      </c>
      <c r="H165" s="25" t="str">
        <f t="shared" si="67"/>
        <v>CF</v>
      </c>
      <c r="I165" s="25" t="str">
        <f t="shared" si="68"/>
        <v>CF</v>
      </c>
      <c r="J165" s="25" t="str">
        <f t="shared" si="70"/>
        <v>Child Functioning -- Child #4</v>
      </c>
      <c r="K165" s="108">
        <v>1</v>
      </c>
      <c r="L165" s="95" t="str">
        <f t="shared" ca="1" si="55"/>
        <v/>
      </c>
      <c r="M165" s="25" t="str">
        <f t="shared" ca="1" si="56"/>
        <v/>
      </c>
      <c r="N165" s="25" t="str">
        <f t="shared" ca="1" si="57"/>
        <v/>
      </c>
      <c r="O165" s="25" t="str">
        <f t="shared" ca="1" si="58"/>
        <v/>
      </c>
      <c r="P165" s="91" t="str">
        <f ca="1">IFERROR(IF(AND($X165=3, ISNUMBER($X165)), COUNTIFS(X$18:X165, "=3", $AC$18:$AC165, $AC165), "-"), "err")</f>
        <v>-</v>
      </c>
      <c r="Q165" s="26" t="str">
        <f ca="1">IFERROR(IF(AND($X165=2, ISNUMBER($X165)), COUNTIFS(X$18:X165, "=2", $AC$18:$AC165, $AC165), "-"), "err")</f>
        <v>-</v>
      </c>
      <c r="R165" s="25">
        <f t="shared" ca="1" si="59"/>
        <v>0</v>
      </c>
      <c r="S165" s="26" t="str">
        <f ca="1">IFERROR(IF(AND($X165&gt;=2, ISNUMBER($X165)), COUNTIFS(X$18:X165, "&gt;=2", $AC$18:$AC165, $AC165), "-"), "err")</f>
        <v>-</v>
      </c>
      <c r="T165" s="25">
        <f t="shared" ca="1" si="60"/>
        <v>0</v>
      </c>
      <c r="U165" s="26" t="str">
        <f ca="1">IFERROR(IF(Y165="Yes", COUNTIFS(Y$18:Y165, "Yes", $AC$18:$AC165, $AC165), "-"), "err")</f>
        <v>-</v>
      </c>
      <c r="V165" s="25">
        <f t="shared" ca="1" si="61"/>
        <v>0</v>
      </c>
      <c r="W165" s="26" t="str">
        <f ca="1">IFERROR(IF($Z165="Yes", COUNTIFS(Z$18:Z165, "Yes", $AC$18:AC165, $AC165), "-"), "err")</f>
        <v>-</v>
      </c>
      <c r="X165" s="91">
        <f t="shared" ca="1" si="46"/>
        <v>0</v>
      </c>
      <c r="Y165" s="26" t="str">
        <f t="shared" ca="1" si="64"/>
        <v/>
      </c>
      <c r="Z165" s="26" t="str">
        <f t="shared" ca="1" si="65"/>
        <v/>
      </c>
      <c r="AA165" s="91">
        <f t="shared" si="71"/>
        <v>126</v>
      </c>
      <c r="AB165" s="17" t="s">
        <v>132</v>
      </c>
      <c r="AC165" s="184" t="s">
        <v>132</v>
      </c>
      <c r="AD165" s="54"/>
      <c r="AE165" s="54"/>
      <c r="AF165" s="112"/>
      <c r="AG165" s="200"/>
      <c r="AH165" s="113"/>
      <c r="AI165" s="114"/>
      <c r="AJ165" s="112"/>
      <c r="AK165" s="200"/>
      <c r="AL165" s="113"/>
      <c r="AM165" s="114"/>
      <c r="AN165" s="112"/>
      <c r="AO165" s="200"/>
      <c r="AP165" s="113"/>
      <c r="AQ165" s="114"/>
      <c r="AR165" s="130"/>
    </row>
    <row r="166" spans="1:44" hidden="1" x14ac:dyDescent="0.25">
      <c r="A166" s="41"/>
      <c r="B166" s="25" t="str">
        <f t="shared" si="62"/>
        <v>Child Functioning -- Child #4_8</v>
      </c>
      <c r="C166" s="25" t="str">
        <f t="shared" si="66"/>
        <v/>
      </c>
      <c r="D166" s="25" t="str">
        <f t="shared" si="63"/>
        <v/>
      </c>
      <c r="E166" s="25" t="str">
        <f t="shared" si="63"/>
        <v/>
      </c>
      <c r="F166" s="95">
        <f t="shared" si="72"/>
        <v>11</v>
      </c>
      <c r="G166" s="25">
        <f t="shared" si="73"/>
        <v>8</v>
      </c>
      <c r="H166" s="25" t="str">
        <f t="shared" si="67"/>
        <v>CF</v>
      </c>
      <c r="I166" s="25" t="str">
        <f t="shared" si="68"/>
        <v>CF</v>
      </c>
      <c r="J166" s="25" t="str">
        <f t="shared" si="70"/>
        <v>Child Functioning -- Child #4</v>
      </c>
      <c r="K166" s="108">
        <v>1</v>
      </c>
      <c r="L166" s="95" t="str">
        <f t="shared" ca="1" si="55"/>
        <v/>
      </c>
      <c r="M166" s="25" t="str">
        <f t="shared" ca="1" si="56"/>
        <v/>
      </c>
      <c r="N166" s="25" t="str">
        <f t="shared" ca="1" si="57"/>
        <v/>
      </c>
      <c r="O166" s="25" t="str">
        <f t="shared" ca="1" si="58"/>
        <v/>
      </c>
      <c r="P166" s="91" t="str">
        <f ca="1">IFERROR(IF(AND($X166=3, ISNUMBER($X166)), COUNTIFS(X$18:X166, "=3", $AC$18:$AC166, $AC166), "-"), "err")</f>
        <v>-</v>
      </c>
      <c r="Q166" s="26" t="str">
        <f ca="1">IFERROR(IF(AND($X166=2, ISNUMBER($X166)), COUNTIFS(X$18:X166, "=2", $AC$18:$AC166, $AC166), "-"), "err")</f>
        <v>-</v>
      </c>
      <c r="R166" s="25">
        <f t="shared" ca="1" si="59"/>
        <v>0</v>
      </c>
      <c r="S166" s="26" t="str">
        <f ca="1">IFERROR(IF(AND($X166&gt;=2, ISNUMBER($X166)), COUNTIFS(X$18:X166, "&gt;=2", $AC$18:$AC166, $AC166), "-"), "err")</f>
        <v>-</v>
      </c>
      <c r="T166" s="25">
        <f t="shared" ca="1" si="60"/>
        <v>0</v>
      </c>
      <c r="U166" s="26" t="str">
        <f ca="1">IFERROR(IF(Y166="Yes", COUNTIFS(Y$18:Y166, "Yes", $AC$18:$AC166, $AC166), "-"), "err")</f>
        <v>-</v>
      </c>
      <c r="V166" s="25">
        <f t="shared" ca="1" si="61"/>
        <v>0</v>
      </c>
      <c r="W166" s="26" t="str">
        <f ca="1">IFERROR(IF($Z166="Yes", COUNTIFS(Z$18:Z166, "Yes", $AC$18:AC166, $AC166), "-"), "err")</f>
        <v>-</v>
      </c>
      <c r="X166" s="91">
        <f t="shared" ca="1" si="46"/>
        <v>0</v>
      </c>
      <c r="Y166" s="26" t="str">
        <f t="shared" ca="1" si="64"/>
        <v/>
      </c>
      <c r="Z166" s="26" t="str">
        <f t="shared" ca="1" si="65"/>
        <v/>
      </c>
      <c r="AA166" s="91">
        <f t="shared" si="71"/>
        <v>127</v>
      </c>
      <c r="AB166" s="17" t="s">
        <v>290</v>
      </c>
      <c r="AC166" s="185" t="s">
        <v>290</v>
      </c>
      <c r="AD166" s="87"/>
      <c r="AE166" s="87"/>
      <c r="AF166" s="115"/>
      <c r="AG166" s="201"/>
      <c r="AH166" s="116"/>
      <c r="AI166" s="117"/>
      <c r="AJ166" s="115"/>
      <c r="AK166" s="201"/>
      <c r="AL166" s="116"/>
      <c r="AM166" s="117"/>
      <c r="AN166" s="115"/>
      <c r="AO166" s="201"/>
      <c r="AP166" s="116"/>
      <c r="AQ166" s="117"/>
      <c r="AR166" s="130"/>
    </row>
    <row r="167" spans="1:44" hidden="1" x14ac:dyDescent="0.25">
      <c r="A167" s="41"/>
      <c r="B167" s="25" t="str">
        <f t="shared" si="62"/>
        <v>Child Functioning -- Child #4_9</v>
      </c>
      <c r="C167" s="25" t="str">
        <f t="shared" si="66"/>
        <v/>
      </c>
      <c r="D167" s="25" t="str">
        <f t="shared" si="63"/>
        <v/>
      </c>
      <c r="E167" s="25" t="str">
        <f t="shared" si="63"/>
        <v/>
      </c>
      <c r="F167" s="95">
        <f t="shared" si="72"/>
        <v>11</v>
      </c>
      <c r="G167" s="25">
        <f t="shared" si="73"/>
        <v>9</v>
      </c>
      <c r="H167" s="25" t="str">
        <f t="shared" si="67"/>
        <v>CF</v>
      </c>
      <c r="I167" s="25" t="str">
        <f t="shared" si="68"/>
        <v>CF</v>
      </c>
      <c r="J167" s="25" t="str">
        <f t="shared" si="70"/>
        <v>Child Functioning -- Child #4</v>
      </c>
      <c r="K167" s="108">
        <v>1</v>
      </c>
      <c r="L167" s="95" t="str">
        <f t="shared" ca="1" si="55"/>
        <v/>
      </c>
      <c r="M167" s="25" t="str">
        <f t="shared" ca="1" si="56"/>
        <v/>
      </c>
      <c r="N167" s="25" t="str">
        <f t="shared" ca="1" si="57"/>
        <v/>
      </c>
      <c r="O167" s="25" t="str">
        <f t="shared" ca="1" si="58"/>
        <v/>
      </c>
      <c r="P167" s="91" t="str">
        <f ca="1">IFERROR(IF(AND($X167=3, ISNUMBER($X167)), COUNTIFS(X$18:X167, "=3", $AC$18:$AC167, $AC167), "-"), "err")</f>
        <v>-</v>
      </c>
      <c r="Q167" s="26" t="str">
        <f ca="1">IFERROR(IF(AND($X167=2, ISNUMBER($X167)), COUNTIFS(X$18:X167, "=2", $AC$18:$AC167, $AC167), "-"), "err")</f>
        <v>-</v>
      </c>
      <c r="R167" s="25">
        <f t="shared" ca="1" si="59"/>
        <v>0</v>
      </c>
      <c r="S167" s="26" t="str">
        <f ca="1">IFERROR(IF(AND($X167&gt;=2, ISNUMBER($X167)), COUNTIFS(X$18:X167, "&gt;=2", $AC$18:$AC167, $AC167), "-"), "err")</f>
        <v>-</v>
      </c>
      <c r="T167" s="25">
        <f t="shared" ca="1" si="60"/>
        <v>0</v>
      </c>
      <c r="U167" s="26" t="str">
        <f ca="1">IFERROR(IF(Y167="Yes", COUNTIFS(Y$18:Y167, "Yes", $AC$18:$AC167, $AC167), "-"), "err")</f>
        <v>-</v>
      </c>
      <c r="V167" s="25">
        <f t="shared" ca="1" si="61"/>
        <v>0</v>
      </c>
      <c r="W167" s="26" t="str">
        <f ca="1">IFERROR(IF($Z167="Yes", COUNTIFS(Z$18:Z167, "Yes", $AC$18:AC167, $AC167), "-"), "err")</f>
        <v>-</v>
      </c>
      <c r="X167" s="91">
        <f t="shared" ca="1" si="46"/>
        <v>0</v>
      </c>
      <c r="Y167" s="26" t="str">
        <f t="shared" ca="1" si="64"/>
        <v/>
      </c>
      <c r="Z167" s="26" t="str">
        <f t="shared" ca="1" si="65"/>
        <v/>
      </c>
      <c r="AA167" s="91">
        <f t="shared" si="71"/>
        <v>128</v>
      </c>
      <c r="AB167" s="17" t="s">
        <v>291</v>
      </c>
      <c r="AC167" s="184" t="s">
        <v>291</v>
      </c>
      <c r="AD167" s="54"/>
      <c r="AE167" s="54"/>
      <c r="AF167" s="112"/>
      <c r="AG167" s="200"/>
      <c r="AH167" s="113"/>
      <c r="AI167" s="114"/>
      <c r="AJ167" s="112"/>
      <c r="AK167" s="200"/>
      <c r="AL167" s="113"/>
      <c r="AM167" s="114"/>
      <c r="AN167" s="112"/>
      <c r="AO167" s="200"/>
      <c r="AP167" s="113"/>
      <c r="AQ167" s="114"/>
      <c r="AR167" s="130"/>
    </row>
    <row r="168" spans="1:44" hidden="1" x14ac:dyDescent="0.25">
      <c r="A168" s="41"/>
      <c r="B168" s="25" t="str">
        <f t="shared" si="62"/>
        <v>Child Functioning -- Child #4_10</v>
      </c>
      <c r="C168" s="25" t="str">
        <f t="shared" si="66"/>
        <v/>
      </c>
      <c r="D168" s="25" t="str">
        <f t="shared" si="63"/>
        <v/>
      </c>
      <c r="E168" s="25" t="str">
        <f t="shared" si="63"/>
        <v/>
      </c>
      <c r="F168" s="95">
        <f t="shared" si="72"/>
        <v>11</v>
      </c>
      <c r="G168" s="25">
        <f t="shared" si="73"/>
        <v>10</v>
      </c>
      <c r="H168" s="25" t="str">
        <f t="shared" si="67"/>
        <v>CF</v>
      </c>
      <c r="I168" s="25" t="str">
        <f t="shared" si="68"/>
        <v>CF</v>
      </c>
      <c r="J168" s="25" t="str">
        <f t="shared" si="70"/>
        <v>Child Functioning -- Child #4</v>
      </c>
      <c r="K168" s="108">
        <v>1</v>
      </c>
      <c r="L168" s="95" t="str">
        <f t="shared" ca="1" si="55"/>
        <v/>
      </c>
      <c r="M168" s="25" t="str">
        <f t="shared" ca="1" si="56"/>
        <v/>
      </c>
      <c r="N168" s="25" t="str">
        <f t="shared" ca="1" si="57"/>
        <v/>
      </c>
      <c r="O168" s="25" t="str">
        <f t="shared" ca="1" si="58"/>
        <v/>
      </c>
      <c r="P168" s="91" t="str">
        <f ca="1">IFERROR(IF(AND($X168=3, ISNUMBER($X168)), COUNTIFS(X$18:X168, "=3", $AC$18:$AC168, $AC168), "-"), "err")</f>
        <v>-</v>
      </c>
      <c r="Q168" s="26" t="str">
        <f ca="1">IFERROR(IF(AND($X168=2, ISNUMBER($X168)), COUNTIFS(X$18:X168, "=2", $AC$18:$AC168, $AC168), "-"), "err")</f>
        <v>-</v>
      </c>
      <c r="R168" s="25">
        <f t="shared" ca="1" si="59"/>
        <v>0</v>
      </c>
      <c r="S168" s="26" t="str">
        <f ca="1">IFERROR(IF(AND($X168&gt;=2, ISNUMBER($X168)), COUNTIFS(X$18:X168, "&gt;=2", $AC$18:$AC168, $AC168), "-"), "err")</f>
        <v>-</v>
      </c>
      <c r="T168" s="25">
        <f t="shared" ca="1" si="60"/>
        <v>0</v>
      </c>
      <c r="U168" s="26" t="str">
        <f ca="1">IFERROR(IF(Y168="Yes", COUNTIFS(Y$18:Y168, "Yes", $AC$18:$AC168, $AC168), "-"), "err")</f>
        <v>-</v>
      </c>
      <c r="V168" s="25">
        <f t="shared" ca="1" si="61"/>
        <v>0</v>
      </c>
      <c r="W168" s="26" t="str">
        <f ca="1">IFERROR(IF($Z168="Yes", COUNTIFS(Z$18:Z168, "Yes", $AC$18:AC168, $AC168), "-"), "err")</f>
        <v>-</v>
      </c>
      <c r="X168" s="91">
        <f t="shared" ca="1" si="46"/>
        <v>0</v>
      </c>
      <c r="Y168" s="26" t="str">
        <f t="shared" ca="1" si="64"/>
        <v/>
      </c>
      <c r="Z168" s="26" t="str">
        <f t="shared" ca="1" si="65"/>
        <v/>
      </c>
      <c r="AA168" s="91">
        <f t="shared" si="71"/>
        <v>129</v>
      </c>
      <c r="AB168" s="17" t="s">
        <v>292</v>
      </c>
      <c r="AC168" s="185" t="s">
        <v>292</v>
      </c>
      <c r="AD168" s="87"/>
      <c r="AE168" s="87"/>
      <c r="AF168" s="115"/>
      <c r="AG168" s="201"/>
      <c r="AH168" s="122"/>
      <c r="AI168" s="123"/>
      <c r="AJ168" s="115"/>
      <c r="AK168" s="201"/>
      <c r="AL168" s="122"/>
      <c r="AM168" s="123"/>
      <c r="AN168" s="115"/>
      <c r="AO168" s="201"/>
      <c r="AP168" s="122"/>
      <c r="AQ168" s="123"/>
      <c r="AR168" s="130"/>
    </row>
    <row r="169" spans="1:44" hidden="1" x14ac:dyDescent="0.25">
      <c r="A169" s="41"/>
      <c r="B169" s="25" t="str">
        <f t="shared" si="62"/>
        <v>Child Functioning -- Child #4_11</v>
      </c>
      <c r="C169" s="25" t="str">
        <f t="shared" si="66"/>
        <v/>
      </c>
      <c r="D169" s="25" t="str">
        <f t="shared" si="63"/>
        <v/>
      </c>
      <c r="E169" s="25" t="str">
        <f t="shared" si="63"/>
        <v/>
      </c>
      <c r="F169" s="95">
        <f t="shared" si="72"/>
        <v>11</v>
      </c>
      <c r="G169" s="25">
        <f t="shared" si="73"/>
        <v>11</v>
      </c>
      <c r="H169" s="25" t="str">
        <f t="shared" si="67"/>
        <v>CF</v>
      </c>
      <c r="I169" s="25" t="str">
        <f t="shared" si="68"/>
        <v>CF</v>
      </c>
      <c r="J169" s="25" t="str">
        <f t="shared" si="70"/>
        <v>Child Functioning -- Child #4</v>
      </c>
      <c r="K169" s="108">
        <v>1</v>
      </c>
      <c r="L169" s="95" t="str">
        <f t="shared" ca="1" si="55"/>
        <v/>
      </c>
      <c r="M169" s="25" t="str">
        <f t="shared" ca="1" si="56"/>
        <v/>
      </c>
      <c r="N169" s="25" t="str">
        <f t="shared" ca="1" si="57"/>
        <v/>
      </c>
      <c r="O169" s="25" t="str">
        <f t="shared" ca="1" si="58"/>
        <v/>
      </c>
      <c r="P169" s="91" t="str">
        <f ca="1">IFERROR(IF(AND($X169=3, ISNUMBER($X169)), COUNTIFS(X$18:X169, "=3", $AC$18:$AC169, $AC169), "-"), "err")</f>
        <v>-</v>
      </c>
      <c r="Q169" s="26" t="str">
        <f ca="1">IFERROR(IF(AND($X169=2, ISNUMBER($X169)), COUNTIFS(X$18:X169, "=2", $AC$18:$AC169, $AC169), "-"), "err")</f>
        <v>-</v>
      </c>
      <c r="R169" s="25">
        <f t="shared" ca="1" si="59"/>
        <v>0</v>
      </c>
      <c r="S169" s="26" t="str">
        <f ca="1">IFERROR(IF(AND($X169&gt;=2, ISNUMBER($X169)), COUNTIFS(X$18:X169, "&gt;=2", $AC$18:$AC169, $AC169), "-"), "err")</f>
        <v>-</v>
      </c>
      <c r="T169" s="25">
        <f t="shared" ca="1" si="60"/>
        <v>0</v>
      </c>
      <c r="U169" s="26" t="str">
        <f ca="1">IFERROR(IF(Y169="Yes", COUNTIFS(Y$18:Y169, "Yes", $AC$18:$AC169, $AC169), "-"), "err")</f>
        <v>-</v>
      </c>
      <c r="V169" s="25">
        <f t="shared" ca="1" si="61"/>
        <v>0</v>
      </c>
      <c r="W169" s="26" t="str">
        <f ca="1">IFERROR(IF($Z169="Yes", COUNTIFS(Z$18:Z169, "Yes", $AC$18:AC169, $AC169), "-"), "err")</f>
        <v>-</v>
      </c>
      <c r="X169" s="91">
        <f t="shared" ca="1" si="46"/>
        <v>0</v>
      </c>
      <c r="Y169" s="26" t="str">
        <f t="shared" ca="1" si="64"/>
        <v/>
      </c>
      <c r="Z169" s="26" t="str">
        <f t="shared" ca="1" si="65"/>
        <v/>
      </c>
      <c r="AA169" s="91">
        <f t="shared" si="71"/>
        <v>130</v>
      </c>
      <c r="AB169" s="17" t="s">
        <v>293</v>
      </c>
      <c r="AC169" s="184" t="s">
        <v>293</v>
      </c>
      <c r="AD169" s="54"/>
      <c r="AE169" s="54"/>
      <c r="AF169" s="112"/>
      <c r="AG169" s="200"/>
      <c r="AH169" s="122"/>
      <c r="AI169" s="123"/>
      <c r="AJ169" s="112"/>
      <c r="AK169" s="200"/>
      <c r="AL169" s="122"/>
      <c r="AM169" s="123"/>
      <c r="AN169" s="112"/>
      <c r="AO169" s="200"/>
      <c r="AP169" s="122"/>
      <c r="AQ169" s="123"/>
      <c r="AR169" s="130"/>
    </row>
    <row r="170" spans="1:44" hidden="1" x14ac:dyDescent="0.25">
      <c r="A170" s="41"/>
      <c r="B170" s="25" t="str">
        <f t="shared" si="62"/>
        <v>Child Functioning -- Child #4_12</v>
      </c>
      <c r="C170" s="25" t="str">
        <f t="shared" si="66"/>
        <v/>
      </c>
      <c r="D170" s="25" t="str">
        <f t="shared" si="63"/>
        <v/>
      </c>
      <c r="E170" s="25" t="str">
        <f t="shared" si="63"/>
        <v/>
      </c>
      <c r="F170" s="95">
        <f t="shared" si="72"/>
        <v>11</v>
      </c>
      <c r="G170" s="25">
        <f t="shared" si="73"/>
        <v>12</v>
      </c>
      <c r="H170" s="25" t="str">
        <f t="shared" si="67"/>
        <v>CF</v>
      </c>
      <c r="I170" s="25" t="str">
        <f t="shared" si="68"/>
        <v>CF</v>
      </c>
      <c r="J170" s="25" t="str">
        <f t="shared" si="70"/>
        <v>Child Functioning -- Child #4</v>
      </c>
      <c r="K170" s="108">
        <v>1</v>
      </c>
      <c r="L170" s="95" t="str">
        <f t="shared" ca="1" si="55"/>
        <v/>
      </c>
      <c r="M170" s="25" t="str">
        <f t="shared" ca="1" si="56"/>
        <v/>
      </c>
      <c r="N170" s="25" t="str">
        <f t="shared" ca="1" si="57"/>
        <v/>
      </c>
      <c r="O170" s="25" t="str">
        <f t="shared" ca="1" si="58"/>
        <v/>
      </c>
      <c r="P170" s="91" t="str">
        <f ca="1">IFERROR(IF(AND($X170=3, ISNUMBER($X170)), COUNTIFS(X$18:X170, "=3", $AC$18:$AC170, $AC170), "-"), "err")</f>
        <v>-</v>
      </c>
      <c r="Q170" s="26" t="str">
        <f ca="1">IFERROR(IF(AND($X170=2, ISNUMBER($X170)), COUNTIFS(X$18:X170, "=2", $AC$18:$AC170, $AC170), "-"), "err")</f>
        <v>-</v>
      </c>
      <c r="R170" s="25">
        <f t="shared" ca="1" si="59"/>
        <v>0</v>
      </c>
      <c r="S170" s="26" t="str">
        <f ca="1">IFERROR(IF(AND($X170&gt;=2, ISNUMBER($X170)), COUNTIFS(X$18:X170, "&gt;=2", $AC$18:$AC170, $AC170), "-"), "err")</f>
        <v>-</v>
      </c>
      <c r="T170" s="25">
        <f t="shared" ca="1" si="60"/>
        <v>0</v>
      </c>
      <c r="U170" s="26" t="str">
        <f ca="1">IFERROR(IF(Y170="Yes", COUNTIFS(Y$18:Y170, "Yes", $AC$18:$AC170, $AC170), "-"), "err")</f>
        <v>-</v>
      </c>
      <c r="V170" s="25">
        <f t="shared" ca="1" si="61"/>
        <v>0</v>
      </c>
      <c r="W170" s="26" t="str">
        <f ca="1">IFERROR(IF($Z170="Yes", COUNTIFS(Z$18:Z170, "Yes", $AC$18:AC170, $AC170), "-"), "err")</f>
        <v>-</v>
      </c>
      <c r="X170" s="91">
        <f t="shared" ca="1" si="46"/>
        <v>0</v>
      </c>
      <c r="Y170" s="26" t="str">
        <f t="shared" ca="1" si="64"/>
        <v/>
      </c>
      <c r="Z170" s="26" t="str">
        <f t="shared" ca="1" si="65"/>
        <v/>
      </c>
      <c r="AA170" s="91">
        <f t="shared" si="71"/>
        <v>131</v>
      </c>
      <c r="AB170" s="17" t="s">
        <v>294</v>
      </c>
      <c r="AC170" s="185" t="s">
        <v>294</v>
      </c>
      <c r="AD170" s="87"/>
      <c r="AE170" s="87"/>
      <c r="AF170" s="115"/>
      <c r="AG170" s="201"/>
      <c r="AH170" s="116"/>
      <c r="AI170" s="117"/>
      <c r="AJ170" s="115"/>
      <c r="AK170" s="201"/>
      <c r="AL170" s="116"/>
      <c r="AM170" s="117"/>
      <c r="AN170" s="115"/>
      <c r="AO170" s="201"/>
      <c r="AP170" s="116"/>
      <c r="AQ170" s="117"/>
      <c r="AR170" s="130"/>
    </row>
    <row r="171" spans="1:44" hidden="1" x14ac:dyDescent="0.25">
      <c r="A171" s="41"/>
      <c r="B171" s="25" t="str">
        <f t="shared" si="62"/>
        <v>Child Functioning -- Child #4_13</v>
      </c>
      <c r="C171" s="25" t="str">
        <f t="shared" si="66"/>
        <v/>
      </c>
      <c r="D171" s="25" t="str">
        <f t="shared" si="63"/>
        <v/>
      </c>
      <c r="E171" s="25" t="str">
        <f t="shared" si="63"/>
        <v/>
      </c>
      <c r="F171" s="95">
        <f t="shared" si="72"/>
        <v>11</v>
      </c>
      <c r="G171" s="25">
        <f t="shared" si="73"/>
        <v>13</v>
      </c>
      <c r="H171" s="25" t="str">
        <f t="shared" si="67"/>
        <v>CF</v>
      </c>
      <c r="I171" s="25" t="str">
        <f t="shared" si="68"/>
        <v>CF</v>
      </c>
      <c r="J171" s="25" t="str">
        <f t="shared" si="70"/>
        <v>Child Functioning -- Child #4</v>
      </c>
      <c r="K171" s="108">
        <v>1</v>
      </c>
      <c r="L171" s="95" t="str">
        <f t="shared" ca="1" si="55"/>
        <v/>
      </c>
      <c r="M171" s="25" t="str">
        <f t="shared" ca="1" si="56"/>
        <v/>
      </c>
      <c r="N171" s="25" t="str">
        <f t="shared" ca="1" si="57"/>
        <v/>
      </c>
      <c r="O171" s="25" t="str">
        <f t="shared" ca="1" si="58"/>
        <v/>
      </c>
      <c r="P171" s="91" t="str">
        <f ca="1">IFERROR(IF(AND($X171=3, ISNUMBER($X171)), COUNTIFS(X$18:X171, "=3", $AC$18:$AC171, $AC171), "-"), "err")</f>
        <v>-</v>
      </c>
      <c r="Q171" s="26" t="str">
        <f ca="1">IFERROR(IF(AND($X171=2, ISNUMBER($X171)), COUNTIFS(X$18:X171, "=2", $AC$18:$AC171, $AC171), "-"), "err")</f>
        <v>-</v>
      </c>
      <c r="R171" s="25">
        <f t="shared" ca="1" si="59"/>
        <v>0</v>
      </c>
      <c r="S171" s="26" t="str">
        <f ca="1">IFERROR(IF(AND($X171&gt;=2, ISNUMBER($X171)), COUNTIFS(X$18:X171, "&gt;=2", $AC$18:$AC171, $AC171), "-"), "err")</f>
        <v>-</v>
      </c>
      <c r="T171" s="25">
        <f t="shared" ca="1" si="60"/>
        <v>0</v>
      </c>
      <c r="U171" s="26" t="str">
        <f ca="1">IFERROR(IF(Y171="Yes", COUNTIFS(Y$18:Y171, "Yes", $AC$18:$AC171, $AC171), "-"), "err")</f>
        <v>-</v>
      </c>
      <c r="V171" s="25">
        <f t="shared" ca="1" si="61"/>
        <v>0</v>
      </c>
      <c r="W171" s="26" t="str">
        <f ca="1">IFERROR(IF($Z171="Yes", COUNTIFS(Z$18:Z171, "Yes", $AC$18:AC171, $AC171), "-"), "err")</f>
        <v>-</v>
      </c>
      <c r="X171" s="91">
        <f t="shared" ca="1" si="46"/>
        <v>0</v>
      </c>
      <c r="Y171" s="26" t="str">
        <f t="shared" ca="1" si="64"/>
        <v/>
      </c>
      <c r="Z171" s="26" t="str">
        <f t="shared" ca="1" si="65"/>
        <v/>
      </c>
      <c r="AA171" s="91">
        <f t="shared" si="71"/>
        <v>132</v>
      </c>
      <c r="AB171" s="17" t="s">
        <v>5</v>
      </c>
      <c r="AC171" s="184" t="s">
        <v>5</v>
      </c>
      <c r="AD171" s="54"/>
      <c r="AE171" s="54"/>
      <c r="AF171" s="112"/>
      <c r="AG171" s="200"/>
      <c r="AH171" s="113"/>
      <c r="AI171" s="114"/>
      <c r="AJ171" s="112"/>
      <c r="AK171" s="200"/>
      <c r="AL171" s="113"/>
      <c r="AM171" s="114"/>
      <c r="AN171" s="112"/>
      <c r="AO171" s="200"/>
      <c r="AP171" s="113"/>
      <c r="AQ171" s="114"/>
      <c r="AR171" s="130"/>
    </row>
    <row r="172" spans="1:44" hidden="1" x14ac:dyDescent="0.25">
      <c r="A172" s="41"/>
      <c r="B172" s="25" t="str">
        <f t="shared" si="62"/>
        <v>Child Functioning -- Child #4_14</v>
      </c>
      <c r="C172" s="25" t="str">
        <f t="shared" si="66"/>
        <v/>
      </c>
      <c r="D172" s="25" t="str">
        <f t="shared" si="63"/>
        <v/>
      </c>
      <c r="E172" s="25" t="str">
        <f t="shared" si="63"/>
        <v/>
      </c>
      <c r="F172" s="95">
        <f t="shared" si="72"/>
        <v>11</v>
      </c>
      <c r="G172" s="25">
        <f t="shared" si="73"/>
        <v>14</v>
      </c>
      <c r="H172" s="25" t="str">
        <f t="shared" si="67"/>
        <v>CF</v>
      </c>
      <c r="I172" s="25" t="str">
        <f t="shared" si="68"/>
        <v>CF</v>
      </c>
      <c r="J172" s="25" t="str">
        <f t="shared" si="70"/>
        <v>Child Functioning -- Child #4</v>
      </c>
      <c r="K172" s="108">
        <v>1</v>
      </c>
      <c r="L172" s="95" t="str">
        <f t="shared" ca="1" si="55"/>
        <v/>
      </c>
      <c r="M172" s="25" t="str">
        <f t="shared" ca="1" si="56"/>
        <v/>
      </c>
      <c r="N172" s="25" t="str">
        <f t="shared" ca="1" si="57"/>
        <v/>
      </c>
      <c r="O172" s="25" t="str">
        <f t="shared" ca="1" si="58"/>
        <v/>
      </c>
      <c r="P172" s="91" t="str">
        <f ca="1">IFERROR(IF(AND($X172=3, ISNUMBER($X172)), COUNTIFS(X$18:X172, "=3", $AC$18:$AC172, $AC172), "-"), "err")</f>
        <v>-</v>
      </c>
      <c r="Q172" s="26" t="str">
        <f ca="1">IFERROR(IF(AND($X172=2, ISNUMBER($X172)), COUNTIFS(X$18:X172, "=2", $AC$18:$AC172, $AC172), "-"), "err")</f>
        <v>-</v>
      </c>
      <c r="R172" s="25">
        <f t="shared" ca="1" si="59"/>
        <v>0</v>
      </c>
      <c r="S172" s="26" t="str">
        <f ca="1">IFERROR(IF(AND($X172&gt;=2, ISNUMBER($X172)), COUNTIFS(X$18:X172, "&gt;=2", $AC$18:$AC172, $AC172), "-"), "err")</f>
        <v>-</v>
      </c>
      <c r="T172" s="25">
        <f t="shared" ca="1" si="60"/>
        <v>0</v>
      </c>
      <c r="U172" s="26" t="str">
        <f ca="1">IFERROR(IF(Y172="Yes", COUNTIFS(Y$18:Y172, "Yes", $AC$18:$AC172, $AC172), "-"), "err")</f>
        <v>-</v>
      </c>
      <c r="V172" s="25">
        <f t="shared" ca="1" si="61"/>
        <v>0</v>
      </c>
      <c r="W172" s="26" t="str">
        <f ca="1">IFERROR(IF($Z172="Yes", COUNTIFS(Z$18:Z172, "Yes", $AC$18:AC172, $AC172), "-"), "err")</f>
        <v>-</v>
      </c>
      <c r="X172" s="91">
        <f t="shared" ca="1" si="46"/>
        <v>0</v>
      </c>
      <c r="Y172" s="26" t="str">
        <f t="shared" ca="1" si="64"/>
        <v/>
      </c>
      <c r="Z172" s="26" t="str">
        <f t="shared" ca="1" si="65"/>
        <v/>
      </c>
      <c r="AA172" s="91">
        <f t="shared" si="71"/>
        <v>133</v>
      </c>
      <c r="AB172" s="17" t="s">
        <v>295</v>
      </c>
      <c r="AC172" s="185" t="s">
        <v>295</v>
      </c>
      <c r="AD172" s="87"/>
      <c r="AE172" s="87"/>
      <c r="AF172" s="115"/>
      <c r="AG172" s="201"/>
      <c r="AH172" s="116"/>
      <c r="AI172" s="117"/>
      <c r="AJ172" s="115"/>
      <c r="AK172" s="201"/>
      <c r="AL172" s="116"/>
      <c r="AM172" s="117"/>
      <c r="AN172" s="115"/>
      <c r="AO172" s="201"/>
      <c r="AP172" s="116"/>
      <c r="AQ172" s="117"/>
      <c r="AR172" s="130"/>
    </row>
    <row r="173" spans="1:44" hidden="1" x14ac:dyDescent="0.25">
      <c r="A173" s="41"/>
      <c r="B173" s="25" t="str">
        <f t="shared" si="62"/>
        <v>Child Functioning -- Child #4_15</v>
      </c>
      <c r="C173" s="25" t="str">
        <f t="shared" si="66"/>
        <v/>
      </c>
      <c r="D173" s="25" t="str">
        <f t="shared" si="63"/>
        <v/>
      </c>
      <c r="E173" s="25" t="str">
        <f t="shared" si="63"/>
        <v>Child Functioning -- Child #4</v>
      </c>
      <c r="F173" s="95">
        <f t="shared" si="72"/>
        <v>11</v>
      </c>
      <c r="G173" s="25">
        <f t="shared" si="73"/>
        <v>15</v>
      </c>
      <c r="H173" s="25" t="str">
        <f t="shared" si="67"/>
        <v>CF</v>
      </c>
      <c r="I173" s="25" t="str">
        <f t="shared" si="68"/>
        <v>CF</v>
      </c>
      <c r="J173" s="25" t="str">
        <f t="shared" si="70"/>
        <v>Child Functioning -- Child #4</v>
      </c>
      <c r="K173" s="108">
        <v>1</v>
      </c>
      <c r="L173" s="95" t="str">
        <f t="shared" ca="1" si="55"/>
        <v/>
      </c>
      <c r="M173" s="25" t="str">
        <f t="shared" ca="1" si="56"/>
        <v/>
      </c>
      <c r="N173" s="25" t="str">
        <f t="shared" ca="1" si="57"/>
        <v/>
      </c>
      <c r="O173" s="25" t="str">
        <f t="shared" ca="1" si="58"/>
        <v/>
      </c>
      <c r="P173" s="91" t="str">
        <f ca="1">IFERROR(IF(AND($X173=3, ISNUMBER($X173)), COUNTIFS(X$18:X173, "=3", $AC$18:$AC173, $AC173), "-"), "err")</f>
        <v>-</v>
      </c>
      <c r="Q173" s="26" t="str">
        <f ca="1">IFERROR(IF(AND($X173=2, ISNUMBER($X173)), COUNTIFS(X$18:X173, "=2", $AC$18:$AC173, $AC173), "-"), "err")</f>
        <v>-</v>
      </c>
      <c r="R173" s="25">
        <f t="shared" ca="1" si="59"/>
        <v>0</v>
      </c>
      <c r="S173" s="26" t="str">
        <f ca="1">IFERROR(IF(AND($X173&gt;=2, ISNUMBER($X173)), COUNTIFS(X$18:X173, "&gt;=2", $AC$18:$AC173, $AC173), "-"), "err")</f>
        <v>-</v>
      </c>
      <c r="T173" s="25">
        <f t="shared" ca="1" si="60"/>
        <v>0</v>
      </c>
      <c r="U173" s="26" t="str">
        <f ca="1">IFERROR(IF(Y173="Yes", COUNTIFS(Y$18:Y173, "Yes", $AC$18:$AC173, $AC173), "-"), "err")</f>
        <v>-</v>
      </c>
      <c r="V173" s="25">
        <f t="shared" ca="1" si="61"/>
        <v>0</v>
      </c>
      <c r="W173" s="26" t="str">
        <f ca="1">IFERROR(IF($Z173="Yes", COUNTIFS(Z$18:Z173, "Yes", $AC$18:AC173, $AC173), "-"), "err")</f>
        <v>-</v>
      </c>
      <c r="X173" s="91">
        <f t="shared" ca="1" si="46"/>
        <v>0</v>
      </c>
      <c r="Y173" s="26" t="str">
        <f t="shared" ca="1" si="64"/>
        <v/>
      </c>
      <c r="Z173" s="26" t="str">
        <f t="shared" ca="1" si="65"/>
        <v/>
      </c>
      <c r="AA173" s="91">
        <f t="shared" si="71"/>
        <v>134</v>
      </c>
      <c r="AB173" s="17" t="s">
        <v>32</v>
      </c>
      <c r="AC173" s="184" t="s">
        <v>32</v>
      </c>
      <c r="AD173" s="54"/>
      <c r="AE173" s="54"/>
      <c r="AF173" s="112"/>
      <c r="AG173" s="200"/>
      <c r="AH173" s="122"/>
      <c r="AI173" s="123"/>
      <c r="AJ173" s="112"/>
      <c r="AK173" s="200"/>
      <c r="AL173" s="122"/>
      <c r="AM173" s="123"/>
      <c r="AN173" s="112"/>
      <c r="AO173" s="200"/>
      <c r="AP173" s="122"/>
      <c r="AQ173" s="123"/>
      <c r="AR173" s="130"/>
    </row>
    <row r="174" spans="1:44" hidden="1" x14ac:dyDescent="0.25">
      <c r="A174" s="41"/>
      <c r="B174" s="25" t="str">
        <f t="shared" si="62"/>
        <v>Child Functioning -- Child #5_0</v>
      </c>
      <c r="C174" s="25" t="str">
        <f t="shared" si="66"/>
        <v/>
      </c>
      <c r="D174" s="25" t="str">
        <f t="shared" si="63"/>
        <v/>
      </c>
      <c r="E174" s="25" t="str">
        <f t="shared" si="63"/>
        <v/>
      </c>
      <c r="F174" s="95">
        <f t="shared" si="72"/>
        <v>12</v>
      </c>
      <c r="G174" s="25">
        <f t="shared" si="73"/>
        <v>0</v>
      </c>
      <c r="H174" s="25" t="str">
        <f t="shared" si="67"/>
        <v>CF</v>
      </c>
      <c r="I174" s="25" t="str">
        <f t="shared" si="68"/>
        <v>CF</v>
      </c>
      <c r="J174" s="25" t="str">
        <f t="shared" si="70"/>
        <v>Child Functioning -- Child #5</v>
      </c>
      <c r="K174" s="108">
        <v>0</v>
      </c>
      <c r="L174" s="95" t="str">
        <f t="shared" ca="1" si="55"/>
        <v/>
      </c>
      <c r="M174" s="25" t="str">
        <f t="shared" ca="1" si="56"/>
        <v/>
      </c>
      <c r="N174" s="25" t="str">
        <f t="shared" ca="1" si="57"/>
        <v/>
      </c>
      <c r="O174" s="25" t="str">
        <f t="shared" ca="1" si="58"/>
        <v/>
      </c>
      <c r="P174" s="91" t="str">
        <f ca="1">IFERROR(IF(AND($X174=3, ISNUMBER($X174)), COUNTIFS(X$18:X174, "=3", $AC$18:$AC174, $AC174), "-"), "err")</f>
        <v>-</v>
      </c>
      <c r="Q174" s="26" t="str">
        <f ca="1">IFERROR(IF(AND($X174=2, ISNUMBER($X174)), COUNTIFS(X$18:X174, "=2", $AC$18:$AC174, $AC174), "-"), "err")</f>
        <v>-</v>
      </c>
      <c r="R174" s="25">
        <f t="shared" ca="1" si="59"/>
        <v>0</v>
      </c>
      <c r="S174" s="26" t="str">
        <f ca="1">IFERROR(IF(AND($X174&gt;=2, ISNUMBER($X174)), COUNTIFS(X$18:X174, "&gt;=2", $AC$18:$AC174, $AC174), "-"), "err")</f>
        <v>-</v>
      </c>
      <c r="T174" s="25">
        <f t="shared" ca="1" si="60"/>
        <v>0</v>
      </c>
      <c r="U174" s="26" t="str">
        <f ca="1">IFERROR(IF(Y174="Yes", COUNTIFS(Y$18:Y174, "Yes", $AC$18:$AC174, $AC174), "-"), "err")</f>
        <v>-</v>
      </c>
      <c r="V174" s="25">
        <f t="shared" ca="1" si="61"/>
        <v>0</v>
      </c>
      <c r="W174" s="26" t="str">
        <f ca="1">IFERROR(IF($Z174="Yes", COUNTIFS(Z$18:Z174, "Yes", $AC$18:AC174, $AC174), "-"), "err")</f>
        <v>-</v>
      </c>
      <c r="X174" s="91">
        <f t="shared" ca="1" si="46"/>
        <v>0</v>
      </c>
      <c r="Y174" s="26" t="str">
        <f t="shared" ca="1" si="64"/>
        <v/>
      </c>
      <c r="Z174" s="26" t="str">
        <f t="shared" ca="1" si="65"/>
        <v/>
      </c>
      <c r="AA174" s="91">
        <f t="shared" si="71"/>
        <v>134</v>
      </c>
      <c r="AC174" s="186" t="s">
        <v>330</v>
      </c>
      <c r="AD174" s="61"/>
      <c r="AE174" s="61"/>
      <c r="AF174" s="118"/>
      <c r="AG174" s="119"/>
      <c r="AH174" s="120"/>
      <c r="AI174" s="121"/>
      <c r="AJ174" s="118"/>
      <c r="AK174" s="119"/>
      <c r="AL174" s="120"/>
      <c r="AM174" s="121"/>
      <c r="AN174" s="118"/>
      <c r="AO174" s="119"/>
      <c r="AP174" s="120"/>
      <c r="AQ174" s="121"/>
      <c r="AR174" s="130"/>
    </row>
    <row r="175" spans="1:44" hidden="1" x14ac:dyDescent="0.25">
      <c r="A175" s="41"/>
      <c r="B175" s="25" t="str">
        <f t="shared" si="62"/>
        <v>Child Functioning -- Child #5_0</v>
      </c>
      <c r="C175" s="25" t="str">
        <f t="shared" ref="C175:E176" si="74">IF(H175&lt;&gt;H177, H175, "")</f>
        <v/>
      </c>
      <c r="D175" s="25" t="str">
        <f t="shared" si="74"/>
        <v/>
      </c>
      <c r="E175" s="25" t="str">
        <f t="shared" si="74"/>
        <v/>
      </c>
      <c r="F175" s="95">
        <f t="shared" si="72"/>
        <v>12</v>
      </c>
      <c r="G175" s="25">
        <f t="shared" si="73"/>
        <v>0</v>
      </c>
      <c r="H175" s="25" t="str">
        <f t="shared" si="67"/>
        <v>CF</v>
      </c>
      <c r="I175" s="25" t="str">
        <f t="shared" si="68"/>
        <v>CF</v>
      </c>
      <c r="J175" s="25" t="str">
        <f t="shared" si="70"/>
        <v>Child Functioning -- Child #5</v>
      </c>
      <c r="K175" s="108">
        <v>2</v>
      </c>
      <c r="L175" s="95" t="str">
        <f t="shared" ca="1" si="55"/>
        <v/>
      </c>
      <c r="M175" s="25" t="str">
        <f t="shared" ca="1" si="56"/>
        <v/>
      </c>
      <c r="N175" s="25" t="str">
        <f t="shared" ca="1" si="57"/>
        <v/>
      </c>
      <c r="O175" s="25" t="str">
        <f t="shared" ca="1" si="58"/>
        <v/>
      </c>
      <c r="P175" s="91" t="str">
        <f ca="1">IFERROR(IF(AND($X175=3, ISNUMBER($X175)), COUNTIFS(X$18:X175, "=3", $AC$18:$AC175, $AC175), "-"), "err")</f>
        <v>-</v>
      </c>
      <c r="Q175" s="26" t="str">
        <f ca="1">IFERROR(IF(AND($X175=2, ISNUMBER($X175)), COUNTIFS(X$18:X175, "=2", $AC$18:$AC175, $AC175), "-"), "err")</f>
        <v>-</v>
      </c>
      <c r="R175" s="25">
        <f t="shared" ca="1" si="59"/>
        <v>0</v>
      </c>
      <c r="S175" s="26" t="str">
        <f ca="1">IFERROR(IF(AND($X175&gt;=2, ISNUMBER($X175)), COUNTIFS(X$18:X175, "&gt;=2", $AC$18:$AC175, $AC175), "-"), "err")</f>
        <v>-</v>
      </c>
      <c r="T175" s="25">
        <f t="shared" ca="1" si="60"/>
        <v>0</v>
      </c>
      <c r="U175" s="26" t="str">
        <f ca="1">IFERROR(IF(Y175="Yes", COUNTIFS(Y$18:Y175, "Yes", $AC$18:$AC175, $AC175), "-"), "err")</f>
        <v>-</v>
      </c>
      <c r="V175" s="25">
        <f t="shared" ca="1" si="61"/>
        <v>0</v>
      </c>
      <c r="W175" s="26" t="str">
        <f ca="1">IFERROR(IF($Z175="Yes", COUNTIFS(Z$18:Z175, "Yes", $AC$18:AC175, $AC175), "-"), "err")</f>
        <v>-</v>
      </c>
      <c r="X175" s="91">
        <f t="shared" ca="1" si="46"/>
        <v>0</v>
      </c>
      <c r="Y175" s="26" t="str">
        <f t="shared" ca="1" si="64"/>
        <v/>
      </c>
      <c r="Z175" s="26" t="str">
        <f t="shared" ca="1" si="65"/>
        <v/>
      </c>
      <c r="AA175" s="91">
        <f t="shared" si="71"/>
        <v>134</v>
      </c>
      <c r="AC175" s="109" t="s">
        <v>332</v>
      </c>
      <c r="AD175" s="197"/>
      <c r="AE175" s="61"/>
      <c r="AF175" s="118"/>
      <c r="AG175" s="119"/>
      <c r="AH175" s="120"/>
      <c r="AI175" s="121"/>
      <c r="AJ175" s="118"/>
      <c r="AK175" s="119"/>
      <c r="AL175" s="120"/>
      <c r="AM175" s="121"/>
      <c r="AN175" s="118"/>
      <c r="AO175" s="119"/>
      <c r="AP175" s="120"/>
      <c r="AQ175" s="121"/>
      <c r="AR175" s="130"/>
    </row>
    <row r="176" spans="1:44" hidden="1" x14ac:dyDescent="0.25">
      <c r="A176" s="41"/>
      <c r="B176" s="25" t="str">
        <f>J176&amp;"_"&amp;G176</f>
        <v>Child Functioning -- Child #5_0</v>
      </c>
      <c r="C176" s="25" t="str">
        <f t="shared" si="74"/>
        <v/>
      </c>
      <c r="D176" s="25" t="str">
        <f t="shared" si="74"/>
        <v/>
      </c>
      <c r="E176" s="25" t="str">
        <f t="shared" si="74"/>
        <v/>
      </c>
      <c r="F176" s="95">
        <f>IF(K176=0, IF(ISNUMBER(F175), F175+1, 1), F175)</f>
        <v>12</v>
      </c>
      <c r="G176" s="25">
        <f>IF(K176=0, 0, IF(K176=1, G175+1, G175))</f>
        <v>0</v>
      </c>
      <c r="H176" s="25" t="str">
        <f>IF(OR(I176="FF", I176="CGA"), "FF/CGA", I176)</f>
        <v>CF</v>
      </c>
      <c r="I176" s="25" t="str">
        <f>IF(NOT(ISERROR(SEARCH("Family Functioning", J176))), "FF", IF(NOT(ISERROR(SEARCH("Caregiver Advocacy", J176))), "CGA", IF(NOT(ISERROR(SEARCH("Caregiver Functioning", J176))), "CGF", IF(NOT(ISERROR(SEARCH("Child Functioning", J176))), "CF", ""))))</f>
        <v>CF</v>
      </c>
      <c r="J176" s="25" t="str">
        <f t="shared" si="70"/>
        <v>Child Functioning -- Child #5</v>
      </c>
      <c r="K176" s="108">
        <v>2</v>
      </c>
      <c r="L176" s="95" t="str">
        <f t="shared" ca="1" si="55"/>
        <v/>
      </c>
      <c r="M176" s="25" t="str">
        <f t="shared" ca="1" si="56"/>
        <v/>
      </c>
      <c r="N176" s="25" t="str">
        <f t="shared" ca="1" si="57"/>
        <v/>
      </c>
      <c r="O176" s="25" t="str">
        <f t="shared" ca="1" si="58"/>
        <v/>
      </c>
      <c r="P176" s="91" t="str">
        <f ca="1">IFERROR(IF(AND($X176=3, ISNUMBER($X176)), COUNTIFS(X$18:X176, "=3", $AC$18:$AC176, $AC176), "-"), "err")</f>
        <v>-</v>
      </c>
      <c r="Q176" s="26" t="str">
        <f ca="1">IFERROR(IF(AND($X176=2, ISNUMBER($X176)), COUNTIFS(X$18:X176, "=2", $AC$18:$AC176, $AC176), "-"), "err")</f>
        <v>-</v>
      </c>
      <c r="R176" s="25">
        <f t="shared" ca="1" si="59"/>
        <v>0</v>
      </c>
      <c r="S176" s="26" t="str">
        <f ca="1">IFERROR(IF(AND($X176&gt;=2, ISNUMBER($X176)), COUNTIFS(X$18:X176, "&gt;=2", $AC$18:$AC176, $AC176), "-"), "err")</f>
        <v>-</v>
      </c>
      <c r="T176" s="25">
        <f t="shared" ca="1" si="60"/>
        <v>0</v>
      </c>
      <c r="U176" s="26" t="str">
        <f ca="1">IFERROR(IF(Y176="Yes", COUNTIFS(Y$18:Y176, "Yes", $AC$18:$AC176, $AC176), "-"), "err")</f>
        <v>-</v>
      </c>
      <c r="V176" s="25">
        <f t="shared" ca="1" si="61"/>
        <v>0</v>
      </c>
      <c r="W176" s="26" t="str">
        <f ca="1">IFERROR(IF($Z176="Yes", COUNTIFS(Z$18:Z176, "Yes", $AC$18:AC176, $AC176), "-"), "err")</f>
        <v>-</v>
      </c>
      <c r="X176" s="91">
        <f t="shared" ca="1" si="46"/>
        <v>0</v>
      </c>
      <c r="Y176" s="26" t="str">
        <f t="shared" ca="1" si="64"/>
        <v/>
      </c>
      <c r="Z176" s="26" t="str">
        <f t="shared" ca="1" si="65"/>
        <v/>
      </c>
      <c r="AA176" s="91">
        <f t="shared" si="71"/>
        <v>134</v>
      </c>
      <c r="AC176" s="109" t="s">
        <v>923</v>
      </c>
      <c r="AD176" s="197"/>
      <c r="AE176" s="61"/>
      <c r="AF176" s="118"/>
      <c r="AG176" s="119"/>
      <c r="AH176" s="120"/>
      <c r="AI176" s="121"/>
      <c r="AJ176" s="118"/>
      <c r="AK176" s="119"/>
      <c r="AL176" s="120"/>
      <c r="AM176" s="121"/>
      <c r="AN176" s="118"/>
      <c r="AO176" s="119"/>
      <c r="AP176" s="120"/>
      <c r="AQ176" s="121"/>
      <c r="AR176" s="130"/>
    </row>
    <row r="177" spans="1:44" hidden="1" x14ac:dyDescent="0.25">
      <c r="A177" s="41"/>
      <c r="B177" s="25" t="str">
        <f t="shared" si="62"/>
        <v>Child Functioning -- Child #5_1</v>
      </c>
      <c r="C177" s="25" t="str">
        <f t="shared" si="66"/>
        <v/>
      </c>
      <c r="D177" s="25" t="str">
        <f t="shared" si="63"/>
        <v/>
      </c>
      <c r="E177" s="25" t="str">
        <f t="shared" si="63"/>
        <v/>
      </c>
      <c r="F177" s="95">
        <f>IF(K177=0, IF(ISNUMBER(F175), F175+1, 1), F175)</f>
        <v>12</v>
      </c>
      <c r="G177" s="25">
        <f>IF(K177=0, 0, IF(K177=1, G175+1, G175))</f>
        <v>1</v>
      </c>
      <c r="H177" s="25" t="str">
        <f t="shared" si="67"/>
        <v>CF</v>
      </c>
      <c r="I177" s="25" t="str">
        <f t="shared" si="68"/>
        <v>CF</v>
      </c>
      <c r="J177" s="25" t="str">
        <f>IF(K177=0, AC177, J175)</f>
        <v>Child Functioning -- Child #5</v>
      </c>
      <c r="K177" s="108">
        <v>1</v>
      </c>
      <c r="L177" s="95" t="str">
        <f t="shared" ca="1" si="55"/>
        <v/>
      </c>
      <c r="M177" s="25" t="str">
        <f t="shared" ca="1" si="56"/>
        <v/>
      </c>
      <c r="N177" s="25" t="str">
        <f t="shared" ca="1" si="57"/>
        <v/>
      </c>
      <c r="O177" s="25" t="str">
        <f t="shared" ca="1" si="58"/>
        <v/>
      </c>
      <c r="P177" s="91" t="str">
        <f ca="1">IFERROR(IF(AND($X177=3, ISNUMBER($X177)), COUNTIFS(X$18:X177, "=3", $AC$18:$AC177, $AC177), "-"), "err")</f>
        <v>-</v>
      </c>
      <c r="Q177" s="26" t="str">
        <f ca="1">IFERROR(IF(AND($X177=2, ISNUMBER($X177)), COUNTIFS(X$18:X177, "=2", $AC$18:$AC177, $AC177), "-"), "err")</f>
        <v>-</v>
      </c>
      <c r="R177" s="25">
        <f t="shared" ca="1" si="59"/>
        <v>0</v>
      </c>
      <c r="S177" s="26" t="str">
        <f ca="1">IFERROR(IF(AND($X177&gt;=2, ISNUMBER($X177)), COUNTIFS(X$18:X177, "&gt;=2", $AC$18:$AC177, $AC177), "-"), "err")</f>
        <v>-</v>
      </c>
      <c r="T177" s="25">
        <f t="shared" ca="1" si="60"/>
        <v>0</v>
      </c>
      <c r="U177" s="26" t="str">
        <f ca="1">IFERROR(IF(Y177="Yes", COUNTIFS(Y$18:Y177, "Yes", $AC$18:$AC177, $AC177), "-"), "err")</f>
        <v>-</v>
      </c>
      <c r="V177" s="25">
        <f t="shared" ca="1" si="61"/>
        <v>0</v>
      </c>
      <c r="W177" s="26" t="str">
        <f ca="1">IFERROR(IF($Z177="Yes", COUNTIFS(Z$18:Z177, "Yes", $AC$18:AC177, $AC177), "-"), "err")</f>
        <v>-</v>
      </c>
      <c r="X177" s="91">
        <f t="shared" ca="1" si="46"/>
        <v>0</v>
      </c>
      <c r="Y177" s="26" t="str">
        <f t="shared" ca="1" si="64"/>
        <v/>
      </c>
      <c r="Z177" s="26" t="str">
        <f t="shared" ca="1" si="65"/>
        <v/>
      </c>
      <c r="AA177" s="91">
        <f>AA175+IF(AB177=0, 0, 1)</f>
        <v>135</v>
      </c>
      <c r="AB177" s="17" t="s">
        <v>284</v>
      </c>
      <c r="AC177" s="184" t="s">
        <v>284</v>
      </c>
      <c r="AD177" s="54"/>
      <c r="AE177" s="54"/>
      <c r="AF177" s="112"/>
      <c r="AG177" s="200"/>
      <c r="AH177" s="122"/>
      <c r="AI177" s="123"/>
      <c r="AJ177" s="112"/>
      <c r="AK177" s="200"/>
      <c r="AL177" s="122"/>
      <c r="AM177" s="123"/>
      <c r="AN177" s="112"/>
      <c r="AO177" s="200"/>
      <c r="AP177" s="122"/>
      <c r="AQ177" s="123"/>
      <c r="AR177" s="130"/>
    </row>
    <row r="178" spans="1:44" hidden="1" x14ac:dyDescent="0.25">
      <c r="A178" s="41"/>
      <c r="B178" s="25" t="str">
        <f t="shared" si="62"/>
        <v>Child Functioning -- Child #5_2</v>
      </c>
      <c r="C178" s="25" t="str">
        <f t="shared" si="66"/>
        <v/>
      </c>
      <c r="D178" s="25" t="str">
        <f t="shared" si="63"/>
        <v/>
      </c>
      <c r="E178" s="25" t="str">
        <f t="shared" si="63"/>
        <v/>
      </c>
      <c r="F178" s="95">
        <f t="shared" si="72"/>
        <v>12</v>
      </c>
      <c r="G178" s="25">
        <f t="shared" si="73"/>
        <v>2</v>
      </c>
      <c r="H178" s="25" t="str">
        <f t="shared" si="67"/>
        <v>CF</v>
      </c>
      <c r="I178" s="25" t="str">
        <f t="shared" si="68"/>
        <v>CF</v>
      </c>
      <c r="J178" s="25" t="str">
        <f t="shared" ref="J178:J194" si="75">IF(K178=0, AC178, J177)</f>
        <v>Child Functioning -- Child #5</v>
      </c>
      <c r="K178" s="108">
        <v>1</v>
      </c>
      <c r="L178" s="95" t="str">
        <f t="shared" ca="1" si="55"/>
        <v/>
      </c>
      <c r="M178" s="25" t="str">
        <f t="shared" ca="1" si="56"/>
        <v/>
      </c>
      <c r="N178" s="25" t="str">
        <f t="shared" ca="1" si="57"/>
        <v/>
      </c>
      <c r="O178" s="25" t="str">
        <f t="shared" ca="1" si="58"/>
        <v/>
      </c>
      <c r="P178" s="91" t="str">
        <f ca="1">IFERROR(IF(AND($X178=3, ISNUMBER($X178)), COUNTIFS(X$18:X178, "=3", $AC$18:$AC178, $AC178), "-"), "err")</f>
        <v>-</v>
      </c>
      <c r="Q178" s="26" t="str">
        <f ca="1">IFERROR(IF(AND($X178=2, ISNUMBER($X178)), COUNTIFS(X$18:X178, "=2", $AC$18:$AC178, $AC178), "-"), "err")</f>
        <v>-</v>
      </c>
      <c r="R178" s="25">
        <f t="shared" ca="1" si="59"/>
        <v>0</v>
      </c>
      <c r="S178" s="26" t="str">
        <f ca="1">IFERROR(IF(AND($X178&gt;=2, ISNUMBER($X178)), COUNTIFS(X$18:X178, "&gt;=2", $AC$18:$AC178, $AC178), "-"), "err")</f>
        <v>-</v>
      </c>
      <c r="T178" s="25">
        <f t="shared" ca="1" si="60"/>
        <v>0</v>
      </c>
      <c r="U178" s="26" t="str">
        <f ca="1">IFERROR(IF(Y178="Yes", COUNTIFS(Y$18:Y178, "Yes", $AC$18:$AC178, $AC178), "-"), "err")</f>
        <v>-</v>
      </c>
      <c r="V178" s="25">
        <f t="shared" ca="1" si="61"/>
        <v>0</v>
      </c>
      <c r="W178" s="26" t="str">
        <f ca="1">IFERROR(IF($Z178="Yes", COUNTIFS(Z$18:Z178, "Yes", $AC$18:AC178, $AC178), "-"), "err")</f>
        <v>-</v>
      </c>
      <c r="X178" s="91">
        <f t="shared" ca="1" si="46"/>
        <v>0</v>
      </c>
      <c r="Y178" s="26" t="str">
        <f t="shared" ca="1" si="64"/>
        <v/>
      </c>
      <c r="Z178" s="26" t="str">
        <f t="shared" ca="1" si="65"/>
        <v/>
      </c>
      <c r="AA178" s="91">
        <f t="shared" ref="AA178:AA194" si="76">AA177+IF(AB178=0, 0, 1)</f>
        <v>136</v>
      </c>
      <c r="AB178" s="17" t="s">
        <v>285</v>
      </c>
      <c r="AC178" s="185" t="s">
        <v>285</v>
      </c>
      <c r="AD178" s="87"/>
      <c r="AE178" s="87"/>
      <c r="AF178" s="115"/>
      <c r="AG178" s="201"/>
      <c r="AH178" s="116"/>
      <c r="AI178" s="117"/>
      <c r="AJ178" s="115"/>
      <c r="AK178" s="201"/>
      <c r="AL178" s="116"/>
      <c r="AM178" s="117"/>
      <c r="AN178" s="115"/>
      <c r="AO178" s="201"/>
      <c r="AP178" s="116"/>
      <c r="AQ178" s="117"/>
      <c r="AR178" s="130"/>
    </row>
    <row r="179" spans="1:44" hidden="1" x14ac:dyDescent="0.25">
      <c r="A179" s="41"/>
      <c r="B179" s="25" t="str">
        <f t="shared" si="62"/>
        <v>Child Functioning -- Child #5_3</v>
      </c>
      <c r="C179" s="25" t="str">
        <f t="shared" si="66"/>
        <v/>
      </c>
      <c r="D179" s="25" t="str">
        <f t="shared" si="63"/>
        <v/>
      </c>
      <c r="E179" s="25" t="str">
        <f t="shared" si="63"/>
        <v/>
      </c>
      <c r="F179" s="95">
        <f t="shared" si="72"/>
        <v>12</v>
      </c>
      <c r="G179" s="25">
        <f t="shared" si="73"/>
        <v>3</v>
      </c>
      <c r="H179" s="25" t="str">
        <f t="shared" si="67"/>
        <v>CF</v>
      </c>
      <c r="I179" s="25" t="str">
        <f t="shared" si="68"/>
        <v>CF</v>
      </c>
      <c r="J179" s="25" t="str">
        <f t="shared" si="75"/>
        <v>Child Functioning -- Child #5</v>
      </c>
      <c r="K179" s="108">
        <v>1</v>
      </c>
      <c r="L179" s="95" t="str">
        <f t="shared" ca="1" si="55"/>
        <v/>
      </c>
      <c r="M179" s="25" t="str">
        <f t="shared" ca="1" si="56"/>
        <v/>
      </c>
      <c r="N179" s="25" t="str">
        <f t="shared" ca="1" si="57"/>
        <v/>
      </c>
      <c r="O179" s="25" t="str">
        <f t="shared" ca="1" si="58"/>
        <v/>
      </c>
      <c r="P179" s="91" t="str">
        <f ca="1">IFERROR(IF(AND($X179=3, ISNUMBER($X179)), COUNTIFS(X$18:X179, "=3", $AC$18:$AC179, $AC179), "-"), "err")</f>
        <v>-</v>
      </c>
      <c r="Q179" s="26" t="str">
        <f ca="1">IFERROR(IF(AND($X179=2, ISNUMBER($X179)), COUNTIFS(X$18:X179, "=2", $AC$18:$AC179, $AC179), "-"), "err")</f>
        <v>-</v>
      </c>
      <c r="R179" s="25">
        <f t="shared" ca="1" si="59"/>
        <v>0</v>
      </c>
      <c r="S179" s="26" t="str">
        <f ca="1">IFERROR(IF(AND($X179&gt;=2, ISNUMBER($X179)), COUNTIFS(X$18:X179, "&gt;=2", $AC$18:$AC179, $AC179), "-"), "err")</f>
        <v>-</v>
      </c>
      <c r="T179" s="25">
        <f t="shared" ca="1" si="60"/>
        <v>0</v>
      </c>
      <c r="U179" s="26" t="str">
        <f ca="1">IFERROR(IF(Y179="Yes", COUNTIFS(Y$18:Y179, "Yes", $AC$18:$AC179, $AC179), "-"), "err")</f>
        <v>-</v>
      </c>
      <c r="V179" s="25">
        <f t="shared" ca="1" si="61"/>
        <v>0</v>
      </c>
      <c r="W179" s="26" t="str">
        <f ca="1">IFERROR(IF($Z179="Yes", COUNTIFS(Z$18:Z179, "Yes", $AC$18:AC179, $AC179), "-"), "err")</f>
        <v>-</v>
      </c>
      <c r="X179" s="91">
        <f t="shared" ca="1" si="46"/>
        <v>0</v>
      </c>
      <c r="Y179" s="26" t="str">
        <f t="shared" ca="1" si="64"/>
        <v/>
      </c>
      <c r="Z179" s="26" t="str">
        <f t="shared" ca="1" si="65"/>
        <v/>
      </c>
      <c r="AA179" s="91">
        <f t="shared" si="76"/>
        <v>137</v>
      </c>
      <c r="AB179" s="17" t="s">
        <v>287</v>
      </c>
      <c r="AC179" s="184" t="s">
        <v>287</v>
      </c>
      <c r="AD179" s="54"/>
      <c r="AE179" s="54"/>
      <c r="AF179" s="112"/>
      <c r="AG179" s="200"/>
      <c r="AH179" s="113"/>
      <c r="AI179" s="114"/>
      <c r="AJ179" s="112"/>
      <c r="AK179" s="200"/>
      <c r="AL179" s="113"/>
      <c r="AM179" s="114"/>
      <c r="AN179" s="112"/>
      <c r="AO179" s="200"/>
      <c r="AP179" s="113"/>
      <c r="AQ179" s="114"/>
      <c r="AR179" s="130"/>
    </row>
    <row r="180" spans="1:44" hidden="1" x14ac:dyDescent="0.25">
      <c r="A180" s="41"/>
      <c r="B180" s="25" t="str">
        <f t="shared" si="62"/>
        <v>Child Functioning -- Child #5_4</v>
      </c>
      <c r="C180" s="25" t="str">
        <f t="shared" si="66"/>
        <v/>
      </c>
      <c r="D180" s="25" t="str">
        <f t="shared" si="63"/>
        <v/>
      </c>
      <c r="E180" s="25" t="str">
        <f t="shared" si="63"/>
        <v/>
      </c>
      <c r="F180" s="95">
        <f t="shared" si="72"/>
        <v>12</v>
      </c>
      <c r="G180" s="25">
        <f t="shared" si="73"/>
        <v>4</v>
      </c>
      <c r="H180" s="25" t="str">
        <f t="shared" si="67"/>
        <v>CF</v>
      </c>
      <c r="I180" s="25" t="str">
        <f t="shared" si="68"/>
        <v>CF</v>
      </c>
      <c r="J180" s="25" t="str">
        <f t="shared" si="75"/>
        <v>Child Functioning -- Child #5</v>
      </c>
      <c r="K180" s="108">
        <v>1</v>
      </c>
      <c r="L180" s="95" t="str">
        <f t="shared" ca="1" si="55"/>
        <v/>
      </c>
      <c r="M180" s="25" t="str">
        <f t="shared" ca="1" si="56"/>
        <v/>
      </c>
      <c r="N180" s="25" t="str">
        <f t="shared" ca="1" si="57"/>
        <v/>
      </c>
      <c r="O180" s="25" t="str">
        <f t="shared" ca="1" si="58"/>
        <v/>
      </c>
      <c r="P180" s="91" t="str">
        <f ca="1">IFERROR(IF(AND($X180=3, ISNUMBER($X180)), COUNTIFS(X$18:X180, "=3", $AC$18:$AC180, $AC180), "-"), "err")</f>
        <v>-</v>
      </c>
      <c r="Q180" s="26" t="str">
        <f ca="1">IFERROR(IF(AND($X180=2, ISNUMBER($X180)), COUNTIFS(X$18:X180, "=2", $AC$18:$AC180, $AC180), "-"), "err")</f>
        <v>-</v>
      </c>
      <c r="R180" s="25">
        <f t="shared" ca="1" si="59"/>
        <v>0</v>
      </c>
      <c r="S180" s="26" t="str">
        <f ca="1">IFERROR(IF(AND($X180&gt;=2, ISNUMBER($X180)), COUNTIFS(X$18:X180, "&gt;=2", $AC$18:$AC180, $AC180), "-"), "err")</f>
        <v>-</v>
      </c>
      <c r="T180" s="25">
        <f t="shared" ca="1" si="60"/>
        <v>0</v>
      </c>
      <c r="U180" s="26" t="str">
        <f ca="1">IFERROR(IF(Y180="Yes", COUNTIFS(Y$18:Y180, "Yes", $AC$18:$AC180, $AC180), "-"), "err")</f>
        <v>-</v>
      </c>
      <c r="V180" s="25">
        <f t="shared" ca="1" si="61"/>
        <v>0</v>
      </c>
      <c r="W180" s="26" t="str">
        <f ca="1">IFERROR(IF($Z180="Yes", COUNTIFS(Z$18:Z180, "Yes", $AC$18:AC180, $AC180), "-"), "err")</f>
        <v>-</v>
      </c>
      <c r="X180" s="91">
        <f t="shared" ca="1" si="46"/>
        <v>0</v>
      </c>
      <c r="Y180" s="26" t="str">
        <f t="shared" ca="1" si="64"/>
        <v/>
      </c>
      <c r="Z180" s="26" t="str">
        <f t="shared" ca="1" si="65"/>
        <v/>
      </c>
      <c r="AA180" s="91">
        <f t="shared" si="76"/>
        <v>138</v>
      </c>
      <c r="AB180" s="17" t="s">
        <v>482</v>
      </c>
      <c r="AC180" s="185" t="s">
        <v>286</v>
      </c>
      <c r="AD180" s="87"/>
      <c r="AE180" s="87"/>
      <c r="AF180" s="115"/>
      <c r="AG180" s="201"/>
      <c r="AH180" s="116"/>
      <c r="AI180" s="117"/>
      <c r="AJ180" s="115"/>
      <c r="AK180" s="201"/>
      <c r="AL180" s="116"/>
      <c r="AM180" s="117"/>
      <c r="AN180" s="115"/>
      <c r="AO180" s="201"/>
      <c r="AP180" s="116"/>
      <c r="AQ180" s="117"/>
      <c r="AR180" s="130"/>
    </row>
    <row r="181" spans="1:44" hidden="1" x14ac:dyDescent="0.25">
      <c r="A181" s="41"/>
      <c r="B181" s="25" t="str">
        <f t="shared" si="62"/>
        <v>Child Functioning -- Child #5_5</v>
      </c>
      <c r="C181" s="25" t="str">
        <f t="shared" si="66"/>
        <v/>
      </c>
      <c r="D181" s="25" t="str">
        <f t="shared" si="63"/>
        <v/>
      </c>
      <c r="E181" s="25" t="str">
        <f t="shared" si="63"/>
        <v/>
      </c>
      <c r="F181" s="95">
        <f t="shared" si="72"/>
        <v>12</v>
      </c>
      <c r="G181" s="25">
        <f t="shared" si="73"/>
        <v>5</v>
      </c>
      <c r="H181" s="25" t="str">
        <f t="shared" si="67"/>
        <v>CF</v>
      </c>
      <c r="I181" s="25" t="str">
        <f t="shared" si="68"/>
        <v>CF</v>
      </c>
      <c r="J181" s="25" t="str">
        <f t="shared" si="75"/>
        <v>Child Functioning -- Child #5</v>
      </c>
      <c r="K181" s="108">
        <v>1</v>
      </c>
      <c r="L181" s="95" t="str">
        <f t="shared" ca="1" si="55"/>
        <v/>
      </c>
      <c r="M181" s="25" t="str">
        <f t="shared" ca="1" si="56"/>
        <v/>
      </c>
      <c r="N181" s="25" t="str">
        <f t="shared" ca="1" si="57"/>
        <v/>
      </c>
      <c r="O181" s="25" t="str">
        <f t="shared" ca="1" si="58"/>
        <v/>
      </c>
      <c r="P181" s="91" t="str">
        <f ca="1">IFERROR(IF(AND($X181=3, ISNUMBER($X181)), COUNTIFS(X$18:X181, "=3", $AC$18:$AC181, $AC181), "-"), "err")</f>
        <v>-</v>
      </c>
      <c r="Q181" s="26" t="str">
        <f ca="1">IFERROR(IF(AND($X181=2, ISNUMBER($X181)), COUNTIFS(X$18:X181, "=2", $AC$18:$AC181, $AC181), "-"), "err")</f>
        <v>-</v>
      </c>
      <c r="R181" s="25">
        <f t="shared" ca="1" si="59"/>
        <v>0</v>
      </c>
      <c r="S181" s="26" t="str">
        <f ca="1">IFERROR(IF(AND($X181&gt;=2, ISNUMBER($X181)), COUNTIFS(X$18:X181, "&gt;=2", $AC$18:$AC181, $AC181), "-"), "err")</f>
        <v>-</v>
      </c>
      <c r="T181" s="25">
        <f t="shared" ca="1" si="60"/>
        <v>0</v>
      </c>
      <c r="U181" s="26" t="str">
        <f ca="1">IFERROR(IF(Y181="Yes", COUNTIFS(Y$18:Y181, "Yes", $AC$18:$AC181, $AC181), "-"), "err")</f>
        <v>-</v>
      </c>
      <c r="V181" s="25">
        <f t="shared" ca="1" si="61"/>
        <v>0</v>
      </c>
      <c r="W181" s="26" t="str">
        <f ca="1">IFERROR(IF($Z181="Yes", COUNTIFS(Z$18:Z181, "Yes", $AC$18:AC181, $AC181), "-"), "err")</f>
        <v>-</v>
      </c>
      <c r="X181" s="91">
        <f t="shared" ca="1" si="46"/>
        <v>0</v>
      </c>
      <c r="Y181" s="26" t="str">
        <f t="shared" ca="1" si="64"/>
        <v/>
      </c>
      <c r="Z181" s="26" t="str">
        <f t="shared" ca="1" si="65"/>
        <v/>
      </c>
      <c r="AA181" s="91">
        <f t="shared" si="76"/>
        <v>139</v>
      </c>
      <c r="AB181" s="17" t="s">
        <v>288</v>
      </c>
      <c r="AC181" s="184" t="s">
        <v>288</v>
      </c>
      <c r="AD181" s="54"/>
      <c r="AE181" s="54"/>
      <c r="AF181" s="112"/>
      <c r="AG181" s="200"/>
      <c r="AH181" s="113"/>
      <c r="AI181" s="114"/>
      <c r="AJ181" s="112"/>
      <c r="AK181" s="200"/>
      <c r="AL181" s="113"/>
      <c r="AM181" s="114"/>
      <c r="AN181" s="112"/>
      <c r="AO181" s="200"/>
      <c r="AP181" s="113"/>
      <c r="AQ181" s="114"/>
      <c r="AR181" s="130"/>
    </row>
    <row r="182" spans="1:44" hidden="1" x14ac:dyDescent="0.25">
      <c r="A182" s="41"/>
      <c r="B182" s="25" t="str">
        <f t="shared" si="62"/>
        <v>Child Functioning -- Child #5_6</v>
      </c>
      <c r="C182" s="25" t="str">
        <f t="shared" si="66"/>
        <v/>
      </c>
      <c r="D182" s="25" t="str">
        <f t="shared" si="63"/>
        <v/>
      </c>
      <c r="E182" s="25" t="str">
        <f t="shared" si="63"/>
        <v/>
      </c>
      <c r="F182" s="95">
        <f t="shared" si="72"/>
        <v>12</v>
      </c>
      <c r="G182" s="25">
        <f t="shared" si="73"/>
        <v>6</v>
      </c>
      <c r="H182" s="25" t="str">
        <f t="shared" si="67"/>
        <v>CF</v>
      </c>
      <c r="I182" s="25" t="str">
        <f t="shared" si="68"/>
        <v>CF</v>
      </c>
      <c r="J182" s="25" t="str">
        <f t="shared" si="75"/>
        <v>Child Functioning -- Child #5</v>
      </c>
      <c r="K182" s="108">
        <v>1</v>
      </c>
      <c r="L182" s="95" t="str">
        <f t="shared" ca="1" si="55"/>
        <v/>
      </c>
      <c r="M182" s="25" t="str">
        <f t="shared" ca="1" si="56"/>
        <v/>
      </c>
      <c r="N182" s="25" t="str">
        <f t="shared" ca="1" si="57"/>
        <v/>
      </c>
      <c r="O182" s="25" t="str">
        <f t="shared" ca="1" si="58"/>
        <v/>
      </c>
      <c r="P182" s="91" t="str">
        <f ca="1">IFERROR(IF(AND($X182=3, ISNUMBER($X182)), COUNTIFS(X$18:X182, "=3", $AC$18:$AC182, $AC182), "-"), "err")</f>
        <v>-</v>
      </c>
      <c r="Q182" s="26" t="str">
        <f ca="1">IFERROR(IF(AND($X182=2, ISNUMBER($X182)), COUNTIFS(X$18:X182, "=2", $AC$18:$AC182, $AC182), "-"), "err")</f>
        <v>-</v>
      </c>
      <c r="R182" s="25">
        <f t="shared" ca="1" si="59"/>
        <v>0</v>
      </c>
      <c r="S182" s="26" t="str">
        <f ca="1">IFERROR(IF(AND($X182&gt;=2, ISNUMBER($X182)), COUNTIFS(X$18:X182, "&gt;=2", $AC$18:$AC182, $AC182), "-"), "err")</f>
        <v>-</v>
      </c>
      <c r="T182" s="25">
        <f t="shared" ca="1" si="60"/>
        <v>0</v>
      </c>
      <c r="U182" s="26" t="str">
        <f ca="1">IFERROR(IF(Y182="Yes", COUNTIFS(Y$18:Y182, "Yes", $AC$18:$AC182, $AC182), "-"), "err")</f>
        <v>-</v>
      </c>
      <c r="V182" s="25">
        <f t="shared" ca="1" si="61"/>
        <v>0</v>
      </c>
      <c r="W182" s="26" t="str">
        <f ca="1">IFERROR(IF($Z182="Yes", COUNTIFS(Z$18:Z182, "Yes", $AC$18:AC182, $AC182), "-"), "err")</f>
        <v>-</v>
      </c>
      <c r="X182" s="91">
        <f t="shared" ca="1" si="46"/>
        <v>0</v>
      </c>
      <c r="Y182" s="26" t="str">
        <f t="shared" ca="1" si="64"/>
        <v/>
      </c>
      <c r="Z182" s="26" t="str">
        <f t="shared" ca="1" si="65"/>
        <v/>
      </c>
      <c r="AA182" s="91">
        <f t="shared" si="76"/>
        <v>140</v>
      </c>
      <c r="AB182" s="17" t="s">
        <v>289</v>
      </c>
      <c r="AC182" s="185" t="s">
        <v>289</v>
      </c>
      <c r="AD182" s="87"/>
      <c r="AE182" s="87"/>
      <c r="AF182" s="115"/>
      <c r="AG182" s="201"/>
      <c r="AH182" s="116"/>
      <c r="AI182" s="117"/>
      <c r="AJ182" s="115"/>
      <c r="AK182" s="201"/>
      <c r="AL182" s="116"/>
      <c r="AM182" s="117"/>
      <c r="AN182" s="115"/>
      <c r="AO182" s="201"/>
      <c r="AP182" s="116"/>
      <c r="AQ182" s="117"/>
      <c r="AR182" s="130"/>
    </row>
    <row r="183" spans="1:44" hidden="1" x14ac:dyDescent="0.25">
      <c r="A183" s="41"/>
      <c r="B183" s="25" t="str">
        <f t="shared" si="62"/>
        <v>Child Functioning -- Child #5_7</v>
      </c>
      <c r="C183" s="25" t="str">
        <f t="shared" si="66"/>
        <v/>
      </c>
      <c r="D183" s="25" t="str">
        <f t="shared" si="63"/>
        <v/>
      </c>
      <c r="E183" s="25" t="str">
        <f t="shared" si="63"/>
        <v/>
      </c>
      <c r="F183" s="95">
        <f t="shared" si="72"/>
        <v>12</v>
      </c>
      <c r="G183" s="25">
        <f t="shared" si="73"/>
        <v>7</v>
      </c>
      <c r="H183" s="25" t="str">
        <f t="shared" si="67"/>
        <v>CF</v>
      </c>
      <c r="I183" s="25" t="str">
        <f t="shared" si="68"/>
        <v>CF</v>
      </c>
      <c r="J183" s="25" t="str">
        <f t="shared" si="75"/>
        <v>Child Functioning -- Child #5</v>
      </c>
      <c r="K183" s="108">
        <v>1</v>
      </c>
      <c r="L183" s="95" t="str">
        <f t="shared" ca="1" si="55"/>
        <v/>
      </c>
      <c r="M183" s="25" t="str">
        <f t="shared" ca="1" si="56"/>
        <v/>
      </c>
      <c r="N183" s="25" t="str">
        <f t="shared" ca="1" si="57"/>
        <v/>
      </c>
      <c r="O183" s="25" t="str">
        <f t="shared" ca="1" si="58"/>
        <v/>
      </c>
      <c r="P183" s="91" t="str">
        <f ca="1">IFERROR(IF(AND($X183=3, ISNUMBER($X183)), COUNTIFS(X$18:X183, "=3", $AC$18:$AC183, $AC183), "-"), "err")</f>
        <v>-</v>
      </c>
      <c r="Q183" s="26" t="str">
        <f ca="1">IFERROR(IF(AND($X183=2, ISNUMBER($X183)), COUNTIFS(X$18:X183, "=2", $AC$18:$AC183, $AC183), "-"), "err")</f>
        <v>-</v>
      </c>
      <c r="R183" s="25">
        <f t="shared" ca="1" si="59"/>
        <v>0</v>
      </c>
      <c r="S183" s="26" t="str">
        <f ca="1">IFERROR(IF(AND($X183&gt;=2, ISNUMBER($X183)), COUNTIFS(X$18:X183, "&gt;=2", $AC$18:$AC183, $AC183), "-"), "err")</f>
        <v>-</v>
      </c>
      <c r="T183" s="25">
        <f t="shared" ca="1" si="60"/>
        <v>0</v>
      </c>
      <c r="U183" s="26" t="str">
        <f ca="1">IFERROR(IF(Y183="Yes", COUNTIFS(Y$18:Y183, "Yes", $AC$18:$AC183, $AC183), "-"), "err")</f>
        <v>-</v>
      </c>
      <c r="V183" s="25">
        <f t="shared" ca="1" si="61"/>
        <v>0</v>
      </c>
      <c r="W183" s="26" t="str">
        <f ca="1">IFERROR(IF($Z183="Yes", COUNTIFS(Z$18:Z183, "Yes", $AC$18:AC183, $AC183), "-"), "err")</f>
        <v>-</v>
      </c>
      <c r="X183" s="91">
        <f t="shared" ref="X183:X209" ca="1" si="77">INDIRECT(ADDRESS(ROW(), lastAssessCol))</f>
        <v>0</v>
      </c>
      <c r="Y183" s="26" t="str">
        <f t="shared" ref="Y183:Y209" ca="1" si="78">T(INDIRECT(ADDRESS(ROW(), lastAssessCol+2)))</f>
        <v/>
      </c>
      <c r="Z183" s="26" t="str">
        <f t="shared" ref="Z183:Z209" ca="1" si="79">T(INDIRECT(ADDRESS(ROW(), lastAssessCol+3)))</f>
        <v/>
      </c>
      <c r="AA183" s="91">
        <f t="shared" si="76"/>
        <v>141</v>
      </c>
      <c r="AB183" s="17" t="s">
        <v>132</v>
      </c>
      <c r="AC183" s="184" t="s">
        <v>132</v>
      </c>
      <c r="AD183" s="54"/>
      <c r="AE183" s="54"/>
      <c r="AF183" s="112"/>
      <c r="AG183" s="200"/>
      <c r="AH183" s="113"/>
      <c r="AI183" s="114"/>
      <c r="AJ183" s="112"/>
      <c r="AK183" s="200"/>
      <c r="AL183" s="113"/>
      <c r="AM183" s="114"/>
      <c r="AN183" s="112"/>
      <c r="AO183" s="200"/>
      <c r="AP183" s="113"/>
      <c r="AQ183" s="114"/>
      <c r="AR183" s="130"/>
    </row>
    <row r="184" spans="1:44" hidden="1" x14ac:dyDescent="0.25">
      <c r="A184" s="41"/>
      <c r="B184" s="25" t="str">
        <f t="shared" si="62"/>
        <v>Child Functioning -- Child #5_8</v>
      </c>
      <c r="C184" s="25" t="str">
        <f t="shared" si="66"/>
        <v/>
      </c>
      <c r="D184" s="25" t="str">
        <f t="shared" si="63"/>
        <v/>
      </c>
      <c r="E184" s="25" t="str">
        <f t="shared" si="63"/>
        <v/>
      </c>
      <c r="F184" s="95">
        <f t="shared" si="72"/>
        <v>12</v>
      </c>
      <c r="G184" s="25">
        <f t="shared" si="73"/>
        <v>8</v>
      </c>
      <c r="H184" s="25" t="str">
        <f t="shared" si="67"/>
        <v>CF</v>
      </c>
      <c r="I184" s="25" t="str">
        <f t="shared" si="68"/>
        <v>CF</v>
      </c>
      <c r="J184" s="25" t="str">
        <f t="shared" si="75"/>
        <v>Child Functioning -- Child #5</v>
      </c>
      <c r="K184" s="108">
        <v>1</v>
      </c>
      <c r="L184" s="95" t="str">
        <f t="shared" ca="1" si="55"/>
        <v/>
      </c>
      <c r="M184" s="25" t="str">
        <f t="shared" ca="1" si="56"/>
        <v/>
      </c>
      <c r="N184" s="25" t="str">
        <f t="shared" ca="1" si="57"/>
        <v/>
      </c>
      <c r="O184" s="25" t="str">
        <f t="shared" ca="1" si="58"/>
        <v/>
      </c>
      <c r="P184" s="91" t="str">
        <f ca="1">IFERROR(IF(AND($X184=3, ISNUMBER($X184)), COUNTIFS(X$18:X184, "=3", $AC$18:$AC184, $AC184), "-"), "err")</f>
        <v>-</v>
      </c>
      <c r="Q184" s="26" t="str">
        <f ca="1">IFERROR(IF(AND($X184=2, ISNUMBER($X184)), COUNTIFS(X$18:X184, "=2", $AC$18:$AC184, $AC184), "-"), "err")</f>
        <v>-</v>
      </c>
      <c r="R184" s="25">
        <f t="shared" ca="1" si="59"/>
        <v>0</v>
      </c>
      <c r="S184" s="26" t="str">
        <f ca="1">IFERROR(IF(AND($X184&gt;=2, ISNUMBER($X184)), COUNTIFS(X$18:X184, "&gt;=2", $AC$18:$AC184, $AC184), "-"), "err")</f>
        <v>-</v>
      </c>
      <c r="T184" s="25">
        <f t="shared" ca="1" si="60"/>
        <v>0</v>
      </c>
      <c r="U184" s="26" t="str">
        <f ca="1">IFERROR(IF(Y184="Yes", COUNTIFS(Y$18:Y184, "Yes", $AC$18:$AC184, $AC184), "-"), "err")</f>
        <v>-</v>
      </c>
      <c r="V184" s="25">
        <f t="shared" ca="1" si="61"/>
        <v>0</v>
      </c>
      <c r="W184" s="26" t="str">
        <f ca="1">IFERROR(IF($Z184="Yes", COUNTIFS(Z$18:Z184, "Yes", $AC$18:AC184, $AC184), "-"), "err")</f>
        <v>-</v>
      </c>
      <c r="X184" s="91">
        <f t="shared" ca="1" si="77"/>
        <v>0</v>
      </c>
      <c r="Y184" s="26" t="str">
        <f t="shared" ca="1" si="78"/>
        <v/>
      </c>
      <c r="Z184" s="26" t="str">
        <f t="shared" ca="1" si="79"/>
        <v/>
      </c>
      <c r="AA184" s="91">
        <f t="shared" si="76"/>
        <v>142</v>
      </c>
      <c r="AB184" s="17" t="s">
        <v>290</v>
      </c>
      <c r="AC184" s="185" t="s">
        <v>290</v>
      </c>
      <c r="AD184" s="87"/>
      <c r="AE184" s="87"/>
      <c r="AF184" s="115"/>
      <c r="AG184" s="201"/>
      <c r="AH184" s="116"/>
      <c r="AI184" s="117"/>
      <c r="AJ184" s="115"/>
      <c r="AK184" s="201"/>
      <c r="AL184" s="116"/>
      <c r="AM184" s="117"/>
      <c r="AN184" s="115"/>
      <c r="AO184" s="201"/>
      <c r="AP184" s="116"/>
      <c r="AQ184" s="117"/>
      <c r="AR184" s="130"/>
    </row>
    <row r="185" spans="1:44" hidden="1" x14ac:dyDescent="0.25">
      <c r="A185" s="41"/>
      <c r="B185" s="25" t="str">
        <f t="shared" si="62"/>
        <v>Child Functioning -- Child #5_9</v>
      </c>
      <c r="C185" s="25" t="str">
        <f t="shared" si="66"/>
        <v/>
      </c>
      <c r="D185" s="25" t="str">
        <f t="shared" si="63"/>
        <v/>
      </c>
      <c r="E185" s="25" t="str">
        <f t="shared" si="63"/>
        <v/>
      </c>
      <c r="F185" s="95">
        <f t="shared" si="72"/>
        <v>12</v>
      </c>
      <c r="G185" s="25">
        <f t="shared" si="73"/>
        <v>9</v>
      </c>
      <c r="H185" s="25" t="str">
        <f t="shared" si="67"/>
        <v>CF</v>
      </c>
      <c r="I185" s="25" t="str">
        <f t="shared" si="68"/>
        <v>CF</v>
      </c>
      <c r="J185" s="25" t="str">
        <f t="shared" si="75"/>
        <v>Child Functioning -- Child #5</v>
      </c>
      <c r="K185" s="108">
        <v>1</v>
      </c>
      <c r="L185" s="95" t="str">
        <f t="shared" ca="1" si="55"/>
        <v/>
      </c>
      <c r="M185" s="25" t="str">
        <f t="shared" ca="1" si="56"/>
        <v/>
      </c>
      <c r="N185" s="25" t="str">
        <f t="shared" ca="1" si="57"/>
        <v/>
      </c>
      <c r="O185" s="25" t="str">
        <f t="shared" ca="1" si="58"/>
        <v/>
      </c>
      <c r="P185" s="91" t="str">
        <f ca="1">IFERROR(IF(AND($X185=3, ISNUMBER($X185)), COUNTIFS(X$18:X185, "=3", $AC$18:$AC185, $AC185), "-"), "err")</f>
        <v>-</v>
      </c>
      <c r="Q185" s="26" t="str">
        <f ca="1">IFERROR(IF(AND($X185=2, ISNUMBER($X185)), COUNTIFS(X$18:X185, "=2", $AC$18:$AC185, $AC185), "-"), "err")</f>
        <v>-</v>
      </c>
      <c r="R185" s="25">
        <f t="shared" ca="1" si="59"/>
        <v>0</v>
      </c>
      <c r="S185" s="26" t="str">
        <f ca="1">IFERROR(IF(AND($X185&gt;=2, ISNUMBER($X185)), COUNTIFS(X$18:X185, "&gt;=2", $AC$18:$AC185, $AC185), "-"), "err")</f>
        <v>-</v>
      </c>
      <c r="T185" s="25">
        <f t="shared" ca="1" si="60"/>
        <v>0</v>
      </c>
      <c r="U185" s="26" t="str">
        <f ca="1">IFERROR(IF(Y185="Yes", COUNTIFS(Y$18:Y185, "Yes", $AC$18:$AC185, $AC185), "-"), "err")</f>
        <v>-</v>
      </c>
      <c r="V185" s="25">
        <f t="shared" ca="1" si="61"/>
        <v>0</v>
      </c>
      <c r="W185" s="26" t="str">
        <f ca="1">IFERROR(IF($Z185="Yes", COUNTIFS(Z$18:Z185, "Yes", $AC$18:AC185, $AC185), "-"), "err")</f>
        <v>-</v>
      </c>
      <c r="X185" s="91">
        <f t="shared" ca="1" si="77"/>
        <v>0</v>
      </c>
      <c r="Y185" s="26" t="str">
        <f t="shared" ca="1" si="78"/>
        <v/>
      </c>
      <c r="Z185" s="26" t="str">
        <f t="shared" ca="1" si="79"/>
        <v/>
      </c>
      <c r="AA185" s="91">
        <f t="shared" si="76"/>
        <v>143</v>
      </c>
      <c r="AB185" s="17" t="s">
        <v>291</v>
      </c>
      <c r="AC185" s="184" t="s">
        <v>291</v>
      </c>
      <c r="AD185" s="54"/>
      <c r="AE185" s="54"/>
      <c r="AF185" s="112"/>
      <c r="AG185" s="200"/>
      <c r="AH185" s="113"/>
      <c r="AI185" s="114"/>
      <c r="AJ185" s="112"/>
      <c r="AK185" s="200"/>
      <c r="AL185" s="113"/>
      <c r="AM185" s="114"/>
      <c r="AN185" s="112"/>
      <c r="AO185" s="200"/>
      <c r="AP185" s="113"/>
      <c r="AQ185" s="114"/>
      <c r="AR185" s="130"/>
    </row>
    <row r="186" spans="1:44" hidden="1" x14ac:dyDescent="0.25">
      <c r="A186" s="41"/>
      <c r="B186" s="25" t="str">
        <f t="shared" si="62"/>
        <v>Child Functioning -- Child #5_10</v>
      </c>
      <c r="C186" s="25" t="str">
        <f t="shared" si="66"/>
        <v/>
      </c>
      <c r="D186" s="25" t="str">
        <f t="shared" si="63"/>
        <v/>
      </c>
      <c r="E186" s="25" t="str">
        <f t="shared" si="63"/>
        <v/>
      </c>
      <c r="F186" s="95">
        <f t="shared" si="72"/>
        <v>12</v>
      </c>
      <c r="G186" s="25">
        <f t="shared" si="73"/>
        <v>10</v>
      </c>
      <c r="H186" s="25" t="str">
        <f t="shared" si="67"/>
        <v>CF</v>
      </c>
      <c r="I186" s="25" t="str">
        <f t="shared" si="68"/>
        <v>CF</v>
      </c>
      <c r="J186" s="25" t="str">
        <f t="shared" si="75"/>
        <v>Child Functioning -- Child #5</v>
      </c>
      <c r="K186" s="108">
        <v>1</v>
      </c>
      <c r="L186" s="95" t="str">
        <f t="shared" ca="1" si="55"/>
        <v/>
      </c>
      <c r="M186" s="25" t="str">
        <f t="shared" ca="1" si="56"/>
        <v/>
      </c>
      <c r="N186" s="25" t="str">
        <f t="shared" ca="1" si="57"/>
        <v/>
      </c>
      <c r="O186" s="25" t="str">
        <f t="shared" ca="1" si="58"/>
        <v/>
      </c>
      <c r="P186" s="91" t="str">
        <f ca="1">IFERROR(IF(AND($X186=3, ISNUMBER($X186)), COUNTIFS(X$18:X186, "=3", $AC$18:$AC186, $AC186), "-"), "err")</f>
        <v>-</v>
      </c>
      <c r="Q186" s="26" t="str">
        <f ca="1">IFERROR(IF(AND($X186=2, ISNUMBER($X186)), COUNTIFS(X$18:X186, "=2", $AC$18:$AC186, $AC186), "-"), "err")</f>
        <v>-</v>
      </c>
      <c r="R186" s="25">
        <f t="shared" ca="1" si="59"/>
        <v>0</v>
      </c>
      <c r="S186" s="26" t="str">
        <f ca="1">IFERROR(IF(AND($X186&gt;=2, ISNUMBER($X186)), COUNTIFS(X$18:X186, "&gt;=2", $AC$18:$AC186, $AC186), "-"), "err")</f>
        <v>-</v>
      </c>
      <c r="T186" s="25">
        <f t="shared" ca="1" si="60"/>
        <v>0</v>
      </c>
      <c r="U186" s="26" t="str">
        <f ca="1">IFERROR(IF(Y186="Yes", COUNTIFS(Y$18:Y186, "Yes", $AC$18:$AC186, $AC186), "-"), "err")</f>
        <v>-</v>
      </c>
      <c r="V186" s="25">
        <f t="shared" ca="1" si="61"/>
        <v>0</v>
      </c>
      <c r="W186" s="26" t="str">
        <f ca="1">IFERROR(IF($Z186="Yes", COUNTIFS(Z$18:Z186, "Yes", $AC$18:AC186, $AC186), "-"), "err")</f>
        <v>-</v>
      </c>
      <c r="X186" s="91">
        <f t="shared" ca="1" si="77"/>
        <v>0</v>
      </c>
      <c r="Y186" s="26" t="str">
        <f t="shared" ca="1" si="78"/>
        <v/>
      </c>
      <c r="Z186" s="26" t="str">
        <f t="shared" ca="1" si="79"/>
        <v/>
      </c>
      <c r="AA186" s="91">
        <f t="shared" si="76"/>
        <v>144</v>
      </c>
      <c r="AB186" s="17" t="s">
        <v>292</v>
      </c>
      <c r="AC186" s="185" t="s">
        <v>292</v>
      </c>
      <c r="AD186" s="87"/>
      <c r="AE186" s="87"/>
      <c r="AF186" s="115"/>
      <c r="AG186" s="201"/>
      <c r="AH186" s="122"/>
      <c r="AI186" s="123"/>
      <c r="AJ186" s="115"/>
      <c r="AK186" s="201"/>
      <c r="AL186" s="122"/>
      <c r="AM186" s="123"/>
      <c r="AN186" s="115"/>
      <c r="AO186" s="201"/>
      <c r="AP186" s="122"/>
      <c r="AQ186" s="123"/>
      <c r="AR186" s="130"/>
    </row>
    <row r="187" spans="1:44" hidden="1" x14ac:dyDescent="0.25">
      <c r="A187" s="41"/>
      <c r="B187" s="25" t="str">
        <f t="shared" si="62"/>
        <v>Child Functioning -- Child #5_11</v>
      </c>
      <c r="C187" s="25" t="str">
        <f t="shared" si="66"/>
        <v/>
      </c>
      <c r="D187" s="25" t="str">
        <f t="shared" si="63"/>
        <v/>
      </c>
      <c r="E187" s="25" t="str">
        <f t="shared" si="63"/>
        <v/>
      </c>
      <c r="F187" s="95">
        <f t="shared" si="72"/>
        <v>12</v>
      </c>
      <c r="G187" s="25">
        <f t="shared" si="73"/>
        <v>11</v>
      </c>
      <c r="H187" s="25" t="str">
        <f t="shared" si="67"/>
        <v>CF</v>
      </c>
      <c r="I187" s="25" t="str">
        <f t="shared" si="68"/>
        <v>CF</v>
      </c>
      <c r="J187" s="25" t="str">
        <f t="shared" si="75"/>
        <v>Child Functioning -- Child #5</v>
      </c>
      <c r="K187" s="108">
        <v>1</v>
      </c>
      <c r="L187" s="95" t="str">
        <f t="shared" ca="1" si="55"/>
        <v/>
      </c>
      <c r="M187" s="25" t="str">
        <f t="shared" ca="1" si="56"/>
        <v/>
      </c>
      <c r="N187" s="25" t="str">
        <f t="shared" ca="1" si="57"/>
        <v/>
      </c>
      <c r="O187" s="25" t="str">
        <f t="shared" ca="1" si="58"/>
        <v/>
      </c>
      <c r="P187" s="91" t="str">
        <f ca="1">IFERROR(IF(AND($X187=3, ISNUMBER($X187)), COUNTIFS(X$18:X187, "=3", $AC$18:$AC187, $AC187), "-"), "err")</f>
        <v>-</v>
      </c>
      <c r="Q187" s="26" t="str">
        <f ca="1">IFERROR(IF(AND($X187=2, ISNUMBER($X187)), COUNTIFS(X$18:X187, "=2", $AC$18:$AC187, $AC187), "-"), "err")</f>
        <v>-</v>
      </c>
      <c r="R187" s="25">
        <f t="shared" ca="1" si="59"/>
        <v>0</v>
      </c>
      <c r="S187" s="26" t="str">
        <f ca="1">IFERROR(IF(AND($X187&gt;=2, ISNUMBER($X187)), COUNTIFS(X$18:X187, "&gt;=2", $AC$18:$AC187, $AC187), "-"), "err")</f>
        <v>-</v>
      </c>
      <c r="T187" s="25">
        <f t="shared" ca="1" si="60"/>
        <v>0</v>
      </c>
      <c r="U187" s="26" t="str">
        <f ca="1">IFERROR(IF(Y187="Yes", COUNTIFS(Y$18:Y187, "Yes", $AC$18:$AC187, $AC187), "-"), "err")</f>
        <v>-</v>
      </c>
      <c r="V187" s="25">
        <f t="shared" ca="1" si="61"/>
        <v>0</v>
      </c>
      <c r="W187" s="26" t="str">
        <f ca="1">IFERROR(IF($Z187="Yes", COUNTIFS(Z$18:Z187, "Yes", $AC$18:AC187, $AC187), "-"), "err")</f>
        <v>-</v>
      </c>
      <c r="X187" s="91">
        <f t="shared" ca="1" si="77"/>
        <v>0</v>
      </c>
      <c r="Y187" s="26" t="str">
        <f t="shared" ca="1" si="78"/>
        <v/>
      </c>
      <c r="Z187" s="26" t="str">
        <f t="shared" ca="1" si="79"/>
        <v/>
      </c>
      <c r="AA187" s="91">
        <f t="shared" si="76"/>
        <v>145</v>
      </c>
      <c r="AB187" s="17" t="s">
        <v>293</v>
      </c>
      <c r="AC187" s="184" t="s">
        <v>293</v>
      </c>
      <c r="AD187" s="54"/>
      <c r="AE187" s="54"/>
      <c r="AF187" s="112"/>
      <c r="AG187" s="200"/>
      <c r="AH187" s="122"/>
      <c r="AI187" s="123"/>
      <c r="AJ187" s="112"/>
      <c r="AK187" s="200"/>
      <c r="AL187" s="122"/>
      <c r="AM187" s="123"/>
      <c r="AN187" s="112"/>
      <c r="AO187" s="200"/>
      <c r="AP187" s="122"/>
      <c r="AQ187" s="123"/>
      <c r="AR187" s="130"/>
    </row>
    <row r="188" spans="1:44" hidden="1" x14ac:dyDescent="0.25">
      <c r="A188" s="41"/>
      <c r="B188" s="25" t="str">
        <f t="shared" si="62"/>
        <v>Child Functioning -- Child #5_12</v>
      </c>
      <c r="C188" s="25" t="str">
        <f t="shared" si="66"/>
        <v/>
      </c>
      <c r="D188" s="25" t="str">
        <f t="shared" si="63"/>
        <v/>
      </c>
      <c r="E188" s="25" t="str">
        <f t="shared" si="63"/>
        <v/>
      </c>
      <c r="F188" s="95">
        <f t="shared" si="72"/>
        <v>12</v>
      </c>
      <c r="G188" s="25">
        <f t="shared" si="73"/>
        <v>12</v>
      </c>
      <c r="H188" s="25" t="str">
        <f t="shared" si="67"/>
        <v>CF</v>
      </c>
      <c r="I188" s="25" t="str">
        <f t="shared" si="68"/>
        <v>CF</v>
      </c>
      <c r="J188" s="25" t="str">
        <f t="shared" si="75"/>
        <v>Child Functioning -- Child #5</v>
      </c>
      <c r="K188" s="108">
        <v>1</v>
      </c>
      <c r="L188" s="95" t="str">
        <f t="shared" ca="1" si="55"/>
        <v/>
      </c>
      <c r="M188" s="25" t="str">
        <f t="shared" ca="1" si="56"/>
        <v/>
      </c>
      <c r="N188" s="25" t="str">
        <f t="shared" ca="1" si="57"/>
        <v/>
      </c>
      <c r="O188" s="25" t="str">
        <f t="shared" ca="1" si="58"/>
        <v/>
      </c>
      <c r="P188" s="91" t="str">
        <f ca="1">IFERROR(IF(AND($X188=3, ISNUMBER($X188)), COUNTIFS(X$18:X188, "=3", $AC$18:$AC188, $AC188), "-"), "err")</f>
        <v>-</v>
      </c>
      <c r="Q188" s="26" t="str">
        <f ca="1">IFERROR(IF(AND($X188=2, ISNUMBER($X188)), COUNTIFS(X$18:X188, "=2", $AC$18:$AC188, $AC188), "-"), "err")</f>
        <v>-</v>
      </c>
      <c r="R188" s="25">
        <f t="shared" ca="1" si="59"/>
        <v>0</v>
      </c>
      <c r="S188" s="26" t="str">
        <f ca="1">IFERROR(IF(AND($X188&gt;=2, ISNUMBER($X188)), COUNTIFS(X$18:X188, "&gt;=2", $AC$18:$AC188, $AC188), "-"), "err")</f>
        <v>-</v>
      </c>
      <c r="T188" s="25">
        <f t="shared" ca="1" si="60"/>
        <v>0</v>
      </c>
      <c r="U188" s="26" t="str">
        <f ca="1">IFERROR(IF(Y188="Yes", COUNTIFS(Y$18:Y188, "Yes", $AC$18:$AC188, $AC188), "-"), "err")</f>
        <v>-</v>
      </c>
      <c r="V188" s="25">
        <f t="shared" ca="1" si="61"/>
        <v>0</v>
      </c>
      <c r="W188" s="26" t="str">
        <f ca="1">IFERROR(IF($Z188="Yes", COUNTIFS(Z$18:Z188, "Yes", $AC$18:AC188, $AC188), "-"), "err")</f>
        <v>-</v>
      </c>
      <c r="X188" s="91">
        <f t="shared" ca="1" si="77"/>
        <v>0</v>
      </c>
      <c r="Y188" s="26" t="str">
        <f t="shared" ca="1" si="78"/>
        <v/>
      </c>
      <c r="Z188" s="26" t="str">
        <f t="shared" ca="1" si="79"/>
        <v/>
      </c>
      <c r="AA188" s="91">
        <f t="shared" si="76"/>
        <v>146</v>
      </c>
      <c r="AB188" s="17" t="s">
        <v>294</v>
      </c>
      <c r="AC188" s="185" t="s">
        <v>294</v>
      </c>
      <c r="AD188" s="87"/>
      <c r="AE188" s="87"/>
      <c r="AF188" s="115"/>
      <c r="AG188" s="201"/>
      <c r="AH188" s="116"/>
      <c r="AI188" s="117"/>
      <c r="AJ188" s="115"/>
      <c r="AK188" s="201"/>
      <c r="AL188" s="116"/>
      <c r="AM188" s="117"/>
      <c r="AN188" s="115"/>
      <c r="AO188" s="201"/>
      <c r="AP188" s="116"/>
      <c r="AQ188" s="117"/>
      <c r="AR188" s="130"/>
    </row>
    <row r="189" spans="1:44" hidden="1" x14ac:dyDescent="0.25">
      <c r="A189" s="41"/>
      <c r="B189" s="25" t="str">
        <f t="shared" si="62"/>
        <v>Child Functioning -- Child #5_13</v>
      </c>
      <c r="C189" s="25" t="str">
        <f t="shared" si="66"/>
        <v/>
      </c>
      <c r="D189" s="25" t="str">
        <f t="shared" si="63"/>
        <v/>
      </c>
      <c r="E189" s="25" t="str">
        <f t="shared" si="63"/>
        <v/>
      </c>
      <c r="F189" s="95">
        <f t="shared" si="72"/>
        <v>12</v>
      </c>
      <c r="G189" s="25">
        <f t="shared" si="73"/>
        <v>13</v>
      </c>
      <c r="H189" s="25" t="str">
        <f t="shared" si="67"/>
        <v>CF</v>
      </c>
      <c r="I189" s="25" t="str">
        <f t="shared" si="68"/>
        <v>CF</v>
      </c>
      <c r="J189" s="25" t="str">
        <f t="shared" si="75"/>
        <v>Child Functioning -- Child #5</v>
      </c>
      <c r="K189" s="108">
        <v>1</v>
      </c>
      <c r="L189" s="95" t="str">
        <f t="shared" ca="1" si="55"/>
        <v/>
      </c>
      <c r="M189" s="25" t="str">
        <f t="shared" ca="1" si="56"/>
        <v/>
      </c>
      <c r="N189" s="25" t="str">
        <f t="shared" ca="1" si="57"/>
        <v/>
      </c>
      <c r="O189" s="25" t="str">
        <f t="shared" ca="1" si="58"/>
        <v/>
      </c>
      <c r="P189" s="91" t="str">
        <f ca="1">IFERROR(IF(AND($X189=3, ISNUMBER($X189)), COUNTIFS(X$18:X189, "=3", $AC$18:$AC189, $AC189), "-"), "err")</f>
        <v>-</v>
      </c>
      <c r="Q189" s="26" t="str">
        <f ca="1">IFERROR(IF(AND($X189=2, ISNUMBER($X189)), COUNTIFS(X$18:X189, "=2", $AC$18:$AC189, $AC189), "-"), "err")</f>
        <v>-</v>
      </c>
      <c r="R189" s="25">
        <f t="shared" ca="1" si="59"/>
        <v>0</v>
      </c>
      <c r="S189" s="26" t="str">
        <f ca="1">IFERROR(IF(AND($X189&gt;=2, ISNUMBER($X189)), COUNTIFS(X$18:X189, "&gt;=2", $AC$18:$AC189, $AC189), "-"), "err")</f>
        <v>-</v>
      </c>
      <c r="T189" s="25">
        <f t="shared" ca="1" si="60"/>
        <v>0</v>
      </c>
      <c r="U189" s="26" t="str">
        <f ca="1">IFERROR(IF(Y189="Yes", COUNTIFS(Y$18:Y189, "Yes", $AC$18:$AC189, $AC189), "-"), "err")</f>
        <v>-</v>
      </c>
      <c r="V189" s="25">
        <f t="shared" ca="1" si="61"/>
        <v>0</v>
      </c>
      <c r="W189" s="26" t="str">
        <f ca="1">IFERROR(IF($Z189="Yes", COUNTIFS(Z$18:Z189, "Yes", $AC$18:AC189, $AC189), "-"), "err")</f>
        <v>-</v>
      </c>
      <c r="X189" s="91">
        <f t="shared" ca="1" si="77"/>
        <v>0</v>
      </c>
      <c r="Y189" s="26" t="str">
        <f t="shared" ca="1" si="78"/>
        <v/>
      </c>
      <c r="Z189" s="26" t="str">
        <f t="shared" ca="1" si="79"/>
        <v/>
      </c>
      <c r="AA189" s="91">
        <f t="shared" si="76"/>
        <v>147</v>
      </c>
      <c r="AB189" s="17" t="s">
        <v>5</v>
      </c>
      <c r="AC189" s="184" t="s">
        <v>5</v>
      </c>
      <c r="AD189" s="54"/>
      <c r="AE189" s="54"/>
      <c r="AF189" s="112"/>
      <c r="AG189" s="200"/>
      <c r="AH189" s="113"/>
      <c r="AI189" s="114"/>
      <c r="AJ189" s="112"/>
      <c r="AK189" s="200"/>
      <c r="AL189" s="113"/>
      <c r="AM189" s="114"/>
      <c r="AN189" s="112"/>
      <c r="AO189" s="200"/>
      <c r="AP189" s="113"/>
      <c r="AQ189" s="114"/>
      <c r="AR189" s="130"/>
    </row>
    <row r="190" spans="1:44" hidden="1" x14ac:dyDescent="0.25">
      <c r="A190" s="41"/>
      <c r="B190" s="25" t="str">
        <f t="shared" si="62"/>
        <v>Child Functioning -- Child #5_14</v>
      </c>
      <c r="C190" s="25" t="str">
        <f t="shared" si="66"/>
        <v/>
      </c>
      <c r="D190" s="25" t="str">
        <f t="shared" si="63"/>
        <v/>
      </c>
      <c r="E190" s="25" t="str">
        <f t="shared" si="63"/>
        <v/>
      </c>
      <c r="F190" s="95">
        <f t="shared" si="72"/>
        <v>12</v>
      </c>
      <c r="G190" s="25">
        <f t="shared" si="73"/>
        <v>14</v>
      </c>
      <c r="H190" s="25" t="str">
        <f t="shared" si="67"/>
        <v>CF</v>
      </c>
      <c r="I190" s="25" t="str">
        <f t="shared" si="68"/>
        <v>CF</v>
      </c>
      <c r="J190" s="25" t="str">
        <f t="shared" si="75"/>
        <v>Child Functioning -- Child #5</v>
      </c>
      <c r="K190" s="108">
        <v>1</v>
      </c>
      <c r="L190" s="95" t="str">
        <f t="shared" ca="1" si="55"/>
        <v/>
      </c>
      <c r="M190" s="25" t="str">
        <f t="shared" ca="1" si="56"/>
        <v/>
      </c>
      <c r="N190" s="25" t="str">
        <f t="shared" ca="1" si="57"/>
        <v/>
      </c>
      <c r="O190" s="25" t="str">
        <f t="shared" ca="1" si="58"/>
        <v/>
      </c>
      <c r="P190" s="91" t="str">
        <f ca="1">IFERROR(IF(AND($X190=3, ISNUMBER($X190)), COUNTIFS(X$18:X190, "=3", $AC$18:$AC190, $AC190), "-"), "err")</f>
        <v>-</v>
      </c>
      <c r="Q190" s="26" t="str">
        <f ca="1">IFERROR(IF(AND($X190=2, ISNUMBER($X190)), COUNTIFS(X$18:X190, "=2", $AC$18:$AC190, $AC190), "-"), "err")</f>
        <v>-</v>
      </c>
      <c r="R190" s="25">
        <f t="shared" ca="1" si="59"/>
        <v>0</v>
      </c>
      <c r="S190" s="26" t="str">
        <f ca="1">IFERROR(IF(AND($X190&gt;=2, ISNUMBER($X190)), COUNTIFS(X$18:X190, "&gt;=2", $AC$18:$AC190, $AC190), "-"), "err")</f>
        <v>-</v>
      </c>
      <c r="T190" s="25">
        <f t="shared" ca="1" si="60"/>
        <v>0</v>
      </c>
      <c r="U190" s="26" t="str">
        <f ca="1">IFERROR(IF(Y190="Yes", COUNTIFS(Y$18:Y190, "Yes", $AC$18:$AC190, $AC190), "-"), "err")</f>
        <v>-</v>
      </c>
      <c r="V190" s="25">
        <f t="shared" ca="1" si="61"/>
        <v>0</v>
      </c>
      <c r="W190" s="26" t="str">
        <f ca="1">IFERROR(IF($Z190="Yes", COUNTIFS(Z$18:Z190, "Yes", $AC$18:AC190, $AC190), "-"), "err")</f>
        <v>-</v>
      </c>
      <c r="X190" s="91">
        <f t="shared" ca="1" si="77"/>
        <v>0</v>
      </c>
      <c r="Y190" s="26" t="str">
        <f t="shared" ca="1" si="78"/>
        <v/>
      </c>
      <c r="Z190" s="26" t="str">
        <f t="shared" ca="1" si="79"/>
        <v/>
      </c>
      <c r="AA190" s="91">
        <f t="shared" si="76"/>
        <v>148</v>
      </c>
      <c r="AB190" s="17" t="s">
        <v>295</v>
      </c>
      <c r="AC190" s="185" t="s">
        <v>295</v>
      </c>
      <c r="AD190" s="87"/>
      <c r="AE190" s="87"/>
      <c r="AF190" s="115"/>
      <c r="AG190" s="201"/>
      <c r="AH190" s="116"/>
      <c r="AI190" s="117"/>
      <c r="AJ190" s="115"/>
      <c r="AK190" s="201"/>
      <c r="AL190" s="116"/>
      <c r="AM190" s="117"/>
      <c r="AN190" s="115"/>
      <c r="AO190" s="201"/>
      <c r="AP190" s="116"/>
      <c r="AQ190" s="117"/>
      <c r="AR190" s="130"/>
    </row>
    <row r="191" spans="1:44" hidden="1" x14ac:dyDescent="0.25">
      <c r="A191" s="41"/>
      <c r="B191" s="25" t="str">
        <f t="shared" si="62"/>
        <v>Child Functioning -- Child #5_15</v>
      </c>
      <c r="C191" s="25" t="str">
        <f t="shared" si="66"/>
        <v/>
      </c>
      <c r="D191" s="25" t="str">
        <f t="shared" si="63"/>
        <v/>
      </c>
      <c r="E191" s="25" t="str">
        <f t="shared" si="63"/>
        <v>Child Functioning -- Child #5</v>
      </c>
      <c r="F191" s="95">
        <f t="shared" si="72"/>
        <v>12</v>
      </c>
      <c r="G191" s="25">
        <f t="shared" si="73"/>
        <v>15</v>
      </c>
      <c r="H191" s="25" t="str">
        <f t="shared" si="67"/>
        <v>CF</v>
      </c>
      <c r="I191" s="25" t="str">
        <f t="shared" si="68"/>
        <v>CF</v>
      </c>
      <c r="J191" s="25" t="str">
        <f t="shared" si="75"/>
        <v>Child Functioning -- Child #5</v>
      </c>
      <c r="K191" s="108">
        <v>1</v>
      </c>
      <c r="L191" s="95" t="str">
        <f t="shared" ca="1" si="55"/>
        <v/>
      </c>
      <c r="M191" s="25" t="str">
        <f t="shared" ca="1" si="56"/>
        <v/>
      </c>
      <c r="N191" s="25" t="str">
        <f t="shared" ca="1" si="57"/>
        <v/>
      </c>
      <c r="O191" s="25" t="str">
        <f t="shared" ca="1" si="58"/>
        <v/>
      </c>
      <c r="P191" s="91" t="str">
        <f ca="1">IFERROR(IF(AND($X191=3, ISNUMBER($X191)), COUNTIFS(X$18:X191, "=3", $AC$18:$AC191, $AC191), "-"), "err")</f>
        <v>-</v>
      </c>
      <c r="Q191" s="26" t="str">
        <f ca="1">IFERROR(IF(AND($X191=2, ISNUMBER($X191)), COUNTIFS(X$18:X191, "=2", $AC$18:$AC191, $AC191), "-"), "err")</f>
        <v>-</v>
      </c>
      <c r="R191" s="25">
        <f t="shared" ca="1" si="59"/>
        <v>0</v>
      </c>
      <c r="S191" s="26" t="str">
        <f ca="1">IFERROR(IF(AND($X191&gt;=2, ISNUMBER($X191)), COUNTIFS(X$18:X191, "&gt;=2", $AC$18:$AC191, $AC191), "-"), "err")</f>
        <v>-</v>
      </c>
      <c r="T191" s="25">
        <f t="shared" ca="1" si="60"/>
        <v>0</v>
      </c>
      <c r="U191" s="26" t="str">
        <f ca="1">IFERROR(IF(Y191="Yes", COUNTIFS(Y$18:Y191, "Yes", $AC$18:$AC191, $AC191), "-"), "err")</f>
        <v>-</v>
      </c>
      <c r="V191" s="25">
        <f t="shared" ca="1" si="61"/>
        <v>0</v>
      </c>
      <c r="W191" s="26" t="str">
        <f ca="1">IFERROR(IF($Z191="Yes", COUNTIFS(Z$18:Z191, "Yes", $AC$18:AC191, $AC191), "-"), "err")</f>
        <v>-</v>
      </c>
      <c r="X191" s="91">
        <f t="shared" ca="1" si="77"/>
        <v>0</v>
      </c>
      <c r="Y191" s="26" t="str">
        <f t="shared" ca="1" si="78"/>
        <v/>
      </c>
      <c r="Z191" s="26" t="str">
        <f t="shared" ca="1" si="79"/>
        <v/>
      </c>
      <c r="AA191" s="91">
        <f t="shared" si="76"/>
        <v>149</v>
      </c>
      <c r="AB191" s="17" t="s">
        <v>32</v>
      </c>
      <c r="AC191" s="184" t="s">
        <v>32</v>
      </c>
      <c r="AD191" s="54"/>
      <c r="AE191" s="54"/>
      <c r="AF191" s="112"/>
      <c r="AG191" s="200"/>
      <c r="AH191" s="122"/>
      <c r="AI191" s="123"/>
      <c r="AJ191" s="112"/>
      <c r="AK191" s="200"/>
      <c r="AL191" s="122"/>
      <c r="AM191" s="123"/>
      <c r="AN191" s="112"/>
      <c r="AO191" s="200"/>
      <c r="AP191" s="122"/>
      <c r="AQ191" s="123"/>
      <c r="AR191" s="130"/>
    </row>
    <row r="192" spans="1:44" hidden="1" x14ac:dyDescent="0.25">
      <c r="A192" s="41"/>
      <c r="B192" s="25" t="str">
        <f t="shared" si="62"/>
        <v>Child Functioning -- Child #6_0</v>
      </c>
      <c r="C192" s="25" t="str">
        <f t="shared" si="66"/>
        <v/>
      </c>
      <c r="D192" s="25" t="str">
        <f t="shared" si="63"/>
        <v/>
      </c>
      <c r="E192" s="25" t="str">
        <f t="shared" si="63"/>
        <v/>
      </c>
      <c r="F192" s="95">
        <f t="shared" si="72"/>
        <v>13</v>
      </c>
      <c r="G192" s="25">
        <f t="shared" si="73"/>
        <v>0</v>
      </c>
      <c r="H192" s="25" t="str">
        <f t="shared" si="67"/>
        <v>CF</v>
      </c>
      <c r="I192" s="25" t="str">
        <f t="shared" si="68"/>
        <v>CF</v>
      </c>
      <c r="J192" s="25" t="str">
        <f t="shared" si="75"/>
        <v>Child Functioning -- Child #6</v>
      </c>
      <c r="K192" s="108">
        <v>0</v>
      </c>
      <c r="L192" s="95" t="str">
        <f t="shared" ca="1" si="55"/>
        <v/>
      </c>
      <c r="M192" s="25" t="str">
        <f t="shared" ca="1" si="56"/>
        <v/>
      </c>
      <c r="N192" s="25" t="str">
        <f t="shared" ca="1" si="57"/>
        <v/>
      </c>
      <c r="O192" s="25" t="str">
        <f t="shared" ca="1" si="58"/>
        <v/>
      </c>
      <c r="P192" s="91" t="str">
        <f ca="1">IFERROR(IF(AND($X192=3, ISNUMBER($X192)), COUNTIFS(X$18:X192, "=3", $AC$18:$AC192, $AC192), "-"), "err")</f>
        <v>-</v>
      </c>
      <c r="Q192" s="26" t="str">
        <f ca="1">IFERROR(IF(AND($X192=2, ISNUMBER($X192)), COUNTIFS(X$18:X192, "=2", $AC$18:$AC192, $AC192), "-"), "err")</f>
        <v>-</v>
      </c>
      <c r="R192" s="25">
        <f t="shared" ca="1" si="59"/>
        <v>0</v>
      </c>
      <c r="S192" s="26" t="str">
        <f ca="1">IFERROR(IF(AND($X192&gt;=2, ISNUMBER($X192)), COUNTIFS(X$18:X192, "&gt;=2", $AC$18:$AC192, $AC192), "-"), "err")</f>
        <v>-</v>
      </c>
      <c r="T192" s="25">
        <f t="shared" ca="1" si="60"/>
        <v>0</v>
      </c>
      <c r="U192" s="26" t="str">
        <f ca="1">IFERROR(IF(Y192="Yes", COUNTIFS(Y$18:Y192, "Yes", $AC$18:$AC192, $AC192), "-"), "err")</f>
        <v>-</v>
      </c>
      <c r="V192" s="25">
        <f t="shared" ca="1" si="61"/>
        <v>0</v>
      </c>
      <c r="W192" s="26" t="str">
        <f ca="1">IFERROR(IF($Z192="Yes", COUNTIFS(Z$18:Z192, "Yes", $AC$18:AC192, $AC192), "-"), "err")</f>
        <v>-</v>
      </c>
      <c r="X192" s="91">
        <f t="shared" ca="1" si="77"/>
        <v>0</v>
      </c>
      <c r="Y192" s="26" t="str">
        <f t="shared" ca="1" si="78"/>
        <v/>
      </c>
      <c r="Z192" s="26" t="str">
        <f t="shared" ca="1" si="79"/>
        <v/>
      </c>
      <c r="AA192" s="91">
        <f t="shared" si="76"/>
        <v>149</v>
      </c>
      <c r="AC192" s="186" t="s">
        <v>331</v>
      </c>
      <c r="AD192" s="61"/>
      <c r="AE192" s="61"/>
      <c r="AF192" s="118"/>
      <c r="AG192" s="119"/>
      <c r="AH192" s="120"/>
      <c r="AI192" s="121"/>
      <c r="AJ192" s="118"/>
      <c r="AK192" s="119"/>
      <c r="AL192" s="120"/>
      <c r="AM192" s="121"/>
      <c r="AN192" s="118"/>
      <c r="AO192" s="119"/>
      <c r="AP192" s="120"/>
      <c r="AQ192" s="121"/>
      <c r="AR192" s="130"/>
    </row>
    <row r="193" spans="1:44" hidden="1" x14ac:dyDescent="0.25">
      <c r="A193" s="41"/>
      <c r="B193" s="25" t="str">
        <f t="shared" si="62"/>
        <v>Child Functioning -- Child #6_0</v>
      </c>
      <c r="C193" s="25" t="str">
        <f t="shared" ref="C193:E194" si="80">IF(H193&lt;&gt;H195, H193, "")</f>
        <v/>
      </c>
      <c r="D193" s="25" t="str">
        <f t="shared" si="80"/>
        <v/>
      </c>
      <c r="E193" s="25" t="str">
        <f t="shared" si="80"/>
        <v/>
      </c>
      <c r="F193" s="95">
        <f t="shared" si="72"/>
        <v>13</v>
      </c>
      <c r="G193" s="25">
        <f t="shared" si="73"/>
        <v>0</v>
      </c>
      <c r="H193" s="25" t="str">
        <f t="shared" si="67"/>
        <v>CF</v>
      </c>
      <c r="I193" s="25" t="str">
        <f t="shared" si="68"/>
        <v>CF</v>
      </c>
      <c r="J193" s="25" t="str">
        <f t="shared" si="75"/>
        <v>Child Functioning -- Child #6</v>
      </c>
      <c r="K193" s="108">
        <v>2</v>
      </c>
      <c r="L193" s="95" t="str">
        <f t="shared" ca="1" si="55"/>
        <v/>
      </c>
      <c r="M193" s="25" t="str">
        <f t="shared" ca="1" si="56"/>
        <v/>
      </c>
      <c r="N193" s="25" t="str">
        <f t="shared" ca="1" si="57"/>
        <v/>
      </c>
      <c r="O193" s="25" t="str">
        <f t="shared" ca="1" si="58"/>
        <v/>
      </c>
      <c r="P193" s="91" t="str">
        <f ca="1">IFERROR(IF(AND($X193=3, ISNUMBER($X193)), COUNTIFS(X$18:X193, "=3", $AC$18:$AC193, $AC193), "-"), "err")</f>
        <v>-</v>
      </c>
      <c r="Q193" s="26" t="str">
        <f ca="1">IFERROR(IF(AND($X193=2, ISNUMBER($X193)), COUNTIFS(X$18:X193, "=2", $AC$18:$AC193, $AC193), "-"), "err")</f>
        <v>-</v>
      </c>
      <c r="R193" s="25">
        <f t="shared" ca="1" si="59"/>
        <v>0</v>
      </c>
      <c r="S193" s="26" t="str">
        <f ca="1">IFERROR(IF(AND($X193&gt;=2, ISNUMBER($X193)), COUNTIFS(X$18:X193, "&gt;=2", $AC$18:$AC193, $AC193), "-"), "err")</f>
        <v>-</v>
      </c>
      <c r="T193" s="25">
        <f t="shared" ca="1" si="60"/>
        <v>0</v>
      </c>
      <c r="U193" s="26" t="str">
        <f ca="1">IFERROR(IF(Y193="Yes", COUNTIFS(Y$18:Y193, "Yes", $AC$18:$AC193, $AC193), "-"), "err")</f>
        <v>-</v>
      </c>
      <c r="V193" s="25">
        <f t="shared" ca="1" si="61"/>
        <v>0</v>
      </c>
      <c r="W193" s="26" t="str">
        <f ca="1">IFERROR(IF($Z193="Yes", COUNTIFS(Z$18:Z193, "Yes", $AC$18:AC193, $AC193), "-"), "err")</f>
        <v>-</v>
      </c>
      <c r="X193" s="91">
        <f t="shared" ca="1" si="77"/>
        <v>0</v>
      </c>
      <c r="Y193" s="26" t="str">
        <f t="shared" ca="1" si="78"/>
        <v/>
      </c>
      <c r="Z193" s="26" t="str">
        <f t="shared" ca="1" si="79"/>
        <v/>
      </c>
      <c r="AA193" s="91">
        <f t="shared" si="76"/>
        <v>149</v>
      </c>
      <c r="AC193" s="109" t="s">
        <v>332</v>
      </c>
      <c r="AD193" s="197"/>
      <c r="AE193" s="61"/>
      <c r="AF193" s="118"/>
      <c r="AG193" s="119"/>
      <c r="AH193" s="120"/>
      <c r="AI193" s="121"/>
      <c r="AJ193" s="118"/>
      <c r="AK193" s="119"/>
      <c r="AL193" s="120"/>
      <c r="AM193" s="121"/>
      <c r="AN193" s="118"/>
      <c r="AO193" s="119"/>
      <c r="AP193" s="120"/>
      <c r="AQ193" s="121"/>
      <c r="AR193" s="130"/>
    </row>
    <row r="194" spans="1:44" hidden="1" x14ac:dyDescent="0.25">
      <c r="A194" s="41"/>
      <c r="B194" s="25" t="str">
        <f>J194&amp;"_"&amp;G194</f>
        <v>Child Functioning -- Child #6_0</v>
      </c>
      <c r="C194" s="25" t="str">
        <f t="shared" si="80"/>
        <v/>
      </c>
      <c r="D194" s="25" t="str">
        <f t="shared" si="80"/>
        <v/>
      </c>
      <c r="E194" s="25" t="str">
        <f t="shared" si="80"/>
        <v/>
      </c>
      <c r="F194" s="95">
        <f>IF(K194=0, IF(ISNUMBER(F193), F193+1, 1), F193)</f>
        <v>13</v>
      </c>
      <c r="G194" s="25">
        <f>IF(K194=0, 0, IF(K194=1, G193+1, G193))</f>
        <v>0</v>
      </c>
      <c r="H194" s="25" t="str">
        <f>IF(OR(I194="FF", I194="CGA"), "FF/CGA", I194)</f>
        <v>CF</v>
      </c>
      <c r="I194" s="25" t="str">
        <f>IF(NOT(ISERROR(SEARCH("Family Functioning", J194))), "FF", IF(NOT(ISERROR(SEARCH("Caregiver Advocacy", J194))), "CGA", IF(NOT(ISERROR(SEARCH("Caregiver Functioning", J194))), "CGF", IF(NOT(ISERROR(SEARCH("Child Functioning", J194))), "CF", ""))))</f>
        <v>CF</v>
      </c>
      <c r="J194" s="25" t="str">
        <f t="shared" si="75"/>
        <v>Child Functioning -- Child #6</v>
      </c>
      <c r="K194" s="108">
        <v>2</v>
      </c>
      <c r="L194" s="95" t="str">
        <f t="shared" ca="1" si="55"/>
        <v/>
      </c>
      <c r="M194" s="25" t="str">
        <f t="shared" ca="1" si="56"/>
        <v/>
      </c>
      <c r="N194" s="25" t="str">
        <f t="shared" ca="1" si="57"/>
        <v/>
      </c>
      <c r="O194" s="25" t="str">
        <f t="shared" ca="1" si="58"/>
        <v/>
      </c>
      <c r="P194" s="91" t="str">
        <f ca="1">IFERROR(IF(AND($X194=3, ISNUMBER($X194)), COUNTIFS(X$18:X194, "=3", $AC$18:$AC194, $AC194), "-"), "err")</f>
        <v>-</v>
      </c>
      <c r="Q194" s="26" t="str">
        <f ca="1">IFERROR(IF(AND($X194=2, ISNUMBER($X194)), COUNTIFS(X$18:X194, "=2", $AC$18:$AC194, $AC194), "-"), "err")</f>
        <v>-</v>
      </c>
      <c r="R194" s="25">
        <f t="shared" ca="1" si="59"/>
        <v>0</v>
      </c>
      <c r="S194" s="26" t="str">
        <f ca="1">IFERROR(IF(AND($X194&gt;=2, ISNUMBER($X194)), COUNTIFS(X$18:X194, "&gt;=2", $AC$18:$AC194, $AC194), "-"), "err")</f>
        <v>-</v>
      </c>
      <c r="T194" s="25">
        <f t="shared" ca="1" si="60"/>
        <v>0</v>
      </c>
      <c r="U194" s="26" t="str">
        <f ca="1">IFERROR(IF(Y194="Yes", COUNTIFS(Y$18:Y194, "Yes", $AC$18:$AC194, $AC194), "-"), "err")</f>
        <v>-</v>
      </c>
      <c r="V194" s="25">
        <f t="shared" ca="1" si="61"/>
        <v>0</v>
      </c>
      <c r="W194" s="26" t="str">
        <f ca="1">IFERROR(IF($Z194="Yes", COUNTIFS(Z$18:Z194, "Yes", $AC$18:AC194, $AC194), "-"), "err")</f>
        <v>-</v>
      </c>
      <c r="X194" s="91">
        <f t="shared" ca="1" si="77"/>
        <v>0</v>
      </c>
      <c r="Y194" s="26" t="str">
        <f t="shared" ca="1" si="78"/>
        <v/>
      </c>
      <c r="Z194" s="26" t="str">
        <f t="shared" ca="1" si="79"/>
        <v/>
      </c>
      <c r="AA194" s="91">
        <f t="shared" si="76"/>
        <v>149</v>
      </c>
      <c r="AC194" s="109" t="s">
        <v>923</v>
      </c>
      <c r="AD194" s="197"/>
      <c r="AE194" s="61"/>
      <c r="AF194" s="118"/>
      <c r="AG194" s="119"/>
      <c r="AH194" s="120"/>
      <c r="AI194" s="121"/>
      <c r="AJ194" s="118"/>
      <c r="AK194" s="119"/>
      <c r="AL194" s="120"/>
      <c r="AM194" s="121"/>
      <c r="AN194" s="118"/>
      <c r="AO194" s="119"/>
      <c r="AP194" s="120"/>
      <c r="AQ194" s="121"/>
      <c r="AR194" s="130"/>
    </row>
    <row r="195" spans="1:44" hidden="1" x14ac:dyDescent="0.25">
      <c r="A195" s="41"/>
      <c r="B195" s="25" t="str">
        <f t="shared" si="62"/>
        <v>Child Functioning -- Child #6_1</v>
      </c>
      <c r="C195" s="25" t="str">
        <f t="shared" si="66"/>
        <v/>
      </c>
      <c r="D195" s="25" t="str">
        <f t="shared" si="63"/>
        <v/>
      </c>
      <c r="E195" s="25" t="str">
        <f t="shared" si="63"/>
        <v/>
      </c>
      <c r="F195" s="95">
        <f>IF(K195=0, IF(ISNUMBER(F193), F193+1, 1), F193)</f>
        <v>13</v>
      </c>
      <c r="G195" s="25">
        <f>IF(K195=0, 0, IF(K195=1, G193+1, G193))</f>
        <v>1</v>
      </c>
      <c r="H195" s="25" t="str">
        <f t="shared" si="67"/>
        <v>CF</v>
      </c>
      <c r="I195" s="25" t="str">
        <f t="shared" si="68"/>
        <v>CF</v>
      </c>
      <c r="J195" s="25" t="str">
        <f>IF(K195=0, AC195, J193)</f>
        <v>Child Functioning -- Child #6</v>
      </c>
      <c r="K195" s="108">
        <v>1</v>
      </c>
      <c r="L195" s="95" t="str">
        <f t="shared" ca="1" si="55"/>
        <v/>
      </c>
      <c r="M195" s="25" t="str">
        <f t="shared" ca="1" si="56"/>
        <v/>
      </c>
      <c r="N195" s="25" t="str">
        <f t="shared" ca="1" si="57"/>
        <v/>
      </c>
      <c r="O195" s="25" t="str">
        <f t="shared" ca="1" si="58"/>
        <v/>
      </c>
      <c r="P195" s="91" t="str">
        <f ca="1">IFERROR(IF(AND($X195=3, ISNUMBER($X195)), COUNTIFS(X$18:X195, "=3", $AC$18:$AC195, $AC195), "-"), "err")</f>
        <v>-</v>
      </c>
      <c r="Q195" s="26" t="str">
        <f ca="1">IFERROR(IF(AND($X195=2, ISNUMBER($X195)), COUNTIFS(X$18:X195, "=2", $AC$18:$AC195, $AC195), "-"), "err")</f>
        <v>-</v>
      </c>
      <c r="R195" s="25">
        <f t="shared" ca="1" si="59"/>
        <v>0</v>
      </c>
      <c r="S195" s="26" t="str">
        <f ca="1">IFERROR(IF(AND($X195&gt;=2, ISNUMBER($X195)), COUNTIFS(X$18:X195, "&gt;=2", $AC$18:$AC195, $AC195), "-"), "err")</f>
        <v>-</v>
      </c>
      <c r="T195" s="25">
        <f t="shared" ca="1" si="60"/>
        <v>0</v>
      </c>
      <c r="U195" s="26" t="str">
        <f ca="1">IFERROR(IF(Y195="Yes", COUNTIFS(Y$18:Y195, "Yes", $AC$18:$AC195, $AC195), "-"), "err")</f>
        <v>-</v>
      </c>
      <c r="V195" s="25">
        <f t="shared" ca="1" si="61"/>
        <v>0</v>
      </c>
      <c r="W195" s="26" t="str">
        <f ca="1">IFERROR(IF($Z195="Yes", COUNTIFS(Z$18:Z195, "Yes", $AC$18:AC195, $AC195), "-"), "err")</f>
        <v>-</v>
      </c>
      <c r="X195" s="91">
        <f t="shared" ca="1" si="77"/>
        <v>0</v>
      </c>
      <c r="Y195" s="26" t="str">
        <f t="shared" ca="1" si="78"/>
        <v/>
      </c>
      <c r="Z195" s="26" t="str">
        <f t="shared" ca="1" si="79"/>
        <v/>
      </c>
      <c r="AA195" s="91">
        <f>AA193+IF(AB195=0, 0, 1)</f>
        <v>150</v>
      </c>
      <c r="AB195" s="17" t="s">
        <v>284</v>
      </c>
      <c r="AC195" s="184" t="s">
        <v>284</v>
      </c>
      <c r="AD195" s="54"/>
      <c r="AE195" s="54"/>
      <c r="AF195" s="112"/>
      <c r="AG195" s="200"/>
      <c r="AH195" s="122"/>
      <c r="AI195" s="123"/>
      <c r="AJ195" s="112"/>
      <c r="AK195" s="200"/>
      <c r="AL195" s="122"/>
      <c r="AM195" s="123"/>
      <c r="AN195" s="112"/>
      <c r="AO195" s="200"/>
      <c r="AP195" s="122"/>
      <c r="AQ195" s="123"/>
      <c r="AR195" s="130"/>
    </row>
    <row r="196" spans="1:44" hidden="1" x14ac:dyDescent="0.25">
      <c r="A196" s="41"/>
      <c r="B196" s="25" t="str">
        <f t="shared" si="62"/>
        <v>Child Functioning -- Child #6_2</v>
      </c>
      <c r="C196" s="25" t="str">
        <f t="shared" si="66"/>
        <v/>
      </c>
      <c r="D196" s="25" t="str">
        <f t="shared" si="63"/>
        <v/>
      </c>
      <c r="E196" s="25" t="str">
        <f t="shared" si="63"/>
        <v/>
      </c>
      <c r="F196" s="95">
        <f t="shared" si="72"/>
        <v>13</v>
      </c>
      <c r="G196" s="25">
        <f t="shared" si="73"/>
        <v>2</v>
      </c>
      <c r="H196" s="25" t="str">
        <f t="shared" si="67"/>
        <v>CF</v>
      </c>
      <c r="I196" s="25" t="str">
        <f t="shared" si="68"/>
        <v>CF</v>
      </c>
      <c r="J196" s="25" t="str">
        <f t="shared" ref="J196:J209" si="81">IF(K196=0, AC196, J195)</f>
        <v>Child Functioning -- Child #6</v>
      </c>
      <c r="K196" s="108">
        <v>1</v>
      </c>
      <c r="L196" s="95" t="str">
        <f t="shared" ca="1" si="55"/>
        <v/>
      </c>
      <c r="M196" s="25" t="str">
        <f t="shared" ca="1" si="56"/>
        <v/>
      </c>
      <c r="N196" s="25" t="str">
        <f t="shared" ca="1" si="57"/>
        <v/>
      </c>
      <c r="O196" s="25" t="str">
        <f t="shared" ca="1" si="58"/>
        <v/>
      </c>
      <c r="P196" s="91" t="str">
        <f ca="1">IFERROR(IF(AND($X196=3, ISNUMBER($X196)), COUNTIFS(X$18:X196, "=3", $AC$18:$AC196, $AC196), "-"), "err")</f>
        <v>-</v>
      </c>
      <c r="Q196" s="26" t="str">
        <f ca="1">IFERROR(IF(AND($X196=2, ISNUMBER($X196)), COUNTIFS(X$18:X196, "=2", $AC$18:$AC196, $AC196), "-"), "err")</f>
        <v>-</v>
      </c>
      <c r="R196" s="25">
        <f t="shared" ca="1" si="59"/>
        <v>0</v>
      </c>
      <c r="S196" s="26" t="str">
        <f ca="1">IFERROR(IF(AND($X196&gt;=2, ISNUMBER($X196)), COUNTIFS(X$18:X196, "&gt;=2", $AC$18:$AC196, $AC196), "-"), "err")</f>
        <v>-</v>
      </c>
      <c r="T196" s="25">
        <f t="shared" ca="1" si="60"/>
        <v>0</v>
      </c>
      <c r="U196" s="26" t="str">
        <f ca="1">IFERROR(IF(Y196="Yes", COUNTIFS(Y$18:Y196, "Yes", $AC$18:$AC196, $AC196), "-"), "err")</f>
        <v>-</v>
      </c>
      <c r="V196" s="25">
        <f t="shared" ca="1" si="61"/>
        <v>0</v>
      </c>
      <c r="W196" s="26" t="str">
        <f ca="1">IFERROR(IF($Z196="Yes", COUNTIFS(Z$18:Z196, "Yes", $AC$18:AC196, $AC196), "-"), "err")</f>
        <v>-</v>
      </c>
      <c r="X196" s="91">
        <f t="shared" ca="1" si="77"/>
        <v>0</v>
      </c>
      <c r="Y196" s="26" t="str">
        <f t="shared" ca="1" si="78"/>
        <v/>
      </c>
      <c r="Z196" s="26" t="str">
        <f t="shared" ca="1" si="79"/>
        <v/>
      </c>
      <c r="AA196" s="91">
        <f t="shared" ref="AA196:AA209" si="82">AA195+IF(AB196=0, 0, 1)</f>
        <v>151</v>
      </c>
      <c r="AB196" s="17" t="s">
        <v>285</v>
      </c>
      <c r="AC196" s="185" t="s">
        <v>285</v>
      </c>
      <c r="AD196" s="87"/>
      <c r="AE196" s="87"/>
      <c r="AF196" s="115"/>
      <c r="AG196" s="201"/>
      <c r="AH196" s="116"/>
      <c r="AI196" s="117"/>
      <c r="AJ196" s="115"/>
      <c r="AK196" s="201"/>
      <c r="AL196" s="116"/>
      <c r="AM196" s="117"/>
      <c r="AN196" s="115"/>
      <c r="AO196" s="201"/>
      <c r="AP196" s="116"/>
      <c r="AQ196" s="117"/>
      <c r="AR196" s="130"/>
    </row>
    <row r="197" spans="1:44" hidden="1" x14ac:dyDescent="0.25">
      <c r="A197" s="41"/>
      <c r="B197" s="25" t="str">
        <f t="shared" si="62"/>
        <v>Child Functioning -- Child #6_3</v>
      </c>
      <c r="C197" s="25" t="str">
        <f t="shared" si="66"/>
        <v/>
      </c>
      <c r="D197" s="25" t="str">
        <f t="shared" si="63"/>
        <v/>
      </c>
      <c r="E197" s="25" t="str">
        <f t="shared" si="63"/>
        <v/>
      </c>
      <c r="F197" s="95">
        <f t="shared" si="72"/>
        <v>13</v>
      </c>
      <c r="G197" s="25">
        <f t="shared" si="73"/>
        <v>3</v>
      </c>
      <c r="H197" s="25" t="str">
        <f t="shared" si="67"/>
        <v>CF</v>
      </c>
      <c r="I197" s="25" t="str">
        <f t="shared" si="68"/>
        <v>CF</v>
      </c>
      <c r="J197" s="25" t="str">
        <f t="shared" si="81"/>
        <v>Child Functioning -- Child #6</v>
      </c>
      <c r="K197" s="108">
        <v>1</v>
      </c>
      <c r="L197" s="95" t="str">
        <f t="shared" ca="1" si="55"/>
        <v/>
      </c>
      <c r="M197" s="25" t="str">
        <f t="shared" ca="1" si="56"/>
        <v/>
      </c>
      <c r="N197" s="25" t="str">
        <f t="shared" ca="1" si="57"/>
        <v/>
      </c>
      <c r="O197" s="25" t="str">
        <f t="shared" ca="1" si="58"/>
        <v/>
      </c>
      <c r="P197" s="91" t="str">
        <f ca="1">IFERROR(IF(AND($X197=3, ISNUMBER($X197)), COUNTIFS(X$18:X197, "=3", $AC$18:$AC197, $AC197), "-"), "err")</f>
        <v>-</v>
      </c>
      <c r="Q197" s="26" t="str">
        <f ca="1">IFERROR(IF(AND($X197=2, ISNUMBER($X197)), COUNTIFS(X$18:X197, "=2", $AC$18:$AC197, $AC197), "-"), "err")</f>
        <v>-</v>
      </c>
      <c r="R197" s="25">
        <f t="shared" ca="1" si="59"/>
        <v>0</v>
      </c>
      <c r="S197" s="26" t="str">
        <f ca="1">IFERROR(IF(AND($X197&gt;=2, ISNUMBER($X197)), COUNTIFS(X$18:X197, "&gt;=2", $AC$18:$AC197, $AC197), "-"), "err")</f>
        <v>-</v>
      </c>
      <c r="T197" s="25">
        <f t="shared" ca="1" si="60"/>
        <v>0</v>
      </c>
      <c r="U197" s="26" t="str">
        <f ca="1">IFERROR(IF(Y197="Yes", COUNTIFS(Y$18:Y197, "Yes", $AC$18:$AC197, $AC197), "-"), "err")</f>
        <v>-</v>
      </c>
      <c r="V197" s="25">
        <f t="shared" ca="1" si="61"/>
        <v>0</v>
      </c>
      <c r="W197" s="26" t="str">
        <f ca="1">IFERROR(IF($Z197="Yes", COUNTIFS(Z$18:Z197, "Yes", $AC$18:AC197, $AC197), "-"), "err")</f>
        <v>-</v>
      </c>
      <c r="X197" s="91">
        <f t="shared" ca="1" si="77"/>
        <v>0</v>
      </c>
      <c r="Y197" s="26" t="str">
        <f t="shared" ca="1" si="78"/>
        <v/>
      </c>
      <c r="Z197" s="26" t="str">
        <f t="shared" ca="1" si="79"/>
        <v/>
      </c>
      <c r="AA197" s="91">
        <f t="shared" si="82"/>
        <v>152</v>
      </c>
      <c r="AB197" s="17" t="s">
        <v>287</v>
      </c>
      <c r="AC197" s="184" t="s">
        <v>287</v>
      </c>
      <c r="AD197" s="54"/>
      <c r="AE197" s="54"/>
      <c r="AF197" s="112"/>
      <c r="AG197" s="200"/>
      <c r="AH197" s="113"/>
      <c r="AI197" s="114"/>
      <c r="AJ197" s="112"/>
      <c r="AK197" s="200"/>
      <c r="AL197" s="113"/>
      <c r="AM197" s="114"/>
      <c r="AN197" s="112"/>
      <c r="AO197" s="200"/>
      <c r="AP197" s="113"/>
      <c r="AQ197" s="114"/>
      <c r="AR197" s="130"/>
    </row>
    <row r="198" spans="1:44" hidden="1" x14ac:dyDescent="0.25">
      <c r="A198" s="41"/>
      <c r="B198" s="25" t="str">
        <f t="shared" si="62"/>
        <v>Child Functioning -- Child #6_4</v>
      </c>
      <c r="C198" s="25" t="str">
        <f t="shared" si="66"/>
        <v/>
      </c>
      <c r="D198" s="25" t="str">
        <f t="shared" si="63"/>
        <v/>
      </c>
      <c r="E198" s="25" t="str">
        <f t="shared" si="63"/>
        <v/>
      </c>
      <c r="F198" s="95">
        <f t="shared" si="72"/>
        <v>13</v>
      </c>
      <c r="G198" s="25">
        <f t="shared" si="73"/>
        <v>4</v>
      </c>
      <c r="H198" s="25" t="str">
        <f t="shared" si="67"/>
        <v>CF</v>
      </c>
      <c r="I198" s="25" t="str">
        <f t="shared" si="68"/>
        <v>CF</v>
      </c>
      <c r="J198" s="25" t="str">
        <f t="shared" si="81"/>
        <v>Child Functioning -- Child #6</v>
      </c>
      <c r="K198" s="108">
        <v>1</v>
      </c>
      <c r="L198" s="95" t="str">
        <f t="shared" ca="1" si="55"/>
        <v/>
      </c>
      <c r="M198" s="25" t="str">
        <f t="shared" ca="1" si="56"/>
        <v/>
      </c>
      <c r="N198" s="25" t="str">
        <f t="shared" ca="1" si="57"/>
        <v/>
      </c>
      <c r="O198" s="25" t="str">
        <f t="shared" ca="1" si="58"/>
        <v/>
      </c>
      <c r="P198" s="91" t="str">
        <f ca="1">IFERROR(IF(AND($X198=3, ISNUMBER($X198)), COUNTIFS(X$18:X198, "=3", $AC$18:$AC198, $AC198), "-"), "err")</f>
        <v>-</v>
      </c>
      <c r="Q198" s="26" t="str">
        <f ca="1">IFERROR(IF(AND($X198=2, ISNUMBER($X198)), COUNTIFS(X$18:X198, "=2", $AC$18:$AC198, $AC198), "-"), "err")</f>
        <v>-</v>
      </c>
      <c r="R198" s="25">
        <f t="shared" ca="1" si="59"/>
        <v>0</v>
      </c>
      <c r="S198" s="26" t="str">
        <f ca="1">IFERROR(IF(AND($X198&gt;=2, ISNUMBER($X198)), COUNTIFS(X$18:X198, "&gt;=2", $AC$18:$AC198, $AC198), "-"), "err")</f>
        <v>-</v>
      </c>
      <c r="T198" s="25">
        <f t="shared" ca="1" si="60"/>
        <v>0</v>
      </c>
      <c r="U198" s="26" t="str">
        <f ca="1">IFERROR(IF(Y198="Yes", COUNTIFS(Y$18:Y198, "Yes", $AC$18:$AC198, $AC198), "-"), "err")</f>
        <v>-</v>
      </c>
      <c r="V198" s="25">
        <f t="shared" ca="1" si="61"/>
        <v>0</v>
      </c>
      <c r="W198" s="26" t="str">
        <f ca="1">IFERROR(IF($Z198="Yes", COUNTIFS(Z$18:Z198, "Yes", $AC$18:AC198, $AC198), "-"), "err")</f>
        <v>-</v>
      </c>
      <c r="X198" s="91">
        <f t="shared" ca="1" si="77"/>
        <v>0</v>
      </c>
      <c r="Y198" s="26" t="str">
        <f t="shared" ca="1" si="78"/>
        <v/>
      </c>
      <c r="Z198" s="26" t="str">
        <f t="shared" ca="1" si="79"/>
        <v/>
      </c>
      <c r="AA198" s="91">
        <f t="shared" si="82"/>
        <v>153</v>
      </c>
      <c r="AB198" s="17" t="s">
        <v>482</v>
      </c>
      <c r="AC198" s="185" t="s">
        <v>286</v>
      </c>
      <c r="AD198" s="87"/>
      <c r="AE198" s="87"/>
      <c r="AF198" s="115"/>
      <c r="AG198" s="201"/>
      <c r="AH198" s="116"/>
      <c r="AI198" s="117"/>
      <c r="AJ198" s="115"/>
      <c r="AK198" s="201"/>
      <c r="AL198" s="116"/>
      <c r="AM198" s="117"/>
      <c r="AN198" s="115"/>
      <c r="AO198" s="201"/>
      <c r="AP198" s="116"/>
      <c r="AQ198" s="117"/>
      <c r="AR198" s="130"/>
    </row>
    <row r="199" spans="1:44" hidden="1" x14ac:dyDescent="0.25">
      <c r="A199" s="41"/>
      <c r="B199" s="25" t="str">
        <f t="shared" si="62"/>
        <v>Child Functioning -- Child #6_5</v>
      </c>
      <c r="C199" s="25" t="str">
        <f t="shared" si="66"/>
        <v/>
      </c>
      <c r="D199" s="25" t="str">
        <f t="shared" si="63"/>
        <v/>
      </c>
      <c r="E199" s="25" t="str">
        <f t="shared" si="63"/>
        <v/>
      </c>
      <c r="F199" s="95">
        <f t="shared" si="72"/>
        <v>13</v>
      </c>
      <c r="G199" s="25">
        <f t="shared" si="73"/>
        <v>5</v>
      </c>
      <c r="H199" s="25" t="str">
        <f t="shared" si="67"/>
        <v>CF</v>
      </c>
      <c r="I199" s="25" t="str">
        <f t="shared" si="68"/>
        <v>CF</v>
      </c>
      <c r="J199" s="25" t="str">
        <f t="shared" si="81"/>
        <v>Child Functioning -- Child #6</v>
      </c>
      <c r="K199" s="108">
        <v>1</v>
      </c>
      <c r="L199" s="95" t="str">
        <f t="shared" ca="1" si="55"/>
        <v/>
      </c>
      <c r="M199" s="25" t="str">
        <f t="shared" ca="1" si="56"/>
        <v/>
      </c>
      <c r="N199" s="25" t="str">
        <f t="shared" ca="1" si="57"/>
        <v/>
      </c>
      <c r="O199" s="25" t="str">
        <f t="shared" ca="1" si="58"/>
        <v/>
      </c>
      <c r="P199" s="91" t="str">
        <f ca="1">IFERROR(IF(AND($X199=3, ISNUMBER($X199)), COUNTIFS(X$18:X199, "=3", $AC$18:$AC199, $AC199), "-"), "err")</f>
        <v>-</v>
      </c>
      <c r="Q199" s="26" t="str">
        <f ca="1">IFERROR(IF(AND($X199=2, ISNUMBER($X199)), COUNTIFS(X$18:X199, "=2", $AC$18:$AC199, $AC199), "-"), "err")</f>
        <v>-</v>
      </c>
      <c r="R199" s="25">
        <f t="shared" ca="1" si="59"/>
        <v>0</v>
      </c>
      <c r="S199" s="26" t="str">
        <f ca="1">IFERROR(IF(AND($X199&gt;=2, ISNUMBER($X199)), COUNTIFS(X$18:X199, "&gt;=2", $AC$18:$AC199, $AC199), "-"), "err")</f>
        <v>-</v>
      </c>
      <c r="T199" s="25">
        <f t="shared" ca="1" si="60"/>
        <v>0</v>
      </c>
      <c r="U199" s="26" t="str">
        <f ca="1">IFERROR(IF(Y199="Yes", COUNTIFS(Y$18:Y199, "Yes", $AC$18:$AC199, $AC199), "-"), "err")</f>
        <v>-</v>
      </c>
      <c r="V199" s="25">
        <f t="shared" ca="1" si="61"/>
        <v>0</v>
      </c>
      <c r="W199" s="26" t="str">
        <f ca="1">IFERROR(IF($Z199="Yes", COUNTIFS(Z$18:Z199, "Yes", $AC$18:AC199, $AC199), "-"), "err")</f>
        <v>-</v>
      </c>
      <c r="X199" s="91">
        <f t="shared" ca="1" si="77"/>
        <v>0</v>
      </c>
      <c r="Y199" s="26" t="str">
        <f t="shared" ca="1" si="78"/>
        <v/>
      </c>
      <c r="Z199" s="26" t="str">
        <f t="shared" ca="1" si="79"/>
        <v/>
      </c>
      <c r="AA199" s="91">
        <f t="shared" si="82"/>
        <v>154</v>
      </c>
      <c r="AB199" s="18" t="s">
        <v>288</v>
      </c>
      <c r="AC199" s="184" t="s">
        <v>288</v>
      </c>
      <c r="AD199" s="54"/>
      <c r="AE199" s="54"/>
      <c r="AF199" s="112"/>
      <c r="AG199" s="200"/>
      <c r="AH199" s="113"/>
      <c r="AI199" s="114"/>
      <c r="AJ199" s="112"/>
      <c r="AK199" s="200"/>
      <c r="AL199" s="113"/>
      <c r="AM199" s="114"/>
      <c r="AN199" s="112"/>
      <c r="AO199" s="200"/>
      <c r="AP199" s="113"/>
      <c r="AQ199" s="114"/>
      <c r="AR199" s="130"/>
    </row>
    <row r="200" spans="1:44" hidden="1" x14ac:dyDescent="0.25">
      <c r="A200" s="41"/>
      <c r="B200" s="25" t="str">
        <f t="shared" si="62"/>
        <v>Child Functioning -- Child #6_6</v>
      </c>
      <c r="C200" s="25" t="str">
        <f t="shared" si="66"/>
        <v/>
      </c>
      <c r="D200" s="25" t="str">
        <f t="shared" si="63"/>
        <v/>
      </c>
      <c r="E200" s="25" t="str">
        <f t="shared" si="63"/>
        <v/>
      </c>
      <c r="F200" s="95">
        <f t="shared" si="72"/>
        <v>13</v>
      </c>
      <c r="G200" s="25">
        <f t="shared" si="73"/>
        <v>6</v>
      </c>
      <c r="H200" s="25" t="str">
        <f t="shared" si="67"/>
        <v>CF</v>
      </c>
      <c r="I200" s="25" t="str">
        <f t="shared" si="68"/>
        <v>CF</v>
      </c>
      <c r="J200" s="25" t="str">
        <f t="shared" si="81"/>
        <v>Child Functioning -- Child #6</v>
      </c>
      <c r="K200" s="108">
        <v>1</v>
      </c>
      <c r="L200" s="95" t="str">
        <f t="shared" ca="1" si="55"/>
        <v/>
      </c>
      <c r="M200" s="25" t="str">
        <f t="shared" ca="1" si="56"/>
        <v/>
      </c>
      <c r="N200" s="25" t="str">
        <f t="shared" ca="1" si="57"/>
        <v/>
      </c>
      <c r="O200" s="25" t="str">
        <f t="shared" ca="1" si="58"/>
        <v/>
      </c>
      <c r="P200" s="91" t="str">
        <f ca="1">IFERROR(IF(AND($X200=3, ISNUMBER($X200)), COUNTIFS(X$18:X200, "=3", $AC$18:$AC200, $AC200), "-"), "err")</f>
        <v>-</v>
      </c>
      <c r="Q200" s="26" t="str">
        <f ca="1">IFERROR(IF(AND($X200=2, ISNUMBER($X200)), COUNTIFS(X$18:X200, "=2", $AC$18:$AC200, $AC200), "-"), "err")</f>
        <v>-</v>
      </c>
      <c r="R200" s="25">
        <f t="shared" ca="1" si="59"/>
        <v>0</v>
      </c>
      <c r="S200" s="26" t="str">
        <f ca="1">IFERROR(IF(AND($X200&gt;=2, ISNUMBER($X200)), COUNTIFS(X$18:X200, "&gt;=2", $AC$18:$AC200, $AC200), "-"), "err")</f>
        <v>-</v>
      </c>
      <c r="T200" s="25">
        <f t="shared" ca="1" si="60"/>
        <v>0</v>
      </c>
      <c r="U200" s="26" t="str">
        <f ca="1">IFERROR(IF(Y200="Yes", COUNTIFS(Y$18:Y200, "Yes", $AC$18:$AC200, $AC200), "-"), "err")</f>
        <v>-</v>
      </c>
      <c r="V200" s="25">
        <f t="shared" ca="1" si="61"/>
        <v>0</v>
      </c>
      <c r="W200" s="26" t="str">
        <f ca="1">IFERROR(IF($Z200="Yes", COUNTIFS(Z$18:Z200, "Yes", $AC$18:AC200, $AC200), "-"), "err")</f>
        <v>-</v>
      </c>
      <c r="X200" s="91">
        <f t="shared" ca="1" si="77"/>
        <v>0</v>
      </c>
      <c r="Y200" s="26" t="str">
        <f t="shared" ca="1" si="78"/>
        <v/>
      </c>
      <c r="Z200" s="26" t="str">
        <f t="shared" ca="1" si="79"/>
        <v/>
      </c>
      <c r="AA200" s="91">
        <f t="shared" si="82"/>
        <v>155</v>
      </c>
      <c r="AB200" s="18" t="s">
        <v>289</v>
      </c>
      <c r="AC200" s="185" t="s">
        <v>289</v>
      </c>
      <c r="AD200" s="87"/>
      <c r="AE200" s="87"/>
      <c r="AF200" s="115"/>
      <c r="AG200" s="201"/>
      <c r="AH200" s="116"/>
      <c r="AI200" s="117"/>
      <c r="AJ200" s="115"/>
      <c r="AK200" s="201"/>
      <c r="AL200" s="116"/>
      <c r="AM200" s="117"/>
      <c r="AN200" s="115"/>
      <c r="AO200" s="201"/>
      <c r="AP200" s="116"/>
      <c r="AQ200" s="117"/>
      <c r="AR200" s="130"/>
    </row>
    <row r="201" spans="1:44" hidden="1" x14ac:dyDescent="0.25">
      <c r="A201" s="41"/>
      <c r="B201" s="25" t="str">
        <f t="shared" si="62"/>
        <v>Child Functioning -- Child #6_7</v>
      </c>
      <c r="C201" s="25" t="str">
        <f t="shared" si="66"/>
        <v/>
      </c>
      <c r="D201" s="25" t="str">
        <f t="shared" si="63"/>
        <v/>
      </c>
      <c r="E201" s="25" t="str">
        <f t="shared" si="63"/>
        <v/>
      </c>
      <c r="F201" s="95">
        <f t="shared" si="72"/>
        <v>13</v>
      </c>
      <c r="G201" s="25">
        <f t="shared" si="73"/>
        <v>7</v>
      </c>
      <c r="H201" s="25" t="str">
        <f t="shared" si="67"/>
        <v>CF</v>
      </c>
      <c r="I201" s="25" t="str">
        <f t="shared" si="68"/>
        <v>CF</v>
      </c>
      <c r="J201" s="25" t="str">
        <f t="shared" si="81"/>
        <v>Child Functioning -- Child #6</v>
      </c>
      <c r="K201" s="108">
        <v>1</v>
      </c>
      <c r="L201" s="95" t="str">
        <f t="shared" ca="1" si="55"/>
        <v/>
      </c>
      <c r="M201" s="25" t="str">
        <f t="shared" ca="1" si="56"/>
        <v/>
      </c>
      <c r="N201" s="25" t="str">
        <f t="shared" ca="1" si="57"/>
        <v/>
      </c>
      <c r="O201" s="25" t="str">
        <f t="shared" ca="1" si="58"/>
        <v/>
      </c>
      <c r="P201" s="91" t="str">
        <f ca="1">IFERROR(IF(AND($X201=3, ISNUMBER($X201)), COUNTIFS(X$18:X201, "=3", $AC$18:$AC201, $AC201), "-"), "err")</f>
        <v>-</v>
      </c>
      <c r="Q201" s="26" t="str">
        <f ca="1">IFERROR(IF(AND($X201=2, ISNUMBER($X201)), COUNTIFS(X$18:X201, "=2", $AC$18:$AC201, $AC201), "-"), "err")</f>
        <v>-</v>
      </c>
      <c r="R201" s="25">
        <f t="shared" ca="1" si="59"/>
        <v>0</v>
      </c>
      <c r="S201" s="26" t="str">
        <f ca="1">IFERROR(IF(AND($X201&gt;=2, ISNUMBER($X201)), COUNTIFS(X$18:X201, "&gt;=2", $AC$18:$AC201, $AC201), "-"), "err")</f>
        <v>-</v>
      </c>
      <c r="T201" s="25">
        <f t="shared" ca="1" si="60"/>
        <v>0</v>
      </c>
      <c r="U201" s="26" t="str">
        <f ca="1">IFERROR(IF(Y201="Yes", COUNTIFS(Y$18:Y201, "Yes", $AC$18:$AC201, $AC201), "-"), "err")</f>
        <v>-</v>
      </c>
      <c r="V201" s="25">
        <f t="shared" ca="1" si="61"/>
        <v>0</v>
      </c>
      <c r="W201" s="26" t="str">
        <f ca="1">IFERROR(IF($Z201="Yes", COUNTIFS(Z$18:Z201, "Yes", $AC$18:AC201, $AC201), "-"), "err")</f>
        <v>-</v>
      </c>
      <c r="X201" s="91">
        <f t="shared" ca="1" si="77"/>
        <v>0</v>
      </c>
      <c r="Y201" s="26" t="str">
        <f t="shared" ca="1" si="78"/>
        <v/>
      </c>
      <c r="Z201" s="26" t="str">
        <f t="shared" ca="1" si="79"/>
        <v/>
      </c>
      <c r="AA201" s="91">
        <f t="shared" si="82"/>
        <v>156</v>
      </c>
      <c r="AB201" s="18" t="s">
        <v>132</v>
      </c>
      <c r="AC201" s="184" t="s">
        <v>132</v>
      </c>
      <c r="AD201" s="54"/>
      <c r="AE201" s="54"/>
      <c r="AF201" s="112"/>
      <c r="AG201" s="200"/>
      <c r="AH201" s="113"/>
      <c r="AI201" s="114"/>
      <c r="AJ201" s="112"/>
      <c r="AK201" s="200"/>
      <c r="AL201" s="113"/>
      <c r="AM201" s="114"/>
      <c r="AN201" s="112"/>
      <c r="AO201" s="200"/>
      <c r="AP201" s="113"/>
      <c r="AQ201" s="114"/>
      <c r="AR201" s="130"/>
    </row>
    <row r="202" spans="1:44" hidden="1" x14ac:dyDescent="0.25">
      <c r="A202" s="41"/>
      <c r="B202" s="25" t="str">
        <f t="shared" si="62"/>
        <v>Child Functioning -- Child #6_8</v>
      </c>
      <c r="C202" s="25" t="str">
        <f t="shared" si="66"/>
        <v/>
      </c>
      <c r="D202" s="25" t="str">
        <f t="shared" si="63"/>
        <v/>
      </c>
      <c r="E202" s="25" t="str">
        <f t="shared" si="63"/>
        <v/>
      </c>
      <c r="F202" s="95">
        <f t="shared" si="72"/>
        <v>13</v>
      </c>
      <c r="G202" s="25">
        <f t="shared" si="73"/>
        <v>8</v>
      </c>
      <c r="H202" s="25" t="str">
        <f t="shared" si="67"/>
        <v>CF</v>
      </c>
      <c r="I202" s="25" t="str">
        <f t="shared" si="68"/>
        <v>CF</v>
      </c>
      <c r="J202" s="25" t="str">
        <f t="shared" si="81"/>
        <v>Child Functioning -- Child #6</v>
      </c>
      <c r="K202" s="108">
        <v>1</v>
      </c>
      <c r="L202" s="95" t="str">
        <f t="shared" ca="1" si="55"/>
        <v/>
      </c>
      <c r="M202" s="25" t="str">
        <f t="shared" ca="1" si="56"/>
        <v/>
      </c>
      <c r="N202" s="25" t="str">
        <f t="shared" ca="1" si="57"/>
        <v/>
      </c>
      <c r="O202" s="25" t="str">
        <f t="shared" ca="1" si="58"/>
        <v/>
      </c>
      <c r="P202" s="91" t="str">
        <f ca="1">IFERROR(IF(AND($X202=3, ISNUMBER($X202)), COUNTIFS(X$18:X202, "=3", $AC$18:$AC202, $AC202), "-"), "err")</f>
        <v>-</v>
      </c>
      <c r="Q202" s="26" t="str">
        <f ca="1">IFERROR(IF(AND($X202=2, ISNUMBER($X202)), COUNTIFS(X$18:X202, "=2", $AC$18:$AC202, $AC202), "-"), "err")</f>
        <v>-</v>
      </c>
      <c r="R202" s="25">
        <f t="shared" ca="1" si="59"/>
        <v>0</v>
      </c>
      <c r="S202" s="26" t="str">
        <f ca="1">IFERROR(IF(AND($X202&gt;=2, ISNUMBER($X202)), COUNTIFS(X$18:X202, "&gt;=2", $AC$18:$AC202, $AC202), "-"), "err")</f>
        <v>-</v>
      </c>
      <c r="T202" s="25">
        <f t="shared" ca="1" si="60"/>
        <v>0</v>
      </c>
      <c r="U202" s="26" t="str">
        <f ca="1">IFERROR(IF(Y202="Yes", COUNTIFS(Y$18:Y202, "Yes", $AC$18:$AC202, $AC202), "-"), "err")</f>
        <v>-</v>
      </c>
      <c r="V202" s="25">
        <f t="shared" ca="1" si="61"/>
        <v>0</v>
      </c>
      <c r="W202" s="26" t="str">
        <f ca="1">IFERROR(IF($Z202="Yes", COUNTIFS(Z$18:Z202, "Yes", $AC$18:AC202, $AC202), "-"), "err")</f>
        <v>-</v>
      </c>
      <c r="X202" s="91">
        <f t="shared" ca="1" si="77"/>
        <v>0</v>
      </c>
      <c r="Y202" s="26" t="str">
        <f t="shared" ca="1" si="78"/>
        <v/>
      </c>
      <c r="Z202" s="26" t="str">
        <f t="shared" ca="1" si="79"/>
        <v/>
      </c>
      <c r="AA202" s="91">
        <f t="shared" si="82"/>
        <v>157</v>
      </c>
      <c r="AB202" s="17" t="s">
        <v>290</v>
      </c>
      <c r="AC202" s="185" t="s">
        <v>290</v>
      </c>
      <c r="AD202" s="87"/>
      <c r="AE202" s="87"/>
      <c r="AF202" s="115"/>
      <c r="AG202" s="201"/>
      <c r="AH202" s="116"/>
      <c r="AI202" s="117"/>
      <c r="AJ202" s="115"/>
      <c r="AK202" s="201"/>
      <c r="AL202" s="116"/>
      <c r="AM202" s="117"/>
      <c r="AN202" s="115"/>
      <c r="AO202" s="201"/>
      <c r="AP202" s="116"/>
      <c r="AQ202" s="117"/>
      <c r="AR202" s="130"/>
    </row>
    <row r="203" spans="1:44" hidden="1" x14ac:dyDescent="0.25">
      <c r="A203" s="41"/>
      <c r="B203" s="25" t="str">
        <f t="shared" si="62"/>
        <v>Child Functioning -- Child #6_9</v>
      </c>
      <c r="C203" s="25" t="str">
        <f t="shared" si="66"/>
        <v/>
      </c>
      <c r="D203" s="25" t="str">
        <f t="shared" si="63"/>
        <v/>
      </c>
      <c r="E203" s="25" t="str">
        <f t="shared" si="63"/>
        <v/>
      </c>
      <c r="F203" s="95">
        <f t="shared" si="72"/>
        <v>13</v>
      </c>
      <c r="G203" s="25">
        <f t="shared" si="73"/>
        <v>9</v>
      </c>
      <c r="H203" s="25" t="str">
        <f t="shared" si="67"/>
        <v>CF</v>
      </c>
      <c r="I203" s="25" t="str">
        <f t="shared" si="68"/>
        <v>CF</v>
      </c>
      <c r="J203" s="25" t="str">
        <f t="shared" si="81"/>
        <v>Child Functioning -- Child #6</v>
      </c>
      <c r="K203" s="108">
        <v>1</v>
      </c>
      <c r="L203" s="95" t="str">
        <f t="shared" ca="1" si="55"/>
        <v/>
      </c>
      <c r="M203" s="25" t="str">
        <f t="shared" ca="1" si="56"/>
        <v/>
      </c>
      <c r="N203" s="25" t="str">
        <f t="shared" ca="1" si="57"/>
        <v/>
      </c>
      <c r="O203" s="25" t="str">
        <f t="shared" ca="1" si="58"/>
        <v/>
      </c>
      <c r="P203" s="91" t="str">
        <f ca="1">IFERROR(IF(AND($X203=3, ISNUMBER($X203)), COUNTIFS(X$18:X203, "=3", $AC$18:$AC203, $AC203), "-"), "err")</f>
        <v>-</v>
      </c>
      <c r="Q203" s="26" t="str">
        <f ca="1">IFERROR(IF(AND($X203=2, ISNUMBER($X203)), COUNTIFS(X$18:X203, "=2", $AC$18:$AC203, $AC203), "-"), "err")</f>
        <v>-</v>
      </c>
      <c r="R203" s="25">
        <f t="shared" ca="1" si="59"/>
        <v>0</v>
      </c>
      <c r="S203" s="26" t="str">
        <f ca="1">IFERROR(IF(AND($X203&gt;=2, ISNUMBER($X203)), COUNTIFS(X$18:X203, "&gt;=2", $AC$18:$AC203, $AC203), "-"), "err")</f>
        <v>-</v>
      </c>
      <c r="T203" s="25">
        <f t="shared" ca="1" si="60"/>
        <v>0</v>
      </c>
      <c r="U203" s="26" t="str">
        <f ca="1">IFERROR(IF(Y203="Yes", COUNTIFS(Y$18:Y203, "Yes", $AC$18:$AC203, $AC203), "-"), "err")</f>
        <v>-</v>
      </c>
      <c r="V203" s="25">
        <f t="shared" ca="1" si="61"/>
        <v>0</v>
      </c>
      <c r="W203" s="26" t="str">
        <f ca="1">IFERROR(IF($Z203="Yes", COUNTIFS(Z$18:Z203, "Yes", $AC$18:AC203, $AC203), "-"), "err")</f>
        <v>-</v>
      </c>
      <c r="X203" s="91">
        <f t="shared" ca="1" si="77"/>
        <v>0</v>
      </c>
      <c r="Y203" s="26" t="str">
        <f t="shared" ca="1" si="78"/>
        <v/>
      </c>
      <c r="Z203" s="26" t="str">
        <f t="shared" ca="1" si="79"/>
        <v/>
      </c>
      <c r="AA203" s="91">
        <f t="shared" si="82"/>
        <v>158</v>
      </c>
      <c r="AB203" s="17" t="s">
        <v>291</v>
      </c>
      <c r="AC203" s="184" t="s">
        <v>291</v>
      </c>
      <c r="AD203" s="54"/>
      <c r="AE203" s="54"/>
      <c r="AF203" s="112"/>
      <c r="AG203" s="200"/>
      <c r="AH203" s="113"/>
      <c r="AI203" s="114"/>
      <c r="AJ203" s="112"/>
      <c r="AK203" s="200"/>
      <c r="AL203" s="113"/>
      <c r="AM203" s="114"/>
      <c r="AN203" s="112"/>
      <c r="AO203" s="200"/>
      <c r="AP203" s="113"/>
      <c r="AQ203" s="114"/>
      <c r="AR203" s="130"/>
    </row>
    <row r="204" spans="1:44" hidden="1" x14ac:dyDescent="0.25">
      <c r="A204" s="41"/>
      <c r="B204" s="25" t="str">
        <f t="shared" si="62"/>
        <v>Child Functioning -- Child #6_10</v>
      </c>
      <c r="C204" s="25" t="str">
        <f t="shared" si="66"/>
        <v/>
      </c>
      <c r="D204" s="25" t="str">
        <f t="shared" si="63"/>
        <v/>
      </c>
      <c r="E204" s="25" t="str">
        <f t="shared" si="63"/>
        <v/>
      </c>
      <c r="F204" s="95">
        <f t="shared" si="72"/>
        <v>13</v>
      </c>
      <c r="G204" s="25">
        <f t="shared" si="73"/>
        <v>10</v>
      </c>
      <c r="H204" s="25" t="str">
        <f t="shared" si="67"/>
        <v>CF</v>
      </c>
      <c r="I204" s="25" t="str">
        <f t="shared" si="68"/>
        <v>CF</v>
      </c>
      <c r="J204" s="25" t="str">
        <f t="shared" si="81"/>
        <v>Child Functioning -- Child #6</v>
      </c>
      <c r="K204" s="108">
        <v>1</v>
      </c>
      <c r="L204" s="95" t="str">
        <f t="shared" ca="1" si="55"/>
        <v/>
      </c>
      <c r="M204" s="25" t="str">
        <f t="shared" ca="1" si="56"/>
        <v/>
      </c>
      <c r="N204" s="25" t="str">
        <f t="shared" ca="1" si="57"/>
        <v/>
      </c>
      <c r="O204" s="25" t="str">
        <f t="shared" ca="1" si="58"/>
        <v/>
      </c>
      <c r="P204" s="91" t="str">
        <f ca="1">IFERROR(IF(AND($X204=3, ISNUMBER($X204)), COUNTIFS(X$18:X204, "=3", $AC$18:$AC204, $AC204), "-"), "err")</f>
        <v>-</v>
      </c>
      <c r="Q204" s="26" t="str">
        <f ca="1">IFERROR(IF(AND($X204=2, ISNUMBER($X204)), COUNTIFS(X$18:X204, "=2", $AC$18:$AC204, $AC204), "-"), "err")</f>
        <v>-</v>
      </c>
      <c r="R204" s="25">
        <f t="shared" ca="1" si="59"/>
        <v>0</v>
      </c>
      <c r="S204" s="26" t="str">
        <f ca="1">IFERROR(IF(AND($X204&gt;=2, ISNUMBER($X204)), COUNTIFS(X$18:X204, "&gt;=2", $AC$18:$AC204, $AC204), "-"), "err")</f>
        <v>-</v>
      </c>
      <c r="T204" s="25">
        <f t="shared" ca="1" si="60"/>
        <v>0</v>
      </c>
      <c r="U204" s="26" t="str">
        <f ca="1">IFERROR(IF(Y204="Yes", COUNTIFS(Y$18:Y204, "Yes", $AC$18:$AC204, $AC204), "-"), "err")</f>
        <v>-</v>
      </c>
      <c r="V204" s="25">
        <f t="shared" ca="1" si="61"/>
        <v>0</v>
      </c>
      <c r="W204" s="26" t="str">
        <f ca="1">IFERROR(IF($Z204="Yes", COUNTIFS(Z$18:Z204, "Yes", $AC$18:AC204, $AC204), "-"), "err")</f>
        <v>-</v>
      </c>
      <c r="X204" s="91">
        <f t="shared" ca="1" si="77"/>
        <v>0</v>
      </c>
      <c r="Y204" s="26" t="str">
        <f t="shared" ca="1" si="78"/>
        <v/>
      </c>
      <c r="Z204" s="26" t="str">
        <f t="shared" ca="1" si="79"/>
        <v/>
      </c>
      <c r="AA204" s="91">
        <f t="shared" si="82"/>
        <v>159</v>
      </c>
      <c r="AB204" s="17" t="s">
        <v>292</v>
      </c>
      <c r="AC204" s="185" t="s">
        <v>292</v>
      </c>
      <c r="AD204" s="87"/>
      <c r="AE204" s="87"/>
      <c r="AF204" s="115"/>
      <c r="AG204" s="201"/>
      <c r="AH204" s="122"/>
      <c r="AI204" s="123"/>
      <c r="AJ204" s="115"/>
      <c r="AK204" s="201"/>
      <c r="AL204" s="122"/>
      <c r="AM204" s="123"/>
      <c r="AN204" s="115"/>
      <c r="AO204" s="201"/>
      <c r="AP204" s="122"/>
      <c r="AQ204" s="123"/>
      <c r="AR204" s="130"/>
    </row>
    <row r="205" spans="1:44" hidden="1" x14ac:dyDescent="0.25">
      <c r="A205" s="41"/>
      <c r="B205" s="25" t="str">
        <f t="shared" si="62"/>
        <v>Child Functioning -- Child #6_11</v>
      </c>
      <c r="C205" s="25" t="str">
        <f t="shared" si="66"/>
        <v/>
      </c>
      <c r="D205" s="25" t="str">
        <f t="shared" si="63"/>
        <v/>
      </c>
      <c r="E205" s="25" t="str">
        <f t="shared" si="63"/>
        <v/>
      </c>
      <c r="F205" s="95">
        <f t="shared" si="72"/>
        <v>13</v>
      </c>
      <c r="G205" s="25">
        <f t="shared" si="73"/>
        <v>11</v>
      </c>
      <c r="H205" s="25" t="str">
        <f t="shared" si="67"/>
        <v>CF</v>
      </c>
      <c r="I205" s="25" t="str">
        <f t="shared" si="68"/>
        <v>CF</v>
      </c>
      <c r="J205" s="25" t="str">
        <f t="shared" si="81"/>
        <v>Child Functioning -- Child #6</v>
      </c>
      <c r="K205" s="108">
        <v>1</v>
      </c>
      <c r="L205" s="95" t="str">
        <f t="shared" ca="1" si="55"/>
        <v/>
      </c>
      <c r="M205" s="25" t="str">
        <f t="shared" ca="1" si="56"/>
        <v/>
      </c>
      <c r="N205" s="25" t="str">
        <f t="shared" ca="1" si="57"/>
        <v/>
      </c>
      <c r="O205" s="25" t="str">
        <f t="shared" ca="1" si="58"/>
        <v/>
      </c>
      <c r="P205" s="91" t="str">
        <f ca="1">IFERROR(IF(AND($X205=3, ISNUMBER($X205)), COUNTIFS(X$18:X205, "=3", $AC$18:$AC205, $AC205), "-"), "err")</f>
        <v>-</v>
      </c>
      <c r="Q205" s="26" t="str">
        <f ca="1">IFERROR(IF(AND($X205=2, ISNUMBER($X205)), COUNTIFS(X$18:X205, "=2", $AC$18:$AC205, $AC205), "-"), "err")</f>
        <v>-</v>
      </c>
      <c r="R205" s="25">
        <f t="shared" ca="1" si="59"/>
        <v>0</v>
      </c>
      <c r="S205" s="26" t="str">
        <f ca="1">IFERROR(IF(AND($X205&gt;=2, ISNUMBER($X205)), COUNTIFS(X$18:X205, "&gt;=2", $AC$18:$AC205, $AC205), "-"), "err")</f>
        <v>-</v>
      </c>
      <c r="T205" s="25">
        <f t="shared" ca="1" si="60"/>
        <v>0</v>
      </c>
      <c r="U205" s="26" t="str">
        <f ca="1">IFERROR(IF(Y205="Yes", COUNTIFS(Y$18:Y205, "Yes", $AC$18:$AC205, $AC205), "-"), "err")</f>
        <v>-</v>
      </c>
      <c r="V205" s="25">
        <f t="shared" ca="1" si="61"/>
        <v>0</v>
      </c>
      <c r="W205" s="26" t="str">
        <f ca="1">IFERROR(IF($Z205="Yes", COUNTIFS(Z$18:Z205, "Yes", $AC$18:AC205, $AC205), "-"), "err")</f>
        <v>-</v>
      </c>
      <c r="X205" s="91">
        <f t="shared" ca="1" si="77"/>
        <v>0</v>
      </c>
      <c r="Y205" s="26" t="str">
        <f t="shared" ca="1" si="78"/>
        <v/>
      </c>
      <c r="Z205" s="26" t="str">
        <f t="shared" ca="1" si="79"/>
        <v/>
      </c>
      <c r="AA205" s="91">
        <f t="shared" si="82"/>
        <v>160</v>
      </c>
      <c r="AB205" s="17" t="s">
        <v>293</v>
      </c>
      <c r="AC205" s="184" t="s">
        <v>293</v>
      </c>
      <c r="AD205" s="54"/>
      <c r="AE205" s="54"/>
      <c r="AF205" s="112"/>
      <c r="AG205" s="200"/>
      <c r="AH205" s="122"/>
      <c r="AI205" s="123"/>
      <c r="AJ205" s="112"/>
      <c r="AK205" s="200"/>
      <c r="AL205" s="122"/>
      <c r="AM205" s="123"/>
      <c r="AN205" s="112"/>
      <c r="AO205" s="200"/>
      <c r="AP205" s="122"/>
      <c r="AQ205" s="123"/>
      <c r="AR205" s="130"/>
    </row>
    <row r="206" spans="1:44" hidden="1" x14ac:dyDescent="0.25">
      <c r="A206" s="41"/>
      <c r="B206" s="25" t="str">
        <f t="shared" si="62"/>
        <v>Child Functioning -- Child #6_12</v>
      </c>
      <c r="C206" s="25" t="str">
        <f t="shared" si="66"/>
        <v/>
      </c>
      <c r="D206" s="25" t="str">
        <f t="shared" si="63"/>
        <v/>
      </c>
      <c r="E206" s="25" t="str">
        <f t="shared" si="63"/>
        <v/>
      </c>
      <c r="F206" s="95">
        <f t="shared" si="72"/>
        <v>13</v>
      </c>
      <c r="G206" s="25">
        <f t="shared" si="73"/>
        <v>12</v>
      </c>
      <c r="H206" s="25" t="str">
        <f t="shared" si="67"/>
        <v>CF</v>
      </c>
      <c r="I206" s="25" t="str">
        <f t="shared" si="68"/>
        <v>CF</v>
      </c>
      <c r="J206" s="25" t="str">
        <f t="shared" si="81"/>
        <v>Child Functioning -- Child #6</v>
      </c>
      <c r="K206" s="108">
        <v>1</v>
      </c>
      <c r="L206" s="95" t="str">
        <f t="shared" ca="1" si="55"/>
        <v/>
      </c>
      <c r="M206" s="25" t="str">
        <f t="shared" ca="1" si="56"/>
        <v/>
      </c>
      <c r="N206" s="25" t="str">
        <f t="shared" ca="1" si="57"/>
        <v/>
      </c>
      <c r="O206" s="25" t="str">
        <f t="shared" ca="1" si="58"/>
        <v/>
      </c>
      <c r="P206" s="91" t="str">
        <f ca="1">IFERROR(IF(AND($X206=3, ISNUMBER($X206)), COUNTIFS(X$18:X206, "=3", $AC$18:$AC206, $AC206), "-"), "err")</f>
        <v>-</v>
      </c>
      <c r="Q206" s="26" t="str">
        <f ca="1">IFERROR(IF(AND($X206=2, ISNUMBER($X206)), COUNTIFS(X$18:X206, "=2", $AC$18:$AC206, $AC206), "-"), "err")</f>
        <v>-</v>
      </c>
      <c r="R206" s="25">
        <f t="shared" ca="1" si="59"/>
        <v>0</v>
      </c>
      <c r="S206" s="26" t="str">
        <f ca="1">IFERROR(IF(AND($X206&gt;=2, ISNUMBER($X206)), COUNTIFS(X$18:X206, "&gt;=2", $AC$18:$AC206, $AC206), "-"), "err")</f>
        <v>-</v>
      </c>
      <c r="T206" s="25">
        <f t="shared" ca="1" si="60"/>
        <v>0</v>
      </c>
      <c r="U206" s="26" t="str">
        <f ca="1">IFERROR(IF(Y206="Yes", COUNTIFS(Y$18:Y206, "Yes", $AC$18:$AC206, $AC206), "-"), "err")</f>
        <v>-</v>
      </c>
      <c r="V206" s="25">
        <f t="shared" ca="1" si="61"/>
        <v>0</v>
      </c>
      <c r="W206" s="26" t="str">
        <f ca="1">IFERROR(IF($Z206="Yes", COUNTIFS(Z$18:Z206, "Yes", $AC$18:AC206, $AC206), "-"), "err")</f>
        <v>-</v>
      </c>
      <c r="X206" s="91">
        <f t="shared" ca="1" si="77"/>
        <v>0</v>
      </c>
      <c r="Y206" s="26" t="str">
        <f t="shared" ca="1" si="78"/>
        <v/>
      </c>
      <c r="Z206" s="26" t="str">
        <f t="shared" ca="1" si="79"/>
        <v/>
      </c>
      <c r="AA206" s="91">
        <f t="shared" si="82"/>
        <v>161</v>
      </c>
      <c r="AB206" s="17" t="s">
        <v>294</v>
      </c>
      <c r="AC206" s="185" t="s">
        <v>294</v>
      </c>
      <c r="AD206" s="87"/>
      <c r="AE206" s="87"/>
      <c r="AF206" s="115"/>
      <c r="AG206" s="201"/>
      <c r="AH206" s="116"/>
      <c r="AI206" s="117"/>
      <c r="AJ206" s="115"/>
      <c r="AK206" s="201"/>
      <c r="AL206" s="116"/>
      <c r="AM206" s="117"/>
      <c r="AN206" s="115"/>
      <c r="AO206" s="201"/>
      <c r="AP206" s="116"/>
      <c r="AQ206" s="117"/>
      <c r="AR206" s="130"/>
    </row>
    <row r="207" spans="1:44" hidden="1" x14ac:dyDescent="0.25">
      <c r="A207" s="41"/>
      <c r="B207" s="25" t="str">
        <f t="shared" si="62"/>
        <v>Child Functioning -- Child #6_13</v>
      </c>
      <c r="C207" s="25" t="str">
        <f t="shared" si="66"/>
        <v/>
      </c>
      <c r="D207" s="25" t="str">
        <f t="shared" si="63"/>
        <v/>
      </c>
      <c r="E207" s="25" t="str">
        <f t="shared" si="63"/>
        <v/>
      </c>
      <c r="F207" s="95">
        <f t="shared" si="72"/>
        <v>13</v>
      </c>
      <c r="G207" s="25">
        <f t="shared" si="73"/>
        <v>13</v>
      </c>
      <c r="H207" s="25" t="str">
        <f t="shared" si="67"/>
        <v>CF</v>
      </c>
      <c r="I207" s="25" t="str">
        <f t="shared" si="68"/>
        <v>CF</v>
      </c>
      <c r="J207" s="25" t="str">
        <f t="shared" si="81"/>
        <v>Child Functioning -- Child #6</v>
      </c>
      <c r="K207" s="108">
        <v>1</v>
      </c>
      <c r="L207" s="95" t="str">
        <f t="shared" ca="1" si="55"/>
        <v/>
      </c>
      <c r="M207" s="25" t="str">
        <f t="shared" ca="1" si="56"/>
        <v/>
      </c>
      <c r="N207" s="25" t="str">
        <f t="shared" ca="1" si="57"/>
        <v/>
      </c>
      <c r="O207" s="25" t="str">
        <f t="shared" ca="1" si="58"/>
        <v/>
      </c>
      <c r="P207" s="91" t="str">
        <f ca="1">IFERROR(IF(AND($X207=3, ISNUMBER($X207)), COUNTIFS(X$18:X207, "=3", $AC$18:$AC207, $AC207), "-"), "err")</f>
        <v>-</v>
      </c>
      <c r="Q207" s="26" t="str">
        <f ca="1">IFERROR(IF(AND($X207=2, ISNUMBER($X207)), COUNTIFS(X$18:X207, "=2", $AC$18:$AC207, $AC207), "-"), "err")</f>
        <v>-</v>
      </c>
      <c r="R207" s="25">
        <f t="shared" ca="1" si="59"/>
        <v>0</v>
      </c>
      <c r="S207" s="26" t="str">
        <f ca="1">IFERROR(IF(AND($X207&gt;=2, ISNUMBER($X207)), COUNTIFS(X$18:X207, "&gt;=2", $AC$18:$AC207, $AC207), "-"), "err")</f>
        <v>-</v>
      </c>
      <c r="T207" s="25">
        <f t="shared" ca="1" si="60"/>
        <v>0</v>
      </c>
      <c r="U207" s="26" t="str">
        <f ca="1">IFERROR(IF(Y207="Yes", COUNTIFS(Y$18:Y207, "Yes", $AC$18:$AC207, $AC207), "-"), "err")</f>
        <v>-</v>
      </c>
      <c r="V207" s="25">
        <f t="shared" ca="1" si="61"/>
        <v>0</v>
      </c>
      <c r="W207" s="26" t="str">
        <f ca="1">IFERROR(IF($Z207="Yes", COUNTIFS(Z$18:Z207, "Yes", $AC$18:AC207, $AC207), "-"), "err")</f>
        <v>-</v>
      </c>
      <c r="X207" s="91">
        <f t="shared" ca="1" si="77"/>
        <v>0</v>
      </c>
      <c r="Y207" s="26" t="str">
        <f t="shared" ca="1" si="78"/>
        <v/>
      </c>
      <c r="Z207" s="26" t="str">
        <f t="shared" ca="1" si="79"/>
        <v/>
      </c>
      <c r="AA207" s="91">
        <f t="shared" si="82"/>
        <v>162</v>
      </c>
      <c r="AB207" s="17" t="s">
        <v>5</v>
      </c>
      <c r="AC207" s="184" t="s">
        <v>5</v>
      </c>
      <c r="AD207" s="54"/>
      <c r="AE207" s="54"/>
      <c r="AF207" s="112"/>
      <c r="AG207" s="200"/>
      <c r="AH207" s="113"/>
      <c r="AI207" s="114"/>
      <c r="AJ207" s="112"/>
      <c r="AK207" s="200"/>
      <c r="AL207" s="113"/>
      <c r="AM207" s="114"/>
      <c r="AN207" s="112"/>
      <c r="AO207" s="200"/>
      <c r="AP207" s="113"/>
      <c r="AQ207" s="114"/>
      <c r="AR207" s="130"/>
    </row>
    <row r="208" spans="1:44" hidden="1" x14ac:dyDescent="0.25">
      <c r="A208" s="41"/>
      <c r="B208" s="25" t="str">
        <f t="shared" si="62"/>
        <v>Child Functioning -- Child #6_14</v>
      </c>
      <c r="C208" s="25" t="str">
        <f t="shared" si="66"/>
        <v/>
      </c>
      <c r="D208" s="25" t="str">
        <f t="shared" si="63"/>
        <v/>
      </c>
      <c r="E208" s="25" t="str">
        <f t="shared" si="63"/>
        <v/>
      </c>
      <c r="F208" s="95">
        <f t="shared" si="72"/>
        <v>13</v>
      </c>
      <c r="G208" s="25">
        <f t="shared" si="73"/>
        <v>14</v>
      </c>
      <c r="H208" s="25" t="str">
        <f t="shared" si="67"/>
        <v>CF</v>
      </c>
      <c r="I208" s="25" t="str">
        <f t="shared" si="68"/>
        <v>CF</v>
      </c>
      <c r="J208" s="25" t="str">
        <f t="shared" si="81"/>
        <v>Child Functioning -- Child #6</v>
      </c>
      <c r="K208" s="108">
        <v>1</v>
      </c>
      <c r="L208" s="95" t="str">
        <f t="shared" ca="1" si="55"/>
        <v/>
      </c>
      <c r="M208" s="25" t="str">
        <f t="shared" ca="1" si="56"/>
        <v/>
      </c>
      <c r="N208" s="25" t="str">
        <f t="shared" ca="1" si="57"/>
        <v/>
      </c>
      <c r="O208" s="25" t="str">
        <f t="shared" ca="1" si="58"/>
        <v/>
      </c>
      <c r="P208" s="91" t="str">
        <f ca="1">IFERROR(IF(AND($X208=3, ISNUMBER($X208)), COUNTIFS(X$18:X208, "=3", $AC$18:$AC208, $AC208), "-"), "err")</f>
        <v>-</v>
      </c>
      <c r="Q208" s="26" t="str">
        <f ca="1">IFERROR(IF(AND($X208=2, ISNUMBER($X208)), COUNTIFS(X$18:X208, "=2", $AC$18:$AC208, $AC208), "-"), "err")</f>
        <v>-</v>
      </c>
      <c r="R208" s="25">
        <f t="shared" ca="1" si="59"/>
        <v>0</v>
      </c>
      <c r="S208" s="26" t="str">
        <f ca="1">IFERROR(IF(AND($X208&gt;=2, ISNUMBER($X208)), COUNTIFS(X$18:X208, "&gt;=2", $AC$18:$AC208, $AC208), "-"), "err")</f>
        <v>-</v>
      </c>
      <c r="T208" s="25">
        <f t="shared" ca="1" si="60"/>
        <v>0</v>
      </c>
      <c r="U208" s="26" t="str">
        <f ca="1">IFERROR(IF(Y208="Yes", COUNTIFS(Y$18:Y208, "Yes", $AC$18:$AC208, $AC208), "-"), "err")</f>
        <v>-</v>
      </c>
      <c r="V208" s="25">
        <f t="shared" ca="1" si="61"/>
        <v>0</v>
      </c>
      <c r="W208" s="26" t="str">
        <f ca="1">IFERROR(IF($Z208="Yes", COUNTIFS(Z$18:Z208, "Yes", $AC$18:AC208, $AC208), "-"), "err")</f>
        <v>-</v>
      </c>
      <c r="X208" s="91">
        <f t="shared" ca="1" si="77"/>
        <v>0</v>
      </c>
      <c r="Y208" s="26" t="str">
        <f t="shared" ca="1" si="78"/>
        <v/>
      </c>
      <c r="Z208" s="26" t="str">
        <f t="shared" ca="1" si="79"/>
        <v/>
      </c>
      <c r="AA208" s="91">
        <f t="shared" si="82"/>
        <v>163</v>
      </c>
      <c r="AB208" s="17" t="s">
        <v>295</v>
      </c>
      <c r="AC208" s="185" t="s">
        <v>295</v>
      </c>
      <c r="AD208" s="87"/>
      <c r="AE208" s="87"/>
      <c r="AF208" s="115"/>
      <c r="AG208" s="201"/>
      <c r="AH208" s="116"/>
      <c r="AI208" s="117"/>
      <c r="AJ208" s="115"/>
      <c r="AK208" s="201"/>
      <c r="AL208" s="116"/>
      <c r="AM208" s="117"/>
      <c r="AN208" s="115"/>
      <c r="AO208" s="201"/>
      <c r="AP208" s="116"/>
      <c r="AQ208" s="117"/>
      <c r="AR208" s="130"/>
    </row>
    <row r="209" spans="1:44" hidden="1" x14ac:dyDescent="0.25">
      <c r="A209" s="41"/>
      <c r="B209" s="213" t="str">
        <f t="shared" si="62"/>
        <v>Child Functioning -- Child #6_15</v>
      </c>
      <c r="C209" s="213" t="str">
        <f t="shared" si="66"/>
        <v>CF</v>
      </c>
      <c r="D209" s="213" t="str">
        <f t="shared" si="63"/>
        <v>CF</v>
      </c>
      <c r="E209" s="213" t="str">
        <f t="shared" si="63"/>
        <v>Child Functioning -- Child #6</v>
      </c>
      <c r="F209" s="95">
        <f t="shared" si="72"/>
        <v>13</v>
      </c>
      <c r="G209" s="213">
        <f t="shared" si="73"/>
        <v>15</v>
      </c>
      <c r="H209" s="213" t="str">
        <f t="shared" si="67"/>
        <v>CF</v>
      </c>
      <c r="I209" s="213" t="str">
        <f t="shared" si="68"/>
        <v>CF</v>
      </c>
      <c r="J209" s="213" t="str">
        <f t="shared" si="81"/>
        <v>Child Functioning -- Child #6</v>
      </c>
      <c r="K209" s="214">
        <v>1</v>
      </c>
      <c r="L209" s="95" t="str">
        <f t="shared" ca="1" si="55"/>
        <v/>
      </c>
      <c r="M209" s="25" t="str">
        <f t="shared" ca="1" si="56"/>
        <v/>
      </c>
      <c r="N209" s="213" t="str">
        <f t="shared" ca="1" si="57"/>
        <v/>
      </c>
      <c r="O209" s="213" t="str">
        <f t="shared" ca="1" si="58"/>
        <v/>
      </c>
      <c r="P209" s="91" t="str">
        <f ca="1">IFERROR(IF(AND($X209=3, ISNUMBER($X209)), COUNTIFS(X$18:X209, "=3", $AC$18:$AC209, $AC209), "-"), "err")</f>
        <v>-</v>
      </c>
      <c r="Q209" s="26" t="str">
        <f ca="1">IFERROR(IF(AND($X209=2, ISNUMBER($X209)), COUNTIFS(X$18:X209, "=2", $AC$18:$AC209, $AC209), "-"), "err")</f>
        <v>-</v>
      </c>
      <c r="R209" s="25">
        <f t="shared" ca="1" si="59"/>
        <v>0</v>
      </c>
      <c r="S209" s="212" t="str">
        <f ca="1">IFERROR(IF(AND($X209&gt;=2, ISNUMBER($X209)), COUNTIFS(X$18:X209, "&gt;=2", $AC$18:$AC209, $AC209), "-"), "err")</f>
        <v>-</v>
      </c>
      <c r="T209" s="213">
        <f t="shared" ca="1" si="60"/>
        <v>0</v>
      </c>
      <c r="U209" s="212" t="str">
        <f ca="1">IFERROR(IF(Y209="Yes", COUNTIFS(Y$18:Y209, "Yes", $AC$18:$AC209, $AC209), "-"), "err")</f>
        <v>-</v>
      </c>
      <c r="V209" s="25">
        <f t="shared" ca="1" si="61"/>
        <v>0</v>
      </c>
      <c r="W209" s="212" t="str">
        <f ca="1">IFERROR(IF($Z209="Yes", COUNTIFS(Z$18:Z209, "Yes", $AC$18:AC209, $AC209), "-"), "err")</f>
        <v>-</v>
      </c>
      <c r="X209" s="91">
        <f t="shared" ca="1" si="77"/>
        <v>0</v>
      </c>
      <c r="Y209" s="212" t="str">
        <f t="shared" ca="1" si="78"/>
        <v/>
      </c>
      <c r="Z209" s="212" t="str">
        <f t="shared" ca="1" si="79"/>
        <v/>
      </c>
      <c r="AA209" s="91">
        <f t="shared" si="82"/>
        <v>164</v>
      </c>
      <c r="AB209" s="17" t="s">
        <v>32</v>
      </c>
      <c r="AC209" s="187" t="s">
        <v>32</v>
      </c>
      <c r="AD209" s="180"/>
      <c r="AE209" s="180"/>
      <c r="AF209" s="181"/>
      <c r="AG209" s="202"/>
      <c r="AH209" s="199"/>
      <c r="AI209" s="182"/>
      <c r="AJ209" s="181"/>
      <c r="AK209" s="202"/>
      <c r="AL209" s="199"/>
      <c r="AM209" s="182"/>
      <c r="AN209" s="181"/>
      <c r="AO209" s="202"/>
      <c r="AP209" s="199"/>
      <c r="AQ209" s="182"/>
      <c r="AR209" s="130"/>
    </row>
    <row r="210" spans="1:44" x14ac:dyDescent="0.25">
      <c r="A210" s="39"/>
      <c r="B210" s="8"/>
      <c r="C210" s="8"/>
      <c r="D210" s="8"/>
      <c r="E210" s="8"/>
      <c r="F210" s="8"/>
      <c r="G210" s="8"/>
      <c r="H210" s="8"/>
      <c r="I210" s="8"/>
      <c r="J210" s="8"/>
      <c r="K210" s="8"/>
      <c r="L210" s="8"/>
      <c r="M210" s="8"/>
      <c r="N210" s="8"/>
      <c r="O210" s="8"/>
      <c r="P210" s="6"/>
      <c r="Q210" s="8"/>
      <c r="R210" s="8"/>
      <c r="S210" s="8"/>
      <c r="T210" s="6"/>
      <c r="U210" s="8"/>
      <c r="V210" s="8"/>
      <c r="W210" s="6"/>
      <c r="X210" s="8"/>
      <c r="Y210" s="8"/>
      <c r="Z210" s="8"/>
      <c r="AA210" s="8"/>
      <c r="AB210" s="53"/>
      <c r="AC210" s="39"/>
      <c r="AD210" s="39"/>
      <c r="AE210" s="50"/>
      <c r="AF210" s="62"/>
      <c r="AG210" s="62"/>
      <c r="AH210" s="62"/>
      <c r="AI210" s="62"/>
      <c r="AJ210" s="62"/>
      <c r="AK210" s="62"/>
      <c r="AL210" s="62"/>
      <c r="AM210" s="62"/>
      <c r="AN210" s="62"/>
      <c r="AO210" s="62"/>
      <c r="AP210" s="62"/>
      <c r="AQ210" s="62"/>
      <c r="AR210" s="7"/>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34" priority="82">
      <formula>AND(AF26&gt;=2, AG26="")</formula>
    </cfRule>
  </conditionalFormatting>
  <conditionalFormatting sqref="AG19:AG103 AG105:AG121 AG123:AG139 AG141:AG157 AG159:AG175 AG177:AG193 AG195:AG209">
    <cfRule type="expression" dxfId="33" priority="81">
      <formula>AND(AF19&gt;=2, AG19="")</formula>
    </cfRule>
  </conditionalFormatting>
  <conditionalFormatting sqref="AG104">
    <cfRule type="expression" dxfId="32" priority="75">
      <formula>AND(AF104&gt;=2, AG104="")</formula>
    </cfRule>
  </conditionalFormatting>
  <conditionalFormatting sqref="AG122">
    <cfRule type="expression" dxfId="31" priority="72">
      <formula>AND(AF122&gt;=2, AG122="")</formula>
    </cfRule>
  </conditionalFormatting>
  <conditionalFormatting sqref="AG140">
    <cfRule type="expression" dxfId="30" priority="69">
      <formula>AND(AF140&gt;=2, AG140="")</formula>
    </cfRule>
  </conditionalFormatting>
  <conditionalFormatting sqref="AG158">
    <cfRule type="expression" dxfId="29" priority="66">
      <formula>AND(AF158&gt;=2, AG158="")</formula>
    </cfRule>
  </conditionalFormatting>
  <conditionalFormatting sqref="AG176">
    <cfRule type="expression" dxfId="28" priority="63">
      <formula>AND(AF176&gt;=2, AG176="")</formula>
    </cfRule>
  </conditionalFormatting>
  <conditionalFormatting sqref="AG194">
    <cfRule type="expression" dxfId="27" priority="60">
      <formula>AND(AF194&gt;=2, AG194="")</formula>
    </cfRule>
  </conditionalFormatting>
  <conditionalFormatting sqref="AK26">
    <cfRule type="expression" dxfId="26" priority="16">
      <formula>AND(AJ26&gt;=2, AK26="")</formula>
    </cfRule>
  </conditionalFormatting>
  <conditionalFormatting sqref="AK19:AK103 AK105:AK121 AK123:AK139 AK141:AK157 AK159:AK175 AK177:AK193 AK195:AK209">
    <cfRule type="expression" dxfId="25" priority="15">
      <formula>AND(AJ19&gt;=2, AK19="")</formula>
    </cfRule>
  </conditionalFormatting>
  <conditionalFormatting sqref="AK104">
    <cfRule type="expression" dxfId="24" priority="14">
      <formula>AND(AJ104&gt;=2, AK104="")</formula>
    </cfRule>
  </conditionalFormatting>
  <conditionalFormatting sqref="AK122">
    <cfRule type="expression" dxfId="23" priority="13">
      <formula>AND(AJ122&gt;=2, AK122="")</formula>
    </cfRule>
  </conditionalFormatting>
  <conditionalFormatting sqref="AK140">
    <cfRule type="expression" dxfId="22" priority="12">
      <formula>AND(AJ140&gt;=2, AK140="")</formula>
    </cfRule>
  </conditionalFormatting>
  <conditionalFormatting sqref="AK158">
    <cfRule type="expression" dxfId="21" priority="11">
      <formula>AND(AJ158&gt;=2, AK158="")</formula>
    </cfRule>
  </conditionalFormatting>
  <conditionalFormatting sqref="AK176">
    <cfRule type="expression" dxfId="20" priority="10">
      <formula>AND(AJ176&gt;=2, AK176="")</formula>
    </cfRule>
  </conditionalFormatting>
  <conditionalFormatting sqref="AK194">
    <cfRule type="expression" dxfId="19" priority="9">
      <formula>AND(AJ194&gt;=2, AK194="")</formula>
    </cfRule>
  </conditionalFormatting>
  <conditionalFormatting sqref="AO26">
    <cfRule type="expression" dxfId="18" priority="8">
      <formula>AND(AN26&gt;=2, AO26="")</formula>
    </cfRule>
  </conditionalFormatting>
  <conditionalFormatting sqref="AO19:AO103 AO105:AO121 AO123:AO139 AO141:AO157 AO159:AO175 AO177:AO193 AO195:AO209">
    <cfRule type="expression" dxfId="17" priority="7">
      <formula>AND(AN19&gt;=2, AO19="")</formula>
    </cfRule>
  </conditionalFormatting>
  <conditionalFormatting sqref="AO104">
    <cfRule type="expression" dxfId="16" priority="6">
      <formula>AND(AN104&gt;=2, AO104="")</formula>
    </cfRule>
  </conditionalFormatting>
  <conditionalFormatting sqref="AO122">
    <cfRule type="expression" dxfId="15" priority="5">
      <formula>AND(AN122&gt;=2, AO122="")</formula>
    </cfRule>
  </conditionalFormatting>
  <conditionalFormatting sqref="AO140">
    <cfRule type="expression" dxfId="14" priority="4">
      <formula>AND(AN140&gt;=2, AO140="")</formula>
    </cfRule>
  </conditionalFormatting>
  <conditionalFormatting sqref="AO158">
    <cfRule type="expression" dxfId="13" priority="3">
      <formula>AND(AN158&gt;=2, AO158="")</formula>
    </cfRule>
  </conditionalFormatting>
  <conditionalFormatting sqref="AO176">
    <cfRule type="expression" dxfId="12" priority="2">
      <formula>AND(AN176&gt;=2, AO176="")</formula>
    </cfRule>
  </conditionalFormatting>
  <conditionalFormatting sqref="AO194">
    <cfRule type="expression" dxfId="11" priority="1">
      <formula>AND(AN194&gt;=2, AO194="")</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F19:AF28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N56:AN69">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scale="96"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2" r:id="rId4" name="CB_FF">
              <controlPr locked="0" defaultSize="0" autoFill="0" autoLine="0" autoPict="0" macro="[0]!ShowHideBank_FF">
                <anchor moveWithCells="1">
                  <from>
                    <xdr:col>0</xdr:col>
                    <xdr:colOff>38100</xdr:colOff>
                    <xdr:row>17</xdr:row>
                    <xdr:rowOff>19050</xdr:rowOff>
                  </from>
                  <to>
                    <xdr:col>0</xdr:col>
                    <xdr:colOff>209550</xdr:colOff>
                    <xdr:row>17</xdr:row>
                    <xdr:rowOff>180975</xdr:rowOff>
                  </to>
                </anchor>
              </controlPr>
            </control>
          </mc:Choice>
        </mc:AlternateContent>
        <mc:AlternateContent xmlns:mc="http://schemas.openxmlformats.org/markup-compatibility/2006">
          <mc:Choice Requires="x14">
            <control shapeId="2073" r:id="rId5" name="CB_CGA">
              <controlPr locked="0" defaultSize="0" autoFill="0" autoLine="0" autoPict="0" macro="[0]!ShowHideBank_CGA">
                <anchor moveWithCells="1">
                  <from>
                    <xdr:col>0</xdr:col>
                    <xdr:colOff>38100</xdr:colOff>
                    <xdr:row>28</xdr:row>
                    <xdr:rowOff>19050</xdr:rowOff>
                  </from>
                  <to>
                    <xdr:col>0</xdr:col>
                    <xdr:colOff>209550</xdr:colOff>
                    <xdr:row>29</xdr:row>
                    <xdr:rowOff>0</xdr:rowOff>
                  </to>
                </anchor>
              </controlPr>
            </control>
          </mc:Choice>
        </mc:AlternateContent>
        <mc:AlternateContent xmlns:mc="http://schemas.openxmlformats.org/markup-compatibility/2006">
          <mc:Choice Requires="x14">
            <control shapeId="2086" r:id="rId6" name="Button 38">
              <controlPr defaultSize="0" print="0" autoFill="0" autoPict="0" macro="[0]!ZoomIn">
                <anchor>
                  <from>
                    <xdr:col>32</xdr:col>
                    <xdr:colOff>381000</xdr:colOff>
                    <xdr:row>0</xdr:row>
                    <xdr:rowOff>57150</xdr:rowOff>
                  </from>
                  <to>
                    <xdr:col>32</xdr:col>
                    <xdr:colOff>1857375</xdr:colOff>
                    <xdr:row>1</xdr:row>
                    <xdr:rowOff>19050</xdr:rowOff>
                  </to>
                </anchor>
              </controlPr>
            </control>
          </mc:Choice>
        </mc:AlternateContent>
        <mc:AlternateContent xmlns:mc="http://schemas.openxmlformats.org/markup-compatibility/2006">
          <mc:Choice Requires="x14">
            <control shapeId="2108" r:id="rId7" name="Button 60">
              <controlPr defaultSize="0" print="0" autoFill="0" autoPict="0" macro="[0]!Goto_Face">
                <anchor>
                  <from>
                    <xdr:col>29</xdr:col>
                    <xdr:colOff>1419225</xdr:colOff>
                    <xdr:row>0</xdr:row>
                    <xdr:rowOff>57150</xdr:rowOff>
                  </from>
                  <to>
                    <xdr:col>32</xdr:col>
                    <xdr:colOff>200025</xdr:colOff>
                    <xdr:row>1</xdr:row>
                    <xdr:rowOff>9525</xdr:rowOff>
                  </to>
                </anchor>
              </controlPr>
            </control>
          </mc:Choice>
        </mc:AlternateContent>
        <mc:AlternateContent xmlns:mc="http://schemas.openxmlformats.org/markup-compatibility/2006">
          <mc:Choice Requires="x14">
            <control shapeId="2111" r:id="rId8" name="Button 63">
              <controlPr defaultSize="0" print="0" autoFill="0" autoPict="0" macro="[0]!ZoomOut">
                <anchor>
                  <from>
                    <xdr:col>32</xdr:col>
                    <xdr:colOff>2038350</xdr:colOff>
                    <xdr:row>0</xdr:row>
                    <xdr:rowOff>57150</xdr:rowOff>
                  </from>
                  <to>
                    <xdr:col>34</xdr:col>
                    <xdr:colOff>133350</xdr:colOff>
                    <xdr:row>1</xdr:row>
                    <xdr:rowOff>19050</xdr:rowOff>
                  </to>
                </anchor>
              </controlPr>
            </control>
          </mc:Choice>
        </mc:AlternateContent>
        <mc:AlternateContent xmlns:mc="http://schemas.openxmlformats.org/markup-compatibility/2006">
          <mc:Choice Requires="x14">
            <control shapeId="2112" r:id="rId9" name="Button 64">
              <controlPr defaultSize="0" print="0" autoFill="0" autoPict="0" macro="[0]!Show_Hide_Comments">
                <anchor>
                  <from>
                    <xdr:col>34</xdr:col>
                    <xdr:colOff>304800</xdr:colOff>
                    <xdr:row>0</xdr:row>
                    <xdr:rowOff>57150</xdr:rowOff>
                  </from>
                  <to>
                    <xdr:col>45</xdr:col>
                    <xdr:colOff>266700</xdr:colOff>
                    <xdr:row>1</xdr:row>
                    <xdr:rowOff>19050</xdr:rowOff>
                  </to>
                </anchor>
              </controlPr>
            </control>
          </mc:Choice>
        </mc:AlternateContent>
        <mc:AlternateContent xmlns:mc="http://schemas.openxmlformats.org/markup-compatibility/2006">
          <mc:Choice Requires="x14">
            <control shapeId="2113" r:id="rId10" name="Button 65">
              <controlPr defaultSize="0" print="0" autoFill="0" autoPict="0" macro="[0]!ForwardAssessment.ForwardAssessment">
                <anchor>
                  <from>
                    <xdr:col>45</xdr:col>
                    <xdr:colOff>457200</xdr:colOff>
                    <xdr:row>0</xdr:row>
                    <xdr:rowOff>57150</xdr:rowOff>
                  </from>
                  <to>
                    <xdr:col>48</xdr:col>
                    <xdr:colOff>76200</xdr:colOff>
                    <xdr:row>1</xdr:row>
                    <xdr:rowOff>19050</xdr:rowOff>
                  </to>
                </anchor>
              </controlPr>
            </control>
          </mc:Choice>
        </mc:AlternateContent>
        <mc:AlternateContent xmlns:mc="http://schemas.openxmlformats.org/markup-compatibility/2006">
          <mc:Choice Requires="x14">
            <control shapeId="2114" r:id="rId11" name="Button 66">
              <controlPr defaultSize="0" print="0" autoFill="0" autoPict="0" macro="[0]!Spell_Check">
                <anchor moveWithCells="1" sizeWithCells="1">
                  <from>
                    <xdr:col>29</xdr:col>
                    <xdr:colOff>466725</xdr:colOff>
                    <xdr:row>103</xdr:row>
                    <xdr:rowOff>104775</xdr:rowOff>
                  </from>
                  <to>
                    <xdr:col>29</xdr:col>
                    <xdr:colOff>1714500</xdr:colOff>
                    <xdr:row>105</xdr:row>
                    <xdr:rowOff>19050</xdr:rowOff>
                  </to>
                </anchor>
              </controlPr>
            </control>
          </mc:Choice>
        </mc:AlternateContent>
        <mc:AlternateContent xmlns:mc="http://schemas.openxmlformats.org/markup-compatibility/2006">
          <mc:Choice Requires="x14">
            <control shapeId="2115" r:id="rId12" name="Button 67">
              <controlPr defaultSize="0" print="0" autoFill="0" autoPict="0" macro="[0]!Spell_Check_Asmt">
                <anchor moveWithCells="1" sizeWithCells="1">
                  <from>
                    <xdr:col>36</xdr:col>
                    <xdr:colOff>2276475</xdr:colOff>
                    <xdr:row>0</xdr:row>
                    <xdr:rowOff>57150</xdr:rowOff>
                  </from>
                  <to>
                    <xdr:col>38</xdr:col>
                    <xdr:colOff>371475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6"/>
      <c r="C1" s="16"/>
      <c r="D1" s="16"/>
      <c r="E1" s="16"/>
      <c r="F1" s="16"/>
      <c r="I1">
        <v>1</v>
      </c>
      <c r="J1">
        <f>I1+1</f>
        <v>2</v>
      </c>
      <c r="K1">
        <f>J1+1</f>
        <v>3</v>
      </c>
    </row>
    <row r="2" spans="1:21" x14ac:dyDescent="0.25">
      <c r="A2" s="16"/>
      <c r="B2" s="16"/>
      <c r="C2" s="16"/>
      <c r="D2" s="16"/>
      <c r="E2" s="16"/>
      <c r="F2" s="16"/>
      <c r="G2" s="16"/>
      <c r="H2" s="16" t="s">
        <v>333</v>
      </c>
      <c r="I2" s="16" t="str">
        <f>"Assessment #"&amp;I1</f>
        <v>Assessment #1</v>
      </c>
      <c r="J2" s="16" t="str">
        <f>"Assessment #"&amp;J1</f>
        <v>Assessment #2</v>
      </c>
      <c r="K2" s="16" t="str">
        <f>"Assessment #"&amp;K1</f>
        <v>Assessment #3</v>
      </c>
      <c r="L2" s="16"/>
      <c r="M2" s="16"/>
      <c r="N2" s="16"/>
      <c r="O2" s="16"/>
      <c r="P2" s="16"/>
      <c r="Q2" s="16"/>
      <c r="R2" s="16"/>
      <c r="S2" s="16"/>
      <c r="T2" s="16"/>
      <c r="U2" s="16"/>
    </row>
    <row r="3" spans="1:21" x14ac:dyDescent="0.25">
      <c r="H3" t="s">
        <v>335</v>
      </c>
      <c r="I3" s="20" t="str">
        <f>CaseID&amp;""</f>
        <v/>
      </c>
      <c r="J3" s="20" t="str">
        <f>CaseID&amp;""</f>
        <v/>
      </c>
      <c r="K3" s="20" t="str">
        <f>CaseID&amp;""</f>
        <v/>
      </c>
      <c r="L3" s="20"/>
      <c r="M3" s="20"/>
      <c r="N3" s="20"/>
      <c r="O3" s="20"/>
      <c r="P3" s="20"/>
      <c r="Q3" s="20"/>
      <c r="R3" s="20"/>
      <c r="S3" s="20"/>
      <c r="T3" s="20"/>
      <c r="U3" s="20"/>
    </row>
    <row r="4" spans="1:21" x14ac:dyDescent="0.25">
      <c r="H4" t="s">
        <v>336</v>
      </c>
      <c r="I4" s="20" t="str">
        <f>IF(dateAssess1="", "", TEXT(dateAssess1, "YYYY-MM-DD"))</f>
        <v/>
      </c>
      <c r="J4" s="20" t="str">
        <f>IF(dateAssess2="", "", TEXT(dateAssess2, "YYYY-MM-DD"))</f>
        <v/>
      </c>
      <c r="K4" s="20" t="str">
        <f>IF(dateAssess3="", "", TEXT(dateAssess3, "YYYY-MM-DD"))</f>
        <v/>
      </c>
      <c r="L4" s="20"/>
      <c r="M4" s="20"/>
      <c r="N4" s="20"/>
      <c r="O4" s="20"/>
      <c r="P4" s="20"/>
      <c r="Q4" s="20"/>
      <c r="R4" s="20"/>
      <c r="S4" s="20"/>
      <c r="T4" s="20"/>
      <c r="U4" s="20"/>
    </row>
    <row r="5" spans="1:21" x14ac:dyDescent="0.25">
      <c r="A5">
        <f>MAX(ItemNum)</f>
        <v>164</v>
      </c>
      <c r="B5" s="16" t="s">
        <v>688</v>
      </c>
      <c r="C5" s="16"/>
      <c r="H5" t="s">
        <v>337</v>
      </c>
      <c r="I5" s="20" t="str">
        <f>agency&amp;""</f>
        <v/>
      </c>
      <c r="J5" s="20" t="str">
        <f>agency&amp;""</f>
        <v/>
      </c>
      <c r="K5" s="20" t="str">
        <f>agency&amp;""</f>
        <v/>
      </c>
      <c r="L5" s="20"/>
      <c r="M5" s="20"/>
      <c r="N5" s="20"/>
      <c r="O5" s="20"/>
      <c r="P5" s="20"/>
      <c r="Q5" s="20"/>
      <c r="R5" s="20"/>
      <c r="S5" s="20"/>
      <c r="T5" s="20"/>
      <c r="U5" s="20"/>
    </row>
    <row r="6" spans="1:21" x14ac:dyDescent="0.25">
      <c r="H6" t="s">
        <v>338</v>
      </c>
      <c r="I6" s="20" t="str">
        <f>office&amp;""</f>
        <v/>
      </c>
      <c r="J6" s="20" t="str">
        <f>office&amp;""</f>
        <v/>
      </c>
      <c r="K6" s="20" t="str">
        <f>office&amp;""</f>
        <v/>
      </c>
      <c r="L6" s="20"/>
      <c r="M6" s="20"/>
      <c r="N6" s="20"/>
      <c r="O6" s="20"/>
      <c r="P6" s="20"/>
      <c r="Q6" s="20"/>
      <c r="R6" s="20"/>
      <c r="S6" s="20"/>
      <c r="T6" s="20"/>
      <c r="U6" s="20"/>
    </row>
    <row r="7" spans="1:21" x14ac:dyDescent="0.25">
      <c r="H7" t="s">
        <v>314</v>
      </c>
      <c r="I7" s="20" t="str">
        <f>serviceType&amp;""</f>
        <v/>
      </c>
      <c r="J7" s="20" t="str">
        <f>serviceType&amp;""</f>
        <v/>
      </c>
      <c r="K7" s="20" t="str">
        <f>serviceType&amp;""</f>
        <v/>
      </c>
      <c r="L7" s="20"/>
      <c r="M7" s="20"/>
      <c r="N7" s="20"/>
      <c r="O7" s="20"/>
      <c r="P7" s="20"/>
      <c r="Q7" s="20"/>
      <c r="R7" s="20"/>
      <c r="S7" s="20"/>
      <c r="T7" s="20"/>
      <c r="U7" s="20"/>
    </row>
    <row r="8" spans="1:21" x14ac:dyDescent="0.25">
      <c r="H8" t="s">
        <v>339</v>
      </c>
      <c r="I8" s="21">
        <f>nCaregivers</f>
        <v>1</v>
      </c>
      <c r="J8" s="21">
        <f>nCaregivers</f>
        <v>1</v>
      </c>
      <c r="K8" s="21">
        <f>nCaregivers</f>
        <v>1</v>
      </c>
      <c r="L8" s="21"/>
      <c r="M8" s="21"/>
      <c r="N8" s="21"/>
      <c r="O8" s="21"/>
      <c r="P8" s="21"/>
      <c r="Q8" s="21"/>
      <c r="R8" s="21"/>
      <c r="S8" s="21"/>
      <c r="T8" s="21"/>
      <c r="U8" s="21"/>
    </row>
    <row r="9" spans="1:21" x14ac:dyDescent="0.25">
      <c r="B9" s="16" t="s">
        <v>51</v>
      </c>
      <c r="C9" s="16" t="s">
        <v>691</v>
      </c>
      <c r="D9" s="16" t="s">
        <v>690</v>
      </c>
      <c r="E9" s="16" t="s">
        <v>689</v>
      </c>
      <c r="F9" s="16" t="s">
        <v>57</v>
      </c>
      <c r="G9" s="16" t="s">
        <v>334</v>
      </c>
      <c r="H9" t="s">
        <v>340</v>
      </c>
      <c r="I9" s="20">
        <f>nChildren</f>
        <v>1</v>
      </c>
      <c r="J9" s="20">
        <f>nChildren</f>
        <v>1</v>
      </c>
      <c r="K9" s="20">
        <f>nChildren</f>
        <v>1</v>
      </c>
      <c r="L9" s="20"/>
      <c r="M9" s="20"/>
      <c r="N9" s="20"/>
      <c r="O9" s="20"/>
      <c r="P9" s="20"/>
      <c r="Q9" s="20"/>
      <c r="R9" s="20"/>
      <c r="S9" s="20"/>
      <c r="T9" s="20"/>
      <c r="U9" s="20"/>
    </row>
    <row r="10" spans="1:21" x14ac:dyDescent="0.25">
      <c r="B10" s="22" t="str">
        <f t="shared" ref="B10:B73" si="0">INDEX(ItemDomain, MATCH(F10, ItemNum, 0))</f>
        <v>Family Functioning</v>
      </c>
      <c r="C10" s="22" t="str">
        <f>IF(ISERROR(VALUE(RIGHT(B10))), "", RIGHT(B10))</f>
        <v/>
      </c>
      <c r="D10" s="22" t="str">
        <f>CHOOSE(E10, "", "US", "SB")</f>
        <v/>
      </c>
      <c r="E10">
        <v>1</v>
      </c>
      <c r="F10">
        <v>1</v>
      </c>
      <c r="G10" s="22" t="str">
        <f t="shared" ref="G10:G73" si="1">INDEX(ItemShort, MATCH(F10, ItemNum, 0))</f>
        <v>Parent / Caregiver Collaboration</v>
      </c>
      <c r="H10" s="22" t="str">
        <f>G10&amp;D10&amp;C10</f>
        <v>Parent / Caregiver Collaboration</v>
      </c>
      <c r="I10" s="20" t="e">
        <f t="shared" ref="I10:I73" si="2">INDEX(Assess, MATCH($F10, ItemNum, 0), MATCH(dateAssess1, DatesRow, 0)+CHOOSE($E10, 0, 2, 3))&amp;""</f>
        <v>#N/A</v>
      </c>
      <c r="J10" s="20" t="e">
        <f t="shared" ref="J10:J73" si="3">INDEX(Assess, MATCH($F10, ItemNum, 0), MATCH(dateAssess2, DatesRow, 0)+CHOOSE($E10, 0, 2, 3))&amp;""</f>
        <v>#N/A</v>
      </c>
      <c r="K10" s="20" t="e">
        <f t="shared" ref="K10:K73" si="4">INDEX(Assess, MATCH($F10, ItemNum, 0), MATCH(dateAssess3, DatesRow, 0)+CHOOSE($E10, 0, 2, 3))&amp;""</f>
        <v>#N/A</v>
      </c>
      <c r="L10" s="20"/>
      <c r="M10" s="20"/>
      <c r="N10" s="20"/>
      <c r="O10" s="20"/>
      <c r="P10" s="20"/>
      <c r="Q10" s="20"/>
      <c r="R10" s="20"/>
      <c r="S10" s="20"/>
      <c r="T10" s="20"/>
      <c r="U10" s="20"/>
    </row>
    <row r="11" spans="1:21" x14ac:dyDescent="0.25">
      <c r="B11" s="22" t="str">
        <f t="shared" si="0"/>
        <v>Family Functioning</v>
      </c>
      <c r="C11" s="22" t="str">
        <f t="shared" ref="C11:C74" si="5">IF(ISERROR(VALUE(RIGHT(B11))), "", RIGHT(B11))</f>
        <v/>
      </c>
      <c r="D11" s="22" t="str">
        <f t="shared" ref="D11:D74" si="6">CHOOSE(E11, "", "US", "SB")</f>
        <v/>
      </c>
      <c r="E11" s="22">
        <f t="shared" ref="E11:E74" si="7">IF(F10=nItems, IF(E10=3, "DONE", E10+1), E10)</f>
        <v>1</v>
      </c>
      <c r="F11" s="22">
        <f t="shared" ref="F11:F74" si="8">IF(F10=nItems, IF(E10=3, "DONE", 1), F10+1)</f>
        <v>2</v>
      </c>
      <c r="G11" s="22" t="str">
        <f t="shared" si="1"/>
        <v>Family Conflict</v>
      </c>
      <c r="H11" s="22" t="str">
        <f t="shared" ref="H11:H74" si="9">G11&amp;D11&amp;C11</f>
        <v>Family Conflict</v>
      </c>
      <c r="I11" s="20" t="e">
        <f t="shared" si="2"/>
        <v>#N/A</v>
      </c>
      <c r="J11" s="20" t="e">
        <f t="shared" si="3"/>
        <v>#N/A</v>
      </c>
      <c r="K11" s="20" t="e">
        <f t="shared" si="4"/>
        <v>#N/A</v>
      </c>
      <c r="L11" s="20"/>
      <c r="M11" s="20"/>
      <c r="N11" s="20"/>
      <c r="O11" s="20"/>
      <c r="P11" s="20"/>
      <c r="Q11" s="20"/>
      <c r="R11" s="20"/>
      <c r="S11" s="20"/>
      <c r="T11" s="20"/>
      <c r="U11" s="20"/>
    </row>
    <row r="12" spans="1:21" x14ac:dyDescent="0.25">
      <c r="B12" s="22" t="str">
        <f t="shared" si="0"/>
        <v>Family Functioning</v>
      </c>
      <c r="C12" s="22" t="str">
        <f t="shared" si="5"/>
        <v/>
      </c>
      <c r="D12" s="22" t="str">
        <f t="shared" si="6"/>
        <v/>
      </c>
      <c r="E12" s="22">
        <f t="shared" si="7"/>
        <v>1</v>
      </c>
      <c r="F12" s="22">
        <f t="shared" si="8"/>
        <v>3</v>
      </c>
      <c r="G12" s="22" t="str">
        <f t="shared" si="1"/>
        <v>Safety</v>
      </c>
      <c r="H12" s="22" t="str">
        <f t="shared" si="9"/>
        <v>Safety</v>
      </c>
      <c r="I12" s="20" t="e">
        <f t="shared" si="2"/>
        <v>#N/A</v>
      </c>
      <c r="J12" s="20" t="e">
        <f t="shared" si="3"/>
        <v>#N/A</v>
      </c>
      <c r="K12" s="20" t="e">
        <f t="shared" si="4"/>
        <v>#N/A</v>
      </c>
      <c r="L12" s="20"/>
      <c r="M12" s="20"/>
      <c r="N12" s="20"/>
      <c r="O12" s="20"/>
      <c r="P12" s="20"/>
      <c r="Q12" s="20"/>
      <c r="R12" s="20"/>
      <c r="S12" s="20"/>
      <c r="T12" s="20"/>
      <c r="U12" s="20"/>
    </row>
    <row r="13" spans="1:21" x14ac:dyDescent="0.25">
      <c r="B13" s="22" t="str">
        <f t="shared" si="0"/>
        <v>Family Functioning</v>
      </c>
      <c r="C13" s="22" t="str">
        <f t="shared" si="5"/>
        <v/>
      </c>
      <c r="D13" s="22" t="str">
        <f t="shared" si="6"/>
        <v/>
      </c>
      <c r="E13" s="22">
        <f t="shared" si="7"/>
        <v>1</v>
      </c>
      <c r="F13" s="22">
        <f t="shared" si="8"/>
        <v>4</v>
      </c>
      <c r="G13" s="22" t="str">
        <f t="shared" si="1"/>
        <v>Family Role Appropriateness</v>
      </c>
      <c r="H13" s="22" t="str">
        <f t="shared" si="9"/>
        <v>Family Role Appropriateness</v>
      </c>
      <c r="I13" s="20" t="e">
        <f t="shared" si="2"/>
        <v>#N/A</v>
      </c>
      <c r="J13" s="20" t="e">
        <f t="shared" si="3"/>
        <v>#N/A</v>
      </c>
      <c r="K13" s="20" t="e">
        <f t="shared" si="4"/>
        <v>#N/A</v>
      </c>
      <c r="L13" s="20"/>
      <c r="M13" s="20"/>
      <c r="N13" s="20"/>
      <c r="O13" s="20"/>
      <c r="P13" s="20"/>
      <c r="Q13" s="20"/>
      <c r="R13" s="20"/>
      <c r="S13" s="20"/>
      <c r="T13" s="20"/>
      <c r="U13" s="20"/>
    </row>
    <row r="14" spans="1:21" x14ac:dyDescent="0.25">
      <c r="A14" t="s">
        <v>81</v>
      </c>
      <c r="B14" s="22" t="str">
        <f t="shared" si="0"/>
        <v>Family Functioning</v>
      </c>
      <c r="C14" s="22" t="str">
        <f t="shared" si="5"/>
        <v/>
      </c>
      <c r="D14" s="22" t="str">
        <f t="shared" si="6"/>
        <v/>
      </c>
      <c r="E14" s="22">
        <f t="shared" si="7"/>
        <v>1</v>
      </c>
      <c r="F14" s="22">
        <f t="shared" si="8"/>
        <v>5</v>
      </c>
      <c r="G14" s="22" t="str">
        <f t="shared" si="1"/>
        <v>Social Resources</v>
      </c>
      <c r="H14" s="22" t="str">
        <f t="shared" si="9"/>
        <v>Social Resources</v>
      </c>
      <c r="I14" s="20" t="e">
        <f t="shared" si="2"/>
        <v>#N/A</v>
      </c>
      <c r="J14" s="20" t="e">
        <f t="shared" si="3"/>
        <v>#N/A</v>
      </c>
      <c r="K14" s="20" t="e">
        <f t="shared" si="4"/>
        <v>#N/A</v>
      </c>
      <c r="L14" s="20"/>
      <c r="M14" s="20"/>
      <c r="N14" s="20"/>
      <c r="O14" s="20"/>
      <c r="P14" s="20"/>
      <c r="Q14" s="20"/>
      <c r="R14" s="20"/>
      <c r="S14" s="20"/>
      <c r="T14" s="20"/>
      <c r="U14" s="20"/>
    </row>
    <row r="15" spans="1:21" x14ac:dyDescent="0.25">
      <c r="A15" t="s">
        <v>81</v>
      </c>
      <c r="B15" s="22" t="str">
        <f t="shared" si="0"/>
        <v>Family Functioning</v>
      </c>
      <c r="C15" s="22" t="str">
        <f t="shared" si="5"/>
        <v/>
      </c>
      <c r="D15" s="22" t="str">
        <f t="shared" si="6"/>
        <v/>
      </c>
      <c r="E15" s="22">
        <f t="shared" si="7"/>
        <v>1</v>
      </c>
      <c r="F15" s="22">
        <f t="shared" si="8"/>
        <v>6</v>
      </c>
      <c r="G15" s="22" t="str">
        <f t="shared" si="1"/>
        <v>Financial Resources</v>
      </c>
      <c r="H15" s="22" t="str">
        <f t="shared" si="9"/>
        <v>Financial Resources</v>
      </c>
      <c r="I15" s="20" t="e">
        <f t="shared" si="2"/>
        <v>#N/A</v>
      </c>
      <c r="J15" s="20" t="e">
        <f t="shared" si="3"/>
        <v>#N/A</v>
      </c>
      <c r="K15" s="20" t="e">
        <f t="shared" si="4"/>
        <v>#N/A</v>
      </c>
      <c r="L15" s="20"/>
      <c r="M15" s="20"/>
      <c r="N15" s="20"/>
      <c r="O15" s="20"/>
      <c r="P15" s="20"/>
      <c r="Q15" s="20"/>
      <c r="R15" s="20"/>
      <c r="S15" s="20"/>
      <c r="T15" s="20"/>
      <c r="U15" s="20"/>
    </row>
    <row r="16" spans="1:21" x14ac:dyDescent="0.25">
      <c r="A16" t="s">
        <v>81</v>
      </c>
      <c r="B16" s="22" t="str">
        <f t="shared" si="0"/>
        <v>Family Functioning</v>
      </c>
      <c r="C16" s="22" t="str">
        <f t="shared" si="5"/>
        <v/>
      </c>
      <c r="D16" s="22" t="str">
        <f t="shared" si="6"/>
        <v/>
      </c>
      <c r="E16" s="22">
        <f t="shared" si="7"/>
        <v>1</v>
      </c>
      <c r="F16" s="22">
        <f t="shared" si="8"/>
        <v>7</v>
      </c>
      <c r="G16" s="22" t="str">
        <f t="shared" si="1"/>
        <v>Relations Among Siblings</v>
      </c>
      <c r="H16" s="22" t="str">
        <f t="shared" si="9"/>
        <v>Relations Among Siblings</v>
      </c>
      <c r="I16" s="20" t="e">
        <f t="shared" si="2"/>
        <v>#N/A</v>
      </c>
      <c r="J16" s="20" t="e">
        <f t="shared" si="3"/>
        <v>#N/A</v>
      </c>
      <c r="K16" s="20" t="e">
        <f t="shared" si="4"/>
        <v>#N/A</v>
      </c>
      <c r="L16" s="20"/>
      <c r="M16" s="20"/>
      <c r="N16" s="20"/>
      <c r="O16" s="20"/>
      <c r="P16" s="20"/>
      <c r="Q16" s="20"/>
      <c r="R16" s="20"/>
      <c r="S16" s="20"/>
      <c r="T16" s="20"/>
      <c r="U16" s="20"/>
    </row>
    <row r="17" spans="1:21" x14ac:dyDescent="0.25">
      <c r="A17" t="s">
        <v>81</v>
      </c>
      <c r="B17" s="22" t="str">
        <f t="shared" si="0"/>
        <v>Family Functioning</v>
      </c>
      <c r="C17" s="22" t="str">
        <f t="shared" si="5"/>
        <v/>
      </c>
      <c r="D17" s="22" t="str">
        <f t="shared" si="6"/>
        <v/>
      </c>
      <c r="E17" s="22">
        <f t="shared" si="7"/>
        <v>1</v>
      </c>
      <c r="F17" s="22">
        <f t="shared" si="8"/>
        <v>8</v>
      </c>
      <c r="G17" s="22" t="str">
        <f t="shared" si="1"/>
        <v>Extended Family Relations</v>
      </c>
      <c r="H17" s="22" t="str">
        <f t="shared" si="9"/>
        <v>Extended Family Relations</v>
      </c>
      <c r="I17" s="20" t="e">
        <f t="shared" si="2"/>
        <v>#N/A</v>
      </c>
      <c r="J17" s="20" t="e">
        <f t="shared" si="3"/>
        <v>#N/A</v>
      </c>
      <c r="K17" s="20" t="e">
        <f t="shared" si="4"/>
        <v>#N/A</v>
      </c>
      <c r="L17" s="20"/>
      <c r="M17" s="20"/>
      <c r="N17" s="20"/>
      <c r="O17" s="20"/>
      <c r="P17" s="20"/>
      <c r="Q17" s="20"/>
      <c r="R17" s="20"/>
      <c r="S17" s="20"/>
      <c r="T17" s="20"/>
      <c r="U17" s="20"/>
    </row>
    <row r="18" spans="1:21" x14ac:dyDescent="0.25">
      <c r="A18" t="s">
        <v>82</v>
      </c>
      <c r="B18" s="22" t="str">
        <f t="shared" si="0"/>
        <v>Family Functioning</v>
      </c>
      <c r="C18" s="22" t="str">
        <f t="shared" si="5"/>
        <v/>
      </c>
      <c r="D18" s="22" t="str">
        <f t="shared" si="6"/>
        <v/>
      </c>
      <c r="E18" s="22">
        <f t="shared" si="7"/>
        <v>1</v>
      </c>
      <c r="F18" s="22">
        <f t="shared" si="8"/>
        <v>9</v>
      </c>
      <c r="G18" s="22" t="str">
        <f t="shared" si="1"/>
        <v>Family Communication</v>
      </c>
      <c r="H18" s="22" t="str">
        <f t="shared" si="9"/>
        <v>Family Communication</v>
      </c>
      <c r="I18" s="20" t="e">
        <f t="shared" si="2"/>
        <v>#N/A</v>
      </c>
      <c r="J18" s="20" t="e">
        <f t="shared" si="3"/>
        <v>#N/A</v>
      </c>
      <c r="K18" s="20" t="e">
        <f t="shared" si="4"/>
        <v>#N/A</v>
      </c>
      <c r="L18" s="20"/>
      <c r="M18" s="20"/>
      <c r="N18" s="20"/>
      <c r="O18" s="20"/>
      <c r="P18" s="20"/>
      <c r="Q18" s="20"/>
      <c r="R18" s="20"/>
      <c r="S18" s="20"/>
      <c r="T18" s="20"/>
      <c r="U18" s="20"/>
    </row>
    <row r="19" spans="1:21" x14ac:dyDescent="0.25">
      <c r="A19" t="s">
        <v>82</v>
      </c>
      <c r="B19" s="22" t="str">
        <f t="shared" si="0"/>
        <v>Family Functioning</v>
      </c>
      <c r="C19" s="22" t="str">
        <f t="shared" si="5"/>
        <v/>
      </c>
      <c r="D19" s="22" t="str">
        <f t="shared" si="6"/>
        <v/>
      </c>
      <c r="E19" s="22">
        <f t="shared" si="7"/>
        <v>1</v>
      </c>
      <c r="F19" s="22">
        <f t="shared" si="8"/>
        <v>10</v>
      </c>
      <c r="G19" s="22" t="str">
        <f t="shared" si="1"/>
        <v>Residential Stability</v>
      </c>
      <c r="H19" s="22" t="str">
        <f t="shared" si="9"/>
        <v>Residential Stability</v>
      </c>
      <c r="I19" s="20" t="e">
        <f t="shared" si="2"/>
        <v>#N/A</v>
      </c>
      <c r="J19" s="20" t="e">
        <f t="shared" si="3"/>
        <v>#N/A</v>
      </c>
      <c r="K19" s="20" t="e">
        <f t="shared" si="4"/>
        <v>#N/A</v>
      </c>
      <c r="L19" s="20"/>
      <c r="M19" s="20"/>
      <c r="N19" s="20"/>
      <c r="O19" s="20"/>
      <c r="P19" s="20"/>
      <c r="Q19" s="20"/>
      <c r="R19" s="20"/>
      <c r="S19" s="20"/>
      <c r="T19" s="20"/>
      <c r="U19" s="20"/>
    </row>
    <row r="20" spans="1:21" x14ac:dyDescent="0.25">
      <c r="A20" t="s">
        <v>82</v>
      </c>
      <c r="B20" s="22" t="str">
        <f t="shared" si="0"/>
        <v>Caregiver Advocacy</v>
      </c>
      <c r="C20" s="22" t="str">
        <f t="shared" si="5"/>
        <v/>
      </c>
      <c r="D20" s="22" t="str">
        <f t="shared" si="6"/>
        <v/>
      </c>
      <c r="E20" s="22">
        <f t="shared" si="7"/>
        <v>1</v>
      </c>
      <c r="F20" s="22">
        <f t="shared" si="8"/>
        <v>11</v>
      </c>
      <c r="G20" s="22" t="str">
        <f t="shared" si="1"/>
        <v>Knowledge of Family / Child Needs</v>
      </c>
      <c r="H20" s="22" t="str">
        <f t="shared" si="9"/>
        <v>Knowledge of Family / Child Needs</v>
      </c>
      <c r="I20" s="20" t="e">
        <f t="shared" si="2"/>
        <v>#N/A</v>
      </c>
      <c r="J20" s="20" t="e">
        <f t="shared" si="3"/>
        <v>#N/A</v>
      </c>
      <c r="K20" s="20" t="e">
        <f t="shared" si="4"/>
        <v>#N/A</v>
      </c>
      <c r="L20" s="20"/>
      <c r="M20" s="20"/>
      <c r="N20" s="20"/>
      <c r="O20" s="20"/>
      <c r="P20" s="20"/>
      <c r="Q20" s="20"/>
      <c r="R20" s="20"/>
      <c r="S20" s="20"/>
      <c r="T20" s="20"/>
      <c r="U20" s="20"/>
    </row>
    <row r="21" spans="1:21" x14ac:dyDescent="0.25">
      <c r="A21" t="s">
        <v>82</v>
      </c>
      <c r="B21" s="22" t="str">
        <f t="shared" si="0"/>
        <v>Caregiver Advocacy</v>
      </c>
      <c r="C21" s="22" t="str">
        <f t="shared" si="5"/>
        <v/>
      </c>
      <c r="D21" s="22" t="str">
        <f t="shared" si="6"/>
        <v/>
      </c>
      <c r="E21" s="22">
        <f t="shared" si="7"/>
        <v>1</v>
      </c>
      <c r="F21" s="22">
        <f t="shared" si="8"/>
        <v>12</v>
      </c>
      <c r="G21" s="22" t="str">
        <f t="shared" si="1"/>
        <v>Knowledge of Service Options</v>
      </c>
      <c r="H21" s="22" t="str">
        <f t="shared" si="9"/>
        <v>Knowledge of Service Options</v>
      </c>
      <c r="I21" s="20" t="e">
        <f t="shared" si="2"/>
        <v>#N/A</v>
      </c>
      <c r="J21" s="20" t="e">
        <f t="shared" si="3"/>
        <v>#N/A</v>
      </c>
      <c r="K21" s="20" t="e">
        <f t="shared" si="4"/>
        <v>#N/A</v>
      </c>
      <c r="L21" s="20"/>
      <c r="M21" s="20"/>
      <c r="N21" s="20"/>
      <c r="O21" s="20"/>
      <c r="P21" s="20"/>
      <c r="Q21" s="20"/>
      <c r="R21" s="20"/>
      <c r="S21" s="20"/>
      <c r="T21" s="20"/>
      <c r="U21" s="20"/>
    </row>
    <row r="22" spans="1:21" x14ac:dyDescent="0.25">
      <c r="A22" t="s">
        <v>83</v>
      </c>
      <c r="B22" s="22" t="str">
        <f t="shared" si="0"/>
        <v>Caregiver Advocacy</v>
      </c>
      <c r="C22" s="22" t="str">
        <f t="shared" si="5"/>
        <v/>
      </c>
      <c r="D22" s="22" t="str">
        <f t="shared" si="6"/>
        <v/>
      </c>
      <c r="E22" s="22">
        <f t="shared" si="7"/>
        <v>1</v>
      </c>
      <c r="F22" s="22">
        <f t="shared" si="8"/>
        <v>13</v>
      </c>
      <c r="G22" s="22" t="str">
        <f t="shared" si="1"/>
        <v>Knowledge of Rights And Responsibilities</v>
      </c>
      <c r="H22" s="22" t="str">
        <f t="shared" si="9"/>
        <v>Knowledge of Rights And Responsibilities</v>
      </c>
      <c r="I22" s="20" t="e">
        <f t="shared" si="2"/>
        <v>#N/A</v>
      </c>
      <c r="J22" s="20" t="e">
        <f t="shared" si="3"/>
        <v>#N/A</v>
      </c>
      <c r="K22" s="20" t="e">
        <f t="shared" si="4"/>
        <v>#N/A</v>
      </c>
      <c r="L22" s="20"/>
      <c r="M22" s="20"/>
      <c r="N22" s="20"/>
      <c r="O22" s="20"/>
      <c r="P22" s="20"/>
      <c r="Q22" s="20"/>
      <c r="R22" s="20"/>
      <c r="S22" s="20"/>
      <c r="T22" s="20"/>
      <c r="U22" s="20"/>
    </row>
    <row r="23" spans="1:21" x14ac:dyDescent="0.25">
      <c r="A23" t="s">
        <v>83</v>
      </c>
      <c r="B23" s="22" t="str">
        <f t="shared" si="0"/>
        <v>Caregiver Advocacy</v>
      </c>
      <c r="C23" s="22" t="str">
        <f t="shared" si="5"/>
        <v/>
      </c>
      <c r="D23" s="22" t="str">
        <f t="shared" si="6"/>
        <v/>
      </c>
      <c r="E23" s="22">
        <f t="shared" si="7"/>
        <v>1</v>
      </c>
      <c r="F23" s="22">
        <f t="shared" si="8"/>
        <v>14</v>
      </c>
      <c r="G23" s="22" t="str">
        <f t="shared" si="1"/>
        <v>Ability to Listen</v>
      </c>
      <c r="H23" s="22" t="str">
        <f t="shared" si="9"/>
        <v>Ability to Listen</v>
      </c>
      <c r="I23" s="20" t="e">
        <f t="shared" si="2"/>
        <v>#N/A</v>
      </c>
      <c r="J23" s="20" t="e">
        <f t="shared" si="3"/>
        <v>#N/A</v>
      </c>
      <c r="K23" s="20" t="e">
        <f t="shared" si="4"/>
        <v>#N/A</v>
      </c>
      <c r="L23" s="20"/>
      <c r="M23" s="20"/>
      <c r="N23" s="20"/>
      <c r="O23" s="20"/>
      <c r="P23" s="20"/>
      <c r="Q23" s="20"/>
      <c r="R23" s="20"/>
      <c r="S23" s="20"/>
      <c r="T23" s="20"/>
      <c r="U23" s="20"/>
    </row>
    <row r="24" spans="1:21" x14ac:dyDescent="0.25">
      <c r="A24" t="s">
        <v>83</v>
      </c>
      <c r="B24" s="22" t="str">
        <f t="shared" si="0"/>
        <v>Caregiver Advocacy</v>
      </c>
      <c r="C24" s="22" t="str">
        <f t="shared" si="5"/>
        <v/>
      </c>
      <c r="D24" s="22" t="str">
        <f t="shared" si="6"/>
        <v/>
      </c>
      <c r="E24" s="22">
        <f t="shared" si="7"/>
        <v>1</v>
      </c>
      <c r="F24" s="22">
        <f t="shared" si="8"/>
        <v>15</v>
      </c>
      <c r="G24" s="22" t="str">
        <f t="shared" si="1"/>
        <v>Ability to Communicate</v>
      </c>
      <c r="H24" s="22" t="str">
        <f t="shared" si="9"/>
        <v>Ability to Communicate</v>
      </c>
      <c r="I24" s="20" t="e">
        <f t="shared" si="2"/>
        <v>#N/A</v>
      </c>
      <c r="J24" s="20" t="e">
        <f t="shared" si="3"/>
        <v>#N/A</v>
      </c>
      <c r="K24" s="20" t="e">
        <f t="shared" si="4"/>
        <v>#N/A</v>
      </c>
      <c r="L24" s="20"/>
      <c r="M24" s="20"/>
      <c r="N24" s="20"/>
      <c r="O24" s="20"/>
      <c r="P24" s="20"/>
      <c r="Q24" s="20"/>
      <c r="R24" s="20"/>
      <c r="S24" s="20"/>
      <c r="T24" s="20"/>
      <c r="U24" s="20"/>
    </row>
    <row r="25" spans="1:21" x14ac:dyDescent="0.25">
      <c r="A25" t="s">
        <v>83</v>
      </c>
      <c r="B25" s="22" t="str">
        <f t="shared" si="0"/>
        <v>Caregiver Advocacy</v>
      </c>
      <c r="C25" s="22" t="str">
        <f t="shared" si="5"/>
        <v/>
      </c>
      <c r="D25" s="22" t="str">
        <f t="shared" si="6"/>
        <v/>
      </c>
      <c r="E25" s="22">
        <f t="shared" si="7"/>
        <v>1</v>
      </c>
      <c r="F25" s="22">
        <f t="shared" si="8"/>
        <v>16</v>
      </c>
      <c r="G25" s="22" t="str">
        <f t="shared" si="1"/>
        <v>Natural Supports</v>
      </c>
      <c r="H25" s="22" t="str">
        <f t="shared" si="9"/>
        <v>Natural Supports</v>
      </c>
      <c r="I25" s="20" t="e">
        <f t="shared" si="2"/>
        <v>#N/A</v>
      </c>
      <c r="J25" s="20" t="e">
        <f t="shared" si="3"/>
        <v>#N/A</v>
      </c>
      <c r="K25" s="20" t="e">
        <f t="shared" si="4"/>
        <v>#N/A</v>
      </c>
      <c r="L25" s="20"/>
      <c r="M25" s="20"/>
      <c r="N25" s="20"/>
      <c r="O25" s="20"/>
      <c r="P25" s="20"/>
      <c r="Q25" s="20"/>
      <c r="R25" s="20"/>
      <c r="S25" s="20"/>
      <c r="T25" s="20"/>
      <c r="U25" s="20"/>
    </row>
    <row r="26" spans="1:21" x14ac:dyDescent="0.25">
      <c r="A26" t="s">
        <v>84</v>
      </c>
      <c r="B26" s="22" t="str">
        <f t="shared" si="0"/>
        <v>Caregiver Advocacy</v>
      </c>
      <c r="C26" s="22" t="str">
        <f t="shared" si="5"/>
        <v/>
      </c>
      <c r="D26" s="22" t="str">
        <f t="shared" si="6"/>
        <v/>
      </c>
      <c r="E26" s="22">
        <f t="shared" si="7"/>
        <v>1</v>
      </c>
      <c r="F26" s="22">
        <f t="shared" si="8"/>
        <v>17</v>
      </c>
      <c r="G26" s="22" t="str">
        <f t="shared" si="1"/>
        <v>Satisfaction With Child’s Living Arrangement</v>
      </c>
      <c r="H26" s="22" t="str">
        <f t="shared" si="9"/>
        <v>Satisfaction With Child’s Living Arrangement</v>
      </c>
      <c r="I26" s="20" t="e">
        <f t="shared" si="2"/>
        <v>#N/A</v>
      </c>
      <c r="J26" s="20" t="e">
        <f t="shared" si="3"/>
        <v>#N/A</v>
      </c>
      <c r="K26" s="20" t="e">
        <f t="shared" si="4"/>
        <v>#N/A</v>
      </c>
      <c r="L26" s="20"/>
      <c r="M26" s="20"/>
      <c r="N26" s="20"/>
      <c r="O26" s="20"/>
      <c r="P26" s="20"/>
      <c r="Q26" s="20"/>
      <c r="R26" s="20"/>
      <c r="S26" s="20"/>
      <c r="T26" s="20"/>
      <c r="U26" s="20"/>
    </row>
    <row r="27" spans="1:21" x14ac:dyDescent="0.25">
      <c r="A27" t="s">
        <v>84</v>
      </c>
      <c r="B27" s="22" t="str">
        <f t="shared" si="0"/>
        <v>Caregiver Advocacy</v>
      </c>
      <c r="C27" s="22" t="str">
        <f t="shared" si="5"/>
        <v/>
      </c>
      <c r="D27" s="22" t="str">
        <f t="shared" si="6"/>
        <v/>
      </c>
      <c r="E27" s="22">
        <f t="shared" si="7"/>
        <v>1</v>
      </c>
      <c r="F27" s="22">
        <f t="shared" si="8"/>
        <v>18</v>
      </c>
      <c r="G27" s="22" t="str">
        <f t="shared" si="1"/>
        <v>Satisfaction With Educational Arrangement</v>
      </c>
      <c r="H27" s="22" t="str">
        <f t="shared" si="9"/>
        <v>Satisfaction With Educational Arrangement</v>
      </c>
      <c r="I27" s="20" t="e">
        <f t="shared" si="2"/>
        <v>#N/A</v>
      </c>
      <c r="J27" s="20" t="e">
        <f t="shared" si="3"/>
        <v>#N/A</v>
      </c>
      <c r="K27" s="20" t="e">
        <f t="shared" si="4"/>
        <v>#N/A</v>
      </c>
      <c r="L27" s="20"/>
      <c r="M27" s="20"/>
      <c r="N27" s="20"/>
      <c r="O27" s="20"/>
      <c r="P27" s="20"/>
      <c r="Q27" s="20"/>
      <c r="R27" s="20"/>
      <c r="S27" s="20"/>
      <c r="T27" s="20"/>
      <c r="U27" s="20"/>
    </row>
    <row r="28" spans="1:21" x14ac:dyDescent="0.25">
      <c r="A28" t="s">
        <v>84</v>
      </c>
      <c r="B28" s="22" t="str">
        <f t="shared" si="0"/>
        <v>Caregiver Functioning - Caregiver #1</v>
      </c>
      <c r="C28" s="22" t="str">
        <f t="shared" si="5"/>
        <v>1</v>
      </c>
      <c r="D28" s="22" t="str">
        <f t="shared" si="6"/>
        <v/>
      </c>
      <c r="E28" s="22">
        <f t="shared" si="7"/>
        <v>1</v>
      </c>
      <c r="F28" s="22">
        <f t="shared" si="8"/>
        <v>19</v>
      </c>
      <c r="G28" s="22" t="str">
        <f t="shared" si="1"/>
        <v>Involvement with Services</v>
      </c>
      <c r="H28" s="22" t="str">
        <f t="shared" si="9"/>
        <v>Involvement with Services1</v>
      </c>
      <c r="I28" s="20" t="e">
        <f t="shared" si="2"/>
        <v>#N/A</v>
      </c>
      <c r="J28" s="20" t="e">
        <f t="shared" si="3"/>
        <v>#N/A</v>
      </c>
      <c r="K28" s="20" t="e">
        <f t="shared" si="4"/>
        <v>#N/A</v>
      </c>
      <c r="L28" s="20"/>
      <c r="M28" s="20"/>
      <c r="N28" s="20"/>
      <c r="O28" s="20"/>
      <c r="P28" s="20"/>
      <c r="Q28" s="20"/>
      <c r="R28" s="20"/>
      <c r="S28" s="20"/>
      <c r="T28" s="20"/>
      <c r="U28" s="20"/>
    </row>
    <row r="29" spans="1:21" x14ac:dyDescent="0.25">
      <c r="A29" t="s">
        <v>84</v>
      </c>
      <c r="B29" s="22" t="str">
        <f t="shared" si="0"/>
        <v>Caregiver Functioning - Caregiver #1</v>
      </c>
      <c r="C29" s="22" t="str">
        <f t="shared" si="5"/>
        <v>1</v>
      </c>
      <c r="D29" s="22" t="str">
        <f t="shared" si="6"/>
        <v/>
      </c>
      <c r="E29" s="22">
        <f t="shared" si="7"/>
        <v>1</v>
      </c>
      <c r="F29" s="22">
        <f t="shared" si="8"/>
        <v>20</v>
      </c>
      <c r="G29" s="22" t="str">
        <f t="shared" si="1"/>
        <v>Distress Tolerance</v>
      </c>
      <c r="H29" s="22" t="str">
        <f t="shared" si="9"/>
        <v>Distress Tolerance1</v>
      </c>
      <c r="I29" s="20" t="e">
        <f t="shared" si="2"/>
        <v>#N/A</v>
      </c>
      <c r="J29" s="20" t="e">
        <f t="shared" si="3"/>
        <v>#N/A</v>
      </c>
      <c r="K29" s="20" t="e">
        <f t="shared" si="4"/>
        <v>#N/A</v>
      </c>
      <c r="L29" s="20"/>
      <c r="M29" s="20"/>
      <c r="N29" s="20"/>
      <c r="O29" s="20"/>
      <c r="P29" s="20"/>
      <c r="Q29" s="20"/>
      <c r="R29" s="20"/>
      <c r="S29" s="20"/>
      <c r="T29" s="20"/>
      <c r="U29" s="20"/>
    </row>
    <row r="30" spans="1:21" x14ac:dyDescent="0.25">
      <c r="A30" t="s">
        <v>85</v>
      </c>
      <c r="B30" s="22" t="str">
        <f t="shared" si="0"/>
        <v>Caregiver Functioning - Caregiver #1</v>
      </c>
      <c r="C30" s="22" t="str">
        <f t="shared" si="5"/>
        <v>1</v>
      </c>
      <c r="D30" s="22" t="str">
        <f t="shared" si="6"/>
        <v/>
      </c>
      <c r="E30" s="22">
        <f t="shared" si="7"/>
        <v>1</v>
      </c>
      <c r="F30" s="22">
        <f t="shared" si="8"/>
        <v>21</v>
      </c>
      <c r="G30" s="22" t="str">
        <f t="shared" si="1"/>
        <v>Supervision</v>
      </c>
      <c r="H30" s="22" t="str">
        <f t="shared" si="9"/>
        <v>Supervision1</v>
      </c>
      <c r="I30" s="20" t="e">
        <f t="shared" si="2"/>
        <v>#N/A</v>
      </c>
      <c r="J30" s="20" t="e">
        <f t="shared" si="3"/>
        <v>#N/A</v>
      </c>
      <c r="K30" s="20" t="e">
        <f t="shared" si="4"/>
        <v>#N/A</v>
      </c>
      <c r="L30" s="20"/>
      <c r="M30" s="20"/>
      <c r="N30" s="20"/>
      <c r="O30" s="20"/>
      <c r="P30" s="20"/>
      <c r="Q30" s="20"/>
      <c r="R30" s="20"/>
      <c r="S30" s="20"/>
      <c r="T30" s="20"/>
      <c r="U30" s="20"/>
    </row>
    <row r="31" spans="1:21" x14ac:dyDescent="0.25">
      <c r="A31" t="s">
        <v>85</v>
      </c>
      <c r="B31" s="22" t="str">
        <f t="shared" si="0"/>
        <v>Caregiver Functioning - Caregiver #1</v>
      </c>
      <c r="C31" s="22" t="str">
        <f t="shared" si="5"/>
        <v>1</v>
      </c>
      <c r="D31" s="22" t="str">
        <f t="shared" si="6"/>
        <v/>
      </c>
      <c r="E31" s="22">
        <f t="shared" si="7"/>
        <v>1</v>
      </c>
      <c r="F31" s="22">
        <f t="shared" si="8"/>
        <v>22</v>
      </c>
      <c r="G31" s="22" t="str">
        <f t="shared" si="1"/>
        <v>Discipline</v>
      </c>
      <c r="H31" s="22" t="str">
        <f t="shared" si="9"/>
        <v>Discipline1</v>
      </c>
      <c r="I31" s="20" t="e">
        <f t="shared" si="2"/>
        <v>#N/A</v>
      </c>
      <c r="J31" s="20" t="e">
        <f t="shared" si="3"/>
        <v>#N/A</v>
      </c>
      <c r="K31" s="20" t="e">
        <f t="shared" si="4"/>
        <v>#N/A</v>
      </c>
      <c r="L31" s="20"/>
      <c r="M31" s="20"/>
      <c r="N31" s="20"/>
      <c r="O31" s="20"/>
      <c r="P31" s="20"/>
      <c r="Q31" s="20"/>
      <c r="R31" s="20"/>
      <c r="S31" s="20"/>
      <c r="T31" s="20"/>
      <c r="U31" s="20"/>
    </row>
    <row r="32" spans="1:21" x14ac:dyDescent="0.25">
      <c r="A32" t="s">
        <v>85</v>
      </c>
      <c r="B32" s="22" t="str">
        <f t="shared" si="0"/>
        <v>Caregiver Functioning - Caregiver #1</v>
      </c>
      <c r="C32" s="22" t="str">
        <f t="shared" si="5"/>
        <v>1</v>
      </c>
      <c r="D32" s="22" t="str">
        <f t="shared" si="6"/>
        <v/>
      </c>
      <c r="E32" s="22">
        <f t="shared" si="7"/>
        <v>1</v>
      </c>
      <c r="F32" s="22">
        <f t="shared" si="8"/>
        <v>23</v>
      </c>
      <c r="G32" s="22" t="str">
        <f t="shared" si="1"/>
        <v>Mental Health</v>
      </c>
      <c r="H32" s="22" t="str">
        <f t="shared" si="9"/>
        <v>Mental Health1</v>
      </c>
      <c r="I32" s="20" t="e">
        <f t="shared" si="2"/>
        <v>#N/A</v>
      </c>
      <c r="J32" s="20" t="e">
        <f t="shared" si="3"/>
        <v>#N/A</v>
      </c>
      <c r="K32" s="20" t="e">
        <f t="shared" si="4"/>
        <v>#N/A</v>
      </c>
      <c r="L32" s="20"/>
      <c r="M32" s="20"/>
      <c r="N32" s="20"/>
      <c r="O32" s="20"/>
      <c r="P32" s="20"/>
      <c r="Q32" s="20"/>
      <c r="R32" s="20"/>
      <c r="S32" s="20"/>
      <c r="T32" s="20"/>
      <c r="U32" s="20"/>
    </row>
    <row r="33" spans="1:21" x14ac:dyDescent="0.25">
      <c r="A33" t="s">
        <v>85</v>
      </c>
      <c r="B33" s="22" t="str">
        <f t="shared" si="0"/>
        <v>Caregiver Functioning - Caregiver #1</v>
      </c>
      <c r="C33" s="22" t="str">
        <f t="shared" si="5"/>
        <v>1</v>
      </c>
      <c r="D33" s="22" t="str">
        <f t="shared" si="6"/>
        <v/>
      </c>
      <c r="E33" s="22">
        <f t="shared" si="7"/>
        <v>1</v>
      </c>
      <c r="F33" s="22">
        <f t="shared" si="8"/>
        <v>24</v>
      </c>
      <c r="G33" s="22" t="str">
        <f t="shared" si="1"/>
        <v>Partner Relations</v>
      </c>
      <c r="H33" s="22" t="str">
        <f t="shared" si="9"/>
        <v>Partner Relations1</v>
      </c>
      <c r="I33" s="20" t="e">
        <f t="shared" si="2"/>
        <v>#N/A</v>
      </c>
      <c r="J33" s="20" t="e">
        <f t="shared" si="3"/>
        <v>#N/A</v>
      </c>
      <c r="K33" s="20" t="e">
        <f t="shared" si="4"/>
        <v>#N/A</v>
      </c>
      <c r="L33" s="20"/>
      <c r="M33" s="20"/>
      <c r="N33" s="20"/>
      <c r="O33" s="20"/>
      <c r="P33" s="20"/>
      <c r="Q33" s="20"/>
      <c r="R33" s="20"/>
      <c r="S33" s="20"/>
      <c r="T33" s="20"/>
      <c r="U33" s="20"/>
    </row>
    <row r="34" spans="1:21" x14ac:dyDescent="0.25">
      <c r="A34" t="s">
        <v>86</v>
      </c>
      <c r="B34" s="22" t="str">
        <f t="shared" si="0"/>
        <v>Caregiver Functioning - Caregiver #1</v>
      </c>
      <c r="C34" s="22" t="str">
        <f t="shared" si="5"/>
        <v>1</v>
      </c>
      <c r="D34" s="22" t="str">
        <f t="shared" si="6"/>
        <v/>
      </c>
      <c r="E34" s="22">
        <f t="shared" si="7"/>
        <v>1</v>
      </c>
      <c r="F34" s="22">
        <f t="shared" si="8"/>
        <v>25</v>
      </c>
      <c r="G34" s="22" t="str">
        <f t="shared" si="1"/>
        <v>Substance Abuse</v>
      </c>
      <c r="H34" s="22" t="str">
        <f t="shared" si="9"/>
        <v>Substance Abuse1</v>
      </c>
      <c r="I34" s="20" t="e">
        <f t="shared" si="2"/>
        <v>#N/A</v>
      </c>
      <c r="J34" s="20" t="e">
        <f t="shared" si="3"/>
        <v>#N/A</v>
      </c>
      <c r="K34" s="20" t="e">
        <f t="shared" si="4"/>
        <v>#N/A</v>
      </c>
      <c r="L34" s="20"/>
      <c r="M34" s="20"/>
      <c r="N34" s="20"/>
      <c r="O34" s="20"/>
      <c r="P34" s="20"/>
      <c r="Q34" s="20"/>
      <c r="R34" s="20"/>
      <c r="S34" s="20"/>
      <c r="T34" s="20"/>
      <c r="U34" s="20"/>
    </row>
    <row r="35" spans="1:21" x14ac:dyDescent="0.25">
      <c r="A35" t="s">
        <v>86</v>
      </c>
      <c r="B35" s="22" t="str">
        <f t="shared" si="0"/>
        <v>Caregiver Functioning - Caregiver #1</v>
      </c>
      <c r="C35" s="22" t="str">
        <f t="shared" si="5"/>
        <v>1</v>
      </c>
      <c r="D35" s="22" t="str">
        <f t="shared" si="6"/>
        <v/>
      </c>
      <c r="E35" s="22">
        <f t="shared" si="7"/>
        <v>1</v>
      </c>
      <c r="F35" s="22">
        <f t="shared" si="8"/>
        <v>26</v>
      </c>
      <c r="G35" s="22" t="str">
        <f t="shared" si="1"/>
        <v>Physical Health</v>
      </c>
      <c r="H35" s="22" t="str">
        <f t="shared" si="9"/>
        <v>Physical Health1</v>
      </c>
      <c r="I35" s="20" t="e">
        <f t="shared" si="2"/>
        <v>#N/A</v>
      </c>
      <c r="J35" s="20" t="e">
        <f t="shared" si="3"/>
        <v>#N/A</v>
      </c>
      <c r="K35" s="20" t="e">
        <f t="shared" si="4"/>
        <v>#N/A</v>
      </c>
      <c r="L35" s="20"/>
      <c r="M35" s="20"/>
      <c r="N35" s="20"/>
      <c r="O35" s="20"/>
      <c r="P35" s="20"/>
      <c r="Q35" s="20"/>
      <c r="R35" s="20"/>
      <c r="S35" s="20"/>
      <c r="T35" s="20"/>
      <c r="U35" s="20"/>
    </row>
    <row r="36" spans="1:21" x14ac:dyDescent="0.25">
      <c r="A36" t="s">
        <v>86</v>
      </c>
      <c r="B36" s="22" t="str">
        <f t="shared" si="0"/>
        <v>Caregiver Functioning - Caregiver #1</v>
      </c>
      <c r="C36" s="22" t="str">
        <f t="shared" si="5"/>
        <v>1</v>
      </c>
      <c r="D36" s="22" t="str">
        <f t="shared" si="6"/>
        <v/>
      </c>
      <c r="E36" s="22">
        <f t="shared" si="7"/>
        <v>1</v>
      </c>
      <c r="F36" s="22">
        <f t="shared" si="8"/>
        <v>27</v>
      </c>
      <c r="G36" s="22" t="str">
        <f t="shared" si="1"/>
        <v>Organization</v>
      </c>
      <c r="H36" s="22" t="str">
        <f t="shared" si="9"/>
        <v>Organization1</v>
      </c>
      <c r="I36" s="20" t="e">
        <f t="shared" si="2"/>
        <v>#N/A</v>
      </c>
      <c r="J36" s="20" t="e">
        <f t="shared" si="3"/>
        <v>#N/A</v>
      </c>
      <c r="K36" s="20" t="e">
        <f t="shared" si="4"/>
        <v>#N/A</v>
      </c>
      <c r="L36" s="20"/>
      <c r="M36" s="20"/>
      <c r="N36" s="20"/>
      <c r="O36" s="20"/>
      <c r="P36" s="20"/>
      <c r="Q36" s="20"/>
      <c r="R36" s="20"/>
      <c r="S36" s="20"/>
      <c r="T36" s="20"/>
      <c r="U36" s="20"/>
    </row>
    <row r="37" spans="1:21" x14ac:dyDescent="0.25">
      <c r="A37" t="s">
        <v>86</v>
      </c>
      <c r="B37" s="22" t="str">
        <f t="shared" si="0"/>
        <v>Caregiver Functioning - Caregiver #1</v>
      </c>
      <c r="C37" s="22" t="str">
        <f t="shared" si="5"/>
        <v>1</v>
      </c>
      <c r="D37" s="22" t="str">
        <f t="shared" si="6"/>
        <v/>
      </c>
      <c r="E37" s="22">
        <f t="shared" si="7"/>
        <v>1</v>
      </c>
      <c r="F37" s="22">
        <f t="shared" si="8"/>
        <v>28</v>
      </c>
      <c r="G37" s="22" t="str">
        <f t="shared" si="1"/>
        <v>Parental Attribution</v>
      </c>
      <c r="H37" s="22" t="str">
        <f t="shared" si="9"/>
        <v>Parental Attribution1</v>
      </c>
      <c r="I37" s="20" t="e">
        <f t="shared" si="2"/>
        <v>#N/A</v>
      </c>
      <c r="J37" s="20" t="e">
        <f t="shared" si="3"/>
        <v>#N/A</v>
      </c>
      <c r="K37" s="20" t="e">
        <f t="shared" si="4"/>
        <v>#N/A</v>
      </c>
      <c r="L37" s="20"/>
      <c r="M37" s="20"/>
      <c r="N37" s="20"/>
      <c r="O37" s="20"/>
      <c r="P37" s="20"/>
      <c r="Q37" s="20"/>
      <c r="R37" s="20"/>
      <c r="S37" s="20"/>
      <c r="T37" s="20"/>
      <c r="U37" s="20"/>
    </row>
    <row r="38" spans="1:21" x14ac:dyDescent="0.25">
      <c r="A38" t="s">
        <v>86</v>
      </c>
      <c r="B38" s="22" t="str">
        <f t="shared" si="0"/>
        <v>Caregiver Functioning - Caregiver #1</v>
      </c>
      <c r="C38" s="22" t="str">
        <f t="shared" si="5"/>
        <v>1</v>
      </c>
      <c r="D38" s="22" t="str">
        <f t="shared" si="6"/>
        <v/>
      </c>
      <c r="E38" s="22">
        <f t="shared" si="7"/>
        <v>1</v>
      </c>
      <c r="F38" s="22">
        <f t="shared" si="8"/>
        <v>29</v>
      </c>
      <c r="G38" s="22" t="str">
        <f t="shared" si="1"/>
        <v>Emotional Responsiveness</v>
      </c>
      <c r="H38" s="22" t="str">
        <f t="shared" si="9"/>
        <v>Emotional Responsiveness1</v>
      </c>
      <c r="I38" s="20" t="e">
        <f t="shared" si="2"/>
        <v>#N/A</v>
      </c>
      <c r="J38" s="20" t="e">
        <f t="shared" si="3"/>
        <v>#N/A</v>
      </c>
      <c r="K38" s="20" t="e">
        <f t="shared" si="4"/>
        <v>#N/A</v>
      </c>
      <c r="L38" s="20"/>
      <c r="M38" s="20"/>
      <c r="N38" s="20"/>
      <c r="O38" s="20"/>
      <c r="P38" s="20"/>
      <c r="Q38" s="20"/>
      <c r="R38" s="20"/>
      <c r="S38" s="20"/>
      <c r="T38" s="20"/>
      <c r="U38" s="20"/>
    </row>
    <row r="39" spans="1:21" x14ac:dyDescent="0.25">
      <c r="A39" t="s">
        <v>86</v>
      </c>
      <c r="B39" s="22" t="str">
        <f t="shared" si="0"/>
        <v>Caregiver Functioning - Caregiver #1</v>
      </c>
      <c r="C39" s="22" t="str">
        <f t="shared" si="5"/>
        <v>1</v>
      </c>
      <c r="D39" s="22" t="str">
        <f t="shared" si="6"/>
        <v/>
      </c>
      <c r="E39" s="22">
        <f t="shared" si="7"/>
        <v>1</v>
      </c>
      <c r="F39" s="22">
        <f t="shared" si="8"/>
        <v>30</v>
      </c>
      <c r="G39" s="22" t="str">
        <f t="shared" si="1"/>
        <v>Caregiver Posttraumatic Reactions</v>
      </c>
      <c r="H39" s="22" t="str">
        <f t="shared" si="9"/>
        <v>Caregiver Posttraumatic Reactions1</v>
      </c>
      <c r="I39" s="20" t="e">
        <f t="shared" si="2"/>
        <v>#N/A</v>
      </c>
      <c r="J39" s="20" t="e">
        <f t="shared" si="3"/>
        <v>#N/A</v>
      </c>
      <c r="K39" s="20" t="e">
        <f t="shared" si="4"/>
        <v>#N/A</v>
      </c>
      <c r="L39" s="20"/>
      <c r="M39" s="20"/>
      <c r="N39" s="20"/>
      <c r="O39" s="20"/>
      <c r="P39" s="20"/>
      <c r="Q39" s="20"/>
      <c r="R39" s="20"/>
      <c r="S39" s="20"/>
      <c r="T39" s="20"/>
      <c r="U39" s="20"/>
    </row>
    <row r="40" spans="1:21" x14ac:dyDescent="0.25">
      <c r="A40" t="s">
        <v>87</v>
      </c>
      <c r="B40" s="22" t="str">
        <f t="shared" si="0"/>
        <v>Caregiver Functioning - Caregiver #1</v>
      </c>
      <c r="C40" s="22" t="str">
        <f t="shared" si="5"/>
        <v>1</v>
      </c>
      <c r="D40" s="22" t="str">
        <f t="shared" si="6"/>
        <v/>
      </c>
      <c r="E40" s="22">
        <f t="shared" si="7"/>
        <v>1</v>
      </c>
      <c r="F40" s="22">
        <f t="shared" si="8"/>
        <v>31</v>
      </c>
      <c r="G40" s="22" t="str">
        <f t="shared" si="1"/>
        <v>Family Stress</v>
      </c>
      <c r="H40" s="22" t="str">
        <f t="shared" si="9"/>
        <v>Family Stress1</v>
      </c>
      <c r="I40" s="20" t="e">
        <f t="shared" si="2"/>
        <v>#N/A</v>
      </c>
      <c r="J40" s="20" t="e">
        <f t="shared" si="3"/>
        <v>#N/A</v>
      </c>
      <c r="K40" s="20" t="e">
        <f t="shared" si="4"/>
        <v>#N/A</v>
      </c>
      <c r="L40" s="20"/>
      <c r="M40" s="20"/>
      <c r="N40" s="20"/>
      <c r="O40" s="20"/>
      <c r="P40" s="20"/>
      <c r="Q40" s="20"/>
      <c r="R40" s="20"/>
      <c r="S40" s="20"/>
      <c r="T40" s="20"/>
      <c r="U40" s="20"/>
    </row>
    <row r="41" spans="1:21" x14ac:dyDescent="0.25">
      <c r="A41" t="s">
        <v>87</v>
      </c>
      <c r="B41" s="22" t="str">
        <f t="shared" si="0"/>
        <v>Caregiver Functioning - Caregiver #1</v>
      </c>
      <c r="C41" s="22" t="str">
        <f t="shared" si="5"/>
        <v>1</v>
      </c>
      <c r="D41" s="22" t="str">
        <f t="shared" si="6"/>
        <v/>
      </c>
      <c r="E41" s="22">
        <f t="shared" si="7"/>
        <v>1</v>
      </c>
      <c r="F41" s="22">
        <f t="shared" si="8"/>
        <v>32</v>
      </c>
      <c r="G41" s="22" t="str">
        <f t="shared" si="1"/>
        <v>Boundaries</v>
      </c>
      <c r="H41" s="22" t="str">
        <f t="shared" si="9"/>
        <v>Boundaries1</v>
      </c>
      <c r="I41" s="20" t="e">
        <f t="shared" si="2"/>
        <v>#N/A</v>
      </c>
      <c r="J41" s="20" t="e">
        <f t="shared" si="3"/>
        <v>#N/A</v>
      </c>
      <c r="K41" s="20" t="e">
        <f t="shared" si="4"/>
        <v>#N/A</v>
      </c>
      <c r="L41" s="20"/>
      <c r="M41" s="20"/>
      <c r="N41" s="20"/>
      <c r="O41" s="20"/>
      <c r="P41" s="20"/>
      <c r="Q41" s="20"/>
      <c r="R41" s="20"/>
      <c r="S41" s="20"/>
      <c r="T41" s="20"/>
      <c r="U41" s="20"/>
    </row>
    <row r="42" spans="1:21" x14ac:dyDescent="0.25">
      <c r="A42" t="s">
        <v>87</v>
      </c>
      <c r="B42" s="22" t="str">
        <f t="shared" si="0"/>
        <v>Caregiver Functioning - Caregiver #2</v>
      </c>
      <c r="C42" s="22" t="str">
        <f t="shared" si="5"/>
        <v>2</v>
      </c>
      <c r="D42" s="22" t="str">
        <f t="shared" si="6"/>
        <v/>
      </c>
      <c r="E42" s="22">
        <f t="shared" si="7"/>
        <v>1</v>
      </c>
      <c r="F42" s="22">
        <f t="shared" si="8"/>
        <v>33</v>
      </c>
      <c r="G42" s="22" t="str">
        <f t="shared" si="1"/>
        <v>Involvement with Services</v>
      </c>
      <c r="H42" s="22" t="str">
        <f t="shared" si="9"/>
        <v>Involvement with Services2</v>
      </c>
      <c r="I42" s="20" t="e">
        <f t="shared" si="2"/>
        <v>#N/A</v>
      </c>
      <c r="J42" s="20" t="e">
        <f t="shared" si="3"/>
        <v>#N/A</v>
      </c>
      <c r="K42" s="20" t="e">
        <f t="shared" si="4"/>
        <v>#N/A</v>
      </c>
      <c r="L42" s="20"/>
      <c r="M42" s="20"/>
      <c r="N42" s="20"/>
      <c r="O42" s="20"/>
      <c r="P42" s="20"/>
      <c r="Q42" s="20"/>
      <c r="R42" s="20"/>
      <c r="S42" s="20"/>
      <c r="T42" s="20"/>
      <c r="U42" s="20"/>
    </row>
    <row r="43" spans="1:21" x14ac:dyDescent="0.25">
      <c r="A43" t="s">
        <v>87</v>
      </c>
      <c r="B43" s="22" t="str">
        <f t="shared" si="0"/>
        <v>Caregiver Functioning - Caregiver #2</v>
      </c>
      <c r="C43" s="22" t="str">
        <f t="shared" si="5"/>
        <v>2</v>
      </c>
      <c r="D43" s="22" t="str">
        <f t="shared" si="6"/>
        <v/>
      </c>
      <c r="E43" s="22">
        <f t="shared" si="7"/>
        <v>1</v>
      </c>
      <c r="F43" s="22">
        <f t="shared" si="8"/>
        <v>34</v>
      </c>
      <c r="G43" s="22" t="str">
        <f t="shared" si="1"/>
        <v>Distress Tolerance</v>
      </c>
      <c r="H43" s="22" t="str">
        <f t="shared" si="9"/>
        <v>Distress Tolerance2</v>
      </c>
      <c r="I43" s="20" t="e">
        <f t="shared" si="2"/>
        <v>#N/A</v>
      </c>
      <c r="J43" s="20" t="e">
        <f t="shared" si="3"/>
        <v>#N/A</v>
      </c>
      <c r="K43" s="20" t="e">
        <f t="shared" si="4"/>
        <v>#N/A</v>
      </c>
      <c r="L43" s="20"/>
      <c r="M43" s="20"/>
      <c r="N43" s="20"/>
      <c r="O43" s="20"/>
      <c r="P43" s="20"/>
      <c r="Q43" s="20"/>
      <c r="R43" s="20"/>
      <c r="S43" s="20"/>
      <c r="T43" s="20"/>
      <c r="U43" s="20"/>
    </row>
    <row r="44" spans="1:21" x14ac:dyDescent="0.25">
      <c r="A44" t="s">
        <v>87</v>
      </c>
      <c r="B44" s="22" t="str">
        <f t="shared" si="0"/>
        <v>Caregiver Functioning - Caregiver #2</v>
      </c>
      <c r="C44" s="22" t="str">
        <f t="shared" si="5"/>
        <v>2</v>
      </c>
      <c r="D44" s="22" t="str">
        <f t="shared" si="6"/>
        <v/>
      </c>
      <c r="E44" s="22">
        <f t="shared" si="7"/>
        <v>1</v>
      </c>
      <c r="F44" s="22">
        <f t="shared" si="8"/>
        <v>35</v>
      </c>
      <c r="G44" s="22" t="str">
        <f t="shared" si="1"/>
        <v>Supervision</v>
      </c>
      <c r="H44" s="22" t="str">
        <f t="shared" si="9"/>
        <v>Supervision2</v>
      </c>
      <c r="I44" s="20" t="e">
        <f t="shared" si="2"/>
        <v>#N/A</v>
      </c>
      <c r="J44" s="20" t="e">
        <f t="shared" si="3"/>
        <v>#N/A</v>
      </c>
      <c r="K44" s="20" t="e">
        <f t="shared" si="4"/>
        <v>#N/A</v>
      </c>
      <c r="L44" s="20"/>
      <c r="M44" s="20"/>
      <c r="N44" s="20"/>
      <c r="O44" s="20"/>
      <c r="P44" s="20"/>
      <c r="Q44" s="20"/>
      <c r="R44" s="20"/>
      <c r="S44" s="20"/>
      <c r="T44" s="20"/>
      <c r="U44" s="20"/>
    </row>
    <row r="45" spans="1:21" x14ac:dyDescent="0.25">
      <c r="A45" t="s">
        <v>87</v>
      </c>
      <c r="B45" s="22" t="str">
        <f t="shared" si="0"/>
        <v>Caregiver Functioning - Caregiver #2</v>
      </c>
      <c r="C45" s="22" t="str">
        <f t="shared" si="5"/>
        <v>2</v>
      </c>
      <c r="D45" s="22" t="str">
        <f t="shared" si="6"/>
        <v/>
      </c>
      <c r="E45" s="22">
        <f t="shared" si="7"/>
        <v>1</v>
      </c>
      <c r="F45" s="22">
        <f t="shared" si="8"/>
        <v>36</v>
      </c>
      <c r="G45" s="22" t="str">
        <f t="shared" si="1"/>
        <v>Discipline</v>
      </c>
      <c r="H45" s="22" t="str">
        <f t="shared" si="9"/>
        <v>Discipline2</v>
      </c>
      <c r="I45" s="20" t="e">
        <f t="shared" si="2"/>
        <v>#N/A</v>
      </c>
      <c r="J45" s="20" t="e">
        <f t="shared" si="3"/>
        <v>#N/A</v>
      </c>
      <c r="K45" s="20" t="e">
        <f t="shared" si="4"/>
        <v>#N/A</v>
      </c>
      <c r="L45" s="20"/>
      <c r="M45" s="20"/>
      <c r="N45" s="20"/>
      <c r="O45" s="20"/>
      <c r="P45" s="20"/>
      <c r="Q45" s="20"/>
      <c r="R45" s="20"/>
      <c r="S45" s="20"/>
      <c r="T45" s="20"/>
      <c r="U45" s="20"/>
    </row>
    <row r="46" spans="1:21" x14ac:dyDescent="0.25">
      <c r="A46" t="s">
        <v>88</v>
      </c>
      <c r="B46" s="22" t="str">
        <f t="shared" si="0"/>
        <v>Caregiver Functioning - Caregiver #2</v>
      </c>
      <c r="C46" s="22" t="str">
        <f t="shared" si="5"/>
        <v>2</v>
      </c>
      <c r="D46" s="22" t="str">
        <f t="shared" si="6"/>
        <v/>
      </c>
      <c r="E46" s="22">
        <f t="shared" si="7"/>
        <v>1</v>
      </c>
      <c r="F46" s="22">
        <f t="shared" si="8"/>
        <v>37</v>
      </c>
      <c r="G46" s="22" t="str">
        <f t="shared" si="1"/>
        <v>Mental Health</v>
      </c>
      <c r="H46" s="22" t="str">
        <f t="shared" si="9"/>
        <v>Mental Health2</v>
      </c>
      <c r="I46" s="20" t="e">
        <f t="shared" si="2"/>
        <v>#N/A</v>
      </c>
      <c r="J46" s="20" t="e">
        <f t="shared" si="3"/>
        <v>#N/A</v>
      </c>
      <c r="K46" s="20" t="e">
        <f t="shared" si="4"/>
        <v>#N/A</v>
      </c>
      <c r="L46" s="20"/>
      <c r="M46" s="20"/>
      <c r="N46" s="20"/>
      <c r="O46" s="20"/>
      <c r="P46" s="20"/>
      <c r="Q46" s="20"/>
      <c r="R46" s="20"/>
      <c r="S46" s="20"/>
      <c r="T46" s="20"/>
      <c r="U46" s="20"/>
    </row>
    <row r="47" spans="1:21" x14ac:dyDescent="0.25">
      <c r="A47" t="s">
        <v>88</v>
      </c>
      <c r="B47" s="22" t="str">
        <f t="shared" si="0"/>
        <v>Caregiver Functioning - Caregiver #2</v>
      </c>
      <c r="C47" s="22" t="str">
        <f t="shared" si="5"/>
        <v>2</v>
      </c>
      <c r="D47" s="22" t="str">
        <f t="shared" si="6"/>
        <v/>
      </c>
      <c r="E47" s="22">
        <f t="shared" si="7"/>
        <v>1</v>
      </c>
      <c r="F47" s="22">
        <f t="shared" si="8"/>
        <v>38</v>
      </c>
      <c r="G47" s="22" t="str">
        <f t="shared" si="1"/>
        <v>Partner Relations</v>
      </c>
      <c r="H47" s="22" t="str">
        <f t="shared" si="9"/>
        <v>Partner Relations2</v>
      </c>
      <c r="I47" s="20" t="e">
        <f t="shared" si="2"/>
        <v>#N/A</v>
      </c>
      <c r="J47" s="20" t="e">
        <f t="shared" si="3"/>
        <v>#N/A</v>
      </c>
      <c r="K47" s="20" t="e">
        <f t="shared" si="4"/>
        <v>#N/A</v>
      </c>
      <c r="L47" s="20"/>
      <c r="M47" s="20"/>
      <c r="N47" s="20"/>
      <c r="O47" s="20"/>
      <c r="P47" s="20"/>
      <c r="Q47" s="20"/>
      <c r="R47" s="20"/>
      <c r="S47" s="20"/>
      <c r="T47" s="20"/>
      <c r="U47" s="20"/>
    </row>
    <row r="48" spans="1:21" x14ac:dyDescent="0.25">
      <c r="A48" t="s">
        <v>88</v>
      </c>
      <c r="B48" s="22" t="str">
        <f t="shared" si="0"/>
        <v>Caregiver Functioning - Caregiver #2</v>
      </c>
      <c r="C48" s="22" t="str">
        <f t="shared" si="5"/>
        <v>2</v>
      </c>
      <c r="D48" s="22" t="str">
        <f t="shared" si="6"/>
        <v/>
      </c>
      <c r="E48" s="22">
        <f t="shared" si="7"/>
        <v>1</v>
      </c>
      <c r="F48" s="22">
        <f t="shared" si="8"/>
        <v>39</v>
      </c>
      <c r="G48" s="22" t="str">
        <f t="shared" si="1"/>
        <v>Substance Abuse</v>
      </c>
      <c r="H48" s="22" t="str">
        <f t="shared" si="9"/>
        <v>Substance Abuse2</v>
      </c>
      <c r="I48" s="20" t="e">
        <f t="shared" si="2"/>
        <v>#N/A</v>
      </c>
      <c r="J48" s="20" t="e">
        <f t="shared" si="3"/>
        <v>#N/A</v>
      </c>
      <c r="K48" s="20" t="e">
        <f t="shared" si="4"/>
        <v>#N/A</v>
      </c>
      <c r="L48" s="20"/>
      <c r="M48" s="20"/>
      <c r="N48" s="20"/>
      <c r="O48" s="20"/>
      <c r="P48" s="20"/>
      <c r="Q48" s="20"/>
      <c r="R48" s="20"/>
      <c r="S48" s="20"/>
      <c r="T48" s="20"/>
      <c r="U48" s="20"/>
    </row>
    <row r="49" spans="1:21" x14ac:dyDescent="0.25">
      <c r="A49" t="s">
        <v>88</v>
      </c>
      <c r="B49" s="22" t="str">
        <f t="shared" si="0"/>
        <v>Caregiver Functioning - Caregiver #2</v>
      </c>
      <c r="C49" s="22" t="str">
        <f t="shared" si="5"/>
        <v>2</v>
      </c>
      <c r="D49" s="22" t="str">
        <f t="shared" si="6"/>
        <v/>
      </c>
      <c r="E49" s="22">
        <f t="shared" si="7"/>
        <v>1</v>
      </c>
      <c r="F49" s="22">
        <f t="shared" si="8"/>
        <v>40</v>
      </c>
      <c r="G49" s="22" t="str">
        <f t="shared" si="1"/>
        <v>Physical Health</v>
      </c>
      <c r="H49" s="22" t="str">
        <f t="shared" si="9"/>
        <v>Physical Health2</v>
      </c>
      <c r="I49" s="20" t="e">
        <f t="shared" si="2"/>
        <v>#N/A</v>
      </c>
      <c r="J49" s="20" t="e">
        <f t="shared" si="3"/>
        <v>#N/A</v>
      </c>
      <c r="K49" s="20" t="e">
        <f t="shared" si="4"/>
        <v>#N/A</v>
      </c>
      <c r="L49" s="20"/>
      <c r="M49" s="20"/>
      <c r="N49" s="20"/>
      <c r="O49" s="20"/>
      <c r="P49" s="20"/>
      <c r="Q49" s="20"/>
      <c r="R49" s="20"/>
      <c r="S49" s="20"/>
      <c r="T49" s="20"/>
      <c r="U49" s="20"/>
    </row>
    <row r="50" spans="1:21" x14ac:dyDescent="0.25">
      <c r="A50" t="s">
        <v>88</v>
      </c>
      <c r="B50" s="22" t="str">
        <f t="shared" si="0"/>
        <v>Caregiver Functioning - Caregiver #2</v>
      </c>
      <c r="C50" s="22" t="str">
        <f t="shared" si="5"/>
        <v>2</v>
      </c>
      <c r="D50" s="22" t="str">
        <f t="shared" si="6"/>
        <v/>
      </c>
      <c r="E50" s="22">
        <f t="shared" si="7"/>
        <v>1</v>
      </c>
      <c r="F50" s="22">
        <f t="shared" si="8"/>
        <v>41</v>
      </c>
      <c r="G50" s="22" t="str">
        <f t="shared" si="1"/>
        <v>Organization</v>
      </c>
      <c r="H50" s="22" t="str">
        <f t="shared" si="9"/>
        <v>Organization2</v>
      </c>
      <c r="I50" s="20" t="e">
        <f t="shared" si="2"/>
        <v>#N/A</v>
      </c>
      <c r="J50" s="20" t="e">
        <f t="shared" si="3"/>
        <v>#N/A</v>
      </c>
      <c r="K50" s="20" t="e">
        <f t="shared" si="4"/>
        <v>#N/A</v>
      </c>
      <c r="L50" s="20"/>
      <c r="M50" s="20"/>
      <c r="N50" s="20"/>
      <c r="O50" s="20"/>
      <c r="P50" s="20"/>
      <c r="Q50" s="20"/>
      <c r="R50" s="20"/>
      <c r="S50" s="20"/>
      <c r="T50" s="20"/>
      <c r="U50" s="20"/>
    </row>
    <row r="51" spans="1:21" x14ac:dyDescent="0.25">
      <c r="A51" t="s">
        <v>88</v>
      </c>
      <c r="B51" s="22" t="str">
        <f t="shared" si="0"/>
        <v>Caregiver Functioning - Caregiver #2</v>
      </c>
      <c r="C51" s="22" t="str">
        <f t="shared" si="5"/>
        <v>2</v>
      </c>
      <c r="D51" s="22" t="str">
        <f t="shared" si="6"/>
        <v/>
      </c>
      <c r="E51" s="22">
        <f t="shared" si="7"/>
        <v>1</v>
      </c>
      <c r="F51" s="22">
        <f t="shared" si="8"/>
        <v>42</v>
      </c>
      <c r="G51" s="22" t="str">
        <f t="shared" si="1"/>
        <v>Parental Attribution</v>
      </c>
      <c r="H51" s="22" t="str">
        <f t="shared" si="9"/>
        <v>Parental Attribution2</v>
      </c>
      <c r="I51" s="20" t="e">
        <f t="shared" si="2"/>
        <v>#N/A</v>
      </c>
      <c r="J51" s="20" t="e">
        <f t="shared" si="3"/>
        <v>#N/A</v>
      </c>
      <c r="K51" s="20" t="e">
        <f t="shared" si="4"/>
        <v>#N/A</v>
      </c>
      <c r="L51" s="20"/>
      <c r="M51" s="20"/>
      <c r="N51" s="20"/>
      <c r="O51" s="20"/>
      <c r="P51" s="20"/>
      <c r="Q51" s="20"/>
      <c r="R51" s="20"/>
      <c r="S51" s="20"/>
      <c r="T51" s="20"/>
      <c r="U51" s="20"/>
    </row>
    <row r="52" spans="1:21" x14ac:dyDescent="0.25">
      <c r="A52" t="s">
        <v>89</v>
      </c>
      <c r="B52" s="22" t="str">
        <f t="shared" si="0"/>
        <v>Caregiver Functioning - Caregiver #2</v>
      </c>
      <c r="C52" s="22" t="str">
        <f t="shared" si="5"/>
        <v>2</v>
      </c>
      <c r="D52" s="22" t="str">
        <f t="shared" si="6"/>
        <v/>
      </c>
      <c r="E52" s="22">
        <f t="shared" si="7"/>
        <v>1</v>
      </c>
      <c r="F52" s="22">
        <f t="shared" si="8"/>
        <v>43</v>
      </c>
      <c r="G52" s="22" t="str">
        <f t="shared" si="1"/>
        <v>Emotional Responsiveness</v>
      </c>
      <c r="H52" s="22" t="str">
        <f t="shared" si="9"/>
        <v>Emotional Responsiveness2</v>
      </c>
      <c r="I52" s="20" t="e">
        <f t="shared" si="2"/>
        <v>#N/A</v>
      </c>
      <c r="J52" s="20" t="e">
        <f t="shared" si="3"/>
        <v>#N/A</v>
      </c>
      <c r="K52" s="20" t="e">
        <f t="shared" si="4"/>
        <v>#N/A</v>
      </c>
      <c r="L52" s="20"/>
      <c r="M52" s="20"/>
      <c r="N52" s="20"/>
      <c r="O52" s="20"/>
      <c r="P52" s="20"/>
      <c r="Q52" s="20"/>
      <c r="R52" s="20"/>
      <c r="S52" s="20"/>
      <c r="T52" s="20"/>
      <c r="U52" s="20"/>
    </row>
    <row r="53" spans="1:21" x14ac:dyDescent="0.25">
      <c r="A53" t="s">
        <v>89</v>
      </c>
      <c r="B53" s="22" t="str">
        <f t="shared" si="0"/>
        <v>Caregiver Functioning - Caregiver #2</v>
      </c>
      <c r="C53" s="22" t="str">
        <f t="shared" si="5"/>
        <v>2</v>
      </c>
      <c r="D53" s="22" t="str">
        <f t="shared" si="6"/>
        <v/>
      </c>
      <c r="E53" s="22">
        <f t="shared" si="7"/>
        <v>1</v>
      </c>
      <c r="F53" s="22">
        <f t="shared" si="8"/>
        <v>44</v>
      </c>
      <c r="G53" s="22" t="str">
        <f t="shared" si="1"/>
        <v>Caregiver Posttraumatic Reactions</v>
      </c>
      <c r="H53" s="22" t="str">
        <f t="shared" si="9"/>
        <v>Caregiver Posttraumatic Reactions2</v>
      </c>
      <c r="I53" s="20" t="e">
        <f t="shared" si="2"/>
        <v>#N/A</v>
      </c>
      <c r="J53" s="20" t="e">
        <f t="shared" si="3"/>
        <v>#N/A</v>
      </c>
      <c r="K53" s="20" t="e">
        <f t="shared" si="4"/>
        <v>#N/A</v>
      </c>
      <c r="L53" s="20"/>
      <c r="M53" s="20"/>
      <c r="N53" s="20"/>
      <c r="O53" s="20"/>
      <c r="P53" s="20"/>
      <c r="Q53" s="20"/>
      <c r="R53" s="20"/>
      <c r="S53" s="20"/>
      <c r="T53" s="20"/>
      <c r="U53" s="20"/>
    </row>
    <row r="54" spans="1:21" x14ac:dyDescent="0.25">
      <c r="A54" t="s">
        <v>89</v>
      </c>
      <c r="B54" s="22" t="str">
        <f t="shared" si="0"/>
        <v>Caregiver Functioning - Caregiver #2</v>
      </c>
      <c r="C54" s="22" t="str">
        <f t="shared" si="5"/>
        <v>2</v>
      </c>
      <c r="D54" s="22" t="str">
        <f t="shared" si="6"/>
        <v/>
      </c>
      <c r="E54" s="22">
        <f t="shared" si="7"/>
        <v>1</v>
      </c>
      <c r="F54" s="22">
        <f t="shared" si="8"/>
        <v>45</v>
      </c>
      <c r="G54" s="22" t="str">
        <f t="shared" si="1"/>
        <v>Family Stress</v>
      </c>
      <c r="H54" s="22" t="str">
        <f t="shared" si="9"/>
        <v>Family Stress2</v>
      </c>
      <c r="I54" s="20" t="e">
        <f t="shared" si="2"/>
        <v>#N/A</v>
      </c>
      <c r="J54" s="20" t="e">
        <f t="shared" si="3"/>
        <v>#N/A</v>
      </c>
      <c r="K54" s="20" t="e">
        <f t="shared" si="4"/>
        <v>#N/A</v>
      </c>
      <c r="L54" s="20"/>
      <c r="M54" s="20"/>
      <c r="N54" s="20"/>
      <c r="O54" s="20"/>
      <c r="P54" s="20"/>
      <c r="Q54" s="20"/>
      <c r="R54" s="20"/>
      <c r="S54" s="20"/>
      <c r="T54" s="20"/>
      <c r="U54" s="20"/>
    </row>
    <row r="55" spans="1:21" x14ac:dyDescent="0.25">
      <c r="A55" t="s">
        <v>89</v>
      </c>
      <c r="B55" s="22" t="str">
        <f t="shared" si="0"/>
        <v>Caregiver Functioning - Caregiver #2</v>
      </c>
      <c r="C55" s="22" t="str">
        <f t="shared" si="5"/>
        <v>2</v>
      </c>
      <c r="D55" s="22" t="str">
        <f t="shared" si="6"/>
        <v/>
      </c>
      <c r="E55" s="22">
        <f t="shared" si="7"/>
        <v>1</v>
      </c>
      <c r="F55" s="22">
        <f t="shared" si="8"/>
        <v>46</v>
      </c>
      <c r="G55" s="22" t="str">
        <f t="shared" si="1"/>
        <v>Boundaries</v>
      </c>
      <c r="H55" s="22" t="str">
        <f t="shared" si="9"/>
        <v>Boundaries2</v>
      </c>
      <c r="I55" s="20" t="e">
        <f t="shared" si="2"/>
        <v>#N/A</v>
      </c>
      <c r="J55" s="20" t="e">
        <f t="shared" si="3"/>
        <v>#N/A</v>
      </c>
      <c r="K55" s="20" t="e">
        <f t="shared" si="4"/>
        <v>#N/A</v>
      </c>
      <c r="L55" s="20"/>
      <c r="M55" s="20"/>
      <c r="N55" s="20"/>
      <c r="O55" s="20"/>
      <c r="P55" s="20"/>
      <c r="Q55" s="20"/>
      <c r="R55" s="20"/>
      <c r="S55" s="20"/>
      <c r="T55" s="20"/>
      <c r="U55" s="20"/>
    </row>
    <row r="56" spans="1:21" x14ac:dyDescent="0.25">
      <c r="A56" t="s">
        <v>89</v>
      </c>
      <c r="B56" s="22" t="str">
        <f t="shared" si="0"/>
        <v>Caregiver Functioning - Caregiver #3</v>
      </c>
      <c r="C56" s="22" t="str">
        <f t="shared" si="5"/>
        <v>3</v>
      </c>
      <c r="D56" s="22" t="str">
        <f t="shared" si="6"/>
        <v/>
      </c>
      <c r="E56" s="22">
        <f t="shared" si="7"/>
        <v>1</v>
      </c>
      <c r="F56" s="22">
        <f t="shared" si="8"/>
        <v>47</v>
      </c>
      <c r="G56" s="22" t="str">
        <f t="shared" si="1"/>
        <v>Involvement with Services</v>
      </c>
      <c r="H56" s="22" t="str">
        <f t="shared" si="9"/>
        <v>Involvement with Services3</v>
      </c>
      <c r="I56" s="20" t="e">
        <f t="shared" si="2"/>
        <v>#N/A</v>
      </c>
      <c r="J56" s="20" t="e">
        <f t="shared" si="3"/>
        <v>#N/A</v>
      </c>
      <c r="K56" s="20" t="e">
        <f t="shared" si="4"/>
        <v>#N/A</v>
      </c>
      <c r="L56" s="20"/>
      <c r="M56" s="20"/>
      <c r="N56" s="20"/>
      <c r="O56" s="20"/>
      <c r="P56" s="20"/>
      <c r="Q56" s="20"/>
      <c r="R56" s="20"/>
      <c r="S56" s="20"/>
      <c r="T56" s="20"/>
      <c r="U56" s="20"/>
    </row>
    <row r="57" spans="1:21" x14ac:dyDescent="0.25">
      <c r="A57" t="s">
        <v>89</v>
      </c>
      <c r="B57" s="22" t="str">
        <f t="shared" si="0"/>
        <v>Caregiver Functioning - Caregiver #3</v>
      </c>
      <c r="C57" s="22" t="str">
        <f t="shared" si="5"/>
        <v>3</v>
      </c>
      <c r="D57" s="22" t="str">
        <f t="shared" si="6"/>
        <v/>
      </c>
      <c r="E57" s="22">
        <f t="shared" si="7"/>
        <v>1</v>
      </c>
      <c r="F57" s="22">
        <f t="shared" si="8"/>
        <v>48</v>
      </c>
      <c r="G57" s="22" t="str">
        <f t="shared" si="1"/>
        <v>Distress Tolerance</v>
      </c>
      <c r="H57" s="22" t="str">
        <f t="shared" si="9"/>
        <v>Distress Tolerance3</v>
      </c>
      <c r="I57" s="20" t="e">
        <f t="shared" si="2"/>
        <v>#N/A</v>
      </c>
      <c r="J57" s="20" t="e">
        <f t="shared" si="3"/>
        <v>#N/A</v>
      </c>
      <c r="K57" s="20" t="e">
        <f t="shared" si="4"/>
        <v>#N/A</v>
      </c>
      <c r="L57" s="20"/>
      <c r="M57" s="20"/>
      <c r="N57" s="20"/>
      <c r="O57" s="20"/>
      <c r="P57" s="20"/>
      <c r="Q57" s="20"/>
      <c r="R57" s="20"/>
      <c r="S57" s="20"/>
      <c r="T57" s="20"/>
      <c r="U57" s="20"/>
    </row>
    <row r="58" spans="1:21" x14ac:dyDescent="0.25">
      <c r="A58" t="s">
        <v>90</v>
      </c>
      <c r="B58" s="22" t="str">
        <f t="shared" si="0"/>
        <v>Caregiver Functioning - Caregiver #3</v>
      </c>
      <c r="C58" s="22" t="str">
        <f t="shared" si="5"/>
        <v>3</v>
      </c>
      <c r="D58" s="22" t="str">
        <f t="shared" si="6"/>
        <v/>
      </c>
      <c r="E58" s="22">
        <f t="shared" si="7"/>
        <v>1</v>
      </c>
      <c r="F58" s="22">
        <f t="shared" si="8"/>
        <v>49</v>
      </c>
      <c r="G58" s="22" t="str">
        <f t="shared" si="1"/>
        <v>Supervision</v>
      </c>
      <c r="H58" s="22" t="str">
        <f t="shared" si="9"/>
        <v>Supervision3</v>
      </c>
      <c r="I58" s="20" t="e">
        <f t="shared" si="2"/>
        <v>#N/A</v>
      </c>
      <c r="J58" s="20" t="e">
        <f t="shared" si="3"/>
        <v>#N/A</v>
      </c>
      <c r="K58" s="20" t="e">
        <f t="shared" si="4"/>
        <v>#N/A</v>
      </c>
      <c r="L58" s="20"/>
      <c r="M58" s="20"/>
      <c r="N58" s="20"/>
      <c r="O58" s="20"/>
      <c r="P58" s="20"/>
      <c r="Q58" s="20"/>
      <c r="R58" s="20"/>
      <c r="S58" s="20"/>
      <c r="T58" s="20"/>
      <c r="U58" s="20"/>
    </row>
    <row r="59" spans="1:21" x14ac:dyDescent="0.25">
      <c r="A59" t="s">
        <v>90</v>
      </c>
      <c r="B59" s="22" t="str">
        <f t="shared" si="0"/>
        <v>Caregiver Functioning - Caregiver #3</v>
      </c>
      <c r="C59" s="22" t="str">
        <f t="shared" si="5"/>
        <v>3</v>
      </c>
      <c r="D59" s="22" t="str">
        <f t="shared" si="6"/>
        <v/>
      </c>
      <c r="E59" s="22">
        <f t="shared" si="7"/>
        <v>1</v>
      </c>
      <c r="F59" s="22">
        <f t="shared" si="8"/>
        <v>50</v>
      </c>
      <c r="G59" s="22" t="str">
        <f t="shared" si="1"/>
        <v>Discipline</v>
      </c>
      <c r="H59" s="22" t="str">
        <f t="shared" si="9"/>
        <v>Discipline3</v>
      </c>
      <c r="I59" s="20" t="e">
        <f t="shared" si="2"/>
        <v>#N/A</v>
      </c>
      <c r="J59" s="20" t="e">
        <f t="shared" si="3"/>
        <v>#N/A</v>
      </c>
      <c r="K59" s="20" t="e">
        <f t="shared" si="4"/>
        <v>#N/A</v>
      </c>
      <c r="L59" s="20"/>
      <c r="M59" s="20"/>
      <c r="N59" s="20"/>
      <c r="O59" s="20"/>
      <c r="P59" s="20"/>
      <c r="Q59" s="20"/>
      <c r="R59" s="20"/>
      <c r="S59" s="20"/>
      <c r="T59" s="20"/>
      <c r="U59" s="20"/>
    </row>
    <row r="60" spans="1:21" x14ac:dyDescent="0.25">
      <c r="A60" t="s">
        <v>90</v>
      </c>
      <c r="B60" s="22" t="str">
        <f t="shared" si="0"/>
        <v>Caregiver Functioning - Caregiver #3</v>
      </c>
      <c r="C60" s="22" t="str">
        <f t="shared" si="5"/>
        <v>3</v>
      </c>
      <c r="D60" s="22" t="str">
        <f t="shared" si="6"/>
        <v/>
      </c>
      <c r="E60" s="22">
        <f t="shared" si="7"/>
        <v>1</v>
      </c>
      <c r="F60" s="22">
        <f t="shared" si="8"/>
        <v>51</v>
      </c>
      <c r="G60" s="22" t="str">
        <f t="shared" si="1"/>
        <v>Mental Health</v>
      </c>
      <c r="H60" s="22" t="str">
        <f t="shared" si="9"/>
        <v>Mental Health3</v>
      </c>
      <c r="I60" s="20" t="e">
        <f t="shared" si="2"/>
        <v>#N/A</v>
      </c>
      <c r="J60" s="20" t="e">
        <f t="shared" si="3"/>
        <v>#N/A</v>
      </c>
      <c r="K60" s="20" t="e">
        <f t="shared" si="4"/>
        <v>#N/A</v>
      </c>
      <c r="L60" s="20"/>
      <c r="M60" s="20"/>
      <c r="N60" s="20"/>
      <c r="O60" s="20"/>
      <c r="P60" s="20"/>
      <c r="Q60" s="20"/>
      <c r="R60" s="20"/>
      <c r="S60" s="20"/>
      <c r="T60" s="20"/>
      <c r="U60" s="20"/>
    </row>
    <row r="61" spans="1:21" x14ac:dyDescent="0.25">
      <c r="A61" t="s">
        <v>90</v>
      </c>
      <c r="B61" s="22" t="str">
        <f t="shared" si="0"/>
        <v>Caregiver Functioning - Caregiver #3</v>
      </c>
      <c r="C61" s="22" t="str">
        <f t="shared" si="5"/>
        <v>3</v>
      </c>
      <c r="D61" s="22" t="str">
        <f t="shared" si="6"/>
        <v/>
      </c>
      <c r="E61" s="22">
        <f t="shared" si="7"/>
        <v>1</v>
      </c>
      <c r="F61" s="22">
        <f t="shared" si="8"/>
        <v>52</v>
      </c>
      <c r="G61" s="22" t="str">
        <f t="shared" si="1"/>
        <v>Partner Relations</v>
      </c>
      <c r="H61" s="22" t="str">
        <f t="shared" si="9"/>
        <v>Partner Relations3</v>
      </c>
      <c r="I61" s="20" t="e">
        <f t="shared" si="2"/>
        <v>#N/A</v>
      </c>
      <c r="J61" s="20" t="e">
        <f t="shared" si="3"/>
        <v>#N/A</v>
      </c>
      <c r="K61" s="20" t="e">
        <f t="shared" si="4"/>
        <v>#N/A</v>
      </c>
      <c r="L61" s="20"/>
      <c r="M61" s="20"/>
      <c r="N61" s="20"/>
      <c r="O61" s="20"/>
      <c r="P61" s="20"/>
      <c r="Q61" s="20"/>
      <c r="R61" s="20"/>
      <c r="S61" s="20"/>
      <c r="T61" s="20"/>
      <c r="U61" s="20"/>
    </row>
    <row r="62" spans="1:21" x14ac:dyDescent="0.25">
      <c r="A62" t="s">
        <v>90</v>
      </c>
      <c r="B62" s="22" t="str">
        <f t="shared" si="0"/>
        <v>Caregiver Functioning - Caregiver #3</v>
      </c>
      <c r="C62" s="22" t="str">
        <f t="shared" si="5"/>
        <v>3</v>
      </c>
      <c r="D62" s="22" t="str">
        <f t="shared" si="6"/>
        <v/>
      </c>
      <c r="E62" s="22">
        <f t="shared" si="7"/>
        <v>1</v>
      </c>
      <c r="F62" s="22">
        <f t="shared" si="8"/>
        <v>53</v>
      </c>
      <c r="G62" s="22" t="str">
        <f t="shared" si="1"/>
        <v>Substance Abuse</v>
      </c>
      <c r="H62" s="22" t="str">
        <f t="shared" si="9"/>
        <v>Substance Abuse3</v>
      </c>
      <c r="I62" s="20" t="e">
        <f t="shared" si="2"/>
        <v>#N/A</v>
      </c>
      <c r="J62" s="20" t="e">
        <f t="shared" si="3"/>
        <v>#N/A</v>
      </c>
      <c r="K62" s="20" t="e">
        <f t="shared" si="4"/>
        <v>#N/A</v>
      </c>
      <c r="L62" s="20"/>
      <c r="M62" s="20"/>
      <c r="N62" s="20"/>
      <c r="O62" s="20"/>
      <c r="P62" s="20"/>
      <c r="Q62" s="20"/>
      <c r="R62" s="20"/>
      <c r="S62" s="20"/>
      <c r="T62" s="20"/>
      <c r="U62" s="20"/>
    </row>
    <row r="63" spans="1:21" x14ac:dyDescent="0.25">
      <c r="A63" t="s">
        <v>90</v>
      </c>
      <c r="B63" s="22" t="str">
        <f t="shared" si="0"/>
        <v>Caregiver Functioning - Caregiver #3</v>
      </c>
      <c r="C63" s="22" t="str">
        <f t="shared" si="5"/>
        <v>3</v>
      </c>
      <c r="D63" s="22" t="str">
        <f t="shared" si="6"/>
        <v/>
      </c>
      <c r="E63" s="22">
        <f t="shared" si="7"/>
        <v>1</v>
      </c>
      <c r="F63" s="22">
        <f t="shared" si="8"/>
        <v>54</v>
      </c>
      <c r="G63" s="22" t="str">
        <f t="shared" si="1"/>
        <v>Physical Health</v>
      </c>
      <c r="H63" s="22" t="str">
        <f t="shared" si="9"/>
        <v>Physical Health3</v>
      </c>
      <c r="I63" s="20" t="e">
        <f t="shared" si="2"/>
        <v>#N/A</v>
      </c>
      <c r="J63" s="20" t="e">
        <f t="shared" si="3"/>
        <v>#N/A</v>
      </c>
      <c r="K63" s="20" t="e">
        <f t="shared" si="4"/>
        <v>#N/A</v>
      </c>
      <c r="L63" s="20"/>
      <c r="M63" s="20"/>
      <c r="N63" s="20"/>
      <c r="O63" s="20"/>
      <c r="P63" s="20"/>
      <c r="Q63" s="20"/>
      <c r="R63" s="20"/>
      <c r="S63" s="20"/>
      <c r="T63" s="20"/>
      <c r="U63" s="20"/>
    </row>
    <row r="64" spans="1:21" x14ac:dyDescent="0.25">
      <c r="A64" t="s">
        <v>91</v>
      </c>
      <c r="B64" s="22" t="str">
        <f t="shared" si="0"/>
        <v>Caregiver Functioning - Caregiver #3</v>
      </c>
      <c r="C64" s="22" t="str">
        <f t="shared" si="5"/>
        <v>3</v>
      </c>
      <c r="D64" s="22" t="str">
        <f t="shared" si="6"/>
        <v/>
      </c>
      <c r="E64" s="22">
        <f t="shared" si="7"/>
        <v>1</v>
      </c>
      <c r="F64" s="22">
        <f t="shared" si="8"/>
        <v>55</v>
      </c>
      <c r="G64" s="22" t="str">
        <f t="shared" si="1"/>
        <v>Organization</v>
      </c>
      <c r="H64" s="22" t="str">
        <f t="shared" si="9"/>
        <v>Organization3</v>
      </c>
      <c r="I64" s="20" t="e">
        <f t="shared" si="2"/>
        <v>#N/A</v>
      </c>
      <c r="J64" s="20" t="e">
        <f t="shared" si="3"/>
        <v>#N/A</v>
      </c>
      <c r="K64" s="20" t="e">
        <f t="shared" si="4"/>
        <v>#N/A</v>
      </c>
      <c r="L64" s="20"/>
      <c r="M64" s="20"/>
      <c r="N64" s="20"/>
      <c r="O64" s="20"/>
      <c r="P64" s="20"/>
      <c r="Q64" s="20"/>
      <c r="R64" s="20"/>
      <c r="S64" s="20"/>
      <c r="T64" s="20"/>
      <c r="U64" s="20"/>
    </row>
    <row r="65" spans="1:21" x14ac:dyDescent="0.25">
      <c r="A65" t="s">
        <v>91</v>
      </c>
      <c r="B65" s="22" t="str">
        <f t="shared" si="0"/>
        <v>Caregiver Functioning - Caregiver #3</v>
      </c>
      <c r="C65" s="22" t="str">
        <f t="shared" si="5"/>
        <v>3</v>
      </c>
      <c r="D65" s="22" t="str">
        <f t="shared" si="6"/>
        <v/>
      </c>
      <c r="E65" s="22">
        <f t="shared" si="7"/>
        <v>1</v>
      </c>
      <c r="F65" s="22">
        <f t="shared" si="8"/>
        <v>56</v>
      </c>
      <c r="G65" s="22" t="str">
        <f t="shared" si="1"/>
        <v>Parental Attribution</v>
      </c>
      <c r="H65" s="22" t="str">
        <f t="shared" si="9"/>
        <v>Parental Attribution3</v>
      </c>
      <c r="I65" s="20" t="e">
        <f t="shared" si="2"/>
        <v>#N/A</v>
      </c>
      <c r="J65" s="20" t="e">
        <f t="shared" si="3"/>
        <v>#N/A</v>
      </c>
      <c r="K65" s="20" t="e">
        <f t="shared" si="4"/>
        <v>#N/A</v>
      </c>
      <c r="L65" s="20"/>
      <c r="M65" s="20"/>
      <c r="N65" s="20"/>
      <c r="O65" s="20"/>
      <c r="P65" s="20"/>
      <c r="Q65" s="20"/>
      <c r="R65" s="20"/>
      <c r="S65" s="20"/>
      <c r="T65" s="20"/>
      <c r="U65" s="20"/>
    </row>
    <row r="66" spans="1:21" x14ac:dyDescent="0.25">
      <c r="A66" t="s">
        <v>91</v>
      </c>
      <c r="B66" s="22" t="str">
        <f t="shared" si="0"/>
        <v>Caregiver Functioning - Caregiver #3</v>
      </c>
      <c r="C66" s="22" t="str">
        <f t="shared" si="5"/>
        <v>3</v>
      </c>
      <c r="D66" s="22" t="str">
        <f t="shared" si="6"/>
        <v/>
      </c>
      <c r="E66" s="22">
        <f t="shared" si="7"/>
        <v>1</v>
      </c>
      <c r="F66" s="22">
        <f t="shared" si="8"/>
        <v>57</v>
      </c>
      <c r="G66" s="22" t="str">
        <f t="shared" si="1"/>
        <v>Emotional Responsiveness</v>
      </c>
      <c r="H66" s="22" t="str">
        <f t="shared" si="9"/>
        <v>Emotional Responsiveness3</v>
      </c>
      <c r="I66" s="20" t="e">
        <f t="shared" si="2"/>
        <v>#N/A</v>
      </c>
      <c r="J66" s="20" t="e">
        <f t="shared" si="3"/>
        <v>#N/A</v>
      </c>
      <c r="K66" s="20" t="e">
        <f t="shared" si="4"/>
        <v>#N/A</v>
      </c>
      <c r="L66" s="20"/>
      <c r="M66" s="20"/>
      <c r="N66" s="20"/>
      <c r="O66" s="20"/>
      <c r="P66" s="20"/>
      <c r="Q66" s="20"/>
      <c r="R66" s="20"/>
      <c r="S66" s="20"/>
      <c r="T66" s="20"/>
      <c r="U66" s="20"/>
    </row>
    <row r="67" spans="1:21" x14ac:dyDescent="0.25">
      <c r="A67" t="s">
        <v>91</v>
      </c>
      <c r="B67" s="22" t="str">
        <f t="shared" si="0"/>
        <v>Caregiver Functioning - Caregiver #3</v>
      </c>
      <c r="C67" s="22" t="str">
        <f t="shared" si="5"/>
        <v>3</v>
      </c>
      <c r="D67" s="22" t="str">
        <f t="shared" si="6"/>
        <v/>
      </c>
      <c r="E67" s="22">
        <f t="shared" si="7"/>
        <v>1</v>
      </c>
      <c r="F67" s="22">
        <f t="shared" si="8"/>
        <v>58</v>
      </c>
      <c r="G67" s="22" t="str">
        <f t="shared" si="1"/>
        <v>Caregiver Posttraumatic Reactions</v>
      </c>
      <c r="H67" s="22" t="str">
        <f t="shared" si="9"/>
        <v>Caregiver Posttraumatic Reactions3</v>
      </c>
      <c r="I67" s="20" t="e">
        <f t="shared" si="2"/>
        <v>#N/A</v>
      </c>
      <c r="J67" s="20" t="e">
        <f t="shared" si="3"/>
        <v>#N/A</v>
      </c>
      <c r="K67" s="20" t="e">
        <f t="shared" si="4"/>
        <v>#N/A</v>
      </c>
      <c r="L67" s="20"/>
      <c r="M67" s="20"/>
      <c r="N67" s="20"/>
      <c r="O67" s="20"/>
      <c r="P67" s="20"/>
      <c r="Q67" s="20"/>
      <c r="R67" s="20"/>
      <c r="S67" s="20"/>
      <c r="T67" s="20"/>
      <c r="U67" s="20"/>
    </row>
    <row r="68" spans="1:21" x14ac:dyDescent="0.25">
      <c r="A68" t="s">
        <v>91</v>
      </c>
      <c r="B68" s="22" t="str">
        <f t="shared" si="0"/>
        <v>Caregiver Functioning - Caregiver #3</v>
      </c>
      <c r="C68" s="22" t="str">
        <f t="shared" si="5"/>
        <v>3</v>
      </c>
      <c r="D68" s="22" t="str">
        <f t="shared" si="6"/>
        <v/>
      </c>
      <c r="E68" s="22">
        <f t="shared" si="7"/>
        <v>1</v>
      </c>
      <c r="F68" s="22">
        <f t="shared" si="8"/>
        <v>59</v>
      </c>
      <c r="G68" s="22" t="str">
        <f t="shared" si="1"/>
        <v>Family Stress</v>
      </c>
      <c r="H68" s="22" t="str">
        <f t="shared" si="9"/>
        <v>Family Stress3</v>
      </c>
      <c r="I68" s="20" t="e">
        <f t="shared" si="2"/>
        <v>#N/A</v>
      </c>
      <c r="J68" s="20" t="e">
        <f t="shared" si="3"/>
        <v>#N/A</v>
      </c>
      <c r="K68" s="20" t="e">
        <f t="shared" si="4"/>
        <v>#N/A</v>
      </c>
      <c r="L68" s="20"/>
      <c r="M68" s="20"/>
      <c r="N68" s="20"/>
      <c r="O68" s="20"/>
      <c r="P68" s="20"/>
      <c r="Q68" s="20"/>
      <c r="R68" s="20"/>
      <c r="S68" s="20"/>
      <c r="T68" s="20"/>
      <c r="U68" s="20"/>
    </row>
    <row r="69" spans="1:21" x14ac:dyDescent="0.25">
      <c r="A69" t="s">
        <v>91</v>
      </c>
      <c r="B69" s="22" t="str">
        <f t="shared" si="0"/>
        <v>Caregiver Functioning - Caregiver #3</v>
      </c>
      <c r="C69" s="22" t="str">
        <f t="shared" si="5"/>
        <v>3</v>
      </c>
      <c r="D69" s="22" t="str">
        <f t="shared" si="6"/>
        <v/>
      </c>
      <c r="E69" s="22">
        <f t="shared" si="7"/>
        <v>1</v>
      </c>
      <c r="F69" s="22">
        <f t="shared" si="8"/>
        <v>60</v>
      </c>
      <c r="G69" s="22" t="str">
        <f t="shared" si="1"/>
        <v>Boundaries</v>
      </c>
      <c r="H69" s="22" t="str">
        <f t="shared" si="9"/>
        <v>Boundaries3</v>
      </c>
      <c r="I69" s="20" t="e">
        <f t="shared" si="2"/>
        <v>#N/A</v>
      </c>
      <c r="J69" s="20" t="e">
        <f t="shared" si="3"/>
        <v>#N/A</v>
      </c>
      <c r="K69" s="20" t="e">
        <f t="shared" si="4"/>
        <v>#N/A</v>
      </c>
      <c r="L69" s="20"/>
      <c r="M69" s="20"/>
      <c r="N69" s="20"/>
      <c r="O69" s="20"/>
      <c r="P69" s="20"/>
      <c r="Q69" s="20"/>
      <c r="R69" s="20"/>
      <c r="S69" s="20"/>
      <c r="T69" s="20"/>
      <c r="U69" s="20"/>
    </row>
    <row r="70" spans="1:21" x14ac:dyDescent="0.25">
      <c r="B70" s="22" t="str">
        <f t="shared" si="0"/>
        <v>Caregiver Functioning - Caregiver #4</v>
      </c>
      <c r="C70" s="22" t="str">
        <f t="shared" si="5"/>
        <v>4</v>
      </c>
      <c r="D70" s="22" t="str">
        <f t="shared" si="6"/>
        <v/>
      </c>
      <c r="E70" s="22">
        <f t="shared" si="7"/>
        <v>1</v>
      </c>
      <c r="F70" s="22">
        <f t="shared" si="8"/>
        <v>61</v>
      </c>
      <c r="G70" s="22" t="str">
        <f t="shared" si="1"/>
        <v>Involvement with Services</v>
      </c>
      <c r="H70" s="22" t="str">
        <f t="shared" si="9"/>
        <v>Involvement with Services4</v>
      </c>
      <c r="I70" s="20" t="e">
        <f t="shared" si="2"/>
        <v>#N/A</v>
      </c>
      <c r="J70" s="20" t="e">
        <f t="shared" si="3"/>
        <v>#N/A</v>
      </c>
      <c r="K70" s="20" t="e">
        <f t="shared" si="4"/>
        <v>#N/A</v>
      </c>
      <c r="L70" s="19"/>
      <c r="M70" s="19"/>
      <c r="N70" s="19"/>
      <c r="O70" s="19"/>
      <c r="P70" s="19"/>
      <c r="Q70" s="19"/>
      <c r="R70" s="19"/>
      <c r="S70" s="19"/>
      <c r="T70" s="19"/>
      <c r="U70" s="19"/>
    </row>
    <row r="71" spans="1:21" x14ac:dyDescent="0.25">
      <c r="A71">
        <v>1</v>
      </c>
      <c r="B71" s="22" t="str">
        <f t="shared" si="0"/>
        <v>Caregiver Functioning - Caregiver #4</v>
      </c>
      <c r="C71" s="22" t="str">
        <f t="shared" si="5"/>
        <v>4</v>
      </c>
      <c r="D71" s="22" t="str">
        <f t="shared" si="6"/>
        <v/>
      </c>
      <c r="E71" s="22">
        <f t="shared" si="7"/>
        <v>1</v>
      </c>
      <c r="F71" s="22">
        <f t="shared" si="8"/>
        <v>62</v>
      </c>
      <c r="G71" s="22" t="str">
        <f t="shared" si="1"/>
        <v>Distress Tolerance</v>
      </c>
      <c r="H71" s="22" t="str">
        <f t="shared" si="9"/>
        <v>Distress Tolerance4</v>
      </c>
      <c r="I71" s="20" t="e">
        <f t="shared" si="2"/>
        <v>#N/A</v>
      </c>
      <c r="J71" s="20" t="e">
        <f t="shared" si="3"/>
        <v>#N/A</v>
      </c>
      <c r="K71" s="20" t="e">
        <f t="shared" si="4"/>
        <v>#N/A</v>
      </c>
    </row>
    <row r="72" spans="1:21" x14ac:dyDescent="0.25">
      <c r="A72">
        <f t="shared" ref="A72:A103" si="10">IF(A71&lt;MAX(ItemNum), A71+1, "!!! Are past number of items !!!")</f>
        <v>2</v>
      </c>
      <c r="B72" s="22" t="str">
        <f t="shared" si="0"/>
        <v>Caregiver Functioning - Caregiver #4</v>
      </c>
      <c r="C72" s="22" t="str">
        <f t="shared" si="5"/>
        <v>4</v>
      </c>
      <c r="D72" s="22" t="str">
        <f t="shared" si="6"/>
        <v/>
      </c>
      <c r="E72" s="22">
        <f t="shared" si="7"/>
        <v>1</v>
      </c>
      <c r="F72" s="22">
        <f t="shared" si="8"/>
        <v>63</v>
      </c>
      <c r="G72" s="22" t="str">
        <f t="shared" si="1"/>
        <v>Supervision</v>
      </c>
      <c r="H72" s="22" t="str">
        <f t="shared" si="9"/>
        <v>Supervision4</v>
      </c>
      <c r="I72" s="20" t="e">
        <f t="shared" si="2"/>
        <v>#N/A</v>
      </c>
      <c r="J72" s="20" t="e">
        <f t="shared" si="3"/>
        <v>#N/A</v>
      </c>
      <c r="K72" s="20" t="e">
        <f t="shared" si="4"/>
        <v>#N/A</v>
      </c>
    </row>
    <row r="73" spans="1:21" x14ac:dyDescent="0.25">
      <c r="A73">
        <f t="shared" si="10"/>
        <v>3</v>
      </c>
      <c r="B73" s="22" t="str">
        <f t="shared" si="0"/>
        <v>Caregiver Functioning - Caregiver #4</v>
      </c>
      <c r="C73" s="22" t="str">
        <f t="shared" si="5"/>
        <v>4</v>
      </c>
      <c r="D73" s="22" t="str">
        <f t="shared" si="6"/>
        <v/>
      </c>
      <c r="E73" s="22">
        <f t="shared" si="7"/>
        <v>1</v>
      </c>
      <c r="F73" s="22">
        <f t="shared" si="8"/>
        <v>64</v>
      </c>
      <c r="G73" s="22" t="str">
        <f t="shared" si="1"/>
        <v>Discipline</v>
      </c>
      <c r="H73" s="22" t="str">
        <f t="shared" si="9"/>
        <v>Discipline4</v>
      </c>
      <c r="I73" s="20" t="e">
        <f t="shared" si="2"/>
        <v>#N/A</v>
      </c>
      <c r="J73" s="20" t="e">
        <f t="shared" si="3"/>
        <v>#N/A</v>
      </c>
      <c r="K73" s="20" t="e">
        <f t="shared" si="4"/>
        <v>#N/A</v>
      </c>
    </row>
    <row r="74" spans="1:21" x14ac:dyDescent="0.25">
      <c r="A74">
        <f t="shared" si="10"/>
        <v>4</v>
      </c>
      <c r="B74" s="22" t="str">
        <f t="shared" ref="B74:B137" si="11">INDEX(ItemDomain, MATCH(F74, ItemNum, 0))</f>
        <v>Caregiver Functioning - Caregiver #4</v>
      </c>
      <c r="C74" s="22" t="str">
        <f t="shared" si="5"/>
        <v>4</v>
      </c>
      <c r="D74" s="22" t="str">
        <f t="shared" si="6"/>
        <v/>
      </c>
      <c r="E74" s="22">
        <f t="shared" si="7"/>
        <v>1</v>
      </c>
      <c r="F74" s="22">
        <f t="shared" si="8"/>
        <v>65</v>
      </c>
      <c r="G74" s="22" t="str">
        <f t="shared" ref="G74:G137" si="12">INDEX(ItemShort, MATCH(F74, ItemNum, 0))</f>
        <v>Mental Health</v>
      </c>
      <c r="H74" s="22" t="str">
        <f t="shared" si="9"/>
        <v>Mental Health4</v>
      </c>
      <c r="I74" s="20" t="e">
        <f t="shared" ref="I74:I137" si="13">INDEX(Assess, MATCH($F74, ItemNum, 0), MATCH(dateAssess1, DatesRow, 0)+CHOOSE($E74, 0, 2, 3))&amp;""</f>
        <v>#N/A</v>
      </c>
      <c r="J74" s="20" t="e">
        <f t="shared" ref="J74:J137" si="14">INDEX(Assess, MATCH($F74, ItemNum, 0), MATCH(dateAssess2, DatesRow, 0)+CHOOSE($E74, 0, 2, 3))&amp;""</f>
        <v>#N/A</v>
      </c>
      <c r="K74" s="20" t="e">
        <f t="shared" ref="K74:K137" si="15">INDEX(Assess, MATCH($F74, ItemNum, 0), MATCH(dateAssess3, DatesRow, 0)+CHOOSE($E74, 0, 2, 3))&amp;""</f>
        <v>#N/A</v>
      </c>
    </row>
    <row r="75" spans="1:21" x14ac:dyDescent="0.25">
      <c r="A75">
        <f t="shared" si="10"/>
        <v>5</v>
      </c>
      <c r="B75" s="22" t="str">
        <f t="shared" si="11"/>
        <v>Caregiver Functioning - Caregiver #4</v>
      </c>
      <c r="C75" s="22" t="str">
        <f t="shared" ref="C75:C138" si="16">IF(ISERROR(VALUE(RIGHT(B75))), "", RIGHT(B75))</f>
        <v>4</v>
      </c>
      <c r="D75" s="22" t="str">
        <f t="shared" ref="D75:D138" si="17">CHOOSE(E75, "", "US", "SB")</f>
        <v/>
      </c>
      <c r="E75" s="22">
        <f t="shared" ref="E75:E138" si="18">IF(F74=nItems, IF(E74=3, "DONE", E74+1), E74)</f>
        <v>1</v>
      </c>
      <c r="F75" s="22">
        <f t="shared" ref="F75:F138" si="19">IF(F74=nItems, IF(E74=3, "DONE", 1), F74+1)</f>
        <v>66</v>
      </c>
      <c r="G75" s="22" t="str">
        <f t="shared" si="12"/>
        <v>Partner Relations</v>
      </c>
      <c r="H75" s="22" t="str">
        <f t="shared" ref="H75:H138" si="20">G75&amp;D75&amp;C75</f>
        <v>Partner Relations4</v>
      </c>
      <c r="I75" s="20" t="e">
        <f t="shared" si="13"/>
        <v>#N/A</v>
      </c>
      <c r="J75" s="20" t="e">
        <f t="shared" si="14"/>
        <v>#N/A</v>
      </c>
      <c r="K75" s="20" t="e">
        <f t="shared" si="15"/>
        <v>#N/A</v>
      </c>
    </row>
    <row r="76" spans="1:21" x14ac:dyDescent="0.25">
      <c r="A76">
        <f t="shared" si="10"/>
        <v>6</v>
      </c>
      <c r="B76" s="22" t="str">
        <f t="shared" si="11"/>
        <v>Caregiver Functioning - Caregiver #4</v>
      </c>
      <c r="C76" s="22" t="str">
        <f t="shared" si="16"/>
        <v>4</v>
      </c>
      <c r="D76" s="22" t="str">
        <f t="shared" si="17"/>
        <v/>
      </c>
      <c r="E76" s="22">
        <f t="shared" si="18"/>
        <v>1</v>
      </c>
      <c r="F76" s="22">
        <f t="shared" si="19"/>
        <v>67</v>
      </c>
      <c r="G76" s="22" t="str">
        <f t="shared" si="12"/>
        <v>Substance Abuse</v>
      </c>
      <c r="H76" s="22" t="str">
        <f t="shared" si="20"/>
        <v>Substance Abuse4</v>
      </c>
      <c r="I76" s="20" t="e">
        <f t="shared" si="13"/>
        <v>#N/A</v>
      </c>
      <c r="J76" s="20" t="e">
        <f t="shared" si="14"/>
        <v>#N/A</v>
      </c>
      <c r="K76" s="20" t="e">
        <f t="shared" si="15"/>
        <v>#N/A</v>
      </c>
    </row>
    <row r="77" spans="1:21" x14ac:dyDescent="0.25">
      <c r="A77">
        <f t="shared" si="10"/>
        <v>7</v>
      </c>
      <c r="B77" s="22" t="str">
        <f t="shared" si="11"/>
        <v>Caregiver Functioning - Caregiver #4</v>
      </c>
      <c r="C77" s="22" t="str">
        <f t="shared" si="16"/>
        <v>4</v>
      </c>
      <c r="D77" s="22" t="str">
        <f t="shared" si="17"/>
        <v/>
      </c>
      <c r="E77" s="22">
        <f t="shared" si="18"/>
        <v>1</v>
      </c>
      <c r="F77" s="22">
        <f t="shared" si="19"/>
        <v>68</v>
      </c>
      <c r="G77" s="22" t="str">
        <f t="shared" si="12"/>
        <v>Physical Health</v>
      </c>
      <c r="H77" s="22" t="str">
        <f t="shared" si="20"/>
        <v>Physical Health4</v>
      </c>
      <c r="I77" s="20" t="e">
        <f t="shared" si="13"/>
        <v>#N/A</v>
      </c>
      <c r="J77" s="20" t="e">
        <f t="shared" si="14"/>
        <v>#N/A</v>
      </c>
      <c r="K77" s="20" t="e">
        <f t="shared" si="15"/>
        <v>#N/A</v>
      </c>
    </row>
    <row r="78" spans="1:21" x14ac:dyDescent="0.25">
      <c r="A78">
        <f t="shared" si="10"/>
        <v>8</v>
      </c>
      <c r="B78" s="22" t="str">
        <f t="shared" si="11"/>
        <v>Caregiver Functioning - Caregiver #4</v>
      </c>
      <c r="C78" s="22" t="str">
        <f t="shared" si="16"/>
        <v>4</v>
      </c>
      <c r="D78" s="22" t="str">
        <f t="shared" si="17"/>
        <v/>
      </c>
      <c r="E78" s="22">
        <f t="shared" si="18"/>
        <v>1</v>
      </c>
      <c r="F78" s="22">
        <f t="shared" si="19"/>
        <v>69</v>
      </c>
      <c r="G78" s="22" t="str">
        <f t="shared" si="12"/>
        <v>Organization</v>
      </c>
      <c r="H78" s="22" t="str">
        <f t="shared" si="20"/>
        <v>Organization4</v>
      </c>
      <c r="I78" s="20" t="e">
        <f t="shared" si="13"/>
        <v>#N/A</v>
      </c>
      <c r="J78" s="20" t="e">
        <f t="shared" si="14"/>
        <v>#N/A</v>
      </c>
      <c r="K78" s="20" t="e">
        <f t="shared" si="15"/>
        <v>#N/A</v>
      </c>
    </row>
    <row r="79" spans="1:21" x14ac:dyDescent="0.25">
      <c r="A79">
        <f t="shared" si="10"/>
        <v>9</v>
      </c>
      <c r="B79" s="22" t="str">
        <f t="shared" si="11"/>
        <v>Caregiver Functioning - Caregiver #4</v>
      </c>
      <c r="C79" s="22" t="str">
        <f t="shared" si="16"/>
        <v>4</v>
      </c>
      <c r="D79" s="22" t="str">
        <f t="shared" si="17"/>
        <v/>
      </c>
      <c r="E79" s="22">
        <f t="shared" si="18"/>
        <v>1</v>
      </c>
      <c r="F79" s="22">
        <f t="shared" si="19"/>
        <v>70</v>
      </c>
      <c r="G79" s="22" t="str">
        <f t="shared" si="12"/>
        <v>Parental Attribution</v>
      </c>
      <c r="H79" s="22" t="str">
        <f t="shared" si="20"/>
        <v>Parental Attribution4</v>
      </c>
      <c r="I79" s="20" t="e">
        <f t="shared" si="13"/>
        <v>#N/A</v>
      </c>
      <c r="J79" s="20" t="e">
        <f t="shared" si="14"/>
        <v>#N/A</v>
      </c>
      <c r="K79" s="20" t="e">
        <f t="shared" si="15"/>
        <v>#N/A</v>
      </c>
    </row>
    <row r="80" spans="1:21" x14ac:dyDescent="0.25">
      <c r="A80">
        <f t="shared" si="10"/>
        <v>10</v>
      </c>
      <c r="B80" s="22" t="str">
        <f t="shared" si="11"/>
        <v>Caregiver Functioning - Caregiver #4</v>
      </c>
      <c r="C80" s="22" t="str">
        <f t="shared" si="16"/>
        <v>4</v>
      </c>
      <c r="D80" s="22" t="str">
        <f t="shared" si="17"/>
        <v/>
      </c>
      <c r="E80" s="22">
        <f t="shared" si="18"/>
        <v>1</v>
      </c>
      <c r="F80" s="22">
        <f t="shared" si="19"/>
        <v>71</v>
      </c>
      <c r="G80" s="22" t="str">
        <f t="shared" si="12"/>
        <v>Emotional Responsiveness</v>
      </c>
      <c r="H80" s="22" t="str">
        <f t="shared" si="20"/>
        <v>Emotional Responsiveness4</v>
      </c>
      <c r="I80" s="20" t="e">
        <f t="shared" si="13"/>
        <v>#N/A</v>
      </c>
      <c r="J80" s="20" t="e">
        <f t="shared" si="14"/>
        <v>#N/A</v>
      </c>
      <c r="K80" s="20" t="e">
        <f t="shared" si="15"/>
        <v>#N/A</v>
      </c>
    </row>
    <row r="81" spans="1:11" x14ac:dyDescent="0.25">
      <c r="A81">
        <f t="shared" si="10"/>
        <v>11</v>
      </c>
      <c r="B81" s="22" t="str">
        <f t="shared" si="11"/>
        <v>Caregiver Functioning - Caregiver #4</v>
      </c>
      <c r="C81" s="22" t="str">
        <f t="shared" si="16"/>
        <v>4</v>
      </c>
      <c r="D81" s="22" t="str">
        <f t="shared" si="17"/>
        <v/>
      </c>
      <c r="E81" s="22">
        <f t="shared" si="18"/>
        <v>1</v>
      </c>
      <c r="F81" s="22">
        <f t="shared" si="19"/>
        <v>72</v>
      </c>
      <c r="G81" s="22" t="str">
        <f t="shared" si="12"/>
        <v>Caregiver Posttraumatic Reactions</v>
      </c>
      <c r="H81" s="22" t="str">
        <f t="shared" si="20"/>
        <v>Caregiver Posttraumatic Reactions4</v>
      </c>
      <c r="I81" s="20" t="e">
        <f t="shared" si="13"/>
        <v>#N/A</v>
      </c>
      <c r="J81" s="20" t="e">
        <f t="shared" si="14"/>
        <v>#N/A</v>
      </c>
      <c r="K81" s="20" t="e">
        <f t="shared" si="15"/>
        <v>#N/A</v>
      </c>
    </row>
    <row r="82" spans="1:11" x14ac:dyDescent="0.25">
      <c r="A82">
        <f t="shared" si="10"/>
        <v>12</v>
      </c>
      <c r="B82" s="22" t="str">
        <f t="shared" si="11"/>
        <v>Caregiver Functioning - Caregiver #4</v>
      </c>
      <c r="C82" s="22" t="str">
        <f t="shared" si="16"/>
        <v>4</v>
      </c>
      <c r="D82" s="22" t="str">
        <f t="shared" si="17"/>
        <v/>
      </c>
      <c r="E82" s="22">
        <f t="shared" si="18"/>
        <v>1</v>
      </c>
      <c r="F82" s="22">
        <f t="shared" si="19"/>
        <v>73</v>
      </c>
      <c r="G82" s="22" t="str">
        <f t="shared" si="12"/>
        <v>Family Stress</v>
      </c>
      <c r="H82" s="22" t="str">
        <f t="shared" si="20"/>
        <v>Family Stress4</v>
      </c>
      <c r="I82" s="20" t="e">
        <f t="shared" si="13"/>
        <v>#N/A</v>
      </c>
      <c r="J82" s="20" t="e">
        <f t="shared" si="14"/>
        <v>#N/A</v>
      </c>
      <c r="K82" s="20" t="e">
        <f t="shared" si="15"/>
        <v>#N/A</v>
      </c>
    </row>
    <row r="83" spans="1:11" x14ac:dyDescent="0.25">
      <c r="A83">
        <f t="shared" si="10"/>
        <v>13</v>
      </c>
      <c r="B83" s="22" t="str">
        <f t="shared" si="11"/>
        <v>Caregiver Functioning - Caregiver #4</v>
      </c>
      <c r="C83" s="22" t="str">
        <f t="shared" si="16"/>
        <v>4</v>
      </c>
      <c r="D83" s="22" t="str">
        <f t="shared" si="17"/>
        <v/>
      </c>
      <c r="E83" s="22">
        <f t="shared" si="18"/>
        <v>1</v>
      </c>
      <c r="F83" s="22">
        <f t="shared" si="19"/>
        <v>74</v>
      </c>
      <c r="G83" s="22" t="str">
        <f t="shared" si="12"/>
        <v>Boundaries</v>
      </c>
      <c r="H83" s="22" t="str">
        <f t="shared" si="20"/>
        <v>Boundaries4</v>
      </c>
      <c r="I83" s="20" t="e">
        <f t="shared" si="13"/>
        <v>#N/A</v>
      </c>
      <c r="J83" s="20" t="e">
        <f t="shared" si="14"/>
        <v>#N/A</v>
      </c>
      <c r="K83" s="20" t="e">
        <f t="shared" si="15"/>
        <v>#N/A</v>
      </c>
    </row>
    <row r="84" spans="1:11" x14ac:dyDescent="0.25">
      <c r="A84">
        <f t="shared" si="10"/>
        <v>14</v>
      </c>
      <c r="B84" s="22" t="str">
        <f t="shared" si="11"/>
        <v>Child Functioning -- Child #1</v>
      </c>
      <c r="C84" s="22" t="str">
        <f t="shared" si="16"/>
        <v>1</v>
      </c>
      <c r="D84" s="22" t="str">
        <f t="shared" si="17"/>
        <v/>
      </c>
      <c r="E84" s="22">
        <f t="shared" si="18"/>
        <v>1</v>
      </c>
      <c r="F84" s="22">
        <f t="shared" si="19"/>
        <v>75</v>
      </c>
      <c r="G84" s="22" t="str">
        <f t="shared" si="12"/>
        <v>Mental Health Needs</v>
      </c>
      <c r="H84" s="22" t="str">
        <f t="shared" si="20"/>
        <v>Mental Health Needs1</v>
      </c>
      <c r="I84" s="20" t="e">
        <f t="shared" si="13"/>
        <v>#N/A</v>
      </c>
      <c r="J84" s="20" t="e">
        <f t="shared" si="14"/>
        <v>#N/A</v>
      </c>
      <c r="K84" s="20" t="e">
        <f t="shared" si="15"/>
        <v>#N/A</v>
      </c>
    </row>
    <row r="85" spans="1:11" x14ac:dyDescent="0.25">
      <c r="A85">
        <f t="shared" si="10"/>
        <v>15</v>
      </c>
      <c r="B85" s="22" t="str">
        <f t="shared" si="11"/>
        <v>Child Functioning -- Child #1</v>
      </c>
      <c r="C85" s="22" t="str">
        <f t="shared" si="16"/>
        <v>1</v>
      </c>
      <c r="D85" s="22" t="str">
        <f t="shared" si="17"/>
        <v/>
      </c>
      <c r="E85" s="22">
        <f t="shared" si="18"/>
        <v>1</v>
      </c>
      <c r="F85" s="22">
        <f t="shared" si="19"/>
        <v>76</v>
      </c>
      <c r="G85" s="22" t="str">
        <f t="shared" si="12"/>
        <v>Adjustment to Trauma</v>
      </c>
      <c r="H85" s="22" t="str">
        <f t="shared" si="20"/>
        <v>Adjustment to Trauma1</v>
      </c>
      <c r="I85" s="20" t="e">
        <f t="shared" si="13"/>
        <v>#N/A</v>
      </c>
      <c r="J85" s="20" t="e">
        <f t="shared" si="14"/>
        <v>#N/A</v>
      </c>
      <c r="K85" s="20" t="e">
        <f t="shared" si="15"/>
        <v>#N/A</v>
      </c>
    </row>
    <row r="86" spans="1:11" x14ac:dyDescent="0.25">
      <c r="A86">
        <f t="shared" si="10"/>
        <v>16</v>
      </c>
      <c r="B86" s="22" t="str">
        <f t="shared" si="11"/>
        <v>Child Functioning -- Child #1</v>
      </c>
      <c r="C86" s="22" t="str">
        <f t="shared" si="16"/>
        <v>1</v>
      </c>
      <c r="D86" s="22" t="str">
        <f t="shared" si="17"/>
        <v/>
      </c>
      <c r="E86" s="22">
        <f t="shared" si="18"/>
        <v>1</v>
      </c>
      <c r="F86" s="22">
        <f t="shared" si="19"/>
        <v>77</v>
      </c>
      <c r="G86" s="22" t="str">
        <f t="shared" si="12"/>
        <v>Recreation / Play</v>
      </c>
      <c r="H86" s="22" t="str">
        <f t="shared" si="20"/>
        <v>Recreation / Play1</v>
      </c>
      <c r="I86" s="20" t="e">
        <f t="shared" si="13"/>
        <v>#N/A</v>
      </c>
      <c r="J86" s="20" t="e">
        <f t="shared" si="14"/>
        <v>#N/A</v>
      </c>
      <c r="K86" s="20" t="e">
        <f t="shared" si="15"/>
        <v>#N/A</v>
      </c>
    </row>
    <row r="87" spans="1:11" x14ac:dyDescent="0.25">
      <c r="A87">
        <f t="shared" si="10"/>
        <v>17</v>
      </c>
      <c r="B87" s="22" t="str">
        <f t="shared" si="11"/>
        <v>Child Functioning -- Child #1</v>
      </c>
      <c r="C87" s="22" t="str">
        <f t="shared" si="16"/>
        <v>1</v>
      </c>
      <c r="D87" s="22" t="str">
        <f t="shared" si="17"/>
        <v/>
      </c>
      <c r="E87" s="22">
        <f t="shared" si="18"/>
        <v>1</v>
      </c>
      <c r="F87" s="22">
        <f t="shared" si="19"/>
        <v>78</v>
      </c>
      <c r="G87" s="22" t="str">
        <f t="shared" si="12"/>
        <v>Attachment – Birth to 5</v>
      </c>
      <c r="H87" s="22" t="str">
        <f t="shared" si="20"/>
        <v>Attachment – Birth to 51</v>
      </c>
      <c r="I87" s="20" t="e">
        <f t="shared" si="13"/>
        <v>#N/A</v>
      </c>
      <c r="J87" s="20" t="e">
        <f t="shared" si="14"/>
        <v>#N/A</v>
      </c>
      <c r="K87" s="20" t="e">
        <f t="shared" si="15"/>
        <v>#N/A</v>
      </c>
    </row>
    <row r="88" spans="1:11" x14ac:dyDescent="0.25">
      <c r="A88">
        <f t="shared" si="10"/>
        <v>18</v>
      </c>
      <c r="B88" s="22" t="str">
        <f t="shared" si="11"/>
        <v>Child Functioning -- Child #1</v>
      </c>
      <c r="C88" s="22" t="str">
        <f t="shared" si="16"/>
        <v>1</v>
      </c>
      <c r="D88" s="22" t="str">
        <f t="shared" si="17"/>
        <v/>
      </c>
      <c r="E88" s="22">
        <f t="shared" si="18"/>
        <v>1</v>
      </c>
      <c r="F88" s="22">
        <f t="shared" si="19"/>
        <v>79</v>
      </c>
      <c r="G88" s="22" t="str">
        <f t="shared" si="12"/>
        <v>Relationship with Biological Mother</v>
      </c>
      <c r="H88" s="22" t="str">
        <f t="shared" si="20"/>
        <v>Relationship with Biological Mother1</v>
      </c>
      <c r="I88" s="20" t="e">
        <f t="shared" si="13"/>
        <v>#N/A</v>
      </c>
      <c r="J88" s="20" t="e">
        <f t="shared" si="14"/>
        <v>#N/A</v>
      </c>
      <c r="K88" s="20" t="e">
        <f t="shared" si="15"/>
        <v>#N/A</v>
      </c>
    </row>
    <row r="89" spans="1:11" x14ac:dyDescent="0.25">
      <c r="A89">
        <f t="shared" si="10"/>
        <v>19</v>
      </c>
      <c r="B89" s="22" t="str">
        <f t="shared" si="11"/>
        <v>Child Functioning -- Child #1</v>
      </c>
      <c r="C89" s="22" t="str">
        <f t="shared" si="16"/>
        <v>1</v>
      </c>
      <c r="D89" s="22" t="str">
        <f t="shared" si="17"/>
        <v/>
      </c>
      <c r="E89" s="22">
        <f t="shared" si="18"/>
        <v>1</v>
      </c>
      <c r="F89" s="22">
        <f t="shared" si="19"/>
        <v>80</v>
      </c>
      <c r="G89" s="22" t="str">
        <f t="shared" si="12"/>
        <v>Relationship with Biological Father</v>
      </c>
      <c r="H89" s="22" t="str">
        <f t="shared" si="20"/>
        <v>Relationship with Biological Father1</v>
      </c>
      <c r="I89" s="20" t="e">
        <f t="shared" si="13"/>
        <v>#N/A</v>
      </c>
      <c r="J89" s="20" t="e">
        <f t="shared" si="14"/>
        <v>#N/A</v>
      </c>
      <c r="K89" s="20" t="e">
        <f t="shared" si="15"/>
        <v>#N/A</v>
      </c>
    </row>
    <row r="90" spans="1:11" x14ac:dyDescent="0.25">
      <c r="A90">
        <f t="shared" si="10"/>
        <v>20</v>
      </c>
      <c r="B90" s="22" t="str">
        <f t="shared" si="11"/>
        <v>Child Functioning -- Child #1</v>
      </c>
      <c r="C90" s="22" t="str">
        <f t="shared" si="16"/>
        <v>1</v>
      </c>
      <c r="D90" s="22" t="str">
        <f t="shared" si="17"/>
        <v/>
      </c>
      <c r="E90" s="22">
        <f t="shared" si="18"/>
        <v>1</v>
      </c>
      <c r="F90" s="22">
        <f t="shared" si="19"/>
        <v>81</v>
      </c>
      <c r="G90" s="22" t="str">
        <f t="shared" si="12"/>
        <v>Relationship with Primary Caregiver</v>
      </c>
      <c r="H90" s="22" t="str">
        <f t="shared" si="20"/>
        <v>Relationship with Primary Caregiver1</v>
      </c>
      <c r="I90" s="20" t="e">
        <f t="shared" si="13"/>
        <v>#N/A</v>
      </c>
      <c r="J90" s="20" t="e">
        <f t="shared" si="14"/>
        <v>#N/A</v>
      </c>
      <c r="K90" s="20" t="e">
        <f t="shared" si="15"/>
        <v>#N/A</v>
      </c>
    </row>
    <row r="91" spans="1:11" x14ac:dyDescent="0.25">
      <c r="A91">
        <f t="shared" si="10"/>
        <v>21</v>
      </c>
      <c r="B91" s="22" t="str">
        <f t="shared" si="11"/>
        <v>Child Functioning -- Child #1</v>
      </c>
      <c r="C91" s="22" t="str">
        <f t="shared" si="16"/>
        <v>1</v>
      </c>
      <c r="D91" s="22" t="str">
        <f t="shared" si="17"/>
        <v/>
      </c>
      <c r="E91" s="22">
        <f t="shared" si="18"/>
        <v>1</v>
      </c>
      <c r="F91" s="22">
        <f t="shared" si="19"/>
        <v>82</v>
      </c>
      <c r="G91" s="22" t="str">
        <f t="shared" si="12"/>
        <v>Relationship with Other Family Adults</v>
      </c>
      <c r="H91" s="22" t="str">
        <f t="shared" si="20"/>
        <v>Relationship with Other Family Adults1</v>
      </c>
      <c r="I91" s="20" t="e">
        <f t="shared" si="13"/>
        <v>#N/A</v>
      </c>
      <c r="J91" s="20" t="e">
        <f t="shared" si="14"/>
        <v>#N/A</v>
      </c>
      <c r="K91" s="20" t="e">
        <f t="shared" si="15"/>
        <v>#N/A</v>
      </c>
    </row>
    <row r="92" spans="1:11" x14ac:dyDescent="0.25">
      <c r="A92">
        <f t="shared" si="10"/>
        <v>22</v>
      </c>
      <c r="B92" s="22" t="str">
        <f t="shared" si="11"/>
        <v>Child Functioning -- Child #1</v>
      </c>
      <c r="C92" s="22" t="str">
        <f t="shared" si="16"/>
        <v>1</v>
      </c>
      <c r="D92" s="22" t="str">
        <f t="shared" si="17"/>
        <v/>
      </c>
      <c r="E92" s="22">
        <f t="shared" si="18"/>
        <v>1</v>
      </c>
      <c r="F92" s="22">
        <f t="shared" si="19"/>
        <v>83</v>
      </c>
      <c r="G92" s="22" t="str">
        <f t="shared" si="12"/>
        <v>Relationship with Siblings</v>
      </c>
      <c r="H92" s="22" t="str">
        <f t="shared" si="20"/>
        <v>Relationship with Siblings1</v>
      </c>
      <c r="I92" s="20" t="e">
        <f t="shared" si="13"/>
        <v>#N/A</v>
      </c>
      <c r="J92" s="20" t="e">
        <f t="shared" si="14"/>
        <v>#N/A</v>
      </c>
      <c r="K92" s="20" t="e">
        <f t="shared" si="15"/>
        <v>#N/A</v>
      </c>
    </row>
    <row r="93" spans="1:11" x14ac:dyDescent="0.25">
      <c r="A93">
        <f t="shared" si="10"/>
        <v>23</v>
      </c>
      <c r="B93" s="22" t="str">
        <f t="shared" si="11"/>
        <v>Child Functioning -- Child #1</v>
      </c>
      <c r="C93" s="22" t="str">
        <f t="shared" si="16"/>
        <v>1</v>
      </c>
      <c r="D93" s="22" t="str">
        <f t="shared" si="17"/>
        <v/>
      </c>
      <c r="E93" s="22">
        <f t="shared" si="18"/>
        <v>1</v>
      </c>
      <c r="F93" s="22">
        <f t="shared" si="19"/>
        <v>84</v>
      </c>
      <c r="G93" s="22" t="str">
        <f t="shared" si="12"/>
        <v>Medical / Physical</v>
      </c>
      <c r="H93" s="22" t="str">
        <f t="shared" si="20"/>
        <v>Medical / Physical1</v>
      </c>
      <c r="I93" s="20" t="e">
        <f t="shared" si="13"/>
        <v>#N/A</v>
      </c>
      <c r="J93" s="20" t="e">
        <f t="shared" si="14"/>
        <v>#N/A</v>
      </c>
      <c r="K93" s="20" t="e">
        <f t="shared" si="15"/>
        <v>#N/A</v>
      </c>
    </row>
    <row r="94" spans="1:11" x14ac:dyDescent="0.25">
      <c r="A94">
        <f t="shared" si="10"/>
        <v>24</v>
      </c>
      <c r="B94" s="22" t="str">
        <f t="shared" si="11"/>
        <v>Child Functioning -- Child #1</v>
      </c>
      <c r="C94" s="22" t="str">
        <f t="shared" si="16"/>
        <v>1</v>
      </c>
      <c r="D94" s="22" t="str">
        <f t="shared" si="17"/>
        <v/>
      </c>
      <c r="E94" s="22">
        <f t="shared" si="18"/>
        <v>1</v>
      </c>
      <c r="F94" s="22">
        <f t="shared" si="19"/>
        <v>85</v>
      </c>
      <c r="G94" s="22" t="str">
        <f t="shared" si="12"/>
        <v>Sleeping</v>
      </c>
      <c r="H94" s="22" t="str">
        <f t="shared" si="20"/>
        <v>Sleeping1</v>
      </c>
      <c r="I94" s="20" t="e">
        <f t="shared" si="13"/>
        <v>#N/A</v>
      </c>
      <c r="J94" s="20" t="e">
        <f t="shared" si="14"/>
        <v>#N/A</v>
      </c>
      <c r="K94" s="20" t="e">
        <f t="shared" si="15"/>
        <v>#N/A</v>
      </c>
    </row>
    <row r="95" spans="1:11" x14ac:dyDescent="0.25">
      <c r="A95">
        <f t="shared" si="10"/>
        <v>25</v>
      </c>
      <c r="B95" s="22" t="str">
        <f t="shared" si="11"/>
        <v>Child Functioning -- Child #1</v>
      </c>
      <c r="C95" s="22" t="str">
        <f t="shared" si="16"/>
        <v>1</v>
      </c>
      <c r="D95" s="22" t="str">
        <f t="shared" si="17"/>
        <v/>
      </c>
      <c r="E95" s="22">
        <f t="shared" si="18"/>
        <v>1</v>
      </c>
      <c r="F95" s="22">
        <f t="shared" si="19"/>
        <v>86</v>
      </c>
      <c r="G95" s="22" t="str">
        <f t="shared" si="12"/>
        <v>Cognitive Skills</v>
      </c>
      <c r="H95" s="22" t="str">
        <f t="shared" si="20"/>
        <v>Cognitive Skills1</v>
      </c>
      <c r="I95" s="20" t="e">
        <f t="shared" si="13"/>
        <v>#N/A</v>
      </c>
      <c r="J95" s="20" t="e">
        <f t="shared" si="14"/>
        <v>#N/A</v>
      </c>
      <c r="K95" s="20" t="e">
        <f t="shared" si="15"/>
        <v>#N/A</v>
      </c>
    </row>
    <row r="96" spans="1:11" x14ac:dyDescent="0.25">
      <c r="A96">
        <f t="shared" si="10"/>
        <v>26</v>
      </c>
      <c r="B96" s="22" t="str">
        <f t="shared" si="11"/>
        <v>Child Functioning -- Child #1</v>
      </c>
      <c r="C96" s="22" t="str">
        <f t="shared" si="16"/>
        <v>1</v>
      </c>
      <c r="D96" s="22" t="str">
        <f t="shared" si="17"/>
        <v/>
      </c>
      <c r="E96" s="22">
        <f t="shared" si="18"/>
        <v>1</v>
      </c>
      <c r="F96" s="22">
        <f t="shared" si="19"/>
        <v>87</v>
      </c>
      <c r="G96" s="22" t="str">
        <f t="shared" si="12"/>
        <v>Social Functioning</v>
      </c>
      <c r="H96" s="22" t="str">
        <f t="shared" si="20"/>
        <v>Social Functioning1</v>
      </c>
      <c r="I96" s="20" t="e">
        <f t="shared" si="13"/>
        <v>#N/A</v>
      </c>
      <c r="J96" s="20" t="e">
        <f t="shared" si="14"/>
        <v>#N/A</v>
      </c>
      <c r="K96" s="20" t="e">
        <f t="shared" si="15"/>
        <v>#N/A</v>
      </c>
    </row>
    <row r="97" spans="1:11" x14ac:dyDescent="0.25">
      <c r="A97">
        <f t="shared" si="10"/>
        <v>27</v>
      </c>
      <c r="B97" s="22" t="str">
        <f t="shared" si="11"/>
        <v>Child Functioning -- Child #1</v>
      </c>
      <c r="C97" s="22" t="str">
        <f t="shared" si="16"/>
        <v>1</v>
      </c>
      <c r="D97" s="22" t="str">
        <f t="shared" si="17"/>
        <v/>
      </c>
      <c r="E97" s="22">
        <f t="shared" si="18"/>
        <v>1</v>
      </c>
      <c r="F97" s="22">
        <f t="shared" si="19"/>
        <v>88</v>
      </c>
      <c r="G97" s="22" t="str">
        <f t="shared" si="12"/>
        <v>Educational Status</v>
      </c>
      <c r="H97" s="22" t="str">
        <f t="shared" si="20"/>
        <v>Educational Status1</v>
      </c>
      <c r="I97" s="20" t="e">
        <f t="shared" si="13"/>
        <v>#N/A</v>
      </c>
      <c r="J97" s="20" t="e">
        <f t="shared" si="14"/>
        <v>#N/A</v>
      </c>
      <c r="K97" s="20" t="e">
        <f t="shared" si="15"/>
        <v>#N/A</v>
      </c>
    </row>
    <row r="98" spans="1:11" x14ac:dyDescent="0.25">
      <c r="A98">
        <f t="shared" si="10"/>
        <v>28</v>
      </c>
      <c r="B98" s="22" t="str">
        <f t="shared" si="11"/>
        <v>Child Functioning -- Child #1</v>
      </c>
      <c r="C98" s="22" t="str">
        <f t="shared" si="16"/>
        <v>1</v>
      </c>
      <c r="D98" s="22" t="str">
        <f t="shared" si="17"/>
        <v/>
      </c>
      <c r="E98" s="22">
        <f t="shared" si="18"/>
        <v>1</v>
      </c>
      <c r="F98" s="22">
        <f t="shared" si="19"/>
        <v>89</v>
      </c>
      <c r="G98" s="22" t="str">
        <f t="shared" si="12"/>
        <v>Risk Behaviors</v>
      </c>
      <c r="H98" s="22" t="str">
        <f t="shared" si="20"/>
        <v>Risk Behaviors1</v>
      </c>
      <c r="I98" s="20" t="e">
        <f t="shared" si="13"/>
        <v>#N/A</v>
      </c>
      <c r="J98" s="20" t="e">
        <f t="shared" si="14"/>
        <v>#N/A</v>
      </c>
      <c r="K98" s="20" t="e">
        <f t="shared" si="15"/>
        <v>#N/A</v>
      </c>
    </row>
    <row r="99" spans="1:11" x14ac:dyDescent="0.25">
      <c r="A99">
        <f t="shared" si="10"/>
        <v>29</v>
      </c>
      <c r="B99" s="22" t="str">
        <f t="shared" si="11"/>
        <v>Child Functioning -- Child #2</v>
      </c>
      <c r="C99" s="22" t="str">
        <f t="shared" si="16"/>
        <v>2</v>
      </c>
      <c r="D99" s="22" t="str">
        <f t="shared" si="17"/>
        <v/>
      </c>
      <c r="E99" s="22">
        <f t="shared" si="18"/>
        <v>1</v>
      </c>
      <c r="F99" s="22">
        <f t="shared" si="19"/>
        <v>90</v>
      </c>
      <c r="G99" s="22" t="str">
        <f t="shared" si="12"/>
        <v>Mental Health Needs</v>
      </c>
      <c r="H99" s="22" t="str">
        <f t="shared" si="20"/>
        <v>Mental Health Needs2</v>
      </c>
      <c r="I99" s="20" t="e">
        <f t="shared" si="13"/>
        <v>#N/A</v>
      </c>
      <c r="J99" s="20" t="e">
        <f t="shared" si="14"/>
        <v>#N/A</v>
      </c>
      <c r="K99" s="20" t="e">
        <f t="shared" si="15"/>
        <v>#N/A</v>
      </c>
    </row>
    <row r="100" spans="1:11" x14ac:dyDescent="0.25">
      <c r="A100">
        <f t="shared" si="10"/>
        <v>30</v>
      </c>
      <c r="B100" s="22" t="str">
        <f t="shared" si="11"/>
        <v>Child Functioning -- Child #2</v>
      </c>
      <c r="C100" s="22" t="str">
        <f t="shared" si="16"/>
        <v>2</v>
      </c>
      <c r="D100" s="22" t="str">
        <f t="shared" si="17"/>
        <v/>
      </c>
      <c r="E100" s="22">
        <f t="shared" si="18"/>
        <v>1</v>
      </c>
      <c r="F100" s="22">
        <f t="shared" si="19"/>
        <v>91</v>
      </c>
      <c r="G100" s="22" t="str">
        <f t="shared" si="12"/>
        <v>Adjustment to Trauma</v>
      </c>
      <c r="H100" s="22" t="str">
        <f t="shared" si="20"/>
        <v>Adjustment to Trauma2</v>
      </c>
      <c r="I100" s="20" t="e">
        <f t="shared" si="13"/>
        <v>#N/A</v>
      </c>
      <c r="J100" s="20" t="e">
        <f t="shared" si="14"/>
        <v>#N/A</v>
      </c>
      <c r="K100" s="20" t="e">
        <f t="shared" si="15"/>
        <v>#N/A</v>
      </c>
    </row>
    <row r="101" spans="1:11" x14ac:dyDescent="0.25">
      <c r="A101">
        <f t="shared" si="10"/>
        <v>31</v>
      </c>
      <c r="B101" s="22" t="str">
        <f t="shared" si="11"/>
        <v>Child Functioning -- Child #2</v>
      </c>
      <c r="C101" s="22" t="str">
        <f t="shared" si="16"/>
        <v>2</v>
      </c>
      <c r="D101" s="22" t="str">
        <f t="shared" si="17"/>
        <v/>
      </c>
      <c r="E101" s="22">
        <f t="shared" si="18"/>
        <v>1</v>
      </c>
      <c r="F101" s="22">
        <f t="shared" si="19"/>
        <v>92</v>
      </c>
      <c r="G101" s="22" t="str">
        <f t="shared" si="12"/>
        <v>Recreation / Play</v>
      </c>
      <c r="H101" s="22" t="str">
        <f t="shared" si="20"/>
        <v>Recreation / Play2</v>
      </c>
      <c r="I101" s="20" t="e">
        <f t="shared" si="13"/>
        <v>#N/A</v>
      </c>
      <c r="J101" s="20" t="e">
        <f t="shared" si="14"/>
        <v>#N/A</v>
      </c>
      <c r="K101" s="20" t="e">
        <f t="shared" si="15"/>
        <v>#N/A</v>
      </c>
    </row>
    <row r="102" spans="1:11" x14ac:dyDescent="0.25">
      <c r="A102">
        <f t="shared" si="10"/>
        <v>32</v>
      </c>
      <c r="B102" s="22" t="str">
        <f t="shared" si="11"/>
        <v>Child Functioning -- Child #2</v>
      </c>
      <c r="C102" s="22" t="str">
        <f t="shared" si="16"/>
        <v>2</v>
      </c>
      <c r="D102" s="22" t="str">
        <f t="shared" si="17"/>
        <v/>
      </c>
      <c r="E102" s="22">
        <f t="shared" si="18"/>
        <v>1</v>
      </c>
      <c r="F102" s="22">
        <f t="shared" si="19"/>
        <v>93</v>
      </c>
      <c r="G102" s="22" t="str">
        <f t="shared" si="12"/>
        <v>Attachment – Birth to 5</v>
      </c>
      <c r="H102" s="22" t="str">
        <f t="shared" si="20"/>
        <v>Attachment – Birth to 52</v>
      </c>
      <c r="I102" s="20" t="e">
        <f t="shared" si="13"/>
        <v>#N/A</v>
      </c>
      <c r="J102" s="20" t="e">
        <f t="shared" si="14"/>
        <v>#N/A</v>
      </c>
      <c r="K102" s="20" t="e">
        <f t="shared" si="15"/>
        <v>#N/A</v>
      </c>
    </row>
    <row r="103" spans="1:11" x14ac:dyDescent="0.25">
      <c r="A103">
        <f t="shared" si="10"/>
        <v>33</v>
      </c>
      <c r="B103" s="22" t="str">
        <f t="shared" si="11"/>
        <v>Child Functioning -- Child #2</v>
      </c>
      <c r="C103" s="22" t="str">
        <f t="shared" si="16"/>
        <v>2</v>
      </c>
      <c r="D103" s="22" t="str">
        <f t="shared" si="17"/>
        <v/>
      </c>
      <c r="E103" s="22">
        <f t="shared" si="18"/>
        <v>1</v>
      </c>
      <c r="F103" s="22">
        <f t="shared" si="19"/>
        <v>94</v>
      </c>
      <c r="G103" s="22" t="str">
        <f t="shared" si="12"/>
        <v>Relationship with Biological Mother</v>
      </c>
      <c r="H103" s="22" t="str">
        <f t="shared" si="20"/>
        <v>Relationship with Biological Mother2</v>
      </c>
      <c r="I103" s="20" t="e">
        <f t="shared" si="13"/>
        <v>#N/A</v>
      </c>
      <c r="J103" s="20" t="e">
        <f t="shared" si="14"/>
        <v>#N/A</v>
      </c>
      <c r="K103" s="20" t="e">
        <f t="shared" si="15"/>
        <v>#N/A</v>
      </c>
    </row>
    <row r="104" spans="1:11" x14ac:dyDescent="0.25">
      <c r="A104">
        <f t="shared" ref="A104:A135" si="21">IF(A103&lt;MAX(ItemNum), A103+1, "!!! Are past number of items !!!")</f>
        <v>34</v>
      </c>
      <c r="B104" s="22" t="str">
        <f t="shared" si="11"/>
        <v>Child Functioning -- Child #2</v>
      </c>
      <c r="C104" s="22" t="str">
        <f t="shared" si="16"/>
        <v>2</v>
      </c>
      <c r="D104" s="22" t="str">
        <f t="shared" si="17"/>
        <v/>
      </c>
      <c r="E104" s="22">
        <f t="shared" si="18"/>
        <v>1</v>
      </c>
      <c r="F104" s="22">
        <f t="shared" si="19"/>
        <v>95</v>
      </c>
      <c r="G104" s="22" t="str">
        <f t="shared" si="12"/>
        <v>Relationship with Biological Father</v>
      </c>
      <c r="H104" s="22" t="str">
        <f t="shared" si="20"/>
        <v>Relationship with Biological Father2</v>
      </c>
      <c r="I104" s="20" t="e">
        <f t="shared" si="13"/>
        <v>#N/A</v>
      </c>
      <c r="J104" s="20" t="e">
        <f t="shared" si="14"/>
        <v>#N/A</v>
      </c>
      <c r="K104" s="20" t="e">
        <f t="shared" si="15"/>
        <v>#N/A</v>
      </c>
    </row>
    <row r="105" spans="1:11" x14ac:dyDescent="0.25">
      <c r="A105">
        <f t="shared" si="21"/>
        <v>35</v>
      </c>
      <c r="B105" s="22" t="str">
        <f t="shared" si="11"/>
        <v>Child Functioning -- Child #2</v>
      </c>
      <c r="C105" s="22" t="str">
        <f t="shared" si="16"/>
        <v>2</v>
      </c>
      <c r="D105" s="22" t="str">
        <f t="shared" si="17"/>
        <v/>
      </c>
      <c r="E105" s="22">
        <f t="shared" si="18"/>
        <v>1</v>
      </c>
      <c r="F105" s="22">
        <f t="shared" si="19"/>
        <v>96</v>
      </c>
      <c r="G105" s="22" t="str">
        <f t="shared" si="12"/>
        <v>Relationship with Primary Caregiver</v>
      </c>
      <c r="H105" s="22" t="str">
        <f t="shared" si="20"/>
        <v>Relationship with Primary Caregiver2</v>
      </c>
      <c r="I105" s="20" t="e">
        <f t="shared" si="13"/>
        <v>#N/A</v>
      </c>
      <c r="J105" s="20" t="e">
        <f t="shared" si="14"/>
        <v>#N/A</v>
      </c>
      <c r="K105" s="20" t="e">
        <f t="shared" si="15"/>
        <v>#N/A</v>
      </c>
    </row>
    <row r="106" spans="1:11" x14ac:dyDescent="0.25">
      <c r="A106">
        <f t="shared" si="21"/>
        <v>36</v>
      </c>
      <c r="B106" s="22" t="str">
        <f t="shared" si="11"/>
        <v>Child Functioning -- Child #2</v>
      </c>
      <c r="C106" s="22" t="str">
        <f t="shared" si="16"/>
        <v>2</v>
      </c>
      <c r="D106" s="22" t="str">
        <f t="shared" si="17"/>
        <v/>
      </c>
      <c r="E106" s="22">
        <f t="shared" si="18"/>
        <v>1</v>
      </c>
      <c r="F106" s="22">
        <f t="shared" si="19"/>
        <v>97</v>
      </c>
      <c r="G106" s="22" t="str">
        <f t="shared" si="12"/>
        <v>Relationship with Other Family Adults</v>
      </c>
      <c r="H106" s="22" t="str">
        <f t="shared" si="20"/>
        <v>Relationship with Other Family Adults2</v>
      </c>
      <c r="I106" s="20" t="e">
        <f t="shared" si="13"/>
        <v>#N/A</v>
      </c>
      <c r="J106" s="20" t="e">
        <f t="shared" si="14"/>
        <v>#N/A</v>
      </c>
      <c r="K106" s="20" t="e">
        <f t="shared" si="15"/>
        <v>#N/A</v>
      </c>
    </row>
    <row r="107" spans="1:11" x14ac:dyDescent="0.25">
      <c r="A107">
        <f t="shared" si="21"/>
        <v>37</v>
      </c>
      <c r="B107" s="22" t="str">
        <f t="shared" si="11"/>
        <v>Child Functioning -- Child #2</v>
      </c>
      <c r="C107" s="22" t="str">
        <f t="shared" si="16"/>
        <v>2</v>
      </c>
      <c r="D107" s="22" t="str">
        <f t="shared" si="17"/>
        <v/>
      </c>
      <c r="E107" s="22">
        <f t="shared" si="18"/>
        <v>1</v>
      </c>
      <c r="F107" s="22">
        <f t="shared" si="19"/>
        <v>98</v>
      </c>
      <c r="G107" s="22" t="str">
        <f t="shared" si="12"/>
        <v>Relationship with Siblings</v>
      </c>
      <c r="H107" s="22" t="str">
        <f t="shared" si="20"/>
        <v>Relationship with Siblings2</v>
      </c>
      <c r="I107" s="20" t="e">
        <f t="shared" si="13"/>
        <v>#N/A</v>
      </c>
      <c r="J107" s="20" t="e">
        <f t="shared" si="14"/>
        <v>#N/A</v>
      </c>
      <c r="K107" s="20" t="e">
        <f t="shared" si="15"/>
        <v>#N/A</v>
      </c>
    </row>
    <row r="108" spans="1:11" x14ac:dyDescent="0.25">
      <c r="A108">
        <f t="shared" si="21"/>
        <v>38</v>
      </c>
      <c r="B108" s="22" t="str">
        <f t="shared" si="11"/>
        <v>Child Functioning -- Child #2</v>
      </c>
      <c r="C108" s="22" t="str">
        <f t="shared" si="16"/>
        <v>2</v>
      </c>
      <c r="D108" s="22" t="str">
        <f t="shared" si="17"/>
        <v/>
      </c>
      <c r="E108" s="22">
        <f t="shared" si="18"/>
        <v>1</v>
      </c>
      <c r="F108" s="22">
        <f t="shared" si="19"/>
        <v>99</v>
      </c>
      <c r="G108" s="22" t="str">
        <f t="shared" si="12"/>
        <v>Medical / Physical</v>
      </c>
      <c r="H108" s="22" t="str">
        <f t="shared" si="20"/>
        <v>Medical / Physical2</v>
      </c>
      <c r="I108" s="20" t="e">
        <f t="shared" si="13"/>
        <v>#N/A</v>
      </c>
      <c r="J108" s="20" t="e">
        <f t="shared" si="14"/>
        <v>#N/A</v>
      </c>
      <c r="K108" s="20" t="e">
        <f t="shared" si="15"/>
        <v>#N/A</v>
      </c>
    </row>
    <row r="109" spans="1:11" x14ac:dyDescent="0.25">
      <c r="A109">
        <f t="shared" si="21"/>
        <v>39</v>
      </c>
      <c r="B109" s="22" t="str">
        <f t="shared" si="11"/>
        <v>Child Functioning -- Child #2</v>
      </c>
      <c r="C109" s="22" t="str">
        <f t="shared" si="16"/>
        <v>2</v>
      </c>
      <c r="D109" s="22" t="str">
        <f t="shared" si="17"/>
        <v/>
      </c>
      <c r="E109" s="22">
        <f t="shared" si="18"/>
        <v>1</v>
      </c>
      <c r="F109" s="22">
        <f t="shared" si="19"/>
        <v>100</v>
      </c>
      <c r="G109" s="22" t="str">
        <f t="shared" si="12"/>
        <v>Sleeping</v>
      </c>
      <c r="H109" s="22" t="str">
        <f t="shared" si="20"/>
        <v>Sleeping2</v>
      </c>
      <c r="I109" s="20" t="e">
        <f t="shared" si="13"/>
        <v>#N/A</v>
      </c>
      <c r="J109" s="20" t="e">
        <f t="shared" si="14"/>
        <v>#N/A</v>
      </c>
      <c r="K109" s="20" t="e">
        <f t="shared" si="15"/>
        <v>#N/A</v>
      </c>
    </row>
    <row r="110" spans="1:11" x14ac:dyDescent="0.25">
      <c r="A110">
        <f t="shared" si="21"/>
        <v>40</v>
      </c>
      <c r="B110" s="22" t="str">
        <f t="shared" si="11"/>
        <v>Child Functioning -- Child #2</v>
      </c>
      <c r="C110" s="22" t="str">
        <f t="shared" si="16"/>
        <v>2</v>
      </c>
      <c r="D110" s="22" t="str">
        <f t="shared" si="17"/>
        <v/>
      </c>
      <c r="E110" s="22">
        <f t="shared" si="18"/>
        <v>1</v>
      </c>
      <c r="F110" s="22">
        <f t="shared" si="19"/>
        <v>101</v>
      </c>
      <c r="G110" s="22" t="str">
        <f t="shared" si="12"/>
        <v>Cognitive Skills</v>
      </c>
      <c r="H110" s="22" t="str">
        <f t="shared" si="20"/>
        <v>Cognitive Skills2</v>
      </c>
      <c r="I110" s="20" t="e">
        <f t="shared" si="13"/>
        <v>#N/A</v>
      </c>
      <c r="J110" s="20" t="e">
        <f t="shared" si="14"/>
        <v>#N/A</v>
      </c>
      <c r="K110" s="20" t="e">
        <f t="shared" si="15"/>
        <v>#N/A</v>
      </c>
    </row>
    <row r="111" spans="1:11" x14ac:dyDescent="0.25">
      <c r="A111">
        <f t="shared" si="21"/>
        <v>41</v>
      </c>
      <c r="B111" s="22" t="str">
        <f t="shared" si="11"/>
        <v>Child Functioning -- Child #2</v>
      </c>
      <c r="C111" s="22" t="str">
        <f t="shared" si="16"/>
        <v>2</v>
      </c>
      <c r="D111" s="22" t="str">
        <f t="shared" si="17"/>
        <v/>
      </c>
      <c r="E111" s="22">
        <f t="shared" si="18"/>
        <v>1</v>
      </c>
      <c r="F111" s="22">
        <f t="shared" si="19"/>
        <v>102</v>
      </c>
      <c r="G111" s="22" t="str">
        <f t="shared" si="12"/>
        <v>Social Functioning</v>
      </c>
      <c r="H111" s="22" t="str">
        <f t="shared" si="20"/>
        <v>Social Functioning2</v>
      </c>
      <c r="I111" s="20" t="e">
        <f t="shared" si="13"/>
        <v>#N/A</v>
      </c>
      <c r="J111" s="20" t="e">
        <f t="shared" si="14"/>
        <v>#N/A</v>
      </c>
      <c r="K111" s="20" t="e">
        <f t="shared" si="15"/>
        <v>#N/A</v>
      </c>
    </row>
    <row r="112" spans="1:11" x14ac:dyDescent="0.25">
      <c r="A112">
        <f t="shared" si="21"/>
        <v>42</v>
      </c>
      <c r="B112" s="22" t="str">
        <f t="shared" si="11"/>
        <v>Child Functioning -- Child #2</v>
      </c>
      <c r="C112" s="22" t="str">
        <f t="shared" si="16"/>
        <v>2</v>
      </c>
      <c r="D112" s="22" t="str">
        <f t="shared" si="17"/>
        <v/>
      </c>
      <c r="E112" s="22">
        <f t="shared" si="18"/>
        <v>1</v>
      </c>
      <c r="F112" s="22">
        <f t="shared" si="19"/>
        <v>103</v>
      </c>
      <c r="G112" s="22" t="str">
        <f t="shared" si="12"/>
        <v>Educational Status</v>
      </c>
      <c r="H112" s="22" t="str">
        <f t="shared" si="20"/>
        <v>Educational Status2</v>
      </c>
      <c r="I112" s="20" t="e">
        <f t="shared" si="13"/>
        <v>#N/A</v>
      </c>
      <c r="J112" s="20" t="e">
        <f t="shared" si="14"/>
        <v>#N/A</v>
      </c>
      <c r="K112" s="20" t="e">
        <f t="shared" si="15"/>
        <v>#N/A</v>
      </c>
    </row>
    <row r="113" spans="1:11" x14ac:dyDescent="0.25">
      <c r="A113">
        <f t="shared" si="21"/>
        <v>43</v>
      </c>
      <c r="B113" s="22" t="str">
        <f t="shared" si="11"/>
        <v>Child Functioning -- Child #2</v>
      </c>
      <c r="C113" s="22" t="str">
        <f t="shared" si="16"/>
        <v>2</v>
      </c>
      <c r="D113" s="22" t="str">
        <f t="shared" si="17"/>
        <v/>
      </c>
      <c r="E113" s="22">
        <f t="shared" si="18"/>
        <v>1</v>
      </c>
      <c r="F113" s="22">
        <f t="shared" si="19"/>
        <v>104</v>
      </c>
      <c r="G113" s="22" t="str">
        <f t="shared" si="12"/>
        <v>Risk Behaviors</v>
      </c>
      <c r="H113" s="22" t="str">
        <f t="shared" si="20"/>
        <v>Risk Behaviors2</v>
      </c>
      <c r="I113" s="20" t="e">
        <f t="shared" si="13"/>
        <v>#N/A</v>
      </c>
      <c r="J113" s="20" t="e">
        <f t="shared" si="14"/>
        <v>#N/A</v>
      </c>
      <c r="K113" s="20" t="e">
        <f t="shared" si="15"/>
        <v>#N/A</v>
      </c>
    </row>
    <row r="114" spans="1:11" x14ac:dyDescent="0.25">
      <c r="A114">
        <f t="shared" si="21"/>
        <v>44</v>
      </c>
      <c r="B114" s="22" t="str">
        <f t="shared" si="11"/>
        <v>Child Functioning -- Child #3</v>
      </c>
      <c r="C114" s="22" t="str">
        <f t="shared" si="16"/>
        <v>3</v>
      </c>
      <c r="D114" s="22" t="str">
        <f t="shared" si="17"/>
        <v/>
      </c>
      <c r="E114" s="22">
        <f t="shared" si="18"/>
        <v>1</v>
      </c>
      <c r="F114" s="22">
        <f t="shared" si="19"/>
        <v>105</v>
      </c>
      <c r="G114" s="22" t="str">
        <f t="shared" si="12"/>
        <v>Mental Health Needs</v>
      </c>
      <c r="H114" s="22" t="str">
        <f t="shared" si="20"/>
        <v>Mental Health Needs3</v>
      </c>
      <c r="I114" s="20" t="e">
        <f t="shared" si="13"/>
        <v>#N/A</v>
      </c>
      <c r="J114" s="20" t="e">
        <f t="shared" si="14"/>
        <v>#N/A</v>
      </c>
      <c r="K114" s="20" t="e">
        <f t="shared" si="15"/>
        <v>#N/A</v>
      </c>
    </row>
    <row r="115" spans="1:11" x14ac:dyDescent="0.25">
      <c r="A115">
        <f t="shared" si="21"/>
        <v>45</v>
      </c>
      <c r="B115" s="22" t="str">
        <f t="shared" si="11"/>
        <v>Child Functioning -- Child #3</v>
      </c>
      <c r="C115" s="22" t="str">
        <f t="shared" si="16"/>
        <v>3</v>
      </c>
      <c r="D115" s="22" t="str">
        <f t="shared" si="17"/>
        <v/>
      </c>
      <c r="E115" s="22">
        <f t="shared" si="18"/>
        <v>1</v>
      </c>
      <c r="F115" s="22">
        <f t="shared" si="19"/>
        <v>106</v>
      </c>
      <c r="G115" s="22" t="str">
        <f t="shared" si="12"/>
        <v>Adjustment to Trauma</v>
      </c>
      <c r="H115" s="22" t="str">
        <f t="shared" si="20"/>
        <v>Adjustment to Trauma3</v>
      </c>
      <c r="I115" s="20" t="e">
        <f t="shared" si="13"/>
        <v>#N/A</v>
      </c>
      <c r="J115" s="20" t="e">
        <f t="shared" si="14"/>
        <v>#N/A</v>
      </c>
      <c r="K115" s="20" t="e">
        <f t="shared" si="15"/>
        <v>#N/A</v>
      </c>
    </row>
    <row r="116" spans="1:11" x14ac:dyDescent="0.25">
      <c r="A116">
        <f t="shared" si="21"/>
        <v>46</v>
      </c>
      <c r="B116" s="22" t="str">
        <f t="shared" si="11"/>
        <v>Child Functioning -- Child #3</v>
      </c>
      <c r="C116" s="22" t="str">
        <f t="shared" si="16"/>
        <v>3</v>
      </c>
      <c r="D116" s="22" t="str">
        <f t="shared" si="17"/>
        <v/>
      </c>
      <c r="E116" s="22">
        <f t="shared" si="18"/>
        <v>1</v>
      </c>
      <c r="F116" s="22">
        <f t="shared" si="19"/>
        <v>107</v>
      </c>
      <c r="G116" s="22" t="str">
        <f t="shared" si="12"/>
        <v>Recreation / Play</v>
      </c>
      <c r="H116" s="22" t="str">
        <f t="shared" si="20"/>
        <v>Recreation / Play3</v>
      </c>
      <c r="I116" s="20" t="e">
        <f t="shared" si="13"/>
        <v>#N/A</v>
      </c>
      <c r="J116" s="20" t="e">
        <f t="shared" si="14"/>
        <v>#N/A</v>
      </c>
      <c r="K116" s="20" t="e">
        <f t="shared" si="15"/>
        <v>#N/A</v>
      </c>
    </row>
    <row r="117" spans="1:11" x14ac:dyDescent="0.25">
      <c r="A117">
        <f t="shared" si="21"/>
        <v>47</v>
      </c>
      <c r="B117" s="22" t="str">
        <f t="shared" si="11"/>
        <v>Child Functioning -- Child #3</v>
      </c>
      <c r="C117" s="22" t="str">
        <f t="shared" si="16"/>
        <v>3</v>
      </c>
      <c r="D117" s="22" t="str">
        <f t="shared" si="17"/>
        <v/>
      </c>
      <c r="E117" s="22">
        <f t="shared" si="18"/>
        <v>1</v>
      </c>
      <c r="F117" s="22">
        <f t="shared" si="19"/>
        <v>108</v>
      </c>
      <c r="G117" s="22" t="str">
        <f t="shared" si="12"/>
        <v>Attachment – Birth to 5</v>
      </c>
      <c r="H117" s="22" t="str">
        <f t="shared" si="20"/>
        <v>Attachment – Birth to 53</v>
      </c>
      <c r="I117" s="20" t="e">
        <f t="shared" si="13"/>
        <v>#N/A</v>
      </c>
      <c r="J117" s="20" t="e">
        <f t="shared" si="14"/>
        <v>#N/A</v>
      </c>
      <c r="K117" s="20" t="e">
        <f t="shared" si="15"/>
        <v>#N/A</v>
      </c>
    </row>
    <row r="118" spans="1:11" x14ac:dyDescent="0.25">
      <c r="A118">
        <f t="shared" si="21"/>
        <v>48</v>
      </c>
      <c r="B118" s="22" t="str">
        <f t="shared" si="11"/>
        <v>Child Functioning -- Child #3</v>
      </c>
      <c r="C118" s="22" t="str">
        <f t="shared" si="16"/>
        <v>3</v>
      </c>
      <c r="D118" s="22" t="str">
        <f t="shared" si="17"/>
        <v/>
      </c>
      <c r="E118" s="22">
        <f t="shared" si="18"/>
        <v>1</v>
      </c>
      <c r="F118" s="22">
        <f t="shared" si="19"/>
        <v>109</v>
      </c>
      <c r="G118" s="22" t="str">
        <f t="shared" si="12"/>
        <v>Relationship with Biological Mother</v>
      </c>
      <c r="H118" s="22" t="str">
        <f t="shared" si="20"/>
        <v>Relationship with Biological Mother3</v>
      </c>
      <c r="I118" s="20" t="e">
        <f t="shared" si="13"/>
        <v>#N/A</v>
      </c>
      <c r="J118" s="20" t="e">
        <f t="shared" si="14"/>
        <v>#N/A</v>
      </c>
      <c r="K118" s="20" t="e">
        <f t="shared" si="15"/>
        <v>#N/A</v>
      </c>
    </row>
    <row r="119" spans="1:11" x14ac:dyDescent="0.25">
      <c r="A119">
        <f t="shared" si="21"/>
        <v>49</v>
      </c>
      <c r="B119" s="22" t="str">
        <f t="shared" si="11"/>
        <v>Child Functioning -- Child #3</v>
      </c>
      <c r="C119" s="22" t="str">
        <f t="shared" si="16"/>
        <v>3</v>
      </c>
      <c r="D119" s="22" t="str">
        <f t="shared" si="17"/>
        <v/>
      </c>
      <c r="E119" s="22">
        <f t="shared" si="18"/>
        <v>1</v>
      </c>
      <c r="F119" s="22">
        <f t="shared" si="19"/>
        <v>110</v>
      </c>
      <c r="G119" s="22" t="str">
        <f t="shared" si="12"/>
        <v>Relationship with Biological Father</v>
      </c>
      <c r="H119" s="22" t="str">
        <f t="shared" si="20"/>
        <v>Relationship with Biological Father3</v>
      </c>
      <c r="I119" s="20" t="e">
        <f t="shared" si="13"/>
        <v>#N/A</v>
      </c>
      <c r="J119" s="20" t="e">
        <f t="shared" si="14"/>
        <v>#N/A</v>
      </c>
      <c r="K119" s="20" t="e">
        <f t="shared" si="15"/>
        <v>#N/A</v>
      </c>
    </row>
    <row r="120" spans="1:11" x14ac:dyDescent="0.25">
      <c r="A120">
        <f t="shared" si="21"/>
        <v>50</v>
      </c>
      <c r="B120" s="22" t="str">
        <f t="shared" si="11"/>
        <v>Child Functioning -- Child #3</v>
      </c>
      <c r="C120" s="22" t="str">
        <f t="shared" si="16"/>
        <v>3</v>
      </c>
      <c r="D120" s="22" t="str">
        <f t="shared" si="17"/>
        <v/>
      </c>
      <c r="E120" s="22">
        <f t="shared" si="18"/>
        <v>1</v>
      </c>
      <c r="F120" s="22">
        <f t="shared" si="19"/>
        <v>111</v>
      </c>
      <c r="G120" s="22" t="str">
        <f t="shared" si="12"/>
        <v>Relationship with Primary Caregiver</v>
      </c>
      <c r="H120" s="22" t="str">
        <f t="shared" si="20"/>
        <v>Relationship with Primary Caregiver3</v>
      </c>
      <c r="I120" s="20" t="e">
        <f t="shared" si="13"/>
        <v>#N/A</v>
      </c>
      <c r="J120" s="20" t="e">
        <f t="shared" si="14"/>
        <v>#N/A</v>
      </c>
      <c r="K120" s="20" t="e">
        <f t="shared" si="15"/>
        <v>#N/A</v>
      </c>
    </row>
    <row r="121" spans="1:11" x14ac:dyDescent="0.25">
      <c r="A121">
        <f t="shared" si="21"/>
        <v>51</v>
      </c>
      <c r="B121" s="22" t="str">
        <f t="shared" si="11"/>
        <v>Child Functioning -- Child #3</v>
      </c>
      <c r="C121" s="22" t="str">
        <f t="shared" si="16"/>
        <v>3</v>
      </c>
      <c r="D121" s="22" t="str">
        <f t="shared" si="17"/>
        <v/>
      </c>
      <c r="E121" s="22">
        <f t="shared" si="18"/>
        <v>1</v>
      </c>
      <c r="F121" s="22">
        <f t="shared" si="19"/>
        <v>112</v>
      </c>
      <c r="G121" s="22" t="str">
        <f t="shared" si="12"/>
        <v>Relationship with Other Family Adults</v>
      </c>
      <c r="H121" s="22" t="str">
        <f t="shared" si="20"/>
        <v>Relationship with Other Family Adults3</v>
      </c>
      <c r="I121" s="20" t="e">
        <f t="shared" si="13"/>
        <v>#N/A</v>
      </c>
      <c r="J121" s="20" t="e">
        <f t="shared" si="14"/>
        <v>#N/A</v>
      </c>
      <c r="K121" s="20" t="e">
        <f t="shared" si="15"/>
        <v>#N/A</v>
      </c>
    </row>
    <row r="122" spans="1:11" x14ac:dyDescent="0.25">
      <c r="A122">
        <f t="shared" si="21"/>
        <v>52</v>
      </c>
      <c r="B122" s="22" t="str">
        <f t="shared" si="11"/>
        <v>Child Functioning -- Child #3</v>
      </c>
      <c r="C122" s="22" t="str">
        <f t="shared" si="16"/>
        <v>3</v>
      </c>
      <c r="D122" s="22" t="str">
        <f t="shared" si="17"/>
        <v/>
      </c>
      <c r="E122" s="22">
        <f t="shared" si="18"/>
        <v>1</v>
      </c>
      <c r="F122" s="22">
        <f t="shared" si="19"/>
        <v>113</v>
      </c>
      <c r="G122" s="22" t="str">
        <f t="shared" si="12"/>
        <v>Relationship with Siblings</v>
      </c>
      <c r="H122" s="22" t="str">
        <f t="shared" si="20"/>
        <v>Relationship with Siblings3</v>
      </c>
      <c r="I122" s="20" t="e">
        <f t="shared" si="13"/>
        <v>#N/A</v>
      </c>
      <c r="J122" s="20" t="e">
        <f t="shared" si="14"/>
        <v>#N/A</v>
      </c>
      <c r="K122" s="20" t="e">
        <f t="shared" si="15"/>
        <v>#N/A</v>
      </c>
    </row>
    <row r="123" spans="1:11" x14ac:dyDescent="0.25">
      <c r="A123">
        <f t="shared" si="21"/>
        <v>53</v>
      </c>
      <c r="B123" s="22" t="str">
        <f t="shared" si="11"/>
        <v>Child Functioning -- Child #3</v>
      </c>
      <c r="C123" s="22" t="str">
        <f t="shared" si="16"/>
        <v>3</v>
      </c>
      <c r="D123" s="22" t="str">
        <f t="shared" si="17"/>
        <v/>
      </c>
      <c r="E123" s="22">
        <f t="shared" si="18"/>
        <v>1</v>
      </c>
      <c r="F123" s="22">
        <f t="shared" si="19"/>
        <v>114</v>
      </c>
      <c r="G123" s="22" t="str">
        <f t="shared" si="12"/>
        <v>Medical / Physical</v>
      </c>
      <c r="H123" s="22" t="str">
        <f t="shared" si="20"/>
        <v>Medical / Physical3</v>
      </c>
      <c r="I123" s="20" t="e">
        <f t="shared" si="13"/>
        <v>#N/A</v>
      </c>
      <c r="J123" s="20" t="e">
        <f t="shared" si="14"/>
        <v>#N/A</v>
      </c>
      <c r="K123" s="20" t="e">
        <f t="shared" si="15"/>
        <v>#N/A</v>
      </c>
    </row>
    <row r="124" spans="1:11" x14ac:dyDescent="0.25">
      <c r="A124">
        <f t="shared" si="21"/>
        <v>54</v>
      </c>
      <c r="B124" s="22" t="str">
        <f t="shared" si="11"/>
        <v>Child Functioning -- Child #3</v>
      </c>
      <c r="C124" s="22" t="str">
        <f t="shared" si="16"/>
        <v>3</v>
      </c>
      <c r="D124" s="22" t="str">
        <f t="shared" si="17"/>
        <v/>
      </c>
      <c r="E124" s="22">
        <f t="shared" si="18"/>
        <v>1</v>
      </c>
      <c r="F124" s="22">
        <f t="shared" si="19"/>
        <v>115</v>
      </c>
      <c r="G124" s="22" t="str">
        <f t="shared" si="12"/>
        <v>Sleeping</v>
      </c>
      <c r="H124" s="22" t="str">
        <f t="shared" si="20"/>
        <v>Sleeping3</v>
      </c>
      <c r="I124" s="20" t="e">
        <f t="shared" si="13"/>
        <v>#N/A</v>
      </c>
      <c r="J124" s="20" t="e">
        <f t="shared" si="14"/>
        <v>#N/A</v>
      </c>
      <c r="K124" s="20" t="e">
        <f t="shared" si="15"/>
        <v>#N/A</v>
      </c>
    </row>
    <row r="125" spans="1:11" x14ac:dyDescent="0.25">
      <c r="A125">
        <f t="shared" si="21"/>
        <v>55</v>
      </c>
      <c r="B125" s="22" t="str">
        <f t="shared" si="11"/>
        <v>Child Functioning -- Child #3</v>
      </c>
      <c r="C125" s="22" t="str">
        <f t="shared" si="16"/>
        <v>3</v>
      </c>
      <c r="D125" s="22" t="str">
        <f t="shared" si="17"/>
        <v/>
      </c>
      <c r="E125" s="22">
        <f t="shared" si="18"/>
        <v>1</v>
      </c>
      <c r="F125" s="22">
        <f t="shared" si="19"/>
        <v>116</v>
      </c>
      <c r="G125" s="22" t="str">
        <f t="shared" si="12"/>
        <v>Cognitive Skills</v>
      </c>
      <c r="H125" s="22" t="str">
        <f t="shared" si="20"/>
        <v>Cognitive Skills3</v>
      </c>
      <c r="I125" s="20" t="e">
        <f t="shared" si="13"/>
        <v>#N/A</v>
      </c>
      <c r="J125" s="20" t="e">
        <f t="shared" si="14"/>
        <v>#N/A</v>
      </c>
      <c r="K125" s="20" t="e">
        <f t="shared" si="15"/>
        <v>#N/A</v>
      </c>
    </row>
    <row r="126" spans="1:11" x14ac:dyDescent="0.25">
      <c r="A126">
        <f t="shared" si="21"/>
        <v>56</v>
      </c>
      <c r="B126" s="22" t="str">
        <f t="shared" si="11"/>
        <v>Child Functioning -- Child #3</v>
      </c>
      <c r="C126" s="22" t="str">
        <f t="shared" si="16"/>
        <v>3</v>
      </c>
      <c r="D126" s="22" t="str">
        <f t="shared" si="17"/>
        <v/>
      </c>
      <c r="E126" s="22">
        <f t="shared" si="18"/>
        <v>1</v>
      </c>
      <c r="F126" s="22">
        <f t="shared" si="19"/>
        <v>117</v>
      </c>
      <c r="G126" s="22" t="str">
        <f t="shared" si="12"/>
        <v>Social Functioning</v>
      </c>
      <c r="H126" s="22" t="str">
        <f t="shared" si="20"/>
        <v>Social Functioning3</v>
      </c>
      <c r="I126" s="20" t="e">
        <f t="shared" si="13"/>
        <v>#N/A</v>
      </c>
      <c r="J126" s="20" t="e">
        <f t="shared" si="14"/>
        <v>#N/A</v>
      </c>
      <c r="K126" s="20" t="e">
        <f t="shared" si="15"/>
        <v>#N/A</v>
      </c>
    </row>
    <row r="127" spans="1:11" x14ac:dyDescent="0.25">
      <c r="A127">
        <f t="shared" si="21"/>
        <v>57</v>
      </c>
      <c r="B127" s="22" t="str">
        <f t="shared" si="11"/>
        <v>Child Functioning -- Child #3</v>
      </c>
      <c r="C127" s="22" t="str">
        <f t="shared" si="16"/>
        <v>3</v>
      </c>
      <c r="D127" s="22" t="str">
        <f t="shared" si="17"/>
        <v/>
      </c>
      <c r="E127" s="22">
        <f t="shared" si="18"/>
        <v>1</v>
      </c>
      <c r="F127" s="22">
        <f t="shared" si="19"/>
        <v>118</v>
      </c>
      <c r="G127" s="22" t="str">
        <f t="shared" si="12"/>
        <v>Educational Status</v>
      </c>
      <c r="H127" s="22" t="str">
        <f t="shared" si="20"/>
        <v>Educational Status3</v>
      </c>
      <c r="I127" s="20" t="e">
        <f t="shared" si="13"/>
        <v>#N/A</v>
      </c>
      <c r="J127" s="20" t="e">
        <f t="shared" si="14"/>
        <v>#N/A</v>
      </c>
      <c r="K127" s="20" t="e">
        <f t="shared" si="15"/>
        <v>#N/A</v>
      </c>
    </row>
    <row r="128" spans="1:11" x14ac:dyDescent="0.25">
      <c r="A128">
        <f t="shared" si="21"/>
        <v>58</v>
      </c>
      <c r="B128" s="22" t="str">
        <f t="shared" si="11"/>
        <v>Child Functioning -- Child #3</v>
      </c>
      <c r="C128" s="22" t="str">
        <f t="shared" si="16"/>
        <v>3</v>
      </c>
      <c r="D128" s="22" t="str">
        <f t="shared" si="17"/>
        <v/>
      </c>
      <c r="E128" s="22">
        <f t="shared" si="18"/>
        <v>1</v>
      </c>
      <c r="F128" s="22">
        <f t="shared" si="19"/>
        <v>119</v>
      </c>
      <c r="G128" s="22" t="str">
        <f t="shared" si="12"/>
        <v>Risk Behaviors</v>
      </c>
      <c r="H128" s="22" t="str">
        <f t="shared" si="20"/>
        <v>Risk Behaviors3</v>
      </c>
      <c r="I128" s="20" t="e">
        <f t="shared" si="13"/>
        <v>#N/A</v>
      </c>
      <c r="J128" s="20" t="e">
        <f t="shared" si="14"/>
        <v>#N/A</v>
      </c>
      <c r="K128" s="20" t="e">
        <f t="shared" si="15"/>
        <v>#N/A</v>
      </c>
    </row>
    <row r="129" spans="1:11" x14ac:dyDescent="0.25">
      <c r="A129">
        <f t="shared" si="21"/>
        <v>59</v>
      </c>
      <c r="B129" s="22" t="str">
        <f t="shared" si="11"/>
        <v>Child Functioning -- Child #4</v>
      </c>
      <c r="C129" s="22" t="str">
        <f t="shared" si="16"/>
        <v>4</v>
      </c>
      <c r="D129" s="22" t="str">
        <f t="shared" si="17"/>
        <v/>
      </c>
      <c r="E129" s="22">
        <f t="shared" si="18"/>
        <v>1</v>
      </c>
      <c r="F129" s="22">
        <f t="shared" si="19"/>
        <v>120</v>
      </c>
      <c r="G129" s="22" t="str">
        <f t="shared" si="12"/>
        <v>Mental Health Needs</v>
      </c>
      <c r="H129" s="22" t="str">
        <f t="shared" si="20"/>
        <v>Mental Health Needs4</v>
      </c>
      <c r="I129" s="20" t="e">
        <f t="shared" si="13"/>
        <v>#N/A</v>
      </c>
      <c r="J129" s="20" t="e">
        <f t="shared" si="14"/>
        <v>#N/A</v>
      </c>
      <c r="K129" s="20" t="e">
        <f t="shared" si="15"/>
        <v>#N/A</v>
      </c>
    </row>
    <row r="130" spans="1:11" x14ac:dyDescent="0.25">
      <c r="A130">
        <f t="shared" si="21"/>
        <v>60</v>
      </c>
      <c r="B130" s="22" t="str">
        <f t="shared" si="11"/>
        <v>Child Functioning -- Child #4</v>
      </c>
      <c r="C130" s="22" t="str">
        <f t="shared" si="16"/>
        <v>4</v>
      </c>
      <c r="D130" s="22" t="str">
        <f t="shared" si="17"/>
        <v/>
      </c>
      <c r="E130" s="22">
        <f t="shared" si="18"/>
        <v>1</v>
      </c>
      <c r="F130" s="22">
        <f t="shared" si="19"/>
        <v>121</v>
      </c>
      <c r="G130" s="22" t="str">
        <f t="shared" si="12"/>
        <v>Adjustment to Trauma</v>
      </c>
      <c r="H130" s="22" t="str">
        <f t="shared" si="20"/>
        <v>Adjustment to Trauma4</v>
      </c>
      <c r="I130" s="20" t="e">
        <f t="shared" si="13"/>
        <v>#N/A</v>
      </c>
      <c r="J130" s="20" t="e">
        <f t="shared" si="14"/>
        <v>#N/A</v>
      </c>
      <c r="K130" s="20" t="e">
        <f t="shared" si="15"/>
        <v>#N/A</v>
      </c>
    </row>
    <row r="131" spans="1:11" x14ac:dyDescent="0.25">
      <c r="A131">
        <f t="shared" si="21"/>
        <v>61</v>
      </c>
      <c r="B131" s="22" t="str">
        <f t="shared" si="11"/>
        <v>Child Functioning -- Child #4</v>
      </c>
      <c r="C131" s="22" t="str">
        <f t="shared" si="16"/>
        <v>4</v>
      </c>
      <c r="D131" s="22" t="str">
        <f t="shared" si="17"/>
        <v/>
      </c>
      <c r="E131" s="22">
        <f t="shared" si="18"/>
        <v>1</v>
      </c>
      <c r="F131" s="22">
        <f t="shared" si="19"/>
        <v>122</v>
      </c>
      <c r="G131" s="22" t="str">
        <f t="shared" si="12"/>
        <v>Recreation / Play</v>
      </c>
      <c r="H131" s="22" t="str">
        <f t="shared" si="20"/>
        <v>Recreation / Play4</v>
      </c>
      <c r="I131" s="20" t="e">
        <f t="shared" si="13"/>
        <v>#N/A</v>
      </c>
      <c r="J131" s="20" t="e">
        <f t="shared" si="14"/>
        <v>#N/A</v>
      </c>
      <c r="K131" s="20" t="e">
        <f t="shared" si="15"/>
        <v>#N/A</v>
      </c>
    </row>
    <row r="132" spans="1:11" x14ac:dyDescent="0.25">
      <c r="A132">
        <f t="shared" si="21"/>
        <v>62</v>
      </c>
      <c r="B132" s="22" t="str">
        <f t="shared" si="11"/>
        <v>Child Functioning -- Child #4</v>
      </c>
      <c r="C132" s="22" t="str">
        <f t="shared" si="16"/>
        <v>4</v>
      </c>
      <c r="D132" s="22" t="str">
        <f t="shared" si="17"/>
        <v/>
      </c>
      <c r="E132" s="22">
        <f t="shared" si="18"/>
        <v>1</v>
      </c>
      <c r="F132" s="22">
        <f t="shared" si="19"/>
        <v>123</v>
      </c>
      <c r="G132" s="22" t="str">
        <f t="shared" si="12"/>
        <v>Attachment – Birth to 5</v>
      </c>
      <c r="H132" s="22" t="str">
        <f t="shared" si="20"/>
        <v>Attachment – Birth to 54</v>
      </c>
      <c r="I132" s="20" t="e">
        <f t="shared" si="13"/>
        <v>#N/A</v>
      </c>
      <c r="J132" s="20" t="e">
        <f t="shared" si="14"/>
        <v>#N/A</v>
      </c>
      <c r="K132" s="20" t="e">
        <f t="shared" si="15"/>
        <v>#N/A</v>
      </c>
    </row>
    <row r="133" spans="1:11" x14ac:dyDescent="0.25">
      <c r="A133">
        <f t="shared" si="21"/>
        <v>63</v>
      </c>
      <c r="B133" s="22" t="str">
        <f t="shared" si="11"/>
        <v>Child Functioning -- Child #4</v>
      </c>
      <c r="C133" s="22" t="str">
        <f t="shared" si="16"/>
        <v>4</v>
      </c>
      <c r="D133" s="22" t="str">
        <f t="shared" si="17"/>
        <v/>
      </c>
      <c r="E133" s="22">
        <f t="shared" si="18"/>
        <v>1</v>
      </c>
      <c r="F133" s="22">
        <f t="shared" si="19"/>
        <v>124</v>
      </c>
      <c r="G133" s="22" t="str">
        <f t="shared" si="12"/>
        <v>Relationship with Biological Mother</v>
      </c>
      <c r="H133" s="22" t="str">
        <f t="shared" si="20"/>
        <v>Relationship with Biological Mother4</v>
      </c>
      <c r="I133" s="20" t="e">
        <f t="shared" si="13"/>
        <v>#N/A</v>
      </c>
      <c r="J133" s="20" t="e">
        <f t="shared" si="14"/>
        <v>#N/A</v>
      </c>
      <c r="K133" s="20" t="e">
        <f t="shared" si="15"/>
        <v>#N/A</v>
      </c>
    </row>
    <row r="134" spans="1:11" x14ac:dyDescent="0.25">
      <c r="A134">
        <f t="shared" si="21"/>
        <v>64</v>
      </c>
      <c r="B134" s="22" t="str">
        <f t="shared" si="11"/>
        <v>Child Functioning -- Child #4</v>
      </c>
      <c r="C134" s="22" t="str">
        <f t="shared" si="16"/>
        <v>4</v>
      </c>
      <c r="D134" s="22" t="str">
        <f t="shared" si="17"/>
        <v/>
      </c>
      <c r="E134" s="22">
        <f t="shared" si="18"/>
        <v>1</v>
      </c>
      <c r="F134" s="22">
        <f t="shared" si="19"/>
        <v>125</v>
      </c>
      <c r="G134" s="22" t="str">
        <f t="shared" si="12"/>
        <v>Relationship with Biological Father</v>
      </c>
      <c r="H134" s="22" t="str">
        <f t="shared" si="20"/>
        <v>Relationship with Biological Father4</v>
      </c>
      <c r="I134" s="20" t="e">
        <f t="shared" si="13"/>
        <v>#N/A</v>
      </c>
      <c r="J134" s="20" t="e">
        <f t="shared" si="14"/>
        <v>#N/A</v>
      </c>
      <c r="K134" s="20" t="e">
        <f t="shared" si="15"/>
        <v>#N/A</v>
      </c>
    </row>
    <row r="135" spans="1:11" x14ac:dyDescent="0.25">
      <c r="A135">
        <f t="shared" si="21"/>
        <v>65</v>
      </c>
      <c r="B135" s="22" t="str">
        <f t="shared" si="11"/>
        <v>Child Functioning -- Child #4</v>
      </c>
      <c r="C135" s="22" t="str">
        <f t="shared" si="16"/>
        <v>4</v>
      </c>
      <c r="D135" s="22" t="str">
        <f t="shared" si="17"/>
        <v/>
      </c>
      <c r="E135" s="22">
        <f t="shared" si="18"/>
        <v>1</v>
      </c>
      <c r="F135" s="22">
        <f t="shared" si="19"/>
        <v>126</v>
      </c>
      <c r="G135" s="22" t="str">
        <f t="shared" si="12"/>
        <v>Relationship with Primary Caregiver</v>
      </c>
      <c r="H135" s="22" t="str">
        <f t="shared" si="20"/>
        <v>Relationship with Primary Caregiver4</v>
      </c>
      <c r="I135" s="20" t="e">
        <f t="shared" si="13"/>
        <v>#N/A</v>
      </c>
      <c r="J135" s="20" t="e">
        <f t="shared" si="14"/>
        <v>#N/A</v>
      </c>
      <c r="K135" s="20" t="e">
        <f t="shared" si="15"/>
        <v>#N/A</v>
      </c>
    </row>
    <row r="136" spans="1:11" x14ac:dyDescent="0.25">
      <c r="A136">
        <f t="shared" ref="A136:A167" si="22">IF(A135&lt;MAX(ItemNum), A135+1, "!!! Are past number of items !!!")</f>
        <v>66</v>
      </c>
      <c r="B136" s="22" t="str">
        <f t="shared" si="11"/>
        <v>Child Functioning -- Child #4</v>
      </c>
      <c r="C136" s="22" t="str">
        <f t="shared" si="16"/>
        <v>4</v>
      </c>
      <c r="D136" s="22" t="str">
        <f t="shared" si="17"/>
        <v/>
      </c>
      <c r="E136" s="22">
        <f t="shared" si="18"/>
        <v>1</v>
      </c>
      <c r="F136" s="22">
        <f t="shared" si="19"/>
        <v>127</v>
      </c>
      <c r="G136" s="22" t="str">
        <f t="shared" si="12"/>
        <v>Relationship with Other Family Adults</v>
      </c>
      <c r="H136" s="22" t="str">
        <f t="shared" si="20"/>
        <v>Relationship with Other Family Adults4</v>
      </c>
      <c r="I136" s="20" t="e">
        <f t="shared" si="13"/>
        <v>#N/A</v>
      </c>
      <c r="J136" s="20" t="e">
        <f t="shared" si="14"/>
        <v>#N/A</v>
      </c>
      <c r="K136" s="20" t="e">
        <f t="shared" si="15"/>
        <v>#N/A</v>
      </c>
    </row>
    <row r="137" spans="1:11" x14ac:dyDescent="0.25">
      <c r="A137">
        <f t="shared" si="22"/>
        <v>67</v>
      </c>
      <c r="B137" s="22" t="str">
        <f t="shared" si="11"/>
        <v>Child Functioning -- Child #4</v>
      </c>
      <c r="C137" s="22" t="str">
        <f t="shared" si="16"/>
        <v>4</v>
      </c>
      <c r="D137" s="22" t="str">
        <f t="shared" si="17"/>
        <v/>
      </c>
      <c r="E137" s="22">
        <f t="shared" si="18"/>
        <v>1</v>
      </c>
      <c r="F137" s="22">
        <f t="shared" si="19"/>
        <v>128</v>
      </c>
      <c r="G137" s="22" t="str">
        <f t="shared" si="12"/>
        <v>Relationship with Siblings</v>
      </c>
      <c r="H137" s="22" t="str">
        <f t="shared" si="20"/>
        <v>Relationship with Siblings4</v>
      </c>
      <c r="I137" s="20" t="e">
        <f t="shared" si="13"/>
        <v>#N/A</v>
      </c>
      <c r="J137" s="20" t="e">
        <f t="shared" si="14"/>
        <v>#N/A</v>
      </c>
      <c r="K137" s="20" t="e">
        <f t="shared" si="15"/>
        <v>#N/A</v>
      </c>
    </row>
    <row r="138" spans="1:11" x14ac:dyDescent="0.25">
      <c r="A138">
        <f t="shared" si="22"/>
        <v>68</v>
      </c>
      <c r="B138" s="22" t="str">
        <f t="shared" ref="B138:B201" si="23">INDEX(ItemDomain, MATCH(F138, ItemNum, 0))</f>
        <v>Child Functioning -- Child #4</v>
      </c>
      <c r="C138" s="22" t="str">
        <f t="shared" si="16"/>
        <v>4</v>
      </c>
      <c r="D138" s="22" t="str">
        <f t="shared" si="17"/>
        <v/>
      </c>
      <c r="E138" s="22">
        <f t="shared" si="18"/>
        <v>1</v>
      </c>
      <c r="F138" s="22">
        <f t="shared" si="19"/>
        <v>129</v>
      </c>
      <c r="G138" s="22" t="str">
        <f t="shared" ref="G138:G201" si="24">INDEX(ItemShort, MATCH(F138, ItemNum, 0))</f>
        <v>Medical / Physical</v>
      </c>
      <c r="H138" s="22" t="str">
        <f t="shared" si="20"/>
        <v>Medical / Physical4</v>
      </c>
      <c r="I138" s="20" t="e">
        <f t="shared" ref="I138:I201" si="25">INDEX(Assess, MATCH($F138, ItemNum, 0), MATCH(dateAssess1, DatesRow, 0)+CHOOSE($E138, 0, 2, 3))&amp;""</f>
        <v>#N/A</v>
      </c>
      <c r="J138" s="20" t="e">
        <f t="shared" ref="J138:J201" si="26">INDEX(Assess, MATCH($F138, ItemNum, 0), MATCH(dateAssess2, DatesRow, 0)+CHOOSE($E138, 0, 2, 3))&amp;""</f>
        <v>#N/A</v>
      </c>
      <c r="K138" s="20" t="e">
        <f t="shared" ref="K138:K201" si="27">INDEX(Assess, MATCH($F138, ItemNum, 0), MATCH(dateAssess3, DatesRow, 0)+CHOOSE($E138, 0, 2, 3))&amp;""</f>
        <v>#N/A</v>
      </c>
    </row>
    <row r="139" spans="1:11" x14ac:dyDescent="0.25">
      <c r="A139">
        <f t="shared" si="22"/>
        <v>69</v>
      </c>
      <c r="B139" s="22" t="str">
        <f t="shared" si="23"/>
        <v>Child Functioning -- Child #4</v>
      </c>
      <c r="C139" s="22" t="str">
        <f t="shared" ref="C139:C202" si="28">IF(ISERROR(VALUE(RIGHT(B139))), "", RIGHT(B139))</f>
        <v>4</v>
      </c>
      <c r="D139" s="22" t="str">
        <f t="shared" ref="D139:D202" si="29">CHOOSE(E139, "", "US", "SB")</f>
        <v/>
      </c>
      <c r="E139" s="22">
        <f t="shared" ref="E139:E202" si="30">IF(F138=nItems, IF(E138=3, "DONE", E138+1), E138)</f>
        <v>1</v>
      </c>
      <c r="F139" s="22">
        <f t="shared" ref="F139:F202" si="31">IF(F138=nItems, IF(E138=3, "DONE", 1), F138+1)</f>
        <v>130</v>
      </c>
      <c r="G139" s="22" t="str">
        <f t="shared" si="24"/>
        <v>Sleeping</v>
      </c>
      <c r="H139" s="22" t="str">
        <f t="shared" ref="H139:H202" si="32">G139&amp;D139&amp;C139</f>
        <v>Sleeping4</v>
      </c>
      <c r="I139" s="20" t="e">
        <f t="shared" si="25"/>
        <v>#N/A</v>
      </c>
      <c r="J139" s="20" t="e">
        <f t="shared" si="26"/>
        <v>#N/A</v>
      </c>
      <c r="K139" s="20" t="e">
        <f t="shared" si="27"/>
        <v>#N/A</v>
      </c>
    </row>
    <row r="140" spans="1:11" x14ac:dyDescent="0.25">
      <c r="A140">
        <f t="shared" si="22"/>
        <v>70</v>
      </c>
      <c r="B140" s="22" t="str">
        <f t="shared" si="23"/>
        <v>Child Functioning -- Child #4</v>
      </c>
      <c r="C140" s="22" t="str">
        <f t="shared" si="28"/>
        <v>4</v>
      </c>
      <c r="D140" s="22" t="str">
        <f t="shared" si="29"/>
        <v/>
      </c>
      <c r="E140" s="22">
        <f t="shared" si="30"/>
        <v>1</v>
      </c>
      <c r="F140" s="22">
        <f t="shared" si="31"/>
        <v>131</v>
      </c>
      <c r="G140" s="22" t="str">
        <f t="shared" si="24"/>
        <v>Cognitive Skills</v>
      </c>
      <c r="H140" s="22" t="str">
        <f t="shared" si="32"/>
        <v>Cognitive Skills4</v>
      </c>
      <c r="I140" s="20" t="e">
        <f t="shared" si="25"/>
        <v>#N/A</v>
      </c>
      <c r="J140" s="20" t="e">
        <f t="shared" si="26"/>
        <v>#N/A</v>
      </c>
      <c r="K140" s="20" t="e">
        <f t="shared" si="27"/>
        <v>#N/A</v>
      </c>
    </row>
    <row r="141" spans="1:11" x14ac:dyDescent="0.25">
      <c r="A141">
        <f t="shared" si="22"/>
        <v>71</v>
      </c>
      <c r="B141" s="22" t="str">
        <f t="shared" si="23"/>
        <v>Child Functioning -- Child #4</v>
      </c>
      <c r="C141" s="22" t="str">
        <f t="shared" si="28"/>
        <v>4</v>
      </c>
      <c r="D141" s="22" t="str">
        <f t="shared" si="29"/>
        <v/>
      </c>
      <c r="E141" s="22">
        <f t="shared" si="30"/>
        <v>1</v>
      </c>
      <c r="F141" s="22">
        <f t="shared" si="31"/>
        <v>132</v>
      </c>
      <c r="G141" s="22" t="str">
        <f t="shared" si="24"/>
        <v>Social Functioning</v>
      </c>
      <c r="H141" s="22" t="str">
        <f t="shared" si="32"/>
        <v>Social Functioning4</v>
      </c>
      <c r="I141" s="20" t="e">
        <f t="shared" si="25"/>
        <v>#N/A</v>
      </c>
      <c r="J141" s="20" t="e">
        <f t="shared" si="26"/>
        <v>#N/A</v>
      </c>
      <c r="K141" s="20" t="e">
        <f t="shared" si="27"/>
        <v>#N/A</v>
      </c>
    </row>
    <row r="142" spans="1:11" x14ac:dyDescent="0.25">
      <c r="A142">
        <f t="shared" si="22"/>
        <v>72</v>
      </c>
      <c r="B142" s="22" t="str">
        <f t="shared" si="23"/>
        <v>Child Functioning -- Child #4</v>
      </c>
      <c r="C142" s="22" t="str">
        <f t="shared" si="28"/>
        <v>4</v>
      </c>
      <c r="D142" s="22" t="str">
        <f t="shared" si="29"/>
        <v/>
      </c>
      <c r="E142" s="22">
        <f t="shared" si="30"/>
        <v>1</v>
      </c>
      <c r="F142" s="22">
        <f t="shared" si="31"/>
        <v>133</v>
      </c>
      <c r="G142" s="22" t="str">
        <f t="shared" si="24"/>
        <v>Educational Status</v>
      </c>
      <c r="H142" s="22" t="str">
        <f t="shared" si="32"/>
        <v>Educational Status4</v>
      </c>
      <c r="I142" s="20" t="e">
        <f t="shared" si="25"/>
        <v>#N/A</v>
      </c>
      <c r="J142" s="20" t="e">
        <f t="shared" si="26"/>
        <v>#N/A</v>
      </c>
      <c r="K142" s="20" t="e">
        <f t="shared" si="27"/>
        <v>#N/A</v>
      </c>
    </row>
    <row r="143" spans="1:11" x14ac:dyDescent="0.25">
      <c r="A143">
        <f t="shared" si="22"/>
        <v>73</v>
      </c>
      <c r="B143" s="22" t="str">
        <f t="shared" si="23"/>
        <v>Child Functioning -- Child #4</v>
      </c>
      <c r="C143" s="22" t="str">
        <f t="shared" si="28"/>
        <v>4</v>
      </c>
      <c r="D143" s="22" t="str">
        <f t="shared" si="29"/>
        <v/>
      </c>
      <c r="E143" s="22">
        <f t="shared" si="30"/>
        <v>1</v>
      </c>
      <c r="F143" s="22">
        <f t="shared" si="31"/>
        <v>134</v>
      </c>
      <c r="G143" s="22" t="str">
        <f t="shared" si="24"/>
        <v>Risk Behaviors</v>
      </c>
      <c r="H143" s="22" t="str">
        <f t="shared" si="32"/>
        <v>Risk Behaviors4</v>
      </c>
      <c r="I143" s="20" t="e">
        <f t="shared" si="25"/>
        <v>#N/A</v>
      </c>
      <c r="J143" s="20" t="e">
        <f t="shared" si="26"/>
        <v>#N/A</v>
      </c>
      <c r="K143" s="20" t="e">
        <f t="shared" si="27"/>
        <v>#N/A</v>
      </c>
    </row>
    <row r="144" spans="1:11" x14ac:dyDescent="0.25">
      <c r="A144">
        <f t="shared" si="22"/>
        <v>74</v>
      </c>
      <c r="B144" s="22" t="str">
        <f t="shared" si="23"/>
        <v>Child Functioning -- Child #5</v>
      </c>
      <c r="C144" s="22" t="str">
        <f t="shared" si="28"/>
        <v>5</v>
      </c>
      <c r="D144" s="22" t="str">
        <f t="shared" si="29"/>
        <v/>
      </c>
      <c r="E144" s="22">
        <f t="shared" si="30"/>
        <v>1</v>
      </c>
      <c r="F144" s="22">
        <f t="shared" si="31"/>
        <v>135</v>
      </c>
      <c r="G144" s="22" t="str">
        <f t="shared" si="24"/>
        <v>Mental Health Needs</v>
      </c>
      <c r="H144" s="22" t="str">
        <f t="shared" si="32"/>
        <v>Mental Health Needs5</v>
      </c>
      <c r="I144" s="20" t="e">
        <f t="shared" si="25"/>
        <v>#N/A</v>
      </c>
      <c r="J144" s="20" t="e">
        <f t="shared" si="26"/>
        <v>#N/A</v>
      </c>
      <c r="K144" s="20" t="e">
        <f t="shared" si="27"/>
        <v>#N/A</v>
      </c>
    </row>
    <row r="145" spans="1:11" x14ac:dyDescent="0.25">
      <c r="A145">
        <f t="shared" si="22"/>
        <v>75</v>
      </c>
      <c r="B145" s="22" t="str">
        <f t="shared" si="23"/>
        <v>Child Functioning -- Child #5</v>
      </c>
      <c r="C145" s="22" t="str">
        <f t="shared" si="28"/>
        <v>5</v>
      </c>
      <c r="D145" s="22" t="str">
        <f t="shared" si="29"/>
        <v/>
      </c>
      <c r="E145" s="22">
        <f t="shared" si="30"/>
        <v>1</v>
      </c>
      <c r="F145" s="22">
        <f t="shared" si="31"/>
        <v>136</v>
      </c>
      <c r="G145" s="22" t="str">
        <f t="shared" si="24"/>
        <v>Adjustment to Trauma</v>
      </c>
      <c r="H145" s="22" t="str">
        <f t="shared" si="32"/>
        <v>Adjustment to Trauma5</v>
      </c>
      <c r="I145" s="20" t="e">
        <f t="shared" si="25"/>
        <v>#N/A</v>
      </c>
      <c r="J145" s="20" t="e">
        <f t="shared" si="26"/>
        <v>#N/A</v>
      </c>
      <c r="K145" s="20" t="e">
        <f t="shared" si="27"/>
        <v>#N/A</v>
      </c>
    </row>
    <row r="146" spans="1:11" x14ac:dyDescent="0.25">
      <c r="A146">
        <f t="shared" si="22"/>
        <v>76</v>
      </c>
      <c r="B146" s="22" t="str">
        <f t="shared" si="23"/>
        <v>Child Functioning -- Child #5</v>
      </c>
      <c r="C146" s="22" t="str">
        <f t="shared" si="28"/>
        <v>5</v>
      </c>
      <c r="D146" s="22" t="str">
        <f t="shared" si="29"/>
        <v/>
      </c>
      <c r="E146" s="22">
        <f t="shared" si="30"/>
        <v>1</v>
      </c>
      <c r="F146" s="22">
        <f t="shared" si="31"/>
        <v>137</v>
      </c>
      <c r="G146" s="22" t="str">
        <f t="shared" si="24"/>
        <v>Recreation / Play</v>
      </c>
      <c r="H146" s="22" t="str">
        <f t="shared" si="32"/>
        <v>Recreation / Play5</v>
      </c>
      <c r="I146" s="20" t="e">
        <f t="shared" si="25"/>
        <v>#N/A</v>
      </c>
      <c r="J146" s="20" t="e">
        <f t="shared" si="26"/>
        <v>#N/A</v>
      </c>
      <c r="K146" s="20" t="e">
        <f t="shared" si="27"/>
        <v>#N/A</v>
      </c>
    </row>
    <row r="147" spans="1:11" x14ac:dyDescent="0.25">
      <c r="A147">
        <f t="shared" si="22"/>
        <v>77</v>
      </c>
      <c r="B147" s="22" t="str">
        <f t="shared" si="23"/>
        <v>Child Functioning -- Child #5</v>
      </c>
      <c r="C147" s="22" t="str">
        <f t="shared" si="28"/>
        <v>5</v>
      </c>
      <c r="D147" s="22" t="str">
        <f t="shared" si="29"/>
        <v/>
      </c>
      <c r="E147" s="22">
        <f t="shared" si="30"/>
        <v>1</v>
      </c>
      <c r="F147" s="22">
        <f t="shared" si="31"/>
        <v>138</v>
      </c>
      <c r="G147" s="22" t="str">
        <f t="shared" si="24"/>
        <v>Attachment – Birth to 5</v>
      </c>
      <c r="H147" s="22" t="str">
        <f t="shared" si="32"/>
        <v>Attachment – Birth to 55</v>
      </c>
      <c r="I147" s="20" t="e">
        <f t="shared" si="25"/>
        <v>#N/A</v>
      </c>
      <c r="J147" s="20" t="e">
        <f t="shared" si="26"/>
        <v>#N/A</v>
      </c>
      <c r="K147" s="20" t="e">
        <f t="shared" si="27"/>
        <v>#N/A</v>
      </c>
    </row>
    <row r="148" spans="1:11" x14ac:dyDescent="0.25">
      <c r="A148">
        <f t="shared" si="22"/>
        <v>78</v>
      </c>
      <c r="B148" s="22" t="str">
        <f t="shared" si="23"/>
        <v>Child Functioning -- Child #5</v>
      </c>
      <c r="C148" s="22" t="str">
        <f t="shared" si="28"/>
        <v>5</v>
      </c>
      <c r="D148" s="22" t="str">
        <f t="shared" si="29"/>
        <v/>
      </c>
      <c r="E148" s="22">
        <f t="shared" si="30"/>
        <v>1</v>
      </c>
      <c r="F148" s="22">
        <f t="shared" si="31"/>
        <v>139</v>
      </c>
      <c r="G148" s="22" t="str">
        <f t="shared" si="24"/>
        <v>Relationship with Biological Mother</v>
      </c>
      <c r="H148" s="22" t="str">
        <f t="shared" si="32"/>
        <v>Relationship with Biological Mother5</v>
      </c>
      <c r="I148" s="20" t="e">
        <f t="shared" si="25"/>
        <v>#N/A</v>
      </c>
      <c r="J148" s="20" t="e">
        <f t="shared" si="26"/>
        <v>#N/A</v>
      </c>
      <c r="K148" s="20" t="e">
        <f t="shared" si="27"/>
        <v>#N/A</v>
      </c>
    </row>
    <row r="149" spans="1:11" x14ac:dyDescent="0.25">
      <c r="A149">
        <f t="shared" si="22"/>
        <v>79</v>
      </c>
      <c r="B149" s="22" t="str">
        <f t="shared" si="23"/>
        <v>Child Functioning -- Child #5</v>
      </c>
      <c r="C149" s="22" t="str">
        <f t="shared" si="28"/>
        <v>5</v>
      </c>
      <c r="D149" s="22" t="str">
        <f t="shared" si="29"/>
        <v/>
      </c>
      <c r="E149" s="22">
        <f t="shared" si="30"/>
        <v>1</v>
      </c>
      <c r="F149" s="22">
        <f t="shared" si="31"/>
        <v>140</v>
      </c>
      <c r="G149" s="22" t="str">
        <f t="shared" si="24"/>
        <v>Relationship with Biological Father</v>
      </c>
      <c r="H149" s="22" t="str">
        <f t="shared" si="32"/>
        <v>Relationship with Biological Father5</v>
      </c>
      <c r="I149" s="20" t="e">
        <f t="shared" si="25"/>
        <v>#N/A</v>
      </c>
      <c r="J149" s="20" t="e">
        <f t="shared" si="26"/>
        <v>#N/A</v>
      </c>
      <c r="K149" s="20" t="e">
        <f t="shared" si="27"/>
        <v>#N/A</v>
      </c>
    </row>
    <row r="150" spans="1:11" x14ac:dyDescent="0.25">
      <c r="A150">
        <f t="shared" si="22"/>
        <v>80</v>
      </c>
      <c r="B150" s="22" t="str">
        <f t="shared" si="23"/>
        <v>Child Functioning -- Child #5</v>
      </c>
      <c r="C150" s="22" t="str">
        <f t="shared" si="28"/>
        <v>5</v>
      </c>
      <c r="D150" s="22" t="str">
        <f t="shared" si="29"/>
        <v/>
      </c>
      <c r="E150" s="22">
        <f t="shared" si="30"/>
        <v>1</v>
      </c>
      <c r="F150" s="22">
        <f t="shared" si="31"/>
        <v>141</v>
      </c>
      <c r="G150" s="22" t="str">
        <f t="shared" si="24"/>
        <v>Relationship with Primary Caregiver</v>
      </c>
      <c r="H150" s="22" t="str">
        <f t="shared" si="32"/>
        <v>Relationship with Primary Caregiver5</v>
      </c>
      <c r="I150" s="20" t="e">
        <f t="shared" si="25"/>
        <v>#N/A</v>
      </c>
      <c r="J150" s="20" t="e">
        <f t="shared" si="26"/>
        <v>#N/A</v>
      </c>
      <c r="K150" s="20" t="e">
        <f t="shared" si="27"/>
        <v>#N/A</v>
      </c>
    </row>
    <row r="151" spans="1:11" x14ac:dyDescent="0.25">
      <c r="A151">
        <f t="shared" si="22"/>
        <v>81</v>
      </c>
      <c r="B151" s="22" t="str">
        <f t="shared" si="23"/>
        <v>Child Functioning -- Child #5</v>
      </c>
      <c r="C151" s="22" t="str">
        <f t="shared" si="28"/>
        <v>5</v>
      </c>
      <c r="D151" s="22" t="str">
        <f t="shared" si="29"/>
        <v/>
      </c>
      <c r="E151" s="22">
        <f t="shared" si="30"/>
        <v>1</v>
      </c>
      <c r="F151" s="22">
        <f t="shared" si="31"/>
        <v>142</v>
      </c>
      <c r="G151" s="22" t="str">
        <f t="shared" si="24"/>
        <v>Relationship with Other Family Adults</v>
      </c>
      <c r="H151" s="22" t="str">
        <f t="shared" si="32"/>
        <v>Relationship with Other Family Adults5</v>
      </c>
      <c r="I151" s="20" t="e">
        <f t="shared" si="25"/>
        <v>#N/A</v>
      </c>
      <c r="J151" s="20" t="e">
        <f t="shared" si="26"/>
        <v>#N/A</v>
      </c>
      <c r="K151" s="20" t="e">
        <f t="shared" si="27"/>
        <v>#N/A</v>
      </c>
    </row>
    <row r="152" spans="1:11" x14ac:dyDescent="0.25">
      <c r="A152">
        <f t="shared" si="22"/>
        <v>82</v>
      </c>
      <c r="B152" s="22" t="str">
        <f t="shared" si="23"/>
        <v>Child Functioning -- Child #5</v>
      </c>
      <c r="C152" s="22" t="str">
        <f t="shared" si="28"/>
        <v>5</v>
      </c>
      <c r="D152" s="22" t="str">
        <f t="shared" si="29"/>
        <v/>
      </c>
      <c r="E152" s="22">
        <f t="shared" si="30"/>
        <v>1</v>
      </c>
      <c r="F152" s="22">
        <f t="shared" si="31"/>
        <v>143</v>
      </c>
      <c r="G152" s="22" t="str">
        <f t="shared" si="24"/>
        <v>Relationship with Siblings</v>
      </c>
      <c r="H152" s="22" t="str">
        <f t="shared" si="32"/>
        <v>Relationship with Siblings5</v>
      </c>
      <c r="I152" s="20" t="e">
        <f t="shared" si="25"/>
        <v>#N/A</v>
      </c>
      <c r="J152" s="20" t="e">
        <f t="shared" si="26"/>
        <v>#N/A</v>
      </c>
      <c r="K152" s="20" t="e">
        <f t="shared" si="27"/>
        <v>#N/A</v>
      </c>
    </row>
    <row r="153" spans="1:11" x14ac:dyDescent="0.25">
      <c r="A153">
        <f t="shared" si="22"/>
        <v>83</v>
      </c>
      <c r="B153" s="22" t="str">
        <f t="shared" si="23"/>
        <v>Child Functioning -- Child #5</v>
      </c>
      <c r="C153" s="22" t="str">
        <f t="shared" si="28"/>
        <v>5</v>
      </c>
      <c r="D153" s="22" t="str">
        <f t="shared" si="29"/>
        <v/>
      </c>
      <c r="E153" s="22">
        <f t="shared" si="30"/>
        <v>1</v>
      </c>
      <c r="F153" s="22">
        <f t="shared" si="31"/>
        <v>144</v>
      </c>
      <c r="G153" s="22" t="str">
        <f t="shared" si="24"/>
        <v>Medical / Physical</v>
      </c>
      <c r="H153" s="22" t="str">
        <f t="shared" si="32"/>
        <v>Medical / Physical5</v>
      </c>
      <c r="I153" s="20" t="e">
        <f t="shared" si="25"/>
        <v>#N/A</v>
      </c>
      <c r="J153" s="20" t="e">
        <f t="shared" si="26"/>
        <v>#N/A</v>
      </c>
      <c r="K153" s="20" t="e">
        <f t="shared" si="27"/>
        <v>#N/A</v>
      </c>
    </row>
    <row r="154" spans="1:11" x14ac:dyDescent="0.25">
      <c r="A154">
        <f t="shared" si="22"/>
        <v>84</v>
      </c>
      <c r="B154" s="22" t="str">
        <f t="shared" si="23"/>
        <v>Child Functioning -- Child #5</v>
      </c>
      <c r="C154" s="22" t="str">
        <f t="shared" si="28"/>
        <v>5</v>
      </c>
      <c r="D154" s="22" t="str">
        <f t="shared" si="29"/>
        <v/>
      </c>
      <c r="E154" s="22">
        <f t="shared" si="30"/>
        <v>1</v>
      </c>
      <c r="F154" s="22">
        <f t="shared" si="31"/>
        <v>145</v>
      </c>
      <c r="G154" s="22" t="str">
        <f t="shared" si="24"/>
        <v>Sleeping</v>
      </c>
      <c r="H154" s="22" t="str">
        <f t="shared" si="32"/>
        <v>Sleeping5</v>
      </c>
      <c r="I154" s="20" t="e">
        <f t="shared" si="25"/>
        <v>#N/A</v>
      </c>
      <c r="J154" s="20" t="e">
        <f t="shared" si="26"/>
        <v>#N/A</v>
      </c>
      <c r="K154" s="20" t="e">
        <f t="shared" si="27"/>
        <v>#N/A</v>
      </c>
    </row>
    <row r="155" spans="1:11" x14ac:dyDescent="0.25">
      <c r="A155">
        <f t="shared" si="22"/>
        <v>85</v>
      </c>
      <c r="B155" s="22" t="str">
        <f t="shared" si="23"/>
        <v>Child Functioning -- Child #5</v>
      </c>
      <c r="C155" s="22" t="str">
        <f t="shared" si="28"/>
        <v>5</v>
      </c>
      <c r="D155" s="22" t="str">
        <f t="shared" si="29"/>
        <v/>
      </c>
      <c r="E155" s="22">
        <f t="shared" si="30"/>
        <v>1</v>
      </c>
      <c r="F155" s="22">
        <f t="shared" si="31"/>
        <v>146</v>
      </c>
      <c r="G155" s="22" t="str">
        <f t="shared" si="24"/>
        <v>Cognitive Skills</v>
      </c>
      <c r="H155" s="22" t="str">
        <f t="shared" si="32"/>
        <v>Cognitive Skills5</v>
      </c>
      <c r="I155" s="20" t="e">
        <f t="shared" si="25"/>
        <v>#N/A</v>
      </c>
      <c r="J155" s="20" t="e">
        <f t="shared" si="26"/>
        <v>#N/A</v>
      </c>
      <c r="K155" s="20" t="e">
        <f t="shared" si="27"/>
        <v>#N/A</v>
      </c>
    </row>
    <row r="156" spans="1:11" x14ac:dyDescent="0.25">
      <c r="A156">
        <f t="shared" si="22"/>
        <v>86</v>
      </c>
      <c r="B156" s="22" t="str">
        <f t="shared" si="23"/>
        <v>Child Functioning -- Child #5</v>
      </c>
      <c r="C156" s="22" t="str">
        <f t="shared" si="28"/>
        <v>5</v>
      </c>
      <c r="D156" s="22" t="str">
        <f t="shared" si="29"/>
        <v/>
      </c>
      <c r="E156" s="22">
        <f t="shared" si="30"/>
        <v>1</v>
      </c>
      <c r="F156" s="22">
        <f t="shared" si="31"/>
        <v>147</v>
      </c>
      <c r="G156" s="22" t="str">
        <f t="shared" si="24"/>
        <v>Social Functioning</v>
      </c>
      <c r="H156" s="22" t="str">
        <f t="shared" si="32"/>
        <v>Social Functioning5</v>
      </c>
      <c r="I156" s="20" t="e">
        <f t="shared" si="25"/>
        <v>#N/A</v>
      </c>
      <c r="J156" s="20" t="e">
        <f t="shared" si="26"/>
        <v>#N/A</v>
      </c>
      <c r="K156" s="20" t="e">
        <f t="shared" si="27"/>
        <v>#N/A</v>
      </c>
    </row>
    <row r="157" spans="1:11" x14ac:dyDescent="0.25">
      <c r="A157">
        <f t="shared" si="22"/>
        <v>87</v>
      </c>
      <c r="B157" s="22" t="str">
        <f t="shared" si="23"/>
        <v>Child Functioning -- Child #5</v>
      </c>
      <c r="C157" s="22" t="str">
        <f t="shared" si="28"/>
        <v>5</v>
      </c>
      <c r="D157" s="22" t="str">
        <f t="shared" si="29"/>
        <v/>
      </c>
      <c r="E157" s="22">
        <f t="shared" si="30"/>
        <v>1</v>
      </c>
      <c r="F157" s="22">
        <f t="shared" si="31"/>
        <v>148</v>
      </c>
      <c r="G157" s="22" t="str">
        <f t="shared" si="24"/>
        <v>Educational Status</v>
      </c>
      <c r="H157" s="22" t="str">
        <f t="shared" si="32"/>
        <v>Educational Status5</v>
      </c>
      <c r="I157" s="20" t="e">
        <f t="shared" si="25"/>
        <v>#N/A</v>
      </c>
      <c r="J157" s="20" t="e">
        <f t="shared" si="26"/>
        <v>#N/A</v>
      </c>
      <c r="K157" s="20" t="e">
        <f t="shared" si="27"/>
        <v>#N/A</v>
      </c>
    </row>
    <row r="158" spans="1:11" x14ac:dyDescent="0.25">
      <c r="A158">
        <f t="shared" si="22"/>
        <v>88</v>
      </c>
      <c r="B158" s="22" t="str">
        <f t="shared" si="23"/>
        <v>Child Functioning -- Child #5</v>
      </c>
      <c r="C158" s="22" t="str">
        <f t="shared" si="28"/>
        <v>5</v>
      </c>
      <c r="D158" s="22" t="str">
        <f t="shared" si="29"/>
        <v/>
      </c>
      <c r="E158" s="22">
        <f t="shared" si="30"/>
        <v>1</v>
      </c>
      <c r="F158" s="22">
        <f t="shared" si="31"/>
        <v>149</v>
      </c>
      <c r="G158" s="22" t="str">
        <f t="shared" si="24"/>
        <v>Risk Behaviors</v>
      </c>
      <c r="H158" s="22" t="str">
        <f t="shared" si="32"/>
        <v>Risk Behaviors5</v>
      </c>
      <c r="I158" s="20" t="e">
        <f t="shared" si="25"/>
        <v>#N/A</v>
      </c>
      <c r="J158" s="20" t="e">
        <f t="shared" si="26"/>
        <v>#N/A</v>
      </c>
      <c r="K158" s="20" t="e">
        <f t="shared" si="27"/>
        <v>#N/A</v>
      </c>
    </row>
    <row r="159" spans="1:11" x14ac:dyDescent="0.25">
      <c r="A159">
        <f t="shared" si="22"/>
        <v>89</v>
      </c>
      <c r="B159" s="22" t="str">
        <f t="shared" si="23"/>
        <v>Child Functioning -- Child #6</v>
      </c>
      <c r="C159" s="22" t="str">
        <f t="shared" si="28"/>
        <v>6</v>
      </c>
      <c r="D159" s="22" t="str">
        <f t="shared" si="29"/>
        <v/>
      </c>
      <c r="E159" s="22">
        <f t="shared" si="30"/>
        <v>1</v>
      </c>
      <c r="F159" s="22">
        <f t="shared" si="31"/>
        <v>150</v>
      </c>
      <c r="G159" s="22" t="str">
        <f t="shared" si="24"/>
        <v>Mental Health Needs</v>
      </c>
      <c r="H159" s="22" t="str">
        <f t="shared" si="32"/>
        <v>Mental Health Needs6</v>
      </c>
      <c r="I159" s="20" t="e">
        <f t="shared" si="25"/>
        <v>#N/A</v>
      </c>
      <c r="J159" s="20" t="e">
        <f t="shared" si="26"/>
        <v>#N/A</v>
      </c>
      <c r="K159" s="20" t="e">
        <f t="shared" si="27"/>
        <v>#N/A</v>
      </c>
    </row>
    <row r="160" spans="1:11" x14ac:dyDescent="0.25">
      <c r="A160">
        <f t="shared" si="22"/>
        <v>90</v>
      </c>
      <c r="B160" s="22" t="str">
        <f t="shared" si="23"/>
        <v>Child Functioning -- Child #6</v>
      </c>
      <c r="C160" s="22" t="str">
        <f t="shared" si="28"/>
        <v>6</v>
      </c>
      <c r="D160" s="22" t="str">
        <f t="shared" si="29"/>
        <v/>
      </c>
      <c r="E160" s="22">
        <f t="shared" si="30"/>
        <v>1</v>
      </c>
      <c r="F160" s="22">
        <f t="shared" si="31"/>
        <v>151</v>
      </c>
      <c r="G160" s="22" t="str">
        <f t="shared" si="24"/>
        <v>Adjustment to Trauma</v>
      </c>
      <c r="H160" s="22" t="str">
        <f t="shared" si="32"/>
        <v>Adjustment to Trauma6</v>
      </c>
      <c r="I160" s="20" t="e">
        <f t="shared" si="25"/>
        <v>#N/A</v>
      </c>
      <c r="J160" s="20" t="e">
        <f t="shared" si="26"/>
        <v>#N/A</v>
      </c>
      <c r="K160" s="20" t="e">
        <f t="shared" si="27"/>
        <v>#N/A</v>
      </c>
    </row>
    <row r="161" spans="1:11" x14ac:dyDescent="0.25">
      <c r="A161">
        <f t="shared" si="22"/>
        <v>91</v>
      </c>
      <c r="B161" s="22" t="str">
        <f t="shared" si="23"/>
        <v>Child Functioning -- Child #6</v>
      </c>
      <c r="C161" s="22" t="str">
        <f t="shared" si="28"/>
        <v>6</v>
      </c>
      <c r="D161" s="22" t="str">
        <f t="shared" si="29"/>
        <v/>
      </c>
      <c r="E161" s="22">
        <f t="shared" si="30"/>
        <v>1</v>
      </c>
      <c r="F161" s="22">
        <f t="shared" si="31"/>
        <v>152</v>
      </c>
      <c r="G161" s="22" t="str">
        <f t="shared" si="24"/>
        <v>Recreation / Play</v>
      </c>
      <c r="H161" s="22" t="str">
        <f t="shared" si="32"/>
        <v>Recreation / Play6</v>
      </c>
      <c r="I161" s="20" t="e">
        <f t="shared" si="25"/>
        <v>#N/A</v>
      </c>
      <c r="J161" s="20" t="e">
        <f t="shared" si="26"/>
        <v>#N/A</v>
      </c>
      <c r="K161" s="20" t="e">
        <f t="shared" si="27"/>
        <v>#N/A</v>
      </c>
    </row>
    <row r="162" spans="1:11" x14ac:dyDescent="0.25">
      <c r="A162">
        <f t="shared" si="22"/>
        <v>92</v>
      </c>
      <c r="B162" s="22" t="str">
        <f t="shared" si="23"/>
        <v>Child Functioning -- Child #6</v>
      </c>
      <c r="C162" s="22" t="str">
        <f t="shared" si="28"/>
        <v>6</v>
      </c>
      <c r="D162" s="22" t="str">
        <f t="shared" si="29"/>
        <v/>
      </c>
      <c r="E162" s="22">
        <f t="shared" si="30"/>
        <v>1</v>
      </c>
      <c r="F162" s="22">
        <f t="shared" si="31"/>
        <v>153</v>
      </c>
      <c r="G162" s="22" t="str">
        <f t="shared" si="24"/>
        <v>Attachment – Birth to 5</v>
      </c>
      <c r="H162" s="22" t="str">
        <f t="shared" si="32"/>
        <v>Attachment – Birth to 56</v>
      </c>
      <c r="I162" s="20" t="e">
        <f t="shared" si="25"/>
        <v>#N/A</v>
      </c>
      <c r="J162" s="20" t="e">
        <f t="shared" si="26"/>
        <v>#N/A</v>
      </c>
      <c r="K162" s="20" t="e">
        <f t="shared" si="27"/>
        <v>#N/A</v>
      </c>
    </row>
    <row r="163" spans="1:11" x14ac:dyDescent="0.25">
      <c r="A163">
        <f t="shared" si="22"/>
        <v>93</v>
      </c>
      <c r="B163" s="22" t="str">
        <f t="shared" si="23"/>
        <v>Child Functioning -- Child #6</v>
      </c>
      <c r="C163" s="22" t="str">
        <f t="shared" si="28"/>
        <v>6</v>
      </c>
      <c r="D163" s="22" t="str">
        <f t="shared" si="29"/>
        <v/>
      </c>
      <c r="E163" s="22">
        <f t="shared" si="30"/>
        <v>1</v>
      </c>
      <c r="F163" s="22">
        <f t="shared" si="31"/>
        <v>154</v>
      </c>
      <c r="G163" s="22" t="str">
        <f t="shared" si="24"/>
        <v>Relationship with Biological Mother</v>
      </c>
      <c r="H163" s="22" t="str">
        <f t="shared" si="32"/>
        <v>Relationship with Biological Mother6</v>
      </c>
      <c r="I163" s="20" t="e">
        <f t="shared" si="25"/>
        <v>#N/A</v>
      </c>
      <c r="J163" s="20" t="e">
        <f t="shared" si="26"/>
        <v>#N/A</v>
      </c>
      <c r="K163" s="20" t="e">
        <f t="shared" si="27"/>
        <v>#N/A</v>
      </c>
    </row>
    <row r="164" spans="1:11" x14ac:dyDescent="0.25">
      <c r="A164">
        <f t="shared" si="22"/>
        <v>94</v>
      </c>
      <c r="B164" s="22" t="str">
        <f t="shared" si="23"/>
        <v>Child Functioning -- Child #6</v>
      </c>
      <c r="C164" s="22" t="str">
        <f t="shared" si="28"/>
        <v>6</v>
      </c>
      <c r="D164" s="22" t="str">
        <f t="shared" si="29"/>
        <v/>
      </c>
      <c r="E164" s="22">
        <f t="shared" si="30"/>
        <v>1</v>
      </c>
      <c r="F164" s="22">
        <f t="shared" si="31"/>
        <v>155</v>
      </c>
      <c r="G164" s="22" t="str">
        <f t="shared" si="24"/>
        <v>Relationship with Biological Father</v>
      </c>
      <c r="H164" s="22" t="str">
        <f t="shared" si="32"/>
        <v>Relationship with Biological Father6</v>
      </c>
      <c r="I164" s="20" t="e">
        <f t="shared" si="25"/>
        <v>#N/A</v>
      </c>
      <c r="J164" s="20" t="e">
        <f t="shared" si="26"/>
        <v>#N/A</v>
      </c>
      <c r="K164" s="20" t="e">
        <f t="shared" si="27"/>
        <v>#N/A</v>
      </c>
    </row>
    <row r="165" spans="1:11" x14ac:dyDescent="0.25">
      <c r="A165">
        <f t="shared" si="22"/>
        <v>95</v>
      </c>
      <c r="B165" s="22" t="str">
        <f t="shared" si="23"/>
        <v>Child Functioning -- Child #6</v>
      </c>
      <c r="C165" s="22" t="str">
        <f t="shared" si="28"/>
        <v>6</v>
      </c>
      <c r="D165" s="22" t="str">
        <f t="shared" si="29"/>
        <v/>
      </c>
      <c r="E165" s="22">
        <f t="shared" si="30"/>
        <v>1</v>
      </c>
      <c r="F165" s="22">
        <f t="shared" si="31"/>
        <v>156</v>
      </c>
      <c r="G165" s="22" t="str">
        <f t="shared" si="24"/>
        <v>Relationship with Primary Caregiver</v>
      </c>
      <c r="H165" s="22" t="str">
        <f t="shared" si="32"/>
        <v>Relationship with Primary Caregiver6</v>
      </c>
      <c r="I165" s="20" t="e">
        <f t="shared" si="25"/>
        <v>#N/A</v>
      </c>
      <c r="J165" s="20" t="e">
        <f t="shared" si="26"/>
        <v>#N/A</v>
      </c>
      <c r="K165" s="20" t="e">
        <f t="shared" si="27"/>
        <v>#N/A</v>
      </c>
    </row>
    <row r="166" spans="1:11" x14ac:dyDescent="0.25">
      <c r="A166">
        <f t="shared" si="22"/>
        <v>96</v>
      </c>
      <c r="B166" s="22" t="str">
        <f t="shared" si="23"/>
        <v>Child Functioning -- Child #6</v>
      </c>
      <c r="C166" s="22" t="str">
        <f t="shared" si="28"/>
        <v>6</v>
      </c>
      <c r="D166" s="22" t="str">
        <f t="shared" si="29"/>
        <v/>
      </c>
      <c r="E166" s="22">
        <f t="shared" si="30"/>
        <v>1</v>
      </c>
      <c r="F166" s="22">
        <f t="shared" si="31"/>
        <v>157</v>
      </c>
      <c r="G166" s="22" t="str">
        <f t="shared" si="24"/>
        <v>Relationship with Other Family Adults</v>
      </c>
      <c r="H166" s="22" t="str">
        <f t="shared" si="32"/>
        <v>Relationship with Other Family Adults6</v>
      </c>
      <c r="I166" s="20" t="e">
        <f t="shared" si="25"/>
        <v>#N/A</v>
      </c>
      <c r="J166" s="20" t="e">
        <f t="shared" si="26"/>
        <v>#N/A</v>
      </c>
      <c r="K166" s="20" t="e">
        <f t="shared" si="27"/>
        <v>#N/A</v>
      </c>
    </row>
    <row r="167" spans="1:11" x14ac:dyDescent="0.25">
      <c r="A167">
        <f t="shared" si="22"/>
        <v>97</v>
      </c>
      <c r="B167" s="22" t="str">
        <f t="shared" si="23"/>
        <v>Child Functioning -- Child #6</v>
      </c>
      <c r="C167" s="22" t="str">
        <f t="shared" si="28"/>
        <v>6</v>
      </c>
      <c r="D167" s="22" t="str">
        <f t="shared" si="29"/>
        <v/>
      </c>
      <c r="E167" s="22">
        <f t="shared" si="30"/>
        <v>1</v>
      </c>
      <c r="F167" s="22">
        <f t="shared" si="31"/>
        <v>158</v>
      </c>
      <c r="G167" s="22" t="str">
        <f t="shared" si="24"/>
        <v>Relationship with Siblings</v>
      </c>
      <c r="H167" s="22" t="str">
        <f t="shared" si="32"/>
        <v>Relationship with Siblings6</v>
      </c>
      <c r="I167" s="20" t="e">
        <f t="shared" si="25"/>
        <v>#N/A</v>
      </c>
      <c r="J167" s="20" t="e">
        <f t="shared" si="26"/>
        <v>#N/A</v>
      </c>
      <c r="K167" s="20" t="e">
        <f t="shared" si="27"/>
        <v>#N/A</v>
      </c>
    </row>
    <row r="168" spans="1:11" x14ac:dyDescent="0.25">
      <c r="A168">
        <f t="shared" ref="A168:A175" si="33">IF(A167&lt;MAX(ItemNum), A167+1, "!!! Are past number of items !!!")</f>
        <v>98</v>
      </c>
      <c r="B168" s="22" t="str">
        <f t="shared" si="23"/>
        <v>Child Functioning -- Child #6</v>
      </c>
      <c r="C168" s="22" t="str">
        <f t="shared" si="28"/>
        <v>6</v>
      </c>
      <c r="D168" s="22" t="str">
        <f t="shared" si="29"/>
        <v/>
      </c>
      <c r="E168" s="22">
        <f t="shared" si="30"/>
        <v>1</v>
      </c>
      <c r="F168" s="22">
        <f t="shared" si="31"/>
        <v>159</v>
      </c>
      <c r="G168" s="22" t="str">
        <f t="shared" si="24"/>
        <v>Medical / Physical</v>
      </c>
      <c r="H168" s="22" t="str">
        <f t="shared" si="32"/>
        <v>Medical / Physical6</v>
      </c>
      <c r="I168" s="20" t="e">
        <f t="shared" si="25"/>
        <v>#N/A</v>
      </c>
      <c r="J168" s="20" t="e">
        <f t="shared" si="26"/>
        <v>#N/A</v>
      </c>
      <c r="K168" s="20" t="e">
        <f t="shared" si="27"/>
        <v>#N/A</v>
      </c>
    </row>
    <row r="169" spans="1:11" x14ac:dyDescent="0.25">
      <c r="A169">
        <f t="shared" si="33"/>
        <v>99</v>
      </c>
      <c r="B169" s="22" t="str">
        <f t="shared" si="23"/>
        <v>Child Functioning -- Child #6</v>
      </c>
      <c r="C169" s="22" t="str">
        <f t="shared" si="28"/>
        <v>6</v>
      </c>
      <c r="D169" s="22" t="str">
        <f t="shared" si="29"/>
        <v/>
      </c>
      <c r="E169" s="22">
        <f t="shared" si="30"/>
        <v>1</v>
      </c>
      <c r="F169" s="22">
        <f t="shared" si="31"/>
        <v>160</v>
      </c>
      <c r="G169" s="22" t="str">
        <f t="shared" si="24"/>
        <v>Sleeping</v>
      </c>
      <c r="H169" s="22" t="str">
        <f t="shared" si="32"/>
        <v>Sleeping6</v>
      </c>
      <c r="I169" s="20" t="e">
        <f t="shared" si="25"/>
        <v>#N/A</v>
      </c>
      <c r="J169" s="20" t="e">
        <f t="shared" si="26"/>
        <v>#N/A</v>
      </c>
      <c r="K169" s="20" t="e">
        <f t="shared" si="27"/>
        <v>#N/A</v>
      </c>
    </row>
    <row r="170" spans="1:11" x14ac:dyDescent="0.25">
      <c r="A170">
        <f t="shared" si="33"/>
        <v>100</v>
      </c>
      <c r="B170" s="22" t="str">
        <f t="shared" si="23"/>
        <v>Child Functioning -- Child #6</v>
      </c>
      <c r="C170" s="22" t="str">
        <f t="shared" si="28"/>
        <v>6</v>
      </c>
      <c r="D170" s="22" t="str">
        <f t="shared" si="29"/>
        <v/>
      </c>
      <c r="E170" s="22">
        <f t="shared" si="30"/>
        <v>1</v>
      </c>
      <c r="F170" s="22">
        <f t="shared" si="31"/>
        <v>161</v>
      </c>
      <c r="G170" s="22" t="str">
        <f t="shared" si="24"/>
        <v>Cognitive Skills</v>
      </c>
      <c r="H170" s="22" t="str">
        <f t="shared" si="32"/>
        <v>Cognitive Skills6</v>
      </c>
      <c r="I170" s="20" t="e">
        <f t="shared" si="25"/>
        <v>#N/A</v>
      </c>
      <c r="J170" s="20" t="e">
        <f t="shared" si="26"/>
        <v>#N/A</v>
      </c>
      <c r="K170" s="20" t="e">
        <f t="shared" si="27"/>
        <v>#N/A</v>
      </c>
    </row>
    <row r="171" spans="1:11" x14ac:dyDescent="0.25">
      <c r="A171">
        <f t="shared" si="33"/>
        <v>101</v>
      </c>
      <c r="B171" s="22" t="str">
        <f t="shared" si="23"/>
        <v>Child Functioning -- Child #6</v>
      </c>
      <c r="C171" s="22" t="str">
        <f t="shared" si="28"/>
        <v>6</v>
      </c>
      <c r="D171" s="22" t="str">
        <f t="shared" si="29"/>
        <v/>
      </c>
      <c r="E171" s="22">
        <f t="shared" si="30"/>
        <v>1</v>
      </c>
      <c r="F171" s="22">
        <f t="shared" si="31"/>
        <v>162</v>
      </c>
      <c r="G171" s="22" t="str">
        <f t="shared" si="24"/>
        <v>Social Functioning</v>
      </c>
      <c r="H171" s="22" t="str">
        <f t="shared" si="32"/>
        <v>Social Functioning6</v>
      </c>
      <c r="I171" s="20" t="e">
        <f t="shared" si="25"/>
        <v>#N/A</v>
      </c>
      <c r="J171" s="20" t="e">
        <f t="shared" si="26"/>
        <v>#N/A</v>
      </c>
      <c r="K171" s="20" t="e">
        <f t="shared" si="27"/>
        <v>#N/A</v>
      </c>
    </row>
    <row r="172" spans="1:11" x14ac:dyDescent="0.25">
      <c r="A172">
        <f t="shared" si="33"/>
        <v>102</v>
      </c>
      <c r="B172" s="22" t="str">
        <f t="shared" si="23"/>
        <v>Child Functioning -- Child #6</v>
      </c>
      <c r="C172" s="22" t="str">
        <f t="shared" si="28"/>
        <v>6</v>
      </c>
      <c r="D172" s="22" t="str">
        <f t="shared" si="29"/>
        <v/>
      </c>
      <c r="E172" s="22">
        <f t="shared" si="30"/>
        <v>1</v>
      </c>
      <c r="F172" s="22">
        <f t="shared" si="31"/>
        <v>163</v>
      </c>
      <c r="G172" s="22" t="str">
        <f t="shared" si="24"/>
        <v>Educational Status</v>
      </c>
      <c r="H172" s="22" t="str">
        <f t="shared" si="32"/>
        <v>Educational Status6</v>
      </c>
      <c r="I172" s="20" t="e">
        <f t="shared" si="25"/>
        <v>#N/A</v>
      </c>
      <c r="J172" s="20" t="e">
        <f t="shared" si="26"/>
        <v>#N/A</v>
      </c>
      <c r="K172" s="20" t="e">
        <f t="shared" si="27"/>
        <v>#N/A</v>
      </c>
    </row>
    <row r="173" spans="1:11" x14ac:dyDescent="0.25">
      <c r="A173">
        <f t="shared" si="33"/>
        <v>103</v>
      </c>
      <c r="B173" s="22" t="str">
        <f t="shared" si="23"/>
        <v>Child Functioning -- Child #6</v>
      </c>
      <c r="C173" s="22" t="str">
        <f t="shared" si="28"/>
        <v>6</v>
      </c>
      <c r="D173" s="22" t="str">
        <f t="shared" si="29"/>
        <v/>
      </c>
      <c r="E173" s="22">
        <f t="shared" si="30"/>
        <v>1</v>
      </c>
      <c r="F173" s="22">
        <f t="shared" si="31"/>
        <v>164</v>
      </c>
      <c r="G173" s="22" t="str">
        <f t="shared" si="24"/>
        <v>Risk Behaviors</v>
      </c>
      <c r="H173" s="22" t="str">
        <f t="shared" si="32"/>
        <v>Risk Behaviors6</v>
      </c>
      <c r="I173" s="20" t="e">
        <f t="shared" si="25"/>
        <v>#N/A</v>
      </c>
      <c r="J173" s="20" t="e">
        <f t="shared" si="26"/>
        <v>#N/A</v>
      </c>
      <c r="K173" s="20" t="e">
        <f t="shared" si="27"/>
        <v>#N/A</v>
      </c>
    </row>
    <row r="174" spans="1:11" x14ac:dyDescent="0.25">
      <c r="A174">
        <f t="shared" si="33"/>
        <v>104</v>
      </c>
      <c r="B174" s="22" t="str">
        <f t="shared" si="23"/>
        <v>Family Functioning</v>
      </c>
      <c r="C174" s="22" t="str">
        <f t="shared" si="28"/>
        <v/>
      </c>
      <c r="D174" s="22" t="str">
        <f t="shared" si="29"/>
        <v>US</v>
      </c>
      <c r="E174" s="22">
        <f t="shared" si="30"/>
        <v>2</v>
      </c>
      <c r="F174" s="22">
        <f t="shared" si="31"/>
        <v>1</v>
      </c>
      <c r="G174" s="22" t="str">
        <f t="shared" si="24"/>
        <v>Parent / Caregiver Collaboration</v>
      </c>
      <c r="H174" s="22" t="str">
        <f t="shared" si="32"/>
        <v>Parent / Caregiver CollaborationUS</v>
      </c>
      <c r="I174" s="20" t="e">
        <f t="shared" si="25"/>
        <v>#N/A</v>
      </c>
      <c r="J174" s="20" t="e">
        <f t="shared" si="26"/>
        <v>#N/A</v>
      </c>
      <c r="K174" s="20" t="e">
        <f t="shared" si="27"/>
        <v>#N/A</v>
      </c>
    </row>
    <row r="175" spans="1:11" x14ac:dyDescent="0.25">
      <c r="A175">
        <f t="shared" si="33"/>
        <v>105</v>
      </c>
      <c r="B175" s="22" t="str">
        <f t="shared" si="23"/>
        <v>Family Functioning</v>
      </c>
      <c r="C175" s="22" t="str">
        <f t="shared" si="28"/>
        <v/>
      </c>
      <c r="D175" s="22" t="str">
        <f t="shared" si="29"/>
        <v>US</v>
      </c>
      <c r="E175" s="22">
        <f t="shared" si="30"/>
        <v>2</v>
      </c>
      <c r="F175" s="22">
        <f t="shared" si="31"/>
        <v>2</v>
      </c>
      <c r="G175" s="22" t="str">
        <f t="shared" si="24"/>
        <v>Family Conflict</v>
      </c>
      <c r="H175" s="22" t="str">
        <f t="shared" si="32"/>
        <v>Family ConflictUS</v>
      </c>
      <c r="I175" s="20" t="e">
        <f t="shared" si="25"/>
        <v>#N/A</v>
      </c>
      <c r="J175" s="20" t="e">
        <f t="shared" si="26"/>
        <v>#N/A</v>
      </c>
      <c r="K175" s="20" t="e">
        <f t="shared" si="27"/>
        <v>#N/A</v>
      </c>
    </row>
    <row r="176" spans="1:11" x14ac:dyDescent="0.25">
      <c r="B176" s="22" t="str">
        <f t="shared" si="23"/>
        <v>Family Functioning</v>
      </c>
      <c r="C176" s="22" t="str">
        <f t="shared" si="28"/>
        <v/>
      </c>
      <c r="D176" s="22" t="str">
        <f t="shared" si="29"/>
        <v>US</v>
      </c>
      <c r="E176" s="22">
        <f t="shared" si="30"/>
        <v>2</v>
      </c>
      <c r="F176" s="22">
        <f t="shared" si="31"/>
        <v>3</v>
      </c>
      <c r="G176" s="22" t="str">
        <f t="shared" si="24"/>
        <v>Safety</v>
      </c>
      <c r="H176" s="22" t="str">
        <f t="shared" si="32"/>
        <v>SafetyUS</v>
      </c>
      <c r="I176" s="20" t="e">
        <f t="shared" si="25"/>
        <v>#N/A</v>
      </c>
      <c r="J176" s="20" t="e">
        <f t="shared" si="26"/>
        <v>#N/A</v>
      </c>
      <c r="K176" s="20" t="e">
        <f t="shared" si="27"/>
        <v>#N/A</v>
      </c>
    </row>
    <row r="177" spans="2:11" x14ac:dyDescent="0.25">
      <c r="B177" s="22" t="str">
        <f t="shared" si="23"/>
        <v>Family Functioning</v>
      </c>
      <c r="C177" s="22" t="str">
        <f t="shared" si="28"/>
        <v/>
      </c>
      <c r="D177" s="22" t="str">
        <f t="shared" si="29"/>
        <v>US</v>
      </c>
      <c r="E177" s="22">
        <f t="shared" si="30"/>
        <v>2</v>
      </c>
      <c r="F177" s="22">
        <f t="shared" si="31"/>
        <v>4</v>
      </c>
      <c r="G177" s="22" t="str">
        <f t="shared" si="24"/>
        <v>Family Role Appropriateness</v>
      </c>
      <c r="H177" s="22" t="str">
        <f t="shared" si="32"/>
        <v>Family Role AppropriatenessUS</v>
      </c>
      <c r="I177" s="20" t="e">
        <f t="shared" si="25"/>
        <v>#N/A</v>
      </c>
      <c r="J177" s="20" t="e">
        <f t="shared" si="26"/>
        <v>#N/A</v>
      </c>
      <c r="K177" s="20" t="e">
        <f t="shared" si="27"/>
        <v>#N/A</v>
      </c>
    </row>
    <row r="178" spans="2:11" x14ac:dyDescent="0.25">
      <c r="B178" s="22" t="str">
        <f t="shared" si="23"/>
        <v>Family Functioning</v>
      </c>
      <c r="C178" s="22" t="str">
        <f t="shared" si="28"/>
        <v/>
      </c>
      <c r="D178" s="22" t="str">
        <f t="shared" si="29"/>
        <v>US</v>
      </c>
      <c r="E178" s="22">
        <f t="shared" si="30"/>
        <v>2</v>
      </c>
      <c r="F178" s="22">
        <f t="shared" si="31"/>
        <v>5</v>
      </c>
      <c r="G178" s="22" t="str">
        <f t="shared" si="24"/>
        <v>Social Resources</v>
      </c>
      <c r="H178" s="22" t="str">
        <f t="shared" si="32"/>
        <v>Social ResourcesUS</v>
      </c>
      <c r="I178" s="20" t="e">
        <f t="shared" si="25"/>
        <v>#N/A</v>
      </c>
      <c r="J178" s="20" t="e">
        <f t="shared" si="26"/>
        <v>#N/A</v>
      </c>
      <c r="K178" s="20" t="e">
        <f t="shared" si="27"/>
        <v>#N/A</v>
      </c>
    </row>
    <row r="179" spans="2:11" x14ac:dyDescent="0.25">
      <c r="B179" s="22" t="str">
        <f t="shared" si="23"/>
        <v>Family Functioning</v>
      </c>
      <c r="C179" s="22" t="str">
        <f t="shared" si="28"/>
        <v/>
      </c>
      <c r="D179" s="22" t="str">
        <f t="shared" si="29"/>
        <v>US</v>
      </c>
      <c r="E179" s="22">
        <f t="shared" si="30"/>
        <v>2</v>
      </c>
      <c r="F179" s="22">
        <f t="shared" si="31"/>
        <v>6</v>
      </c>
      <c r="G179" s="22" t="str">
        <f t="shared" si="24"/>
        <v>Financial Resources</v>
      </c>
      <c r="H179" s="22" t="str">
        <f t="shared" si="32"/>
        <v>Financial ResourcesUS</v>
      </c>
      <c r="I179" s="20" t="e">
        <f t="shared" si="25"/>
        <v>#N/A</v>
      </c>
      <c r="J179" s="20" t="e">
        <f t="shared" si="26"/>
        <v>#N/A</v>
      </c>
      <c r="K179" s="20" t="e">
        <f t="shared" si="27"/>
        <v>#N/A</v>
      </c>
    </row>
    <row r="180" spans="2:11" x14ac:dyDescent="0.25">
      <c r="B180" s="22" t="str">
        <f t="shared" si="23"/>
        <v>Family Functioning</v>
      </c>
      <c r="C180" s="22" t="str">
        <f t="shared" si="28"/>
        <v/>
      </c>
      <c r="D180" s="22" t="str">
        <f t="shared" si="29"/>
        <v>US</v>
      </c>
      <c r="E180" s="22">
        <f t="shared" si="30"/>
        <v>2</v>
      </c>
      <c r="F180" s="22">
        <f t="shared" si="31"/>
        <v>7</v>
      </c>
      <c r="G180" s="22" t="str">
        <f t="shared" si="24"/>
        <v>Relations Among Siblings</v>
      </c>
      <c r="H180" s="22" t="str">
        <f t="shared" si="32"/>
        <v>Relations Among SiblingsUS</v>
      </c>
      <c r="I180" s="20" t="e">
        <f t="shared" si="25"/>
        <v>#N/A</v>
      </c>
      <c r="J180" s="20" t="e">
        <f t="shared" si="26"/>
        <v>#N/A</v>
      </c>
      <c r="K180" s="20" t="e">
        <f t="shared" si="27"/>
        <v>#N/A</v>
      </c>
    </row>
    <row r="181" spans="2:11" x14ac:dyDescent="0.25">
      <c r="B181" s="22" t="str">
        <f t="shared" si="23"/>
        <v>Family Functioning</v>
      </c>
      <c r="C181" s="22" t="str">
        <f t="shared" si="28"/>
        <v/>
      </c>
      <c r="D181" s="22" t="str">
        <f t="shared" si="29"/>
        <v>US</v>
      </c>
      <c r="E181" s="22">
        <f t="shared" si="30"/>
        <v>2</v>
      </c>
      <c r="F181" s="22">
        <f t="shared" si="31"/>
        <v>8</v>
      </c>
      <c r="G181" s="22" t="str">
        <f t="shared" si="24"/>
        <v>Extended Family Relations</v>
      </c>
      <c r="H181" s="22" t="str">
        <f t="shared" si="32"/>
        <v>Extended Family RelationsUS</v>
      </c>
      <c r="I181" s="20" t="e">
        <f t="shared" si="25"/>
        <v>#N/A</v>
      </c>
      <c r="J181" s="20" t="e">
        <f t="shared" si="26"/>
        <v>#N/A</v>
      </c>
      <c r="K181" s="20" t="e">
        <f t="shared" si="27"/>
        <v>#N/A</v>
      </c>
    </row>
    <row r="182" spans="2:11" x14ac:dyDescent="0.25">
      <c r="B182" s="22" t="str">
        <f t="shared" si="23"/>
        <v>Family Functioning</v>
      </c>
      <c r="C182" s="22" t="str">
        <f t="shared" si="28"/>
        <v/>
      </c>
      <c r="D182" s="22" t="str">
        <f t="shared" si="29"/>
        <v>US</v>
      </c>
      <c r="E182" s="22">
        <f t="shared" si="30"/>
        <v>2</v>
      </c>
      <c r="F182" s="22">
        <f t="shared" si="31"/>
        <v>9</v>
      </c>
      <c r="G182" s="22" t="str">
        <f t="shared" si="24"/>
        <v>Family Communication</v>
      </c>
      <c r="H182" s="22" t="str">
        <f t="shared" si="32"/>
        <v>Family CommunicationUS</v>
      </c>
      <c r="I182" s="20" t="e">
        <f t="shared" si="25"/>
        <v>#N/A</v>
      </c>
      <c r="J182" s="20" t="e">
        <f t="shared" si="26"/>
        <v>#N/A</v>
      </c>
      <c r="K182" s="20" t="e">
        <f t="shared" si="27"/>
        <v>#N/A</v>
      </c>
    </row>
    <row r="183" spans="2:11" x14ac:dyDescent="0.25">
      <c r="B183" s="22" t="str">
        <f t="shared" si="23"/>
        <v>Family Functioning</v>
      </c>
      <c r="C183" s="22" t="str">
        <f t="shared" si="28"/>
        <v/>
      </c>
      <c r="D183" s="22" t="str">
        <f t="shared" si="29"/>
        <v>US</v>
      </c>
      <c r="E183" s="22">
        <f t="shared" si="30"/>
        <v>2</v>
      </c>
      <c r="F183" s="22">
        <f t="shared" si="31"/>
        <v>10</v>
      </c>
      <c r="G183" s="22" t="str">
        <f t="shared" si="24"/>
        <v>Residential Stability</v>
      </c>
      <c r="H183" s="22" t="str">
        <f t="shared" si="32"/>
        <v>Residential StabilityUS</v>
      </c>
      <c r="I183" s="20" t="e">
        <f t="shared" si="25"/>
        <v>#N/A</v>
      </c>
      <c r="J183" s="20" t="e">
        <f t="shared" si="26"/>
        <v>#N/A</v>
      </c>
      <c r="K183" s="20" t="e">
        <f t="shared" si="27"/>
        <v>#N/A</v>
      </c>
    </row>
    <row r="184" spans="2:11" x14ac:dyDescent="0.25">
      <c r="B184" s="22" t="str">
        <f t="shared" si="23"/>
        <v>Caregiver Advocacy</v>
      </c>
      <c r="C184" s="22" t="str">
        <f t="shared" si="28"/>
        <v/>
      </c>
      <c r="D184" s="22" t="str">
        <f t="shared" si="29"/>
        <v>US</v>
      </c>
      <c r="E184" s="22">
        <f t="shared" si="30"/>
        <v>2</v>
      </c>
      <c r="F184" s="22">
        <f t="shared" si="31"/>
        <v>11</v>
      </c>
      <c r="G184" s="22" t="str">
        <f t="shared" si="24"/>
        <v>Knowledge of Family / Child Needs</v>
      </c>
      <c r="H184" s="22" t="str">
        <f t="shared" si="32"/>
        <v>Knowledge of Family / Child NeedsUS</v>
      </c>
      <c r="I184" s="20" t="e">
        <f t="shared" si="25"/>
        <v>#N/A</v>
      </c>
      <c r="J184" s="20" t="e">
        <f t="shared" si="26"/>
        <v>#N/A</v>
      </c>
      <c r="K184" s="20" t="e">
        <f t="shared" si="27"/>
        <v>#N/A</v>
      </c>
    </row>
    <row r="185" spans="2:11" x14ac:dyDescent="0.25">
      <c r="B185" s="22" t="str">
        <f t="shared" si="23"/>
        <v>Caregiver Advocacy</v>
      </c>
      <c r="C185" s="22" t="str">
        <f t="shared" si="28"/>
        <v/>
      </c>
      <c r="D185" s="22" t="str">
        <f t="shared" si="29"/>
        <v>US</v>
      </c>
      <c r="E185" s="22">
        <f t="shared" si="30"/>
        <v>2</v>
      </c>
      <c r="F185" s="22">
        <f t="shared" si="31"/>
        <v>12</v>
      </c>
      <c r="G185" s="22" t="str">
        <f t="shared" si="24"/>
        <v>Knowledge of Service Options</v>
      </c>
      <c r="H185" s="22" t="str">
        <f t="shared" si="32"/>
        <v>Knowledge of Service OptionsUS</v>
      </c>
      <c r="I185" s="20" t="e">
        <f t="shared" si="25"/>
        <v>#N/A</v>
      </c>
      <c r="J185" s="20" t="e">
        <f t="shared" si="26"/>
        <v>#N/A</v>
      </c>
      <c r="K185" s="20" t="e">
        <f t="shared" si="27"/>
        <v>#N/A</v>
      </c>
    </row>
    <row r="186" spans="2:11" x14ac:dyDescent="0.25">
      <c r="B186" s="22" t="str">
        <f t="shared" si="23"/>
        <v>Caregiver Advocacy</v>
      </c>
      <c r="C186" s="22" t="str">
        <f t="shared" si="28"/>
        <v/>
      </c>
      <c r="D186" s="22" t="str">
        <f t="shared" si="29"/>
        <v>US</v>
      </c>
      <c r="E186" s="22">
        <f t="shared" si="30"/>
        <v>2</v>
      </c>
      <c r="F186" s="22">
        <f t="shared" si="31"/>
        <v>13</v>
      </c>
      <c r="G186" s="22" t="str">
        <f t="shared" si="24"/>
        <v>Knowledge of Rights And Responsibilities</v>
      </c>
      <c r="H186" s="22" t="str">
        <f t="shared" si="32"/>
        <v>Knowledge of Rights And ResponsibilitiesUS</v>
      </c>
      <c r="I186" s="20" t="e">
        <f t="shared" si="25"/>
        <v>#N/A</v>
      </c>
      <c r="J186" s="20" t="e">
        <f t="shared" si="26"/>
        <v>#N/A</v>
      </c>
      <c r="K186" s="20" t="e">
        <f t="shared" si="27"/>
        <v>#N/A</v>
      </c>
    </row>
    <row r="187" spans="2:11" x14ac:dyDescent="0.25">
      <c r="B187" s="22" t="str">
        <f t="shared" si="23"/>
        <v>Caregiver Advocacy</v>
      </c>
      <c r="C187" s="22" t="str">
        <f t="shared" si="28"/>
        <v/>
      </c>
      <c r="D187" s="22" t="str">
        <f t="shared" si="29"/>
        <v>US</v>
      </c>
      <c r="E187" s="22">
        <f t="shared" si="30"/>
        <v>2</v>
      </c>
      <c r="F187" s="22">
        <f t="shared" si="31"/>
        <v>14</v>
      </c>
      <c r="G187" s="22" t="str">
        <f t="shared" si="24"/>
        <v>Ability to Listen</v>
      </c>
      <c r="H187" s="22" t="str">
        <f t="shared" si="32"/>
        <v>Ability to ListenUS</v>
      </c>
      <c r="I187" s="20" t="e">
        <f t="shared" si="25"/>
        <v>#N/A</v>
      </c>
      <c r="J187" s="20" t="e">
        <f t="shared" si="26"/>
        <v>#N/A</v>
      </c>
      <c r="K187" s="20" t="e">
        <f t="shared" si="27"/>
        <v>#N/A</v>
      </c>
    </row>
    <row r="188" spans="2:11" x14ac:dyDescent="0.25">
      <c r="B188" s="22" t="str">
        <f t="shared" si="23"/>
        <v>Caregiver Advocacy</v>
      </c>
      <c r="C188" s="22" t="str">
        <f t="shared" si="28"/>
        <v/>
      </c>
      <c r="D188" s="22" t="str">
        <f t="shared" si="29"/>
        <v>US</v>
      </c>
      <c r="E188" s="22">
        <f t="shared" si="30"/>
        <v>2</v>
      </c>
      <c r="F188" s="22">
        <f t="shared" si="31"/>
        <v>15</v>
      </c>
      <c r="G188" s="22" t="str">
        <f t="shared" si="24"/>
        <v>Ability to Communicate</v>
      </c>
      <c r="H188" s="22" t="str">
        <f t="shared" si="32"/>
        <v>Ability to CommunicateUS</v>
      </c>
      <c r="I188" s="20" t="e">
        <f t="shared" si="25"/>
        <v>#N/A</v>
      </c>
      <c r="J188" s="20" t="e">
        <f t="shared" si="26"/>
        <v>#N/A</v>
      </c>
      <c r="K188" s="20" t="e">
        <f t="shared" si="27"/>
        <v>#N/A</v>
      </c>
    </row>
    <row r="189" spans="2:11" x14ac:dyDescent="0.25">
      <c r="B189" s="22" t="str">
        <f t="shared" si="23"/>
        <v>Caregiver Advocacy</v>
      </c>
      <c r="C189" s="22" t="str">
        <f t="shared" si="28"/>
        <v/>
      </c>
      <c r="D189" s="22" t="str">
        <f t="shared" si="29"/>
        <v>US</v>
      </c>
      <c r="E189" s="22">
        <f t="shared" si="30"/>
        <v>2</v>
      </c>
      <c r="F189" s="22">
        <f t="shared" si="31"/>
        <v>16</v>
      </c>
      <c r="G189" s="22" t="str">
        <f t="shared" si="24"/>
        <v>Natural Supports</v>
      </c>
      <c r="H189" s="22" t="str">
        <f t="shared" si="32"/>
        <v>Natural SupportsUS</v>
      </c>
      <c r="I189" s="20" t="e">
        <f t="shared" si="25"/>
        <v>#N/A</v>
      </c>
      <c r="J189" s="20" t="e">
        <f t="shared" si="26"/>
        <v>#N/A</v>
      </c>
      <c r="K189" s="20" t="e">
        <f t="shared" si="27"/>
        <v>#N/A</v>
      </c>
    </row>
    <row r="190" spans="2:11" x14ac:dyDescent="0.25">
      <c r="B190" s="22" t="str">
        <f t="shared" si="23"/>
        <v>Caregiver Advocacy</v>
      </c>
      <c r="C190" s="22" t="str">
        <f t="shared" si="28"/>
        <v/>
      </c>
      <c r="D190" s="22" t="str">
        <f t="shared" si="29"/>
        <v>US</v>
      </c>
      <c r="E190" s="22">
        <f t="shared" si="30"/>
        <v>2</v>
      </c>
      <c r="F190" s="22">
        <f t="shared" si="31"/>
        <v>17</v>
      </c>
      <c r="G190" s="22" t="str">
        <f t="shared" si="24"/>
        <v>Satisfaction With Child’s Living Arrangement</v>
      </c>
      <c r="H190" s="22" t="str">
        <f t="shared" si="32"/>
        <v>Satisfaction With Child’s Living ArrangementUS</v>
      </c>
      <c r="I190" s="20" t="e">
        <f t="shared" si="25"/>
        <v>#N/A</v>
      </c>
      <c r="J190" s="20" t="e">
        <f t="shared" si="26"/>
        <v>#N/A</v>
      </c>
      <c r="K190" s="20" t="e">
        <f t="shared" si="27"/>
        <v>#N/A</v>
      </c>
    </row>
    <row r="191" spans="2:11" x14ac:dyDescent="0.25">
      <c r="B191" s="22" t="str">
        <f t="shared" si="23"/>
        <v>Caregiver Advocacy</v>
      </c>
      <c r="C191" s="22" t="str">
        <f t="shared" si="28"/>
        <v/>
      </c>
      <c r="D191" s="22" t="str">
        <f t="shared" si="29"/>
        <v>US</v>
      </c>
      <c r="E191" s="22">
        <f t="shared" si="30"/>
        <v>2</v>
      </c>
      <c r="F191" s="22">
        <f t="shared" si="31"/>
        <v>18</v>
      </c>
      <c r="G191" s="22" t="str">
        <f t="shared" si="24"/>
        <v>Satisfaction With Educational Arrangement</v>
      </c>
      <c r="H191" s="22" t="str">
        <f t="shared" si="32"/>
        <v>Satisfaction With Educational ArrangementUS</v>
      </c>
      <c r="I191" s="20" t="e">
        <f t="shared" si="25"/>
        <v>#N/A</v>
      </c>
      <c r="J191" s="20" t="e">
        <f t="shared" si="26"/>
        <v>#N/A</v>
      </c>
      <c r="K191" s="20" t="e">
        <f t="shared" si="27"/>
        <v>#N/A</v>
      </c>
    </row>
    <row r="192" spans="2:11" x14ac:dyDescent="0.25">
      <c r="B192" s="22" t="str">
        <f t="shared" si="23"/>
        <v>Caregiver Functioning - Caregiver #1</v>
      </c>
      <c r="C192" s="22" t="str">
        <f t="shared" si="28"/>
        <v>1</v>
      </c>
      <c r="D192" s="22" t="str">
        <f t="shared" si="29"/>
        <v>US</v>
      </c>
      <c r="E192" s="22">
        <f t="shared" si="30"/>
        <v>2</v>
      </c>
      <c r="F192" s="22">
        <f t="shared" si="31"/>
        <v>19</v>
      </c>
      <c r="G192" s="22" t="str">
        <f t="shared" si="24"/>
        <v>Involvement with Services</v>
      </c>
      <c r="H192" s="22" t="str">
        <f t="shared" si="32"/>
        <v>Involvement with ServicesUS1</v>
      </c>
      <c r="I192" s="20" t="e">
        <f t="shared" si="25"/>
        <v>#N/A</v>
      </c>
      <c r="J192" s="20" t="e">
        <f t="shared" si="26"/>
        <v>#N/A</v>
      </c>
      <c r="K192" s="20" t="e">
        <f t="shared" si="27"/>
        <v>#N/A</v>
      </c>
    </row>
    <row r="193" spans="2:11" x14ac:dyDescent="0.25">
      <c r="B193" s="22" t="str">
        <f t="shared" si="23"/>
        <v>Caregiver Functioning - Caregiver #1</v>
      </c>
      <c r="C193" s="22" t="str">
        <f t="shared" si="28"/>
        <v>1</v>
      </c>
      <c r="D193" s="22" t="str">
        <f t="shared" si="29"/>
        <v>US</v>
      </c>
      <c r="E193" s="22">
        <f t="shared" si="30"/>
        <v>2</v>
      </c>
      <c r="F193" s="22">
        <f t="shared" si="31"/>
        <v>20</v>
      </c>
      <c r="G193" s="22" t="str">
        <f t="shared" si="24"/>
        <v>Distress Tolerance</v>
      </c>
      <c r="H193" s="22" t="str">
        <f t="shared" si="32"/>
        <v>Distress ToleranceUS1</v>
      </c>
      <c r="I193" s="20" t="e">
        <f t="shared" si="25"/>
        <v>#N/A</v>
      </c>
      <c r="J193" s="20" t="e">
        <f t="shared" si="26"/>
        <v>#N/A</v>
      </c>
      <c r="K193" s="20" t="e">
        <f t="shared" si="27"/>
        <v>#N/A</v>
      </c>
    </row>
    <row r="194" spans="2:11" x14ac:dyDescent="0.25">
      <c r="B194" s="22" t="str">
        <f t="shared" si="23"/>
        <v>Caregiver Functioning - Caregiver #1</v>
      </c>
      <c r="C194" s="22" t="str">
        <f t="shared" si="28"/>
        <v>1</v>
      </c>
      <c r="D194" s="22" t="str">
        <f t="shared" si="29"/>
        <v>US</v>
      </c>
      <c r="E194" s="22">
        <f t="shared" si="30"/>
        <v>2</v>
      </c>
      <c r="F194" s="22">
        <f t="shared" si="31"/>
        <v>21</v>
      </c>
      <c r="G194" s="22" t="str">
        <f t="shared" si="24"/>
        <v>Supervision</v>
      </c>
      <c r="H194" s="22" t="str">
        <f t="shared" si="32"/>
        <v>SupervisionUS1</v>
      </c>
      <c r="I194" s="20" t="e">
        <f t="shared" si="25"/>
        <v>#N/A</v>
      </c>
      <c r="J194" s="20" t="e">
        <f t="shared" si="26"/>
        <v>#N/A</v>
      </c>
      <c r="K194" s="20" t="e">
        <f t="shared" si="27"/>
        <v>#N/A</v>
      </c>
    </row>
    <row r="195" spans="2:11" x14ac:dyDescent="0.25">
      <c r="B195" s="22" t="str">
        <f t="shared" si="23"/>
        <v>Caregiver Functioning - Caregiver #1</v>
      </c>
      <c r="C195" s="22" t="str">
        <f t="shared" si="28"/>
        <v>1</v>
      </c>
      <c r="D195" s="22" t="str">
        <f t="shared" si="29"/>
        <v>US</v>
      </c>
      <c r="E195" s="22">
        <f t="shared" si="30"/>
        <v>2</v>
      </c>
      <c r="F195" s="22">
        <f t="shared" si="31"/>
        <v>22</v>
      </c>
      <c r="G195" s="22" t="str">
        <f t="shared" si="24"/>
        <v>Discipline</v>
      </c>
      <c r="H195" s="22" t="str">
        <f t="shared" si="32"/>
        <v>DisciplineUS1</v>
      </c>
      <c r="I195" s="20" t="e">
        <f t="shared" si="25"/>
        <v>#N/A</v>
      </c>
      <c r="J195" s="20" t="e">
        <f t="shared" si="26"/>
        <v>#N/A</v>
      </c>
      <c r="K195" s="20" t="e">
        <f t="shared" si="27"/>
        <v>#N/A</v>
      </c>
    </row>
    <row r="196" spans="2:11" x14ac:dyDescent="0.25">
      <c r="B196" s="22" t="str">
        <f t="shared" si="23"/>
        <v>Caregiver Functioning - Caregiver #1</v>
      </c>
      <c r="C196" s="22" t="str">
        <f t="shared" si="28"/>
        <v>1</v>
      </c>
      <c r="D196" s="22" t="str">
        <f t="shared" si="29"/>
        <v>US</v>
      </c>
      <c r="E196" s="22">
        <f t="shared" si="30"/>
        <v>2</v>
      </c>
      <c r="F196" s="22">
        <f t="shared" si="31"/>
        <v>23</v>
      </c>
      <c r="G196" s="22" t="str">
        <f t="shared" si="24"/>
        <v>Mental Health</v>
      </c>
      <c r="H196" s="22" t="str">
        <f t="shared" si="32"/>
        <v>Mental HealthUS1</v>
      </c>
      <c r="I196" s="20" t="e">
        <f t="shared" si="25"/>
        <v>#N/A</v>
      </c>
      <c r="J196" s="20" t="e">
        <f t="shared" si="26"/>
        <v>#N/A</v>
      </c>
      <c r="K196" s="20" t="e">
        <f t="shared" si="27"/>
        <v>#N/A</v>
      </c>
    </row>
    <row r="197" spans="2:11" x14ac:dyDescent="0.25">
      <c r="B197" s="22" t="str">
        <f t="shared" si="23"/>
        <v>Caregiver Functioning - Caregiver #1</v>
      </c>
      <c r="C197" s="22" t="str">
        <f t="shared" si="28"/>
        <v>1</v>
      </c>
      <c r="D197" s="22" t="str">
        <f t="shared" si="29"/>
        <v>US</v>
      </c>
      <c r="E197" s="22">
        <f t="shared" si="30"/>
        <v>2</v>
      </c>
      <c r="F197" s="22">
        <f t="shared" si="31"/>
        <v>24</v>
      </c>
      <c r="G197" s="22" t="str">
        <f t="shared" si="24"/>
        <v>Partner Relations</v>
      </c>
      <c r="H197" s="22" t="str">
        <f t="shared" si="32"/>
        <v>Partner RelationsUS1</v>
      </c>
      <c r="I197" s="20" t="e">
        <f t="shared" si="25"/>
        <v>#N/A</v>
      </c>
      <c r="J197" s="20" t="e">
        <f t="shared" si="26"/>
        <v>#N/A</v>
      </c>
      <c r="K197" s="20" t="e">
        <f t="shared" si="27"/>
        <v>#N/A</v>
      </c>
    </row>
    <row r="198" spans="2:11" x14ac:dyDescent="0.25">
      <c r="B198" s="22" t="str">
        <f t="shared" si="23"/>
        <v>Caregiver Functioning - Caregiver #1</v>
      </c>
      <c r="C198" s="22" t="str">
        <f t="shared" si="28"/>
        <v>1</v>
      </c>
      <c r="D198" s="22" t="str">
        <f t="shared" si="29"/>
        <v>US</v>
      </c>
      <c r="E198" s="22">
        <f t="shared" si="30"/>
        <v>2</v>
      </c>
      <c r="F198" s="22">
        <f t="shared" si="31"/>
        <v>25</v>
      </c>
      <c r="G198" s="22" t="str">
        <f t="shared" si="24"/>
        <v>Substance Abuse</v>
      </c>
      <c r="H198" s="22" t="str">
        <f t="shared" si="32"/>
        <v>Substance AbuseUS1</v>
      </c>
      <c r="I198" s="20" t="e">
        <f t="shared" si="25"/>
        <v>#N/A</v>
      </c>
      <c r="J198" s="20" t="e">
        <f t="shared" si="26"/>
        <v>#N/A</v>
      </c>
      <c r="K198" s="20" t="e">
        <f t="shared" si="27"/>
        <v>#N/A</v>
      </c>
    </row>
    <row r="199" spans="2:11" x14ac:dyDescent="0.25">
      <c r="B199" s="22" t="str">
        <f t="shared" si="23"/>
        <v>Caregiver Functioning - Caregiver #1</v>
      </c>
      <c r="C199" s="22" t="str">
        <f t="shared" si="28"/>
        <v>1</v>
      </c>
      <c r="D199" s="22" t="str">
        <f t="shared" si="29"/>
        <v>US</v>
      </c>
      <c r="E199" s="22">
        <f t="shared" si="30"/>
        <v>2</v>
      </c>
      <c r="F199" s="22">
        <f t="shared" si="31"/>
        <v>26</v>
      </c>
      <c r="G199" s="22" t="str">
        <f t="shared" si="24"/>
        <v>Physical Health</v>
      </c>
      <c r="H199" s="22" t="str">
        <f t="shared" si="32"/>
        <v>Physical HealthUS1</v>
      </c>
      <c r="I199" s="20" t="e">
        <f t="shared" si="25"/>
        <v>#N/A</v>
      </c>
      <c r="J199" s="20" t="e">
        <f t="shared" si="26"/>
        <v>#N/A</v>
      </c>
      <c r="K199" s="20" t="e">
        <f t="shared" si="27"/>
        <v>#N/A</v>
      </c>
    </row>
    <row r="200" spans="2:11" x14ac:dyDescent="0.25">
      <c r="B200" s="22" t="str">
        <f t="shared" si="23"/>
        <v>Caregiver Functioning - Caregiver #1</v>
      </c>
      <c r="C200" s="22" t="str">
        <f t="shared" si="28"/>
        <v>1</v>
      </c>
      <c r="D200" s="22" t="str">
        <f t="shared" si="29"/>
        <v>US</v>
      </c>
      <c r="E200" s="22">
        <f t="shared" si="30"/>
        <v>2</v>
      </c>
      <c r="F200" s="22">
        <f t="shared" si="31"/>
        <v>27</v>
      </c>
      <c r="G200" s="22" t="str">
        <f t="shared" si="24"/>
        <v>Organization</v>
      </c>
      <c r="H200" s="22" t="str">
        <f t="shared" si="32"/>
        <v>OrganizationUS1</v>
      </c>
      <c r="I200" s="20" t="e">
        <f t="shared" si="25"/>
        <v>#N/A</v>
      </c>
      <c r="J200" s="20" t="e">
        <f t="shared" si="26"/>
        <v>#N/A</v>
      </c>
      <c r="K200" s="20" t="e">
        <f t="shared" si="27"/>
        <v>#N/A</v>
      </c>
    </row>
    <row r="201" spans="2:11" x14ac:dyDescent="0.25">
      <c r="B201" s="22" t="str">
        <f t="shared" si="23"/>
        <v>Caregiver Functioning - Caregiver #1</v>
      </c>
      <c r="C201" s="22" t="str">
        <f t="shared" si="28"/>
        <v>1</v>
      </c>
      <c r="D201" s="22" t="str">
        <f t="shared" si="29"/>
        <v>US</v>
      </c>
      <c r="E201" s="22">
        <f t="shared" si="30"/>
        <v>2</v>
      </c>
      <c r="F201" s="22">
        <f t="shared" si="31"/>
        <v>28</v>
      </c>
      <c r="G201" s="22" t="str">
        <f t="shared" si="24"/>
        <v>Parental Attribution</v>
      </c>
      <c r="H201" s="22" t="str">
        <f t="shared" si="32"/>
        <v>Parental AttributionUS1</v>
      </c>
      <c r="I201" s="20" t="e">
        <f t="shared" si="25"/>
        <v>#N/A</v>
      </c>
      <c r="J201" s="20" t="e">
        <f t="shared" si="26"/>
        <v>#N/A</v>
      </c>
      <c r="K201" s="20" t="e">
        <f t="shared" si="27"/>
        <v>#N/A</v>
      </c>
    </row>
    <row r="202" spans="2:11" x14ac:dyDescent="0.25">
      <c r="B202" s="22" t="str">
        <f t="shared" ref="B202:B265" si="34">INDEX(ItemDomain, MATCH(F202, ItemNum, 0))</f>
        <v>Caregiver Functioning - Caregiver #1</v>
      </c>
      <c r="C202" s="22" t="str">
        <f t="shared" si="28"/>
        <v>1</v>
      </c>
      <c r="D202" s="22" t="str">
        <f t="shared" si="29"/>
        <v>US</v>
      </c>
      <c r="E202" s="22">
        <f t="shared" si="30"/>
        <v>2</v>
      </c>
      <c r="F202" s="22">
        <f t="shared" si="31"/>
        <v>29</v>
      </c>
      <c r="G202" s="22" t="str">
        <f t="shared" ref="G202:G265" si="35">INDEX(ItemShort, MATCH(F202, ItemNum, 0))</f>
        <v>Emotional Responsiveness</v>
      </c>
      <c r="H202" s="22" t="str">
        <f t="shared" si="32"/>
        <v>Emotional ResponsivenessUS1</v>
      </c>
      <c r="I202" s="20" t="e">
        <f t="shared" ref="I202:I265" si="36">INDEX(Assess, MATCH($F202, ItemNum, 0), MATCH(dateAssess1, DatesRow, 0)+CHOOSE($E202, 0, 2, 3))&amp;""</f>
        <v>#N/A</v>
      </c>
      <c r="J202" s="20" t="e">
        <f t="shared" ref="J202:J265" si="37">INDEX(Assess, MATCH($F202, ItemNum, 0), MATCH(dateAssess2, DatesRow, 0)+CHOOSE($E202, 0, 2, 3))&amp;""</f>
        <v>#N/A</v>
      </c>
      <c r="K202" s="20" t="e">
        <f t="shared" ref="K202:K265" si="38">INDEX(Assess, MATCH($F202, ItemNum, 0), MATCH(dateAssess3, DatesRow, 0)+CHOOSE($E202, 0, 2, 3))&amp;""</f>
        <v>#N/A</v>
      </c>
    </row>
    <row r="203" spans="2:11" x14ac:dyDescent="0.25">
      <c r="B203" s="22" t="str">
        <f t="shared" si="34"/>
        <v>Caregiver Functioning - Caregiver #1</v>
      </c>
      <c r="C203" s="22" t="str">
        <f t="shared" ref="C203:C266" si="39">IF(ISERROR(VALUE(RIGHT(B203))), "", RIGHT(B203))</f>
        <v>1</v>
      </c>
      <c r="D203" s="22" t="str">
        <f t="shared" ref="D203:D266" si="40">CHOOSE(E203, "", "US", "SB")</f>
        <v>US</v>
      </c>
      <c r="E203" s="22">
        <f t="shared" ref="E203:E266" si="41">IF(F202=nItems, IF(E202=3, "DONE", E202+1), E202)</f>
        <v>2</v>
      </c>
      <c r="F203" s="22">
        <f t="shared" ref="F203:F266" si="42">IF(F202=nItems, IF(E202=3, "DONE", 1), F202+1)</f>
        <v>30</v>
      </c>
      <c r="G203" s="22" t="str">
        <f t="shared" si="35"/>
        <v>Caregiver Posttraumatic Reactions</v>
      </c>
      <c r="H203" s="22" t="str">
        <f t="shared" ref="H203:H266" si="43">G203&amp;D203&amp;C203</f>
        <v>Caregiver Posttraumatic ReactionsUS1</v>
      </c>
      <c r="I203" s="20" t="e">
        <f t="shared" si="36"/>
        <v>#N/A</v>
      </c>
      <c r="J203" s="20" t="e">
        <f t="shared" si="37"/>
        <v>#N/A</v>
      </c>
      <c r="K203" s="20" t="e">
        <f t="shared" si="38"/>
        <v>#N/A</v>
      </c>
    </row>
    <row r="204" spans="2:11" x14ac:dyDescent="0.25">
      <c r="B204" s="22" t="str">
        <f t="shared" si="34"/>
        <v>Caregiver Functioning - Caregiver #1</v>
      </c>
      <c r="C204" s="22" t="str">
        <f t="shared" si="39"/>
        <v>1</v>
      </c>
      <c r="D204" s="22" t="str">
        <f t="shared" si="40"/>
        <v>US</v>
      </c>
      <c r="E204" s="22">
        <f t="shared" si="41"/>
        <v>2</v>
      </c>
      <c r="F204" s="22">
        <f t="shared" si="42"/>
        <v>31</v>
      </c>
      <c r="G204" s="22" t="str">
        <f t="shared" si="35"/>
        <v>Family Stress</v>
      </c>
      <c r="H204" s="22" t="str">
        <f t="shared" si="43"/>
        <v>Family StressUS1</v>
      </c>
      <c r="I204" s="20" t="e">
        <f t="shared" si="36"/>
        <v>#N/A</v>
      </c>
      <c r="J204" s="20" t="e">
        <f t="shared" si="37"/>
        <v>#N/A</v>
      </c>
      <c r="K204" s="20" t="e">
        <f t="shared" si="38"/>
        <v>#N/A</v>
      </c>
    </row>
    <row r="205" spans="2:11" x14ac:dyDescent="0.25">
      <c r="B205" s="22" t="str">
        <f t="shared" si="34"/>
        <v>Caregiver Functioning - Caregiver #1</v>
      </c>
      <c r="C205" s="22" t="str">
        <f t="shared" si="39"/>
        <v>1</v>
      </c>
      <c r="D205" s="22" t="str">
        <f t="shared" si="40"/>
        <v>US</v>
      </c>
      <c r="E205" s="22">
        <f t="shared" si="41"/>
        <v>2</v>
      </c>
      <c r="F205" s="22">
        <f t="shared" si="42"/>
        <v>32</v>
      </c>
      <c r="G205" s="22" t="str">
        <f t="shared" si="35"/>
        <v>Boundaries</v>
      </c>
      <c r="H205" s="22" t="str">
        <f t="shared" si="43"/>
        <v>BoundariesUS1</v>
      </c>
      <c r="I205" s="20" t="e">
        <f t="shared" si="36"/>
        <v>#N/A</v>
      </c>
      <c r="J205" s="20" t="e">
        <f t="shared" si="37"/>
        <v>#N/A</v>
      </c>
      <c r="K205" s="20" t="e">
        <f t="shared" si="38"/>
        <v>#N/A</v>
      </c>
    </row>
    <row r="206" spans="2:11" x14ac:dyDescent="0.25">
      <c r="B206" s="22" t="str">
        <f t="shared" si="34"/>
        <v>Caregiver Functioning - Caregiver #2</v>
      </c>
      <c r="C206" s="22" t="str">
        <f t="shared" si="39"/>
        <v>2</v>
      </c>
      <c r="D206" s="22" t="str">
        <f t="shared" si="40"/>
        <v>US</v>
      </c>
      <c r="E206" s="22">
        <f t="shared" si="41"/>
        <v>2</v>
      </c>
      <c r="F206" s="22">
        <f t="shared" si="42"/>
        <v>33</v>
      </c>
      <c r="G206" s="22" t="str">
        <f t="shared" si="35"/>
        <v>Involvement with Services</v>
      </c>
      <c r="H206" s="22" t="str">
        <f t="shared" si="43"/>
        <v>Involvement with ServicesUS2</v>
      </c>
      <c r="I206" s="20" t="e">
        <f t="shared" si="36"/>
        <v>#N/A</v>
      </c>
      <c r="J206" s="20" t="e">
        <f t="shared" si="37"/>
        <v>#N/A</v>
      </c>
      <c r="K206" s="20" t="e">
        <f t="shared" si="38"/>
        <v>#N/A</v>
      </c>
    </row>
    <row r="207" spans="2:11" x14ac:dyDescent="0.25">
      <c r="B207" s="22" t="str">
        <f t="shared" si="34"/>
        <v>Caregiver Functioning - Caregiver #2</v>
      </c>
      <c r="C207" s="22" t="str">
        <f t="shared" si="39"/>
        <v>2</v>
      </c>
      <c r="D207" s="22" t="str">
        <f t="shared" si="40"/>
        <v>US</v>
      </c>
      <c r="E207" s="22">
        <f t="shared" si="41"/>
        <v>2</v>
      </c>
      <c r="F207" s="22">
        <f t="shared" si="42"/>
        <v>34</v>
      </c>
      <c r="G207" s="22" t="str">
        <f t="shared" si="35"/>
        <v>Distress Tolerance</v>
      </c>
      <c r="H207" s="22" t="str">
        <f t="shared" si="43"/>
        <v>Distress ToleranceUS2</v>
      </c>
      <c r="I207" s="20" t="e">
        <f t="shared" si="36"/>
        <v>#N/A</v>
      </c>
      <c r="J207" s="20" t="e">
        <f t="shared" si="37"/>
        <v>#N/A</v>
      </c>
      <c r="K207" s="20" t="e">
        <f t="shared" si="38"/>
        <v>#N/A</v>
      </c>
    </row>
    <row r="208" spans="2:11" x14ac:dyDescent="0.25">
      <c r="B208" s="22" t="str">
        <f t="shared" si="34"/>
        <v>Caregiver Functioning - Caregiver #2</v>
      </c>
      <c r="C208" s="22" t="str">
        <f t="shared" si="39"/>
        <v>2</v>
      </c>
      <c r="D208" s="22" t="str">
        <f t="shared" si="40"/>
        <v>US</v>
      </c>
      <c r="E208" s="22">
        <f t="shared" si="41"/>
        <v>2</v>
      </c>
      <c r="F208" s="22">
        <f t="shared" si="42"/>
        <v>35</v>
      </c>
      <c r="G208" s="22" t="str">
        <f t="shared" si="35"/>
        <v>Supervision</v>
      </c>
      <c r="H208" s="22" t="str">
        <f t="shared" si="43"/>
        <v>SupervisionUS2</v>
      </c>
      <c r="I208" s="20" t="e">
        <f t="shared" si="36"/>
        <v>#N/A</v>
      </c>
      <c r="J208" s="20" t="e">
        <f t="shared" si="37"/>
        <v>#N/A</v>
      </c>
      <c r="K208" s="20" t="e">
        <f t="shared" si="38"/>
        <v>#N/A</v>
      </c>
    </row>
    <row r="209" spans="2:11" x14ac:dyDescent="0.25">
      <c r="B209" s="22" t="str">
        <f t="shared" si="34"/>
        <v>Caregiver Functioning - Caregiver #2</v>
      </c>
      <c r="C209" s="22" t="str">
        <f t="shared" si="39"/>
        <v>2</v>
      </c>
      <c r="D209" s="22" t="str">
        <f t="shared" si="40"/>
        <v>US</v>
      </c>
      <c r="E209" s="22">
        <f t="shared" si="41"/>
        <v>2</v>
      </c>
      <c r="F209" s="22">
        <f t="shared" si="42"/>
        <v>36</v>
      </c>
      <c r="G209" s="22" t="str">
        <f t="shared" si="35"/>
        <v>Discipline</v>
      </c>
      <c r="H209" s="22" t="str">
        <f t="shared" si="43"/>
        <v>DisciplineUS2</v>
      </c>
      <c r="I209" s="20" t="e">
        <f t="shared" si="36"/>
        <v>#N/A</v>
      </c>
      <c r="J209" s="20" t="e">
        <f t="shared" si="37"/>
        <v>#N/A</v>
      </c>
      <c r="K209" s="20" t="e">
        <f t="shared" si="38"/>
        <v>#N/A</v>
      </c>
    </row>
    <row r="210" spans="2:11" x14ac:dyDescent="0.25">
      <c r="B210" s="22" t="str">
        <f t="shared" si="34"/>
        <v>Caregiver Functioning - Caregiver #2</v>
      </c>
      <c r="C210" s="22" t="str">
        <f t="shared" si="39"/>
        <v>2</v>
      </c>
      <c r="D210" s="22" t="str">
        <f t="shared" si="40"/>
        <v>US</v>
      </c>
      <c r="E210" s="22">
        <f t="shared" si="41"/>
        <v>2</v>
      </c>
      <c r="F210" s="22">
        <f t="shared" si="42"/>
        <v>37</v>
      </c>
      <c r="G210" s="22" t="str">
        <f t="shared" si="35"/>
        <v>Mental Health</v>
      </c>
      <c r="H210" s="22" t="str">
        <f t="shared" si="43"/>
        <v>Mental HealthUS2</v>
      </c>
      <c r="I210" s="20" t="e">
        <f t="shared" si="36"/>
        <v>#N/A</v>
      </c>
      <c r="J210" s="20" t="e">
        <f t="shared" si="37"/>
        <v>#N/A</v>
      </c>
      <c r="K210" s="20" t="e">
        <f t="shared" si="38"/>
        <v>#N/A</v>
      </c>
    </row>
    <row r="211" spans="2:11" x14ac:dyDescent="0.25">
      <c r="B211" s="22" t="str">
        <f t="shared" si="34"/>
        <v>Caregiver Functioning - Caregiver #2</v>
      </c>
      <c r="C211" s="22" t="str">
        <f t="shared" si="39"/>
        <v>2</v>
      </c>
      <c r="D211" s="22" t="str">
        <f t="shared" si="40"/>
        <v>US</v>
      </c>
      <c r="E211" s="22">
        <f t="shared" si="41"/>
        <v>2</v>
      </c>
      <c r="F211" s="22">
        <f t="shared" si="42"/>
        <v>38</v>
      </c>
      <c r="G211" s="22" t="str">
        <f t="shared" si="35"/>
        <v>Partner Relations</v>
      </c>
      <c r="H211" s="22" t="str">
        <f t="shared" si="43"/>
        <v>Partner RelationsUS2</v>
      </c>
      <c r="I211" s="20" t="e">
        <f t="shared" si="36"/>
        <v>#N/A</v>
      </c>
      <c r="J211" s="20" t="e">
        <f t="shared" si="37"/>
        <v>#N/A</v>
      </c>
      <c r="K211" s="20" t="e">
        <f t="shared" si="38"/>
        <v>#N/A</v>
      </c>
    </row>
    <row r="212" spans="2:11" x14ac:dyDescent="0.25">
      <c r="B212" s="22" t="str">
        <f t="shared" si="34"/>
        <v>Caregiver Functioning - Caregiver #2</v>
      </c>
      <c r="C212" s="22" t="str">
        <f t="shared" si="39"/>
        <v>2</v>
      </c>
      <c r="D212" s="22" t="str">
        <f t="shared" si="40"/>
        <v>US</v>
      </c>
      <c r="E212" s="22">
        <f t="shared" si="41"/>
        <v>2</v>
      </c>
      <c r="F212" s="22">
        <f t="shared" si="42"/>
        <v>39</v>
      </c>
      <c r="G212" s="22" t="str">
        <f t="shared" si="35"/>
        <v>Substance Abuse</v>
      </c>
      <c r="H212" s="22" t="str">
        <f t="shared" si="43"/>
        <v>Substance AbuseUS2</v>
      </c>
      <c r="I212" s="20" t="e">
        <f t="shared" si="36"/>
        <v>#N/A</v>
      </c>
      <c r="J212" s="20" t="e">
        <f t="shared" si="37"/>
        <v>#N/A</v>
      </c>
      <c r="K212" s="20" t="e">
        <f t="shared" si="38"/>
        <v>#N/A</v>
      </c>
    </row>
    <row r="213" spans="2:11" x14ac:dyDescent="0.25">
      <c r="B213" s="22" t="str">
        <f t="shared" si="34"/>
        <v>Caregiver Functioning - Caregiver #2</v>
      </c>
      <c r="C213" s="22" t="str">
        <f t="shared" si="39"/>
        <v>2</v>
      </c>
      <c r="D213" s="22" t="str">
        <f t="shared" si="40"/>
        <v>US</v>
      </c>
      <c r="E213" s="22">
        <f t="shared" si="41"/>
        <v>2</v>
      </c>
      <c r="F213" s="22">
        <f t="shared" si="42"/>
        <v>40</v>
      </c>
      <c r="G213" s="22" t="str">
        <f t="shared" si="35"/>
        <v>Physical Health</v>
      </c>
      <c r="H213" s="22" t="str">
        <f t="shared" si="43"/>
        <v>Physical HealthUS2</v>
      </c>
      <c r="I213" s="20" t="e">
        <f t="shared" si="36"/>
        <v>#N/A</v>
      </c>
      <c r="J213" s="20" t="e">
        <f t="shared" si="37"/>
        <v>#N/A</v>
      </c>
      <c r="K213" s="20" t="e">
        <f t="shared" si="38"/>
        <v>#N/A</v>
      </c>
    </row>
    <row r="214" spans="2:11" x14ac:dyDescent="0.25">
      <c r="B214" s="22" t="str">
        <f t="shared" si="34"/>
        <v>Caregiver Functioning - Caregiver #2</v>
      </c>
      <c r="C214" s="22" t="str">
        <f t="shared" si="39"/>
        <v>2</v>
      </c>
      <c r="D214" s="22" t="str">
        <f t="shared" si="40"/>
        <v>US</v>
      </c>
      <c r="E214" s="22">
        <f t="shared" si="41"/>
        <v>2</v>
      </c>
      <c r="F214" s="22">
        <f t="shared" si="42"/>
        <v>41</v>
      </c>
      <c r="G214" s="22" t="str">
        <f t="shared" si="35"/>
        <v>Organization</v>
      </c>
      <c r="H214" s="22" t="str">
        <f t="shared" si="43"/>
        <v>OrganizationUS2</v>
      </c>
      <c r="I214" s="20" t="e">
        <f t="shared" si="36"/>
        <v>#N/A</v>
      </c>
      <c r="J214" s="20" t="e">
        <f t="shared" si="37"/>
        <v>#N/A</v>
      </c>
      <c r="K214" s="20" t="e">
        <f t="shared" si="38"/>
        <v>#N/A</v>
      </c>
    </row>
    <row r="215" spans="2:11" x14ac:dyDescent="0.25">
      <c r="B215" s="22" t="str">
        <f t="shared" si="34"/>
        <v>Caregiver Functioning - Caregiver #2</v>
      </c>
      <c r="C215" s="22" t="str">
        <f t="shared" si="39"/>
        <v>2</v>
      </c>
      <c r="D215" s="22" t="str">
        <f t="shared" si="40"/>
        <v>US</v>
      </c>
      <c r="E215" s="22">
        <f t="shared" si="41"/>
        <v>2</v>
      </c>
      <c r="F215" s="22">
        <f t="shared" si="42"/>
        <v>42</v>
      </c>
      <c r="G215" s="22" t="str">
        <f t="shared" si="35"/>
        <v>Parental Attribution</v>
      </c>
      <c r="H215" s="22" t="str">
        <f t="shared" si="43"/>
        <v>Parental AttributionUS2</v>
      </c>
      <c r="I215" s="20" t="e">
        <f t="shared" si="36"/>
        <v>#N/A</v>
      </c>
      <c r="J215" s="20" t="e">
        <f t="shared" si="37"/>
        <v>#N/A</v>
      </c>
      <c r="K215" s="20" t="e">
        <f t="shared" si="38"/>
        <v>#N/A</v>
      </c>
    </row>
    <row r="216" spans="2:11" x14ac:dyDescent="0.25">
      <c r="B216" s="22" t="str">
        <f t="shared" si="34"/>
        <v>Caregiver Functioning - Caregiver #2</v>
      </c>
      <c r="C216" s="22" t="str">
        <f t="shared" si="39"/>
        <v>2</v>
      </c>
      <c r="D216" s="22" t="str">
        <f t="shared" si="40"/>
        <v>US</v>
      </c>
      <c r="E216" s="22">
        <f t="shared" si="41"/>
        <v>2</v>
      </c>
      <c r="F216" s="22">
        <f t="shared" si="42"/>
        <v>43</v>
      </c>
      <c r="G216" s="22" t="str">
        <f t="shared" si="35"/>
        <v>Emotional Responsiveness</v>
      </c>
      <c r="H216" s="22" t="str">
        <f t="shared" si="43"/>
        <v>Emotional ResponsivenessUS2</v>
      </c>
      <c r="I216" s="20" t="e">
        <f t="shared" si="36"/>
        <v>#N/A</v>
      </c>
      <c r="J216" s="20" t="e">
        <f t="shared" si="37"/>
        <v>#N/A</v>
      </c>
      <c r="K216" s="20" t="e">
        <f t="shared" si="38"/>
        <v>#N/A</v>
      </c>
    </row>
    <row r="217" spans="2:11" x14ac:dyDescent="0.25">
      <c r="B217" s="22" t="str">
        <f t="shared" si="34"/>
        <v>Caregiver Functioning - Caregiver #2</v>
      </c>
      <c r="C217" s="22" t="str">
        <f t="shared" si="39"/>
        <v>2</v>
      </c>
      <c r="D217" s="22" t="str">
        <f t="shared" si="40"/>
        <v>US</v>
      </c>
      <c r="E217" s="22">
        <f t="shared" si="41"/>
        <v>2</v>
      </c>
      <c r="F217" s="22">
        <f t="shared" si="42"/>
        <v>44</v>
      </c>
      <c r="G217" s="22" t="str">
        <f t="shared" si="35"/>
        <v>Caregiver Posttraumatic Reactions</v>
      </c>
      <c r="H217" s="22" t="str">
        <f t="shared" si="43"/>
        <v>Caregiver Posttraumatic ReactionsUS2</v>
      </c>
      <c r="I217" s="20" t="e">
        <f t="shared" si="36"/>
        <v>#N/A</v>
      </c>
      <c r="J217" s="20" t="e">
        <f t="shared" si="37"/>
        <v>#N/A</v>
      </c>
      <c r="K217" s="20" t="e">
        <f t="shared" si="38"/>
        <v>#N/A</v>
      </c>
    </row>
    <row r="218" spans="2:11" x14ac:dyDescent="0.25">
      <c r="B218" s="22" t="str">
        <f t="shared" si="34"/>
        <v>Caregiver Functioning - Caregiver #2</v>
      </c>
      <c r="C218" s="22" t="str">
        <f t="shared" si="39"/>
        <v>2</v>
      </c>
      <c r="D218" s="22" t="str">
        <f t="shared" si="40"/>
        <v>US</v>
      </c>
      <c r="E218" s="22">
        <f t="shared" si="41"/>
        <v>2</v>
      </c>
      <c r="F218" s="22">
        <f t="shared" si="42"/>
        <v>45</v>
      </c>
      <c r="G218" s="22" t="str">
        <f t="shared" si="35"/>
        <v>Family Stress</v>
      </c>
      <c r="H218" s="22" t="str">
        <f t="shared" si="43"/>
        <v>Family StressUS2</v>
      </c>
      <c r="I218" s="20" t="e">
        <f t="shared" si="36"/>
        <v>#N/A</v>
      </c>
      <c r="J218" s="20" t="e">
        <f t="shared" si="37"/>
        <v>#N/A</v>
      </c>
      <c r="K218" s="20" t="e">
        <f t="shared" si="38"/>
        <v>#N/A</v>
      </c>
    </row>
    <row r="219" spans="2:11" x14ac:dyDescent="0.25">
      <c r="B219" s="22" t="str">
        <f t="shared" si="34"/>
        <v>Caregiver Functioning - Caregiver #2</v>
      </c>
      <c r="C219" s="22" t="str">
        <f t="shared" si="39"/>
        <v>2</v>
      </c>
      <c r="D219" s="22" t="str">
        <f t="shared" si="40"/>
        <v>US</v>
      </c>
      <c r="E219" s="22">
        <f t="shared" si="41"/>
        <v>2</v>
      </c>
      <c r="F219" s="22">
        <f t="shared" si="42"/>
        <v>46</v>
      </c>
      <c r="G219" s="22" t="str">
        <f t="shared" si="35"/>
        <v>Boundaries</v>
      </c>
      <c r="H219" s="22" t="str">
        <f t="shared" si="43"/>
        <v>BoundariesUS2</v>
      </c>
      <c r="I219" s="20" t="e">
        <f t="shared" si="36"/>
        <v>#N/A</v>
      </c>
      <c r="J219" s="20" t="e">
        <f t="shared" si="37"/>
        <v>#N/A</v>
      </c>
      <c r="K219" s="20" t="e">
        <f t="shared" si="38"/>
        <v>#N/A</v>
      </c>
    </row>
    <row r="220" spans="2:11" x14ac:dyDescent="0.25">
      <c r="B220" s="22" t="str">
        <f t="shared" si="34"/>
        <v>Caregiver Functioning - Caregiver #3</v>
      </c>
      <c r="C220" s="22" t="str">
        <f t="shared" si="39"/>
        <v>3</v>
      </c>
      <c r="D220" s="22" t="str">
        <f t="shared" si="40"/>
        <v>US</v>
      </c>
      <c r="E220" s="22">
        <f t="shared" si="41"/>
        <v>2</v>
      </c>
      <c r="F220" s="22">
        <f t="shared" si="42"/>
        <v>47</v>
      </c>
      <c r="G220" s="22" t="str">
        <f t="shared" si="35"/>
        <v>Involvement with Services</v>
      </c>
      <c r="H220" s="22" t="str">
        <f t="shared" si="43"/>
        <v>Involvement with ServicesUS3</v>
      </c>
      <c r="I220" s="20" t="e">
        <f t="shared" si="36"/>
        <v>#N/A</v>
      </c>
      <c r="J220" s="20" t="e">
        <f t="shared" si="37"/>
        <v>#N/A</v>
      </c>
      <c r="K220" s="20" t="e">
        <f t="shared" si="38"/>
        <v>#N/A</v>
      </c>
    </row>
    <row r="221" spans="2:11" x14ac:dyDescent="0.25">
      <c r="B221" s="22" t="str">
        <f t="shared" si="34"/>
        <v>Caregiver Functioning - Caregiver #3</v>
      </c>
      <c r="C221" s="22" t="str">
        <f t="shared" si="39"/>
        <v>3</v>
      </c>
      <c r="D221" s="22" t="str">
        <f t="shared" si="40"/>
        <v>US</v>
      </c>
      <c r="E221" s="22">
        <f t="shared" si="41"/>
        <v>2</v>
      </c>
      <c r="F221" s="22">
        <f t="shared" si="42"/>
        <v>48</v>
      </c>
      <c r="G221" s="22" t="str">
        <f t="shared" si="35"/>
        <v>Distress Tolerance</v>
      </c>
      <c r="H221" s="22" t="str">
        <f t="shared" si="43"/>
        <v>Distress ToleranceUS3</v>
      </c>
      <c r="I221" s="20" t="e">
        <f t="shared" si="36"/>
        <v>#N/A</v>
      </c>
      <c r="J221" s="20" t="e">
        <f t="shared" si="37"/>
        <v>#N/A</v>
      </c>
      <c r="K221" s="20" t="e">
        <f t="shared" si="38"/>
        <v>#N/A</v>
      </c>
    </row>
    <row r="222" spans="2:11" x14ac:dyDescent="0.25">
      <c r="B222" s="22" t="str">
        <f t="shared" si="34"/>
        <v>Caregiver Functioning - Caregiver #3</v>
      </c>
      <c r="C222" s="22" t="str">
        <f t="shared" si="39"/>
        <v>3</v>
      </c>
      <c r="D222" s="22" t="str">
        <f t="shared" si="40"/>
        <v>US</v>
      </c>
      <c r="E222" s="22">
        <f t="shared" si="41"/>
        <v>2</v>
      </c>
      <c r="F222" s="22">
        <f t="shared" si="42"/>
        <v>49</v>
      </c>
      <c r="G222" s="22" t="str">
        <f t="shared" si="35"/>
        <v>Supervision</v>
      </c>
      <c r="H222" s="22" t="str">
        <f t="shared" si="43"/>
        <v>SupervisionUS3</v>
      </c>
      <c r="I222" s="20" t="e">
        <f t="shared" si="36"/>
        <v>#N/A</v>
      </c>
      <c r="J222" s="20" t="e">
        <f t="shared" si="37"/>
        <v>#N/A</v>
      </c>
      <c r="K222" s="20" t="e">
        <f t="shared" si="38"/>
        <v>#N/A</v>
      </c>
    </row>
    <row r="223" spans="2:11" x14ac:dyDescent="0.25">
      <c r="B223" s="22" t="str">
        <f t="shared" si="34"/>
        <v>Caregiver Functioning - Caregiver #3</v>
      </c>
      <c r="C223" s="22" t="str">
        <f t="shared" si="39"/>
        <v>3</v>
      </c>
      <c r="D223" s="22" t="str">
        <f t="shared" si="40"/>
        <v>US</v>
      </c>
      <c r="E223" s="22">
        <f t="shared" si="41"/>
        <v>2</v>
      </c>
      <c r="F223" s="22">
        <f t="shared" si="42"/>
        <v>50</v>
      </c>
      <c r="G223" s="22" t="str">
        <f t="shared" si="35"/>
        <v>Discipline</v>
      </c>
      <c r="H223" s="22" t="str">
        <f t="shared" si="43"/>
        <v>DisciplineUS3</v>
      </c>
      <c r="I223" s="20" t="e">
        <f t="shared" si="36"/>
        <v>#N/A</v>
      </c>
      <c r="J223" s="20" t="e">
        <f t="shared" si="37"/>
        <v>#N/A</v>
      </c>
      <c r="K223" s="20" t="e">
        <f t="shared" si="38"/>
        <v>#N/A</v>
      </c>
    </row>
    <row r="224" spans="2:11" x14ac:dyDescent="0.25">
      <c r="B224" s="22" t="str">
        <f t="shared" si="34"/>
        <v>Caregiver Functioning - Caregiver #3</v>
      </c>
      <c r="C224" s="22" t="str">
        <f t="shared" si="39"/>
        <v>3</v>
      </c>
      <c r="D224" s="22" t="str">
        <f t="shared" si="40"/>
        <v>US</v>
      </c>
      <c r="E224" s="22">
        <f t="shared" si="41"/>
        <v>2</v>
      </c>
      <c r="F224" s="22">
        <f t="shared" si="42"/>
        <v>51</v>
      </c>
      <c r="G224" s="22" t="str">
        <f t="shared" si="35"/>
        <v>Mental Health</v>
      </c>
      <c r="H224" s="22" t="str">
        <f t="shared" si="43"/>
        <v>Mental HealthUS3</v>
      </c>
      <c r="I224" s="20" t="e">
        <f t="shared" si="36"/>
        <v>#N/A</v>
      </c>
      <c r="J224" s="20" t="e">
        <f t="shared" si="37"/>
        <v>#N/A</v>
      </c>
      <c r="K224" s="20" t="e">
        <f t="shared" si="38"/>
        <v>#N/A</v>
      </c>
    </row>
    <row r="225" spans="2:11" x14ac:dyDescent="0.25">
      <c r="B225" s="22" t="str">
        <f t="shared" si="34"/>
        <v>Caregiver Functioning - Caregiver #3</v>
      </c>
      <c r="C225" s="22" t="str">
        <f t="shared" si="39"/>
        <v>3</v>
      </c>
      <c r="D225" s="22" t="str">
        <f t="shared" si="40"/>
        <v>US</v>
      </c>
      <c r="E225" s="22">
        <f t="shared" si="41"/>
        <v>2</v>
      </c>
      <c r="F225" s="22">
        <f t="shared" si="42"/>
        <v>52</v>
      </c>
      <c r="G225" s="22" t="str">
        <f t="shared" si="35"/>
        <v>Partner Relations</v>
      </c>
      <c r="H225" s="22" t="str">
        <f t="shared" si="43"/>
        <v>Partner RelationsUS3</v>
      </c>
      <c r="I225" s="20" t="e">
        <f t="shared" si="36"/>
        <v>#N/A</v>
      </c>
      <c r="J225" s="20" t="e">
        <f t="shared" si="37"/>
        <v>#N/A</v>
      </c>
      <c r="K225" s="20" t="e">
        <f t="shared" si="38"/>
        <v>#N/A</v>
      </c>
    </row>
    <row r="226" spans="2:11" x14ac:dyDescent="0.25">
      <c r="B226" s="22" t="str">
        <f t="shared" si="34"/>
        <v>Caregiver Functioning - Caregiver #3</v>
      </c>
      <c r="C226" s="22" t="str">
        <f t="shared" si="39"/>
        <v>3</v>
      </c>
      <c r="D226" s="22" t="str">
        <f t="shared" si="40"/>
        <v>US</v>
      </c>
      <c r="E226" s="22">
        <f t="shared" si="41"/>
        <v>2</v>
      </c>
      <c r="F226" s="22">
        <f t="shared" si="42"/>
        <v>53</v>
      </c>
      <c r="G226" s="22" t="str">
        <f t="shared" si="35"/>
        <v>Substance Abuse</v>
      </c>
      <c r="H226" s="22" t="str">
        <f t="shared" si="43"/>
        <v>Substance AbuseUS3</v>
      </c>
      <c r="I226" s="20" t="e">
        <f t="shared" si="36"/>
        <v>#N/A</v>
      </c>
      <c r="J226" s="20" t="e">
        <f t="shared" si="37"/>
        <v>#N/A</v>
      </c>
      <c r="K226" s="20" t="e">
        <f t="shared" si="38"/>
        <v>#N/A</v>
      </c>
    </row>
    <row r="227" spans="2:11" x14ac:dyDescent="0.25">
      <c r="B227" s="22" t="str">
        <f t="shared" si="34"/>
        <v>Caregiver Functioning - Caregiver #3</v>
      </c>
      <c r="C227" s="22" t="str">
        <f t="shared" si="39"/>
        <v>3</v>
      </c>
      <c r="D227" s="22" t="str">
        <f t="shared" si="40"/>
        <v>US</v>
      </c>
      <c r="E227" s="22">
        <f t="shared" si="41"/>
        <v>2</v>
      </c>
      <c r="F227" s="22">
        <f t="shared" si="42"/>
        <v>54</v>
      </c>
      <c r="G227" s="22" t="str">
        <f t="shared" si="35"/>
        <v>Physical Health</v>
      </c>
      <c r="H227" s="22" t="str">
        <f t="shared" si="43"/>
        <v>Physical HealthUS3</v>
      </c>
      <c r="I227" s="20" t="e">
        <f t="shared" si="36"/>
        <v>#N/A</v>
      </c>
      <c r="J227" s="20" t="e">
        <f t="shared" si="37"/>
        <v>#N/A</v>
      </c>
      <c r="K227" s="20" t="e">
        <f t="shared" si="38"/>
        <v>#N/A</v>
      </c>
    </row>
    <row r="228" spans="2:11" x14ac:dyDescent="0.25">
      <c r="B228" s="22" t="str">
        <f t="shared" si="34"/>
        <v>Caregiver Functioning - Caregiver #3</v>
      </c>
      <c r="C228" s="22" t="str">
        <f t="shared" si="39"/>
        <v>3</v>
      </c>
      <c r="D228" s="22" t="str">
        <f t="shared" si="40"/>
        <v>US</v>
      </c>
      <c r="E228" s="22">
        <f t="shared" si="41"/>
        <v>2</v>
      </c>
      <c r="F228" s="22">
        <f t="shared" si="42"/>
        <v>55</v>
      </c>
      <c r="G228" s="22" t="str">
        <f t="shared" si="35"/>
        <v>Organization</v>
      </c>
      <c r="H228" s="22" t="str">
        <f t="shared" si="43"/>
        <v>OrganizationUS3</v>
      </c>
      <c r="I228" s="20" t="e">
        <f t="shared" si="36"/>
        <v>#N/A</v>
      </c>
      <c r="J228" s="20" t="e">
        <f t="shared" si="37"/>
        <v>#N/A</v>
      </c>
      <c r="K228" s="20" t="e">
        <f t="shared" si="38"/>
        <v>#N/A</v>
      </c>
    </row>
    <row r="229" spans="2:11" x14ac:dyDescent="0.25">
      <c r="B229" s="22" t="str">
        <f t="shared" si="34"/>
        <v>Caregiver Functioning - Caregiver #3</v>
      </c>
      <c r="C229" s="22" t="str">
        <f t="shared" si="39"/>
        <v>3</v>
      </c>
      <c r="D229" s="22" t="str">
        <f t="shared" si="40"/>
        <v>US</v>
      </c>
      <c r="E229" s="22">
        <f t="shared" si="41"/>
        <v>2</v>
      </c>
      <c r="F229" s="22">
        <f t="shared" si="42"/>
        <v>56</v>
      </c>
      <c r="G229" s="22" t="str">
        <f t="shared" si="35"/>
        <v>Parental Attribution</v>
      </c>
      <c r="H229" s="22" t="str">
        <f t="shared" si="43"/>
        <v>Parental AttributionUS3</v>
      </c>
      <c r="I229" s="20" t="e">
        <f t="shared" si="36"/>
        <v>#N/A</v>
      </c>
      <c r="J229" s="20" t="e">
        <f t="shared" si="37"/>
        <v>#N/A</v>
      </c>
      <c r="K229" s="20" t="e">
        <f t="shared" si="38"/>
        <v>#N/A</v>
      </c>
    </row>
    <row r="230" spans="2:11" x14ac:dyDescent="0.25">
      <c r="B230" s="22" t="str">
        <f t="shared" si="34"/>
        <v>Caregiver Functioning - Caregiver #3</v>
      </c>
      <c r="C230" s="22" t="str">
        <f t="shared" si="39"/>
        <v>3</v>
      </c>
      <c r="D230" s="22" t="str">
        <f t="shared" si="40"/>
        <v>US</v>
      </c>
      <c r="E230" s="22">
        <f t="shared" si="41"/>
        <v>2</v>
      </c>
      <c r="F230" s="22">
        <f t="shared" si="42"/>
        <v>57</v>
      </c>
      <c r="G230" s="22" t="str">
        <f t="shared" si="35"/>
        <v>Emotional Responsiveness</v>
      </c>
      <c r="H230" s="22" t="str">
        <f t="shared" si="43"/>
        <v>Emotional ResponsivenessUS3</v>
      </c>
      <c r="I230" s="20" t="e">
        <f t="shared" si="36"/>
        <v>#N/A</v>
      </c>
      <c r="J230" s="20" t="e">
        <f t="shared" si="37"/>
        <v>#N/A</v>
      </c>
      <c r="K230" s="20" t="e">
        <f t="shared" si="38"/>
        <v>#N/A</v>
      </c>
    </row>
    <row r="231" spans="2:11" x14ac:dyDescent="0.25">
      <c r="B231" s="22" t="str">
        <f t="shared" si="34"/>
        <v>Caregiver Functioning - Caregiver #3</v>
      </c>
      <c r="C231" s="22" t="str">
        <f t="shared" si="39"/>
        <v>3</v>
      </c>
      <c r="D231" s="22" t="str">
        <f t="shared" si="40"/>
        <v>US</v>
      </c>
      <c r="E231" s="22">
        <f t="shared" si="41"/>
        <v>2</v>
      </c>
      <c r="F231" s="22">
        <f t="shared" si="42"/>
        <v>58</v>
      </c>
      <c r="G231" s="22" t="str">
        <f t="shared" si="35"/>
        <v>Caregiver Posttraumatic Reactions</v>
      </c>
      <c r="H231" s="22" t="str">
        <f t="shared" si="43"/>
        <v>Caregiver Posttraumatic ReactionsUS3</v>
      </c>
      <c r="I231" s="20" t="e">
        <f t="shared" si="36"/>
        <v>#N/A</v>
      </c>
      <c r="J231" s="20" t="e">
        <f t="shared" si="37"/>
        <v>#N/A</v>
      </c>
      <c r="K231" s="20" t="e">
        <f t="shared" si="38"/>
        <v>#N/A</v>
      </c>
    </row>
    <row r="232" spans="2:11" x14ac:dyDescent="0.25">
      <c r="B232" s="22" t="str">
        <f t="shared" si="34"/>
        <v>Caregiver Functioning - Caregiver #3</v>
      </c>
      <c r="C232" s="22" t="str">
        <f t="shared" si="39"/>
        <v>3</v>
      </c>
      <c r="D232" s="22" t="str">
        <f t="shared" si="40"/>
        <v>US</v>
      </c>
      <c r="E232" s="22">
        <f t="shared" si="41"/>
        <v>2</v>
      </c>
      <c r="F232" s="22">
        <f t="shared" si="42"/>
        <v>59</v>
      </c>
      <c r="G232" s="22" t="str">
        <f t="shared" si="35"/>
        <v>Family Stress</v>
      </c>
      <c r="H232" s="22" t="str">
        <f t="shared" si="43"/>
        <v>Family StressUS3</v>
      </c>
      <c r="I232" s="20" t="e">
        <f t="shared" si="36"/>
        <v>#N/A</v>
      </c>
      <c r="J232" s="20" t="e">
        <f t="shared" si="37"/>
        <v>#N/A</v>
      </c>
      <c r="K232" s="20" t="e">
        <f t="shared" si="38"/>
        <v>#N/A</v>
      </c>
    </row>
    <row r="233" spans="2:11" x14ac:dyDescent="0.25">
      <c r="B233" s="22" t="str">
        <f t="shared" si="34"/>
        <v>Caregiver Functioning - Caregiver #3</v>
      </c>
      <c r="C233" s="22" t="str">
        <f t="shared" si="39"/>
        <v>3</v>
      </c>
      <c r="D233" s="22" t="str">
        <f t="shared" si="40"/>
        <v>US</v>
      </c>
      <c r="E233" s="22">
        <f t="shared" si="41"/>
        <v>2</v>
      </c>
      <c r="F233" s="22">
        <f t="shared" si="42"/>
        <v>60</v>
      </c>
      <c r="G233" s="22" t="str">
        <f t="shared" si="35"/>
        <v>Boundaries</v>
      </c>
      <c r="H233" s="22" t="str">
        <f t="shared" si="43"/>
        <v>BoundariesUS3</v>
      </c>
      <c r="I233" s="20" t="e">
        <f t="shared" si="36"/>
        <v>#N/A</v>
      </c>
      <c r="J233" s="20" t="e">
        <f t="shared" si="37"/>
        <v>#N/A</v>
      </c>
      <c r="K233" s="20" t="e">
        <f t="shared" si="38"/>
        <v>#N/A</v>
      </c>
    </row>
    <row r="234" spans="2:11" x14ac:dyDescent="0.25">
      <c r="B234" s="22" t="str">
        <f t="shared" si="34"/>
        <v>Caregiver Functioning - Caregiver #4</v>
      </c>
      <c r="C234" s="22" t="str">
        <f t="shared" si="39"/>
        <v>4</v>
      </c>
      <c r="D234" s="22" t="str">
        <f t="shared" si="40"/>
        <v>US</v>
      </c>
      <c r="E234" s="22">
        <f t="shared" si="41"/>
        <v>2</v>
      </c>
      <c r="F234" s="22">
        <f t="shared" si="42"/>
        <v>61</v>
      </c>
      <c r="G234" s="22" t="str">
        <f t="shared" si="35"/>
        <v>Involvement with Services</v>
      </c>
      <c r="H234" s="22" t="str">
        <f t="shared" si="43"/>
        <v>Involvement with ServicesUS4</v>
      </c>
      <c r="I234" s="20" t="e">
        <f t="shared" si="36"/>
        <v>#N/A</v>
      </c>
      <c r="J234" s="20" t="e">
        <f t="shared" si="37"/>
        <v>#N/A</v>
      </c>
      <c r="K234" s="20" t="e">
        <f t="shared" si="38"/>
        <v>#N/A</v>
      </c>
    </row>
    <row r="235" spans="2:11" x14ac:dyDescent="0.25">
      <c r="B235" s="22" t="str">
        <f t="shared" si="34"/>
        <v>Caregiver Functioning - Caregiver #4</v>
      </c>
      <c r="C235" s="22" t="str">
        <f t="shared" si="39"/>
        <v>4</v>
      </c>
      <c r="D235" s="22" t="str">
        <f t="shared" si="40"/>
        <v>US</v>
      </c>
      <c r="E235" s="22">
        <f t="shared" si="41"/>
        <v>2</v>
      </c>
      <c r="F235" s="22">
        <f t="shared" si="42"/>
        <v>62</v>
      </c>
      <c r="G235" s="22" t="str">
        <f t="shared" si="35"/>
        <v>Distress Tolerance</v>
      </c>
      <c r="H235" s="22" t="str">
        <f t="shared" si="43"/>
        <v>Distress ToleranceUS4</v>
      </c>
      <c r="I235" s="20" t="e">
        <f t="shared" si="36"/>
        <v>#N/A</v>
      </c>
      <c r="J235" s="20" t="e">
        <f t="shared" si="37"/>
        <v>#N/A</v>
      </c>
      <c r="K235" s="20" t="e">
        <f t="shared" si="38"/>
        <v>#N/A</v>
      </c>
    </row>
    <row r="236" spans="2:11" x14ac:dyDescent="0.25">
      <c r="B236" s="22" t="str">
        <f t="shared" si="34"/>
        <v>Caregiver Functioning - Caregiver #4</v>
      </c>
      <c r="C236" s="22" t="str">
        <f t="shared" si="39"/>
        <v>4</v>
      </c>
      <c r="D236" s="22" t="str">
        <f t="shared" si="40"/>
        <v>US</v>
      </c>
      <c r="E236" s="22">
        <f t="shared" si="41"/>
        <v>2</v>
      </c>
      <c r="F236" s="22">
        <f t="shared" si="42"/>
        <v>63</v>
      </c>
      <c r="G236" s="22" t="str">
        <f t="shared" si="35"/>
        <v>Supervision</v>
      </c>
      <c r="H236" s="22" t="str">
        <f t="shared" si="43"/>
        <v>SupervisionUS4</v>
      </c>
      <c r="I236" s="20" t="e">
        <f t="shared" si="36"/>
        <v>#N/A</v>
      </c>
      <c r="J236" s="20" t="e">
        <f t="shared" si="37"/>
        <v>#N/A</v>
      </c>
      <c r="K236" s="20" t="e">
        <f t="shared" si="38"/>
        <v>#N/A</v>
      </c>
    </row>
    <row r="237" spans="2:11" x14ac:dyDescent="0.25">
      <c r="B237" s="22" t="str">
        <f t="shared" si="34"/>
        <v>Caregiver Functioning - Caregiver #4</v>
      </c>
      <c r="C237" s="22" t="str">
        <f t="shared" si="39"/>
        <v>4</v>
      </c>
      <c r="D237" s="22" t="str">
        <f t="shared" si="40"/>
        <v>US</v>
      </c>
      <c r="E237" s="22">
        <f t="shared" si="41"/>
        <v>2</v>
      </c>
      <c r="F237" s="22">
        <f t="shared" si="42"/>
        <v>64</v>
      </c>
      <c r="G237" s="22" t="str">
        <f t="shared" si="35"/>
        <v>Discipline</v>
      </c>
      <c r="H237" s="22" t="str">
        <f t="shared" si="43"/>
        <v>DisciplineUS4</v>
      </c>
      <c r="I237" s="20" t="e">
        <f t="shared" si="36"/>
        <v>#N/A</v>
      </c>
      <c r="J237" s="20" t="e">
        <f t="shared" si="37"/>
        <v>#N/A</v>
      </c>
      <c r="K237" s="20" t="e">
        <f t="shared" si="38"/>
        <v>#N/A</v>
      </c>
    </row>
    <row r="238" spans="2:11" x14ac:dyDescent="0.25">
      <c r="B238" s="22" t="str">
        <f t="shared" si="34"/>
        <v>Caregiver Functioning - Caregiver #4</v>
      </c>
      <c r="C238" s="22" t="str">
        <f t="shared" si="39"/>
        <v>4</v>
      </c>
      <c r="D238" s="22" t="str">
        <f t="shared" si="40"/>
        <v>US</v>
      </c>
      <c r="E238" s="22">
        <f t="shared" si="41"/>
        <v>2</v>
      </c>
      <c r="F238" s="22">
        <f t="shared" si="42"/>
        <v>65</v>
      </c>
      <c r="G238" s="22" t="str">
        <f t="shared" si="35"/>
        <v>Mental Health</v>
      </c>
      <c r="H238" s="22" t="str">
        <f t="shared" si="43"/>
        <v>Mental HealthUS4</v>
      </c>
      <c r="I238" s="20" t="e">
        <f t="shared" si="36"/>
        <v>#N/A</v>
      </c>
      <c r="J238" s="20" t="e">
        <f t="shared" si="37"/>
        <v>#N/A</v>
      </c>
      <c r="K238" s="20" t="e">
        <f t="shared" si="38"/>
        <v>#N/A</v>
      </c>
    </row>
    <row r="239" spans="2:11" x14ac:dyDescent="0.25">
      <c r="B239" s="22" t="str">
        <f t="shared" si="34"/>
        <v>Caregiver Functioning - Caregiver #4</v>
      </c>
      <c r="C239" s="22" t="str">
        <f t="shared" si="39"/>
        <v>4</v>
      </c>
      <c r="D239" s="22" t="str">
        <f t="shared" si="40"/>
        <v>US</v>
      </c>
      <c r="E239" s="22">
        <f t="shared" si="41"/>
        <v>2</v>
      </c>
      <c r="F239" s="22">
        <f t="shared" si="42"/>
        <v>66</v>
      </c>
      <c r="G239" s="22" t="str">
        <f t="shared" si="35"/>
        <v>Partner Relations</v>
      </c>
      <c r="H239" s="22" t="str">
        <f t="shared" si="43"/>
        <v>Partner RelationsUS4</v>
      </c>
      <c r="I239" s="20" t="e">
        <f t="shared" si="36"/>
        <v>#N/A</v>
      </c>
      <c r="J239" s="20" t="e">
        <f t="shared" si="37"/>
        <v>#N/A</v>
      </c>
      <c r="K239" s="20" t="e">
        <f t="shared" si="38"/>
        <v>#N/A</v>
      </c>
    </row>
    <row r="240" spans="2:11" x14ac:dyDescent="0.25">
      <c r="B240" s="22" t="str">
        <f t="shared" si="34"/>
        <v>Caregiver Functioning - Caregiver #4</v>
      </c>
      <c r="C240" s="22" t="str">
        <f t="shared" si="39"/>
        <v>4</v>
      </c>
      <c r="D240" s="22" t="str">
        <f t="shared" si="40"/>
        <v>US</v>
      </c>
      <c r="E240" s="22">
        <f t="shared" si="41"/>
        <v>2</v>
      </c>
      <c r="F240" s="22">
        <f t="shared" si="42"/>
        <v>67</v>
      </c>
      <c r="G240" s="22" t="str">
        <f t="shared" si="35"/>
        <v>Substance Abuse</v>
      </c>
      <c r="H240" s="22" t="str">
        <f t="shared" si="43"/>
        <v>Substance AbuseUS4</v>
      </c>
      <c r="I240" s="20" t="e">
        <f t="shared" si="36"/>
        <v>#N/A</v>
      </c>
      <c r="J240" s="20" t="e">
        <f t="shared" si="37"/>
        <v>#N/A</v>
      </c>
      <c r="K240" s="20" t="e">
        <f t="shared" si="38"/>
        <v>#N/A</v>
      </c>
    </row>
    <row r="241" spans="2:11" x14ac:dyDescent="0.25">
      <c r="B241" s="22" t="str">
        <f t="shared" si="34"/>
        <v>Caregiver Functioning - Caregiver #4</v>
      </c>
      <c r="C241" s="22" t="str">
        <f t="shared" si="39"/>
        <v>4</v>
      </c>
      <c r="D241" s="22" t="str">
        <f t="shared" si="40"/>
        <v>US</v>
      </c>
      <c r="E241" s="22">
        <f t="shared" si="41"/>
        <v>2</v>
      </c>
      <c r="F241" s="22">
        <f t="shared" si="42"/>
        <v>68</v>
      </c>
      <c r="G241" s="22" t="str">
        <f t="shared" si="35"/>
        <v>Physical Health</v>
      </c>
      <c r="H241" s="22" t="str">
        <f t="shared" si="43"/>
        <v>Physical HealthUS4</v>
      </c>
      <c r="I241" s="20" t="e">
        <f t="shared" si="36"/>
        <v>#N/A</v>
      </c>
      <c r="J241" s="20" t="e">
        <f t="shared" si="37"/>
        <v>#N/A</v>
      </c>
      <c r="K241" s="20" t="e">
        <f t="shared" si="38"/>
        <v>#N/A</v>
      </c>
    </row>
    <row r="242" spans="2:11" x14ac:dyDescent="0.25">
      <c r="B242" s="22" t="str">
        <f t="shared" si="34"/>
        <v>Caregiver Functioning - Caregiver #4</v>
      </c>
      <c r="C242" s="22" t="str">
        <f t="shared" si="39"/>
        <v>4</v>
      </c>
      <c r="D242" s="22" t="str">
        <f t="shared" si="40"/>
        <v>US</v>
      </c>
      <c r="E242" s="22">
        <f t="shared" si="41"/>
        <v>2</v>
      </c>
      <c r="F242" s="22">
        <f t="shared" si="42"/>
        <v>69</v>
      </c>
      <c r="G242" s="22" t="str">
        <f t="shared" si="35"/>
        <v>Organization</v>
      </c>
      <c r="H242" s="22" t="str">
        <f t="shared" si="43"/>
        <v>OrganizationUS4</v>
      </c>
      <c r="I242" s="20" t="e">
        <f t="shared" si="36"/>
        <v>#N/A</v>
      </c>
      <c r="J242" s="20" t="e">
        <f t="shared" si="37"/>
        <v>#N/A</v>
      </c>
      <c r="K242" s="20" t="e">
        <f t="shared" si="38"/>
        <v>#N/A</v>
      </c>
    </row>
    <row r="243" spans="2:11" x14ac:dyDescent="0.25">
      <c r="B243" s="22" t="str">
        <f t="shared" si="34"/>
        <v>Caregiver Functioning - Caregiver #4</v>
      </c>
      <c r="C243" s="22" t="str">
        <f t="shared" si="39"/>
        <v>4</v>
      </c>
      <c r="D243" s="22" t="str">
        <f t="shared" si="40"/>
        <v>US</v>
      </c>
      <c r="E243" s="22">
        <f t="shared" si="41"/>
        <v>2</v>
      </c>
      <c r="F243" s="22">
        <f t="shared" si="42"/>
        <v>70</v>
      </c>
      <c r="G243" s="22" t="str">
        <f t="shared" si="35"/>
        <v>Parental Attribution</v>
      </c>
      <c r="H243" s="22" t="str">
        <f t="shared" si="43"/>
        <v>Parental AttributionUS4</v>
      </c>
      <c r="I243" s="20" t="e">
        <f t="shared" si="36"/>
        <v>#N/A</v>
      </c>
      <c r="J243" s="20" t="e">
        <f t="shared" si="37"/>
        <v>#N/A</v>
      </c>
      <c r="K243" s="20" t="e">
        <f t="shared" si="38"/>
        <v>#N/A</v>
      </c>
    </row>
    <row r="244" spans="2:11" x14ac:dyDescent="0.25">
      <c r="B244" s="22" t="str">
        <f t="shared" si="34"/>
        <v>Caregiver Functioning - Caregiver #4</v>
      </c>
      <c r="C244" s="22" t="str">
        <f t="shared" si="39"/>
        <v>4</v>
      </c>
      <c r="D244" s="22" t="str">
        <f t="shared" si="40"/>
        <v>US</v>
      </c>
      <c r="E244" s="22">
        <f t="shared" si="41"/>
        <v>2</v>
      </c>
      <c r="F244" s="22">
        <f t="shared" si="42"/>
        <v>71</v>
      </c>
      <c r="G244" s="22" t="str">
        <f t="shared" si="35"/>
        <v>Emotional Responsiveness</v>
      </c>
      <c r="H244" s="22" t="str">
        <f t="shared" si="43"/>
        <v>Emotional ResponsivenessUS4</v>
      </c>
      <c r="I244" s="20" t="e">
        <f t="shared" si="36"/>
        <v>#N/A</v>
      </c>
      <c r="J244" s="20" t="e">
        <f t="shared" si="37"/>
        <v>#N/A</v>
      </c>
      <c r="K244" s="20" t="e">
        <f t="shared" si="38"/>
        <v>#N/A</v>
      </c>
    </row>
    <row r="245" spans="2:11" x14ac:dyDescent="0.25">
      <c r="B245" s="22" t="str">
        <f t="shared" si="34"/>
        <v>Caregiver Functioning - Caregiver #4</v>
      </c>
      <c r="C245" s="22" t="str">
        <f t="shared" si="39"/>
        <v>4</v>
      </c>
      <c r="D245" s="22" t="str">
        <f t="shared" si="40"/>
        <v>US</v>
      </c>
      <c r="E245" s="22">
        <f t="shared" si="41"/>
        <v>2</v>
      </c>
      <c r="F245" s="22">
        <f t="shared" si="42"/>
        <v>72</v>
      </c>
      <c r="G245" s="22" t="str">
        <f t="shared" si="35"/>
        <v>Caregiver Posttraumatic Reactions</v>
      </c>
      <c r="H245" s="22" t="str">
        <f t="shared" si="43"/>
        <v>Caregiver Posttraumatic ReactionsUS4</v>
      </c>
      <c r="I245" s="20" t="e">
        <f t="shared" si="36"/>
        <v>#N/A</v>
      </c>
      <c r="J245" s="20" t="e">
        <f t="shared" si="37"/>
        <v>#N/A</v>
      </c>
      <c r="K245" s="20" t="e">
        <f t="shared" si="38"/>
        <v>#N/A</v>
      </c>
    </row>
    <row r="246" spans="2:11" x14ac:dyDescent="0.25">
      <c r="B246" s="22" t="str">
        <f t="shared" si="34"/>
        <v>Caregiver Functioning - Caregiver #4</v>
      </c>
      <c r="C246" s="22" t="str">
        <f t="shared" si="39"/>
        <v>4</v>
      </c>
      <c r="D246" s="22" t="str">
        <f t="shared" si="40"/>
        <v>US</v>
      </c>
      <c r="E246" s="22">
        <f t="shared" si="41"/>
        <v>2</v>
      </c>
      <c r="F246" s="22">
        <f t="shared" si="42"/>
        <v>73</v>
      </c>
      <c r="G246" s="22" t="str">
        <f t="shared" si="35"/>
        <v>Family Stress</v>
      </c>
      <c r="H246" s="22" t="str">
        <f t="shared" si="43"/>
        <v>Family StressUS4</v>
      </c>
      <c r="I246" s="20" t="e">
        <f t="shared" si="36"/>
        <v>#N/A</v>
      </c>
      <c r="J246" s="20" t="e">
        <f t="shared" si="37"/>
        <v>#N/A</v>
      </c>
      <c r="K246" s="20" t="e">
        <f t="shared" si="38"/>
        <v>#N/A</v>
      </c>
    </row>
    <row r="247" spans="2:11" x14ac:dyDescent="0.25">
      <c r="B247" s="22" t="str">
        <f t="shared" si="34"/>
        <v>Caregiver Functioning - Caregiver #4</v>
      </c>
      <c r="C247" s="22" t="str">
        <f t="shared" si="39"/>
        <v>4</v>
      </c>
      <c r="D247" s="22" t="str">
        <f t="shared" si="40"/>
        <v>US</v>
      </c>
      <c r="E247" s="22">
        <f t="shared" si="41"/>
        <v>2</v>
      </c>
      <c r="F247" s="22">
        <f t="shared" si="42"/>
        <v>74</v>
      </c>
      <c r="G247" s="22" t="str">
        <f t="shared" si="35"/>
        <v>Boundaries</v>
      </c>
      <c r="H247" s="22" t="str">
        <f t="shared" si="43"/>
        <v>BoundariesUS4</v>
      </c>
      <c r="I247" s="20" t="e">
        <f t="shared" si="36"/>
        <v>#N/A</v>
      </c>
      <c r="J247" s="20" t="e">
        <f t="shared" si="37"/>
        <v>#N/A</v>
      </c>
      <c r="K247" s="20" t="e">
        <f t="shared" si="38"/>
        <v>#N/A</v>
      </c>
    </row>
    <row r="248" spans="2:11" x14ac:dyDescent="0.25">
      <c r="B248" s="22" t="str">
        <f t="shared" si="34"/>
        <v>Child Functioning -- Child #1</v>
      </c>
      <c r="C248" s="22" t="str">
        <f t="shared" si="39"/>
        <v>1</v>
      </c>
      <c r="D248" s="22" t="str">
        <f t="shared" si="40"/>
        <v>US</v>
      </c>
      <c r="E248" s="22">
        <f t="shared" si="41"/>
        <v>2</v>
      </c>
      <c r="F248" s="22">
        <f t="shared" si="42"/>
        <v>75</v>
      </c>
      <c r="G248" s="22" t="str">
        <f t="shared" si="35"/>
        <v>Mental Health Needs</v>
      </c>
      <c r="H248" s="22" t="str">
        <f t="shared" si="43"/>
        <v>Mental Health NeedsUS1</v>
      </c>
      <c r="I248" s="20" t="e">
        <f t="shared" si="36"/>
        <v>#N/A</v>
      </c>
      <c r="J248" s="20" t="e">
        <f t="shared" si="37"/>
        <v>#N/A</v>
      </c>
      <c r="K248" s="20" t="e">
        <f t="shared" si="38"/>
        <v>#N/A</v>
      </c>
    </row>
    <row r="249" spans="2:11" x14ac:dyDescent="0.25">
      <c r="B249" s="22" t="str">
        <f t="shared" si="34"/>
        <v>Child Functioning -- Child #1</v>
      </c>
      <c r="C249" s="22" t="str">
        <f t="shared" si="39"/>
        <v>1</v>
      </c>
      <c r="D249" s="22" t="str">
        <f t="shared" si="40"/>
        <v>US</v>
      </c>
      <c r="E249" s="22">
        <f t="shared" si="41"/>
        <v>2</v>
      </c>
      <c r="F249" s="22">
        <f t="shared" si="42"/>
        <v>76</v>
      </c>
      <c r="G249" s="22" t="str">
        <f t="shared" si="35"/>
        <v>Adjustment to Trauma</v>
      </c>
      <c r="H249" s="22" t="str">
        <f t="shared" si="43"/>
        <v>Adjustment to TraumaUS1</v>
      </c>
      <c r="I249" s="20" t="e">
        <f t="shared" si="36"/>
        <v>#N/A</v>
      </c>
      <c r="J249" s="20" t="e">
        <f t="shared" si="37"/>
        <v>#N/A</v>
      </c>
      <c r="K249" s="20" t="e">
        <f t="shared" si="38"/>
        <v>#N/A</v>
      </c>
    </row>
    <row r="250" spans="2:11" x14ac:dyDescent="0.25">
      <c r="B250" s="22" t="str">
        <f t="shared" si="34"/>
        <v>Child Functioning -- Child #1</v>
      </c>
      <c r="C250" s="22" t="str">
        <f t="shared" si="39"/>
        <v>1</v>
      </c>
      <c r="D250" s="22" t="str">
        <f t="shared" si="40"/>
        <v>US</v>
      </c>
      <c r="E250" s="22">
        <f t="shared" si="41"/>
        <v>2</v>
      </c>
      <c r="F250" s="22">
        <f t="shared" si="42"/>
        <v>77</v>
      </c>
      <c r="G250" s="22" t="str">
        <f t="shared" si="35"/>
        <v>Recreation / Play</v>
      </c>
      <c r="H250" s="22" t="str">
        <f t="shared" si="43"/>
        <v>Recreation / PlayUS1</v>
      </c>
      <c r="I250" s="20" t="e">
        <f t="shared" si="36"/>
        <v>#N/A</v>
      </c>
      <c r="J250" s="20" t="e">
        <f t="shared" si="37"/>
        <v>#N/A</v>
      </c>
      <c r="K250" s="20" t="e">
        <f t="shared" si="38"/>
        <v>#N/A</v>
      </c>
    </row>
    <row r="251" spans="2:11" x14ac:dyDescent="0.25">
      <c r="B251" s="22" t="str">
        <f t="shared" si="34"/>
        <v>Child Functioning -- Child #1</v>
      </c>
      <c r="C251" s="22" t="str">
        <f t="shared" si="39"/>
        <v>1</v>
      </c>
      <c r="D251" s="22" t="str">
        <f t="shared" si="40"/>
        <v>US</v>
      </c>
      <c r="E251" s="22">
        <f t="shared" si="41"/>
        <v>2</v>
      </c>
      <c r="F251" s="22">
        <f t="shared" si="42"/>
        <v>78</v>
      </c>
      <c r="G251" s="22" t="str">
        <f t="shared" si="35"/>
        <v>Attachment – Birth to 5</v>
      </c>
      <c r="H251" s="22" t="str">
        <f t="shared" si="43"/>
        <v>Attachment – Birth to 5US1</v>
      </c>
      <c r="I251" s="20" t="e">
        <f t="shared" si="36"/>
        <v>#N/A</v>
      </c>
      <c r="J251" s="20" t="e">
        <f t="shared" si="37"/>
        <v>#N/A</v>
      </c>
      <c r="K251" s="20" t="e">
        <f t="shared" si="38"/>
        <v>#N/A</v>
      </c>
    </row>
    <row r="252" spans="2:11" x14ac:dyDescent="0.25">
      <c r="B252" s="22" t="str">
        <f t="shared" si="34"/>
        <v>Child Functioning -- Child #1</v>
      </c>
      <c r="C252" s="22" t="str">
        <f t="shared" si="39"/>
        <v>1</v>
      </c>
      <c r="D252" s="22" t="str">
        <f t="shared" si="40"/>
        <v>US</v>
      </c>
      <c r="E252" s="22">
        <f t="shared" si="41"/>
        <v>2</v>
      </c>
      <c r="F252" s="22">
        <f t="shared" si="42"/>
        <v>79</v>
      </c>
      <c r="G252" s="22" t="str">
        <f t="shared" si="35"/>
        <v>Relationship with Biological Mother</v>
      </c>
      <c r="H252" s="22" t="str">
        <f t="shared" si="43"/>
        <v>Relationship with Biological MotherUS1</v>
      </c>
      <c r="I252" s="20" t="e">
        <f t="shared" si="36"/>
        <v>#N/A</v>
      </c>
      <c r="J252" s="20" t="e">
        <f t="shared" si="37"/>
        <v>#N/A</v>
      </c>
      <c r="K252" s="20" t="e">
        <f t="shared" si="38"/>
        <v>#N/A</v>
      </c>
    </row>
    <row r="253" spans="2:11" x14ac:dyDescent="0.25">
      <c r="B253" s="22" t="str">
        <f t="shared" si="34"/>
        <v>Child Functioning -- Child #1</v>
      </c>
      <c r="C253" s="22" t="str">
        <f t="shared" si="39"/>
        <v>1</v>
      </c>
      <c r="D253" s="22" t="str">
        <f t="shared" si="40"/>
        <v>US</v>
      </c>
      <c r="E253" s="22">
        <f t="shared" si="41"/>
        <v>2</v>
      </c>
      <c r="F253" s="22">
        <f t="shared" si="42"/>
        <v>80</v>
      </c>
      <c r="G253" s="22" t="str">
        <f t="shared" si="35"/>
        <v>Relationship with Biological Father</v>
      </c>
      <c r="H253" s="22" t="str">
        <f t="shared" si="43"/>
        <v>Relationship with Biological FatherUS1</v>
      </c>
      <c r="I253" s="20" t="e">
        <f t="shared" si="36"/>
        <v>#N/A</v>
      </c>
      <c r="J253" s="20" t="e">
        <f t="shared" si="37"/>
        <v>#N/A</v>
      </c>
      <c r="K253" s="20" t="e">
        <f t="shared" si="38"/>
        <v>#N/A</v>
      </c>
    </row>
    <row r="254" spans="2:11" x14ac:dyDescent="0.25">
      <c r="B254" s="22" t="str">
        <f t="shared" si="34"/>
        <v>Child Functioning -- Child #1</v>
      </c>
      <c r="C254" s="22" t="str">
        <f t="shared" si="39"/>
        <v>1</v>
      </c>
      <c r="D254" s="22" t="str">
        <f t="shared" si="40"/>
        <v>US</v>
      </c>
      <c r="E254" s="22">
        <f t="shared" si="41"/>
        <v>2</v>
      </c>
      <c r="F254" s="22">
        <f t="shared" si="42"/>
        <v>81</v>
      </c>
      <c r="G254" s="22" t="str">
        <f t="shared" si="35"/>
        <v>Relationship with Primary Caregiver</v>
      </c>
      <c r="H254" s="22" t="str">
        <f t="shared" si="43"/>
        <v>Relationship with Primary CaregiverUS1</v>
      </c>
      <c r="I254" s="20" t="e">
        <f t="shared" si="36"/>
        <v>#N/A</v>
      </c>
      <c r="J254" s="20" t="e">
        <f t="shared" si="37"/>
        <v>#N/A</v>
      </c>
      <c r="K254" s="20" t="e">
        <f t="shared" si="38"/>
        <v>#N/A</v>
      </c>
    </row>
    <row r="255" spans="2:11" x14ac:dyDescent="0.25">
      <c r="B255" s="22" t="str">
        <f t="shared" si="34"/>
        <v>Child Functioning -- Child #1</v>
      </c>
      <c r="C255" s="22" t="str">
        <f t="shared" si="39"/>
        <v>1</v>
      </c>
      <c r="D255" s="22" t="str">
        <f t="shared" si="40"/>
        <v>US</v>
      </c>
      <c r="E255" s="22">
        <f t="shared" si="41"/>
        <v>2</v>
      </c>
      <c r="F255" s="22">
        <f t="shared" si="42"/>
        <v>82</v>
      </c>
      <c r="G255" s="22" t="str">
        <f t="shared" si="35"/>
        <v>Relationship with Other Family Adults</v>
      </c>
      <c r="H255" s="22" t="str">
        <f t="shared" si="43"/>
        <v>Relationship with Other Family AdultsUS1</v>
      </c>
      <c r="I255" s="20" t="e">
        <f t="shared" si="36"/>
        <v>#N/A</v>
      </c>
      <c r="J255" s="20" t="e">
        <f t="shared" si="37"/>
        <v>#N/A</v>
      </c>
      <c r="K255" s="20" t="e">
        <f t="shared" si="38"/>
        <v>#N/A</v>
      </c>
    </row>
    <row r="256" spans="2:11" x14ac:dyDescent="0.25">
      <c r="B256" s="22" t="str">
        <f t="shared" si="34"/>
        <v>Child Functioning -- Child #1</v>
      </c>
      <c r="C256" s="22" t="str">
        <f t="shared" si="39"/>
        <v>1</v>
      </c>
      <c r="D256" s="22" t="str">
        <f t="shared" si="40"/>
        <v>US</v>
      </c>
      <c r="E256" s="22">
        <f t="shared" si="41"/>
        <v>2</v>
      </c>
      <c r="F256" s="22">
        <f t="shared" si="42"/>
        <v>83</v>
      </c>
      <c r="G256" s="22" t="str">
        <f t="shared" si="35"/>
        <v>Relationship with Siblings</v>
      </c>
      <c r="H256" s="22" t="str">
        <f t="shared" si="43"/>
        <v>Relationship with SiblingsUS1</v>
      </c>
      <c r="I256" s="20" t="e">
        <f t="shared" si="36"/>
        <v>#N/A</v>
      </c>
      <c r="J256" s="20" t="e">
        <f t="shared" si="37"/>
        <v>#N/A</v>
      </c>
      <c r="K256" s="20" t="e">
        <f t="shared" si="38"/>
        <v>#N/A</v>
      </c>
    </row>
    <row r="257" spans="2:11" x14ac:dyDescent="0.25">
      <c r="B257" s="22" t="str">
        <f t="shared" si="34"/>
        <v>Child Functioning -- Child #1</v>
      </c>
      <c r="C257" s="22" t="str">
        <f t="shared" si="39"/>
        <v>1</v>
      </c>
      <c r="D257" s="22" t="str">
        <f t="shared" si="40"/>
        <v>US</v>
      </c>
      <c r="E257" s="22">
        <f t="shared" si="41"/>
        <v>2</v>
      </c>
      <c r="F257" s="22">
        <f t="shared" si="42"/>
        <v>84</v>
      </c>
      <c r="G257" s="22" t="str">
        <f t="shared" si="35"/>
        <v>Medical / Physical</v>
      </c>
      <c r="H257" s="22" t="str">
        <f t="shared" si="43"/>
        <v>Medical / PhysicalUS1</v>
      </c>
      <c r="I257" s="20" t="e">
        <f t="shared" si="36"/>
        <v>#N/A</v>
      </c>
      <c r="J257" s="20" t="e">
        <f t="shared" si="37"/>
        <v>#N/A</v>
      </c>
      <c r="K257" s="20" t="e">
        <f t="shared" si="38"/>
        <v>#N/A</v>
      </c>
    </row>
    <row r="258" spans="2:11" x14ac:dyDescent="0.25">
      <c r="B258" s="22" t="str">
        <f t="shared" si="34"/>
        <v>Child Functioning -- Child #1</v>
      </c>
      <c r="C258" s="22" t="str">
        <f t="shared" si="39"/>
        <v>1</v>
      </c>
      <c r="D258" s="22" t="str">
        <f t="shared" si="40"/>
        <v>US</v>
      </c>
      <c r="E258" s="22">
        <f t="shared" si="41"/>
        <v>2</v>
      </c>
      <c r="F258" s="22">
        <f t="shared" si="42"/>
        <v>85</v>
      </c>
      <c r="G258" s="22" t="str">
        <f t="shared" si="35"/>
        <v>Sleeping</v>
      </c>
      <c r="H258" s="22" t="str">
        <f t="shared" si="43"/>
        <v>SleepingUS1</v>
      </c>
      <c r="I258" s="20" t="e">
        <f t="shared" si="36"/>
        <v>#N/A</v>
      </c>
      <c r="J258" s="20" t="e">
        <f t="shared" si="37"/>
        <v>#N/A</v>
      </c>
      <c r="K258" s="20" t="e">
        <f t="shared" si="38"/>
        <v>#N/A</v>
      </c>
    </row>
    <row r="259" spans="2:11" x14ac:dyDescent="0.25">
      <c r="B259" s="22" t="str">
        <f t="shared" si="34"/>
        <v>Child Functioning -- Child #1</v>
      </c>
      <c r="C259" s="22" t="str">
        <f t="shared" si="39"/>
        <v>1</v>
      </c>
      <c r="D259" s="22" t="str">
        <f t="shared" si="40"/>
        <v>US</v>
      </c>
      <c r="E259" s="22">
        <f t="shared" si="41"/>
        <v>2</v>
      </c>
      <c r="F259" s="22">
        <f t="shared" si="42"/>
        <v>86</v>
      </c>
      <c r="G259" s="22" t="str">
        <f t="shared" si="35"/>
        <v>Cognitive Skills</v>
      </c>
      <c r="H259" s="22" t="str">
        <f t="shared" si="43"/>
        <v>Cognitive SkillsUS1</v>
      </c>
      <c r="I259" s="20" t="e">
        <f t="shared" si="36"/>
        <v>#N/A</v>
      </c>
      <c r="J259" s="20" t="e">
        <f t="shared" si="37"/>
        <v>#N/A</v>
      </c>
      <c r="K259" s="20" t="e">
        <f t="shared" si="38"/>
        <v>#N/A</v>
      </c>
    </row>
    <row r="260" spans="2:11" x14ac:dyDescent="0.25">
      <c r="B260" s="22" t="str">
        <f t="shared" si="34"/>
        <v>Child Functioning -- Child #1</v>
      </c>
      <c r="C260" s="22" t="str">
        <f t="shared" si="39"/>
        <v>1</v>
      </c>
      <c r="D260" s="22" t="str">
        <f t="shared" si="40"/>
        <v>US</v>
      </c>
      <c r="E260" s="22">
        <f t="shared" si="41"/>
        <v>2</v>
      </c>
      <c r="F260" s="22">
        <f t="shared" si="42"/>
        <v>87</v>
      </c>
      <c r="G260" s="22" t="str">
        <f t="shared" si="35"/>
        <v>Social Functioning</v>
      </c>
      <c r="H260" s="22" t="str">
        <f t="shared" si="43"/>
        <v>Social FunctioningUS1</v>
      </c>
      <c r="I260" s="20" t="e">
        <f t="shared" si="36"/>
        <v>#N/A</v>
      </c>
      <c r="J260" s="20" t="e">
        <f t="shared" si="37"/>
        <v>#N/A</v>
      </c>
      <c r="K260" s="20" t="e">
        <f t="shared" si="38"/>
        <v>#N/A</v>
      </c>
    </row>
    <row r="261" spans="2:11" x14ac:dyDescent="0.25">
      <c r="B261" s="22" t="str">
        <f t="shared" si="34"/>
        <v>Child Functioning -- Child #1</v>
      </c>
      <c r="C261" s="22" t="str">
        <f t="shared" si="39"/>
        <v>1</v>
      </c>
      <c r="D261" s="22" t="str">
        <f t="shared" si="40"/>
        <v>US</v>
      </c>
      <c r="E261" s="22">
        <f t="shared" si="41"/>
        <v>2</v>
      </c>
      <c r="F261" s="22">
        <f t="shared" si="42"/>
        <v>88</v>
      </c>
      <c r="G261" s="22" t="str">
        <f t="shared" si="35"/>
        <v>Educational Status</v>
      </c>
      <c r="H261" s="22" t="str">
        <f t="shared" si="43"/>
        <v>Educational StatusUS1</v>
      </c>
      <c r="I261" s="20" t="e">
        <f t="shared" si="36"/>
        <v>#N/A</v>
      </c>
      <c r="J261" s="20" t="e">
        <f t="shared" si="37"/>
        <v>#N/A</v>
      </c>
      <c r="K261" s="20" t="e">
        <f t="shared" si="38"/>
        <v>#N/A</v>
      </c>
    </row>
    <row r="262" spans="2:11" x14ac:dyDescent="0.25">
      <c r="B262" s="22" t="str">
        <f t="shared" si="34"/>
        <v>Child Functioning -- Child #1</v>
      </c>
      <c r="C262" s="22" t="str">
        <f t="shared" si="39"/>
        <v>1</v>
      </c>
      <c r="D262" s="22" t="str">
        <f t="shared" si="40"/>
        <v>US</v>
      </c>
      <c r="E262" s="22">
        <f t="shared" si="41"/>
        <v>2</v>
      </c>
      <c r="F262" s="22">
        <f t="shared" si="42"/>
        <v>89</v>
      </c>
      <c r="G262" s="22" t="str">
        <f t="shared" si="35"/>
        <v>Risk Behaviors</v>
      </c>
      <c r="H262" s="22" t="str">
        <f t="shared" si="43"/>
        <v>Risk BehaviorsUS1</v>
      </c>
      <c r="I262" s="20" t="e">
        <f t="shared" si="36"/>
        <v>#N/A</v>
      </c>
      <c r="J262" s="20" t="e">
        <f t="shared" si="37"/>
        <v>#N/A</v>
      </c>
      <c r="K262" s="20" t="e">
        <f t="shared" si="38"/>
        <v>#N/A</v>
      </c>
    </row>
    <row r="263" spans="2:11" x14ac:dyDescent="0.25">
      <c r="B263" s="22" t="str">
        <f t="shared" si="34"/>
        <v>Child Functioning -- Child #2</v>
      </c>
      <c r="C263" s="22" t="str">
        <f t="shared" si="39"/>
        <v>2</v>
      </c>
      <c r="D263" s="22" t="str">
        <f t="shared" si="40"/>
        <v>US</v>
      </c>
      <c r="E263" s="22">
        <f t="shared" si="41"/>
        <v>2</v>
      </c>
      <c r="F263" s="22">
        <f t="shared" si="42"/>
        <v>90</v>
      </c>
      <c r="G263" s="22" t="str">
        <f t="shared" si="35"/>
        <v>Mental Health Needs</v>
      </c>
      <c r="H263" s="22" t="str">
        <f t="shared" si="43"/>
        <v>Mental Health NeedsUS2</v>
      </c>
      <c r="I263" s="20" t="e">
        <f t="shared" si="36"/>
        <v>#N/A</v>
      </c>
      <c r="J263" s="20" t="e">
        <f t="shared" si="37"/>
        <v>#N/A</v>
      </c>
      <c r="K263" s="20" t="e">
        <f t="shared" si="38"/>
        <v>#N/A</v>
      </c>
    </row>
    <row r="264" spans="2:11" x14ac:dyDescent="0.25">
      <c r="B264" s="22" t="str">
        <f t="shared" si="34"/>
        <v>Child Functioning -- Child #2</v>
      </c>
      <c r="C264" s="22" t="str">
        <f t="shared" si="39"/>
        <v>2</v>
      </c>
      <c r="D264" s="22" t="str">
        <f t="shared" si="40"/>
        <v>US</v>
      </c>
      <c r="E264" s="22">
        <f t="shared" si="41"/>
        <v>2</v>
      </c>
      <c r="F264" s="22">
        <f t="shared" si="42"/>
        <v>91</v>
      </c>
      <c r="G264" s="22" t="str">
        <f t="shared" si="35"/>
        <v>Adjustment to Trauma</v>
      </c>
      <c r="H264" s="22" t="str">
        <f t="shared" si="43"/>
        <v>Adjustment to TraumaUS2</v>
      </c>
      <c r="I264" s="20" t="e">
        <f t="shared" si="36"/>
        <v>#N/A</v>
      </c>
      <c r="J264" s="20" t="e">
        <f t="shared" si="37"/>
        <v>#N/A</v>
      </c>
      <c r="K264" s="20" t="e">
        <f t="shared" si="38"/>
        <v>#N/A</v>
      </c>
    </row>
    <row r="265" spans="2:11" x14ac:dyDescent="0.25">
      <c r="B265" s="22" t="str">
        <f t="shared" si="34"/>
        <v>Child Functioning -- Child #2</v>
      </c>
      <c r="C265" s="22" t="str">
        <f t="shared" si="39"/>
        <v>2</v>
      </c>
      <c r="D265" s="22" t="str">
        <f t="shared" si="40"/>
        <v>US</v>
      </c>
      <c r="E265" s="22">
        <f t="shared" si="41"/>
        <v>2</v>
      </c>
      <c r="F265" s="22">
        <f t="shared" si="42"/>
        <v>92</v>
      </c>
      <c r="G265" s="22" t="str">
        <f t="shared" si="35"/>
        <v>Recreation / Play</v>
      </c>
      <c r="H265" s="22" t="str">
        <f t="shared" si="43"/>
        <v>Recreation / PlayUS2</v>
      </c>
      <c r="I265" s="20" t="e">
        <f t="shared" si="36"/>
        <v>#N/A</v>
      </c>
      <c r="J265" s="20" t="e">
        <f t="shared" si="37"/>
        <v>#N/A</v>
      </c>
      <c r="K265" s="20" t="e">
        <f t="shared" si="38"/>
        <v>#N/A</v>
      </c>
    </row>
    <row r="266" spans="2:11" x14ac:dyDescent="0.25">
      <c r="B266" s="22" t="str">
        <f t="shared" ref="B266:B329" si="44">INDEX(ItemDomain, MATCH(F266, ItemNum, 0))</f>
        <v>Child Functioning -- Child #2</v>
      </c>
      <c r="C266" s="22" t="str">
        <f t="shared" si="39"/>
        <v>2</v>
      </c>
      <c r="D266" s="22" t="str">
        <f t="shared" si="40"/>
        <v>US</v>
      </c>
      <c r="E266" s="22">
        <f t="shared" si="41"/>
        <v>2</v>
      </c>
      <c r="F266" s="22">
        <f t="shared" si="42"/>
        <v>93</v>
      </c>
      <c r="G266" s="22" t="str">
        <f t="shared" ref="G266:G329" si="45">INDEX(ItemShort, MATCH(F266, ItemNum, 0))</f>
        <v>Attachment – Birth to 5</v>
      </c>
      <c r="H266" s="22" t="str">
        <f t="shared" si="43"/>
        <v>Attachment – Birth to 5US2</v>
      </c>
      <c r="I266" s="20" t="e">
        <f t="shared" ref="I266:I329" si="46">INDEX(Assess, MATCH($F266, ItemNum, 0), MATCH(dateAssess1, DatesRow, 0)+CHOOSE($E266, 0, 2, 3))&amp;""</f>
        <v>#N/A</v>
      </c>
      <c r="J266" s="20" t="e">
        <f t="shared" ref="J266:J329" si="47">INDEX(Assess, MATCH($F266, ItemNum, 0), MATCH(dateAssess2, DatesRow, 0)+CHOOSE($E266, 0, 2, 3))&amp;""</f>
        <v>#N/A</v>
      </c>
      <c r="K266" s="20" t="e">
        <f t="shared" ref="K266:K329" si="48">INDEX(Assess, MATCH($F266, ItemNum, 0), MATCH(dateAssess3, DatesRow, 0)+CHOOSE($E266, 0, 2, 3))&amp;""</f>
        <v>#N/A</v>
      </c>
    </row>
    <row r="267" spans="2:11" x14ac:dyDescent="0.25">
      <c r="B267" s="22" t="str">
        <f t="shared" si="44"/>
        <v>Child Functioning -- Child #2</v>
      </c>
      <c r="C267" s="22" t="str">
        <f t="shared" ref="C267:C330" si="49">IF(ISERROR(VALUE(RIGHT(B267))), "", RIGHT(B267))</f>
        <v>2</v>
      </c>
      <c r="D267" s="22" t="str">
        <f t="shared" ref="D267:D330" si="50">CHOOSE(E267, "", "US", "SB")</f>
        <v>US</v>
      </c>
      <c r="E267" s="22">
        <f t="shared" ref="E267:E330" si="51">IF(F266=nItems, IF(E266=3, "DONE", E266+1), E266)</f>
        <v>2</v>
      </c>
      <c r="F267" s="22">
        <f t="shared" ref="F267:F330" si="52">IF(F266=nItems, IF(E266=3, "DONE", 1), F266+1)</f>
        <v>94</v>
      </c>
      <c r="G267" s="22" t="str">
        <f t="shared" si="45"/>
        <v>Relationship with Biological Mother</v>
      </c>
      <c r="H267" s="22" t="str">
        <f t="shared" ref="H267:H330" si="53">G267&amp;D267&amp;C267</f>
        <v>Relationship with Biological MotherUS2</v>
      </c>
      <c r="I267" s="20" t="e">
        <f t="shared" si="46"/>
        <v>#N/A</v>
      </c>
      <c r="J267" s="20" t="e">
        <f t="shared" si="47"/>
        <v>#N/A</v>
      </c>
      <c r="K267" s="20" t="e">
        <f t="shared" si="48"/>
        <v>#N/A</v>
      </c>
    </row>
    <row r="268" spans="2:11" x14ac:dyDescent="0.25">
      <c r="B268" s="22" t="str">
        <f t="shared" si="44"/>
        <v>Child Functioning -- Child #2</v>
      </c>
      <c r="C268" s="22" t="str">
        <f t="shared" si="49"/>
        <v>2</v>
      </c>
      <c r="D268" s="22" t="str">
        <f t="shared" si="50"/>
        <v>US</v>
      </c>
      <c r="E268" s="22">
        <f t="shared" si="51"/>
        <v>2</v>
      </c>
      <c r="F268" s="22">
        <f t="shared" si="52"/>
        <v>95</v>
      </c>
      <c r="G268" s="22" t="str">
        <f t="shared" si="45"/>
        <v>Relationship with Biological Father</v>
      </c>
      <c r="H268" s="22" t="str">
        <f t="shared" si="53"/>
        <v>Relationship with Biological FatherUS2</v>
      </c>
      <c r="I268" s="20" t="e">
        <f t="shared" si="46"/>
        <v>#N/A</v>
      </c>
      <c r="J268" s="20" t="e">
        <f t="shared" si="47"/>
        <v>#N/A</v>
      </c>
      <c r="K268" s="20" t="e">
        <f t="shared" si="48"/>
        <v>#N/A</v>
      </c>
    </row>
    <row r="269" spans="2:11" x14ac:dyDescent="0.25">
      <c r="B269" s="22" t="str">
        <f t="shared" si="44"/>
        <v>Child Functioning -- Child #2</v>
      </c>
      <c r="C269" s="22" t="str">
        <f t="shared" si="49"/>
        <v>2</v>
      </c>
      <c r="D269" s="22" t="str">
        <f t="shared" si="50"/>
        <v>US</v>
      </c>
      <c r="E269" s="22">
        <f t="shared" si="51"/>
        <v>2</v>
      </c>
      <c r="F269" s="22">
        <f t="shared" si="52"/>
        <v>96</v>
      </c>
      <c r="G269" s="22" t="str">
        <f t="shared" si="45"/>
        <v>Relationship with Primary Caregiver</v>
      </c>
      <c r="H269" s="22" t="str">
        <f t="shared" si="53"/>
        <v>Relationship with Primary CaregiverUS2</v>
      </c>
      <c r="I269" s="20" t="e">
        <f t="shared" si="46"/>
        <v>#N/A</v>
      </c>
      <c r="J269" s="20" t="e">
        <f t="shared" si="47"/>
        <v>#N/A</v>
      </c>
      <c r="K269" s="20" t="e">
        <f t="shared" si="48"/>
        <v>#N/A</v>
      </c>
    </row>
    <row r="270" spans="2:11" x14ac:dyDescent="0.25">
      <c r="B270" s="22" t="str">
        <f t="shared" si="44"/>
        <v>Child Functioning -- Child #2</v>
      </c>
      <c r="C270" s="22" t="str">
        <f t="shared" si="49"/>
        <v>2</v>
      </c>
      <c r="D270" s="22" t="str">
        <f t="shared" si="50"/>
        <v>US</v>
      </c>
      <c r="E270" s="22">
        <f t="shared" si="51"/>
        <v>2</v>
      </c>
      <c r="F270" s="22">
        <f t="shared" si="52"/>
        <v>97</v>
      </c>
      <c r="G270" s="22" t="str">
        <f t="shared" si="45"/>
        <v>Relationship with Other Family Adults</v>
      </c>
      <c r="H270" s="22" t="str">
        <f t="shared" si="53"/>
        <v>Relationship with Other Family AdultsUS2</v>
      </c>
      <c r="I270" s="20" t="e">
        <f t="shared" si="46"/>
        <v>#N/A</v>
      </c>
      <c r="J270" s="20" t="e">
        <f t="shared" si="47"/>
        <v>#N/A</v>
      </c>
      <c r="K270" s="20" t="e">
        <f t="shared" si="48"/>
        <v>#N/A</v>
      </c>
    </row>
    <row r="271" spans="2:11" x14ac:dyDescent="0.25">
      <c r="B271" s="22" t="str">
        <f t="shared" si="44"/>
        <v>Child Functioning -- Child #2</v>
      </c>
      <c r="C271" s="22" t="str">
        <f t="shared" si="49"/>
        <v>2</v>
      </c>
      <c r="D271" s="22" t="str">
        <f t="shared" si="50"/>
        <v>US</v>
      </c>
      <c r="E271" s="22">
        <f t="shared" si="51"/>
        <v>2</v>
      </c>
      <c r="F271" s="22">
        <f t="shared" si="52"/>
        <v>98</v>
      </c>
      <c r="G271" s="22" t="str">
        <f t="shared" si="45"/>
        <v>Relationship with Siblings</v>
      </c>
      <c r="H271" s="22" t="str">
        <f t="shared" si="53"/>
        <v>Relationship with SiblingsUS2</v>
      </c>
      <c r="I271" s="20" t="e">
        <f t="shared" si="46"/>
        <v>#N/A</v>
      </c>
      <c r="J271" s="20" t="e">
        <f t="shared" si="47"/>
        <v>#N/A</v>
      </c>
      <c r="K271" s="20" t="e">
        <f t="shared" si="48"/>
        <v>#N/A</v>
      </c>
    </row>
    <row r="272" spans="2:11" x14ac:dyDescent="0.25">
      <c r="B272" s="22" t="str">
        <f t="shared" si="44"/>
        <v>Child Functioning -- Child #2</v>
      </c>
      <c r="C272" s="22" t="str">
        <f t="shared" si="49"/>
        <v>2</v>
      </c>
      <c r="D272" s="22" t="str">
        <f t="shared" si="50"/>
        <v>US</v>
      </c>
      <c r="E272" s="22">
        <f t="shared" si="51"/>
        <v>2</v>
      </c>
      <c r="F272" s="22">
        <f t="shared" si="52"/>
        <v>99</v>
      </c>
      <c r="G272" s="22" t="str">
        <f t="shared" si="45"/>
        <v>Medical / Physical</v>
      </c>
      <c r="H272" s="22" t="str">
        <f t="shared" si="53"/>
        <v>Medical / PhysicalUS2</v>
      </c>
      <c r="I272" s="20" t="e">
        <f t="shared" si="46"/>
        <v>#N/A</v>
      </c>
      <c r="J272" s="20" t="e">
        <f t="shared" si="47"/>
        <v>#N/A</v>
      </c>
      <c r="K272" s="20" t="e">
        <f t="shared" si="48"/>
        <v>#N/A</v>
      </c>
    </row>
    <row r="273" spans="2:11" x14ac:dyDescent="0.25">
      <c r="B273" s="22" t="str">
        <f t="shared" si="44"/>
        <v>Child Functioning -- Child #2</v>
      </c>
      <c r="C273" s="22" t="str">
        <f t="shared" si="49"/>
        <v>2</v>
      </c>
      <c r="D273" s="22" t="str">
        <f t="shared" si="50"/>
        <v>US</v>
      </c>
      <c r="E273" s="22">
        <f t="shared" si="51"/>
        <v>2</v>
      </c>
      <c r="F273" s="22">
        <f t="shared" si="52"/>
        <v>100</v>
      </c>
      <c r="G273" s="22" t="str">
        <f t="shared" si="45"/>
        <v>Sleeping</v>
      </c>
      <c r="H273" s="22" t="str">
        <f t="shared" si="53"/>
        <v>SleepingUS2</v>
      </c>
      <c r="I273" s="20" t="e">
        <f t="shared" si="46"/>
        <v>#N/A</v>
      </c>
      <c r="J273" s="20" t="e">
        <f t="shared" si="47"/>
        <v>#N/A</v>
      </c>
      <c r="K273" s="20" t="e">
        <f t="shared" si="48"/>
        <v>#N/A</v>
      </c>
    </row>
    <row r="274" spans="2:11" x14ac:dyDescent="0.25">
      <c r="B274" s="22" t="str">
        <f t="shared" si="44"/>
        <v>Child Functioning -- Child #2</v>
      </c>
      <c r="C274" s="22" t="str">
        <f t="shared" si="49"/>
        <v>2</v>
      </c>
      <c r="D274" s="22" t="str">
        <f t="shared" si="50"/>
        <v>US</v>
      </c>
      <c r="E274" s="22">
        <f t="shared" si="51"/>
        <v>2</v>
      </c>
      <c r="F274" s="22">
        <f t="shared" si="52"/>
        <v>101</v>
      </c>
      <c r="G274" s="22" t="str">
        <f t="shared" si="45"/>
        <v>Cognitive Skills</v>
      </c>
      <c r="H274" s="22" t="str">
        <f t="shared" si="53"/>
        <v>Cognitive SkillsUS2</v>
      </c>
      <c r="I274" s="20" t="e">
        <f t="shared" si="46"/>
        <v>#N/A</v>
      </c>
      <c r="J274" s="20" t="e">
        <f t="shared" si="47"/>
        <v>#N/A</v>
      </c>
      <c r="K274" s="20" t="e">
        <f t="shared" si="48"/>
        <v>#N/A</v>
      </c>
    </row>
    <row r="275" spans="2:11" x14ac:dyDescent="0.25">
      <c r="B275" s="22" t="str">
        <f t="shared" si="44"/>
        <v>Child Functioning -- Child #2</v>
      </c>
      <c r="C275" s="22" t="str">
        <f t="shared" si="49"/>
        <v>2</v>
      </c>
      <c r="D275" s="22" t="str">
        <f t="shared" si="50"/>
        <v>US</v>
      </c>
      <c r="E275" s="22">
        <f t="shared" si="51"/>
        <v>2</v>
      </c>
      <c r="F275" s="22">
        <f t="shared" si="52"/>
        <v>102</v>
      </c>
      <c r="G275" s="22" t="str">
        <f t="shared" si="45"/>
        <v>Social Functioning</v>
      </c>
      <c r="H275" s="22" t="str">
        <f t="shared" si="53"/>
        <v>Social FunctioningUS2</v>
      </c>
      <c r="I275" s="20" t="e">
        <f t="shared" si="46"/>
        <v>#N/A</v>
      </c>
      <c r="J275" s="20" t="e">
        <f t="shared" si="47"/>
        <v>#N/A</v>
      </c>
      <c r="K275" s="20" t="e">
        <f t="shared" si="48"/>
        <v>#N/A</v>
      </c>
    </row>
    <row r="276" spans="2:11" x14ac:dyDescent="0.25">
      <c r="B276" s="22" t="str">
        <f t="shared" si="44"/>
        <v>Child Functioning -- Child #2</v>
      </c>
      <c r="C276" s="22" t="str">
        <f t="shared" si="49"/>
        <v>2</v>
      </c>
      <c r="D276" s="22" t="str">
        <f t="shared" si="50"/>
        <v>US</v>
      </c>
      <c r="E276" s="22">
        <f t="shared" si="51"/>
        <v>2</v>
      </c>
      <c r="F276" s="22">
        <f t="shared" si="52"/>
        <v>103</v>
      </c>
      <c r="G276" s="22" t="str">
        <f t="shared" si="45"/>
        <v>Educational Status</v>
      </c>
      <c r="H276" s="22" t="str">
        <f t="shared" si="53"/>
        <v>Educational StatusUS2</v>
      </c>
      <c r="I276" s="20" t="e">
        <f t="shared" si="46"/>
        <v>#N/A</v>
      </c>
      <c r="J276" s="20" t="e">
        <f t="shared" si="47"/>
        <v>#N/A</v>
      </c>
      <c r="K276" s="20" t="e">
        <f t="shared" si="48"/>
        <v>#N/A</v>
      </c>
    </row>
    <row r="277" spans="2:11" x14ac:dyDescent="0.25">
      <c r="B277" s="22" t="str">
        <f t="shared" si="44"/>
        <v>Child Functioning -- Child #2</v>
      </c>
      <c r="C277" s="22" t="str">
        <f t="shared" si="49"/>
        <v>2</v>
      </c>
      <c r="D277" s="22" t="str">
        <f t="shared" si="50"/>
        <v>US</v>
      </c>
      <c r="E277" s="22">
        <f t="shared" si="51"/>
        <v>2</v>
      </c>
      <c r="F277" s="22">
        <f t="shared" si="52"/>
        <v>104</v>
      </c>
      <c r="G277" s="22" t="str">
        <f t="shared" si="45"/>
        <v>Risk Behaviors</v>
      </c>
      <c r="H277" s="22" t="str">
        <f t="shared" si="53"/>
        <v>Risk BehaviorsUS2</v>
      </c>
      <c r="I277" s="20" t="e">
        <f t="shared" si="46"/>
        <v>#N/A</v>
      </c>
      <c r="J277" s="20" t="e">
        <f t="shared" si="47"/>
        <v>#N/A</v>
      </c>
      <c r="K277" s="20" t="e">
        <f t="shared" si="48"/>
        <v>#N/A</v>
      </c>
    </row>
    <row r="278" spans="2:11" x14ac:dyDescent="0.25">
      <c r="B278" s="22" t="str">
        <f t="shared" si="44"/>
        <v>Child Functioning -- Child #3</v>
      </c>
      <c r="C278" s="22" t="str">
        <f t="shared" si="49"/>
        <v>3</v>
      </c>
      <c r="D278" s="22" t="str">
        <f t="shared" si="50"/>
        <v>US</v>
      </c>
      <c r="E278" s="22">
        <f t="shared" si="51"/>
        <v>2</v>
      </c>
      <c r="F278" s="22">
        <f t="shared" si="52"/>
        <v>105</v>
      </c>
      <c r="G278" s="22" t="str">
        <f t="shared" si="45"/>
        <v>Mental Health Needs</v>
      </c>
      <c r="H278" s="22" t="str">
        <f t="shared" si="53"/>
        <v>Mental Health NeedsUS3</v>
      </c>
      <c r="I278" s="20" t="e">
        <f t="shared" si="46"/>
        <v>#N/A</v>
      </c>
      <c r="J278" s="20" t="e">
        <f t="shared" si="47"/>
        <v>#N/A</v>
      </c>
      <c r="K278" s="20" t="e">
        <f t="shared" si="48"/>
        <v>#N/A</v>
      </c>
    </row>
    <row r="279" spans="2:11" x14ac:dyDescent="0.25">
      <c r="B279" s="22" t="str">
        <f t="shared" si="44"/>
        <v>Child Functioning -- Child #3</v>
      </c>
      <c r="C279" s="22" t="str">
        <f t="shared" si="49"/>
        <v>3</v>
      </c>
      <c r="D279" s="22" t="str">
        <f t="shared" si="50"/>
        <v>US</v>
      </c>
      <c r="E279" s="22">
        <f t="shared" si="51"/>
        <v>2</v>
      </c>
      <c r="F279" s="22">
        <f t="shared" si="52"/>
        <v>106</v>
      </c>
      <c r="G279" s="22" t="str">
        <f t="shared" si="45"/>
        <v>Adjustment to Trauma</v>
      </c>
      <c r="H279" s="22" t="str">
        <f t="shared" si="53"/>
        <v>Adjustment to TraumaUS3</v>
      </c>
      <c r="I279" s="20" t="e">
        <f t="shared" si="46"/>
        <v>#N/A</v>
      </c>
      <c r="J279" s="20" t="e">
        <f t="shared" si="47"/>
        <v>#N/A</v>
      </c>
      <c r="K279" s="20" t="e">
        <f t="shared" si="48"/>
        <v>#N/A</v>
      </c>
    </row>
    <row r="280" spans="2:11" x14ac:dyDescent="0.25">
      <c r="B280" s="22" t="str">
        <f t="shared" si="44"/>
        <v>Child Functioning -- Child #3</v>
      </c>
      <c r="C280" s="22" t="str">
        <f t="shared" si="49"/>
        <v>3</v>
      </c>
      <c r="D280" s="22" t="str">
        <f t="shared" si="50"/>
        <v>US</v>
      </c>
      <c r="E280" s="22">
        <f t="shared" si="51"/>
        <v>2</v>
      </c>
      <c r="F280" s="22">
        <f t="shared" si="52"/>
        <v>107</v>
      </c>
      <c r="G280" s="22" t="str">
        <f t="shared" si="45"/>
        <v>Recreation / Play</v>
      </c>
      <c r="H280" s="22" t="str">
        <f t="shared" si="53"/>
        <v>Recreation / PlayUS3</v>
      </c>
      <c r="I280" s="20" t="e">
        <f t="shared" si="46"/>
        <v>#N/A</v>
      </c>
      <c r="J280" s="20" t="e">
        <f t="shared" si="47"/>
        <v>#N/A</v>
      </c>
      <c r="K280" s="20" t="e">
        <f t="shared" si="48"/>
        <v>#N/A</v>
      </c>
    </row>
    <row r="281" spans="2:11" x14ac:dyDescent="0.25">
      <c r="B281" s="22" t="str">
        <f t="shared" si="44"/>
        <v>Child Functioning -- Child #3</v>
      </c>
      <c r="C281" s="22" t="str">
        <f t="shared" si="49"/>
        <v>3</v>
      </c>
      <c r="D281" s="22" t="str">
        <f t="shared" si="50"/>
        <v>US</v>
      </c>
      <c r="E281" s="22">
        <f t="shared" si="51"/>
        <v>2</v>
      </c>
      <c r="F281" s="22">
        <f t="shared" si="52"/>
        <v>108</v>
      </c>
      <c r="G281" s="22" t="str">
        <f t="shared" si="45"/>
        <v>Attachment – Birth to 5</v>
      </c>
      <c r="H281" s="22" t="str">
        <f t="shared" si="53"/>
        <v>Attachment – Birth to 5US3</v>
      </c>
      <c r="I281" s="20" t="e">
        <f t="shared" si="46"/>
        <v>#N/A</v>
      </c>
      <c r="J281" s="20" t="e">
        <f t="shared" si="47"/>
        <v>#N/A</v>
      </c>
      <c r="K281" s="20" t="e">
        <f t="shared" si="48"/>
        <v>#N/A</v>
      </c>
    </row>
    <row r="282" spans="2:11" x14ac:dyDescent="0.25">
      <c r="B282" s="22" t="str">
        <f t="shared" si="44"/>
        <v>Child Functioning -- Child #3</v>
      </c>
      <c r="C282" s="22" t="str">
        <f t="shared" si="49"/>
        <v>3</v>
      </c>
      <c r="D282" s="22" t="str">
        <f t="shared" si="50"/>
        <v>US</v>
      </c>
      <c r="E282" s="22">
        <f t="shared" si="51"/>
        <v>2</v>
      </c>
      <c r="F282" s="22">
        <f t="shared" si="52"/>
        <v>109</v>
      </c>
      <c r="G282" s="22" t="str">
        <f t="shared" si="45"/>
        <v>Relationship with Biological Mother</v>
      </c>
      <c r="H282" s="22" t="str">
        <f t="shared" si="53"/>
        <v>Relationship with Biological MotherUS3</v>
      </c>
      <c r="I282" s="20" t="e">
        <f t="shared" si="46"/>
        <v>#N/A</v>
      </c>
      <c r="J282" s="20" t="e">
        <f t="shared" si="47"/>
        <v>#N/A</v>
      </c>
      <c r="K282" s="20" t="e">
        <f t="shared" si="48"/>
        <v>#N/A</v>
      </c>
    </row>
    <row r="283" spans="2:11" x14ac:dyDescent="0.25">
      <c r="B283" s="22" t="str">
        <f t="shared" si="44"/>
        <v>Child Functioning -- Child #3</v>
      </c>
      <c r="C283" s="22" t="str">
        <f t="shared" si="49"/>
        <v>3</v>
      </c>
      <c r="D283" s="22" t="str">
        <f t="shared" si="50"/>
        <v>US</v>
      </c>
      <c r="E283" s="22">
        <f t="shared" si="51"/>
        <v>2</v>
      </c>
      <c r="F283" s="22">
        <f t="shared" si="52"/>
        <v>110</v>
      </c>
      <c r="G283" s="22" t="str">
        <f t="shared" si="45"/>
        <v>Relationship with Biological Father</v>
      </c>
      <c r="H283" s="22" t="str">
        <f t="shared" si="53"/>
        <v>Relationship with Biological FatherUS3</v>
      </c>
      <c r="I283" s="20" t="e">
        <f t="shared" si="46"/>
        <v>#N/A</v>
      </c>
      <c r="J283" s="20" t="e">
        <f t="shared" si="47"/>
        <v>#N/A</v>
      </c>
      <c r="K283" s="20" t="e">
        <f t="shared" si="48"/>
        <v>#N/A</v>
      </c>
    </row>
    <row r="284" spans="2:11" x14ac:dyDescent="0.25">
      <c r="B284" s="22" t="str">
        <f t="shared" si="44"/>
        <v>Child Functioning -- Child #3</v>
      </c>
      <c r="C284" s="22" t="str">
        <f t="shared" si="49"/>
        <v>3</v>
      </c>
      <c r="D284" s="22" t="str">
        <f t="shared" si="50"/>
        <v>US</v>
      </c>
      <c r="E284" s="22">
        <f t="shared" si="51"/>
        <v>2</v>
      </c>
      <c r="F284" s="22">
        <f t="shared" si="52"/>
        <v>111</v>
      </c>
      <c r="G284" s="22" t="str">
        <f t="shared" si="45"/>
        <v>Relationship with Primary Caregiver</v>
      </c>
      <c r="H284" s="22" t="str">
        <f t="shared" si="53"/>
        <v>Relationship with Primary CaregiverUS3</v>
      </c>
      <c r="I284" s="20" t="e">
        <f t="shared" si="46"/>
        <v>#N/A</v>
      </c>
      <c r="J284" s="20" t="e">
        <f t="shared" si="47"/>
        <v>#N/A</v>
      </c>
      <c r="K284" s="20" t="e">
        <f t="shared" si="48"/>
        <v>#N/A</v>
      </c>
    </row>
    <row r="285" spans="2:11" x14ac:dyDescent="0.25">
      <c r="B285" s="22" t="str">
        <f t="shared" si="44"/>
        <v>Child Functioning -- Child #3</v>
      </c>
      <c r="C285" s="22" t="str">
        <f t="shared" si="49"/>
        <v>3</v>
      </c>
      <c r="D285" s="22" t="str">
        <f t="shared" si="50"/>
        <v>US</v>
      </c>
      <c r="E285" s="22">
        <f t="shared" si="51"/>
        <v>2</v>
      </c>
      <c r="F285" s="22">
        <f t="shared" si="52"/>
        <v>112</v>
      </c>
      <c r="G285" s="22" t="str">
        <f t="shared" si="45"/>
        <v>Relationship with Other Family Adults</v>
      </c>
      <c r="H285" s="22" t="str">
        <f t="shared" si="53"/>
        <v>Relationship with Other Family AdultsUS3</v>
      </c>
      <c r="I285" s="20" t="e">
        <f t="shared" si="46"/>
        <v>#N/A</v>
      </c>
      <c r="J285" s="20" t="e">
        <f t="shared" si="47"/>
        <v>#N/A</v>
      </c>
      <c r="K285" s="20" t="e">
        <f t="shared" si="48"/>
        <v>#N/A</v>
      </c>
    </row>
    <row r="286" spans="2:11" x14ac:dyDescent="0.25">
      <c r="B286" s="22" t="str">
        <f t="shared" si="44"/>
        <v>Child Functioning -- Child #3</v>
      </c>
      <c r="C286" s="22" t="str">
        <f t="shared" si="49"/>
        <v>3</v>
      </c>
      <c r="D286" s="22" t="str">
        <f t="shared" si="50"/>
        <v>US</v>
      </c>
      <c r="E286" s="22">
        <f t="shared" si="51"/>
        <v>2</v>
      </c>
      <c r="F286" s="22">
        <f t="shared" si="52"/>
        <v>113</v>
      </c>
      <c r="G286" s="22" t="str">
        <f t="shared" si="45"/>
        <v>Relationship with Siblings</v>
      </c>
      <c r="H286" s="22" t="str">
        <f t="shared" si="53"/>
        <v>Relationship with SiblingsUS3</v>
      </c>
      <c r="I286" s="20" t="e">
        <f t="shared" si="46"/>
        <v>#N/A</v>
      </c>
      <c r="J286" s="20" t="e">
        <f t="shared" si="47"/>
        <v>#N/A</v>
      </c>
      <c r="K286" s="20" t="e">
        <f t="shared" si="48"/>
        <v>#N/A</v>
      </c>
    </row>
    <row r="287" spans="2:11" x14ac:dyDescent="0.25">
      <c r="B287" s="22" t="str">
        <f t="shared" si="44"/>
        <v>Child Functioning -- Child #3</v>
      </c>
      <c r="C287" s="22" t="str">
        <f t="shared" si="49"/>
        <v>3</v>
      </c>
      <c r="D287" s="22" t="str">
        <f t="shared" si="50"/>
        <v>US</v>
      </c>
      <c r="E287" s="22">
        <f t="shared" si="51"/>
        <v>2</v>
      </c>
      <c r="F287" s="22">
        <f t="shared" si="52"/>
        <v>114</v>
      </c>
      <c r="G287" s="22" t="str">
        <f t="shared" si="45"/>
        <v>Medical / Physical</v>
      </c>
      <c r="H287" s="22" t="str">
        <f t="shared" si="53"/>
        <v>Medical / PhysicalUS3</v>
      </c>
      <c r="I287" s="20" t="e">
        <f t="shared" si="46"/>
        <v>#N/A</v>
      </c>
      <c r="J287" s="20" t="e">
        <f t="shared" si="47"/>
        <v>#N/A</v>
      </c>
      <c r="K287" s="20" t="e">
        <f t="shared" si="48"/>
        <v>#N/A</v>
      </c>
    </row>
    <row r="288" spans="2:11" x14ac:dyDescent="0.25">
      <c r="B288" s="22" t="str">
        <f t="shared" si="44"/>
        <v>Child Functioning -- Child #3</v>
      </c>
      <c r="C288" s="22" t="str">
        <f t="shared" si="49"/>
        <v>3</v>
      </c>
      <c r="D288" s="22" t="str">
        <f t="shared" si="50"/>
        <v>US</v>
      </c>
      <c r="E288" s="22">
        <f t="shared" si="51"/>
        <v>2</v>
      </c>
      <c r="F288" s="22">
        <f t="shared" si="52"/>
        <v>115</v>
      </c>
      <c r="G288" s="22" t="str">
        <f t="shared" si="45"/>
        <v>Sleeping</v>
      </c>
      <c r="H288" s="22" t="str">
        <f t="shared" si="53"/>
        <v>SleepingUS3</v>
      </c>
      <c r="I288" s="20" t="e">
        <f t="shared" si="46"/>
        <v>#N/A</v>
      </c>
      <c r="J288" s="20" t="e">
        <f t="shared" si="47"/>
        <v>#N/A</v>
      </c>
      <c r="K288" s="20" t="e">
        <f t="shared" si="48"/>
        <v>#N/A</v>
      </c>
    </row>
    <row r="289" spans="2:11" x14ac:dyDescent="0.25">
      <c r="B289" s="22" t="str">
        <f t="shared" si="44"/>
        <v>Child Functioning -- Child #3</v>
      </c>
      <c r="C289" s="22" t="str">
        <f t="shared" si="49"/>
        <v>3</v>
      </c>
      <c r="D289" s="22" t="str">
        <f t="shared" si="50"/>
        <v>US</v>
      </c>
      <c r="E289" s="22">
        <f t="shared" si="51"/>
        <v>2</v>
      </c>
      <c r="F289" s="22">
        <f t="shared" si="52"/>
        <v>116</v>
      </c>
      <c r="G289" s="22" t="str">
        <f t="shared" si="45"/>
        <v>Cognitive Skills</v>
      </c>
      <c r="H289" s="22" t="str">
        <f t="shared" si="53"/>
        <v>Cognitive SkillsUS3</v>
      </c>
      <c r="I289" s="20" t="e">
        <f t="shared" si="46"/>
        <v>#N/A</v>
      </c>
      <c r="J289" s="20" t="e">
        <f t="shared" si="47"/>
        <v>#N/A</v>
      </c>
      <c r="K289" s="20" t="e">
        <f t="shared" si="48"/>
        <v>#N/A</v>
      </c>
    </row>
    <row r="290" spans="2:11" x14ac:dyDescent="0.25">
      <c r="B290" s="22" t="str">
        <f t="shared" si="44"/>
        <v>Child Functioning -- Child #3</v>
      </c>
      <c r="C290" s="22" t="str">
        <f t="shared" si="49"/>
        <v>3</v>
      </c>
      <c r="D290" s="22" t="str">
        <f t="shared" si="50"/>
        <v>US</v>
      </c>
      <c r="E290" s="22">
        <f t="shared" si="51"/>
        <v>2</v>
      </c>
      <c r="F290" s="22">
        <f t="shared" si="52"/>
        <v>117</v>
      </c>
      <c r="G290" s="22" t="str">
        <f t="shared" si="45"/>
        <v>Social Functioning</v>
      </c>
      <c r="H290" s="22" t="str">
        <f t="shared" si="53"/>
        <v>Social FunctioningUS3</v>
      </c>
      <c r="I290" s="20" t="e">
        <f t="shared" si="46"/>
        <v>#N/A</v>
      </c>
      <c r="J290" s="20" t="e">
        <f t="shared" si="47"/>
        <v>#N/A</v>
      </c>
      <c r="K290" s="20" t="e">
        <f t="shared" si="48"/>
        <v>#N/A</v>
      </c>
    </row>
    <row r="291" spans="2:11" x14ac:dyDescent="0.25">
      <c r="B291" s="22" t="str">
        <f t="shared" si="44"/>
        <v>Child Functioning -- Child #3</v>
      </c>
      <c r="C291" s="22" t="str">
        <f t="shared" si="49"/>
        <v>3</v>
      </c>
      <c r="D291" s="22" t="str">
        <f t="shared" si="50"/>
        <v>US</v>
      </c>
      <c r="E291" s="22">
        <f t="shared" si="51"/>
        <v>2</v>
      </c>
      <c r="F291" s="22">
        <f t="shared" si="52"/>
        <v>118</v>
      </c>
      <c r="G291" s="22" t="str">
        <f t="shared" si="45"/>
        <v>Educational Status</v>
      </c>
      <c r="H291" s="22" t="str">
        <f t="shared" si="53"/>
        <v>Educational StatusUS3</v>
      </c>
      <c r="I291" s="20" t="e">
        <f t="shared" si="46"/>
        <v>#N/A</v>
      </c>
      <c r="J291" s="20" t="e">
        <f t="shared" si="47"/>
        <v>#N/A</v>
      </c>
      <c r="K291" s="20" t="e">
        <f t="shared" si="48"/>
        <v>#N/A</v>
      </c>
    </row>
    <row r="292" spans="2:11" x14ac:dyDescent="0.25">
      <c r="B292" s="22" t="str">
        <f t="shared" si="44"/>
        <v>Child Functioning -- Child #3</v>
      </c>
      <c r="C292" s="22" t="str">
        <f t="shared" si="49"/>
        <v>3</v>
      </c>
      <c r="D292" s="22" t="str">
        <f t="shared" si="50"/>
        <v>US</v>
      </c>
      <c r="E292" s="22">
        <f t="shared" si="51"/>
        <v>2</v>
      </c>
      <c r="F292" s="22">
        <f t="shared" si="52"/>
        <v>119</v>
      </c>
      <c r="G292" s="22" t="str">
        <f t="shared" si="45"/>
        <v>Risk Behaviors</v>
      </c>
      <c r="H292" s="22" t="str">
        <f t="shared" si="53"/>
        <v>Risk BehaviorsUS3</v>
      </c>
      <c r="I292" s="20" t="e">
        <f t="shared" si="46"/>
        <v>#N/A</v>
      </c>
      <c r="J292" s="20" t="e">
        <f t="shared" si="47"/>
        <v>#N/A</v>
      </c>
      <c r="K292" s="20" t="e">
        <f t="shared" si="48"/>
        <v>#N/A</v>
      </c>
    </row>
    <row r="293" spans="2:11" x14ac:dyDescent="0.25">
      <c r="B293" s="22" t="str">
        <f t="shared" si="44"/>
        <v>Child Functioning -- Child #4</v>
      </c>
      <c r="C293" s="22" t="str">
        <f t="shared" si="49"/>
        <v>4</v>
      </c>
      <c r="D293" s="22" t="str">
        <f t="shared" si="50"/>
        <v>US</v>
      </c>
      <c r="E293" s="22">
        <f t="shared" si="51"/>
        <v>2</v>
      </c>
      <c r="F293" s="22">
        <f t="shared" si="52"/>
        <v>120</v>
      </c>
      <c r="G293" s="22" t="str">
        <f t="shared" si="45"/>
        <v>Mental Health Needs</v>
      </c>
      <c r="H293" s="22" t="str">
        <f t="shared" si="53"/>
        <v>Mental Health NeedsUS4</v>
      </c>
      <c r="I293" s="20" t="e">
        <f t="shared" si="46"/>
        <v>#N/A</v>
      </c>
      <c r="J293" s="20" t="e">
        <f t="shared" si="47"/>
        <v>#N/A</v>
      </c>
      <c r="K293" s="20" t="e">
        <f t="shared" si="48"/>
        <v>#N/A</v>
      </c>
    </row>
    <row r="294" spans="2:11" x14ac:dyDescent="0.25">
      <c r="B294" s="22" t="str">
        <f t="shared" si="44"/>
        <v>Child Functioning -- Child #4</v>
      </c>
      <c r="C294" s="22" t="str">
        <f t="shared" si="49"/>
        <v>4</v>
      </c>
      <c r="D294" s="22" t="str">
        <f t="shared" si="50"/>
        <v>US</v>
      </c>
      <c r="E294" s="22">
        <f t="shared" si="51"/>
        <v>2</v>
      </c>
      <c r="F294" s="22">
        <f t="shared" si="52"/>
        <v>121</v>
      </c>
      <c r="G294" s="22" t="str">
        <f t="shared" si="45"/>
        <v>Adjustment to Trauma</v>
      </c>
      <c r="H294" s="22" t="str">
        <f t="shared" si="53"/>
        <v>Adjustment to TraumaUS4</v>
      </c>
      <c r="I294" s="20" t="e">
        <f t="shared" si="46"/>
        <v>#N/A</v>
      </c>
      <c r="J294" s="20" t="e">
        <f t="shared" si="47"/>
        <v>#N/A</v>
      </c>
      <c r="K294" s="20" t="e">
        <f t="shared" si="48"/>
        <v>#N/A</v>
      </c>
    </row>
    <row r="295" spans="2:11" x14ac:dyDescent="0.25">
      <c r="B295" s="22" t="str">
        <f t="shared" si="44"/>
        <v>Child Functioning -- Child #4</v>
      </c>
      <c r="C295" s="22" t="str">
        <f t="shared" si="49"/>
        <v>4</v>
      </c>
      <c r="D295" s="22" t="str">
        <f t="shared" si="50"/>
        <v>US</v>
      </c>
      <c r="E295" s="22">
        <f t="shared" si="51"/>
        <v>2</v>
      </c>
      <c r="F295" s="22">
        <f t="shared" si="52"/>
        <v>122</v>
      </c>
      <c r="G295" s="22" t="str">
        <f t="shared" si="45"/>
        <v>Recreation / Play</v>
      </c>
      <c r="H295" s="22" t="str">
        <f t="shared" si="53"/>
        <v>Recreation / PlayUS4</v>
      </c>
      <c r="I295" s="20" t="e">
        <f t="shared" si="46"/>
        <v>#N/A</v>
      </c>
      <c r="J295" s="20" t="e">
        <f t="shared" si="47"/>
        <v>#N/A</v>
      </c>
      <c r="K295" s="20" t="e">
        <f t="shared" si="48"/>
        <v>#N/A</v>
      </c>
    </row>
    <row r="296" spans="2:11" x14ac:dyDescent="0.25">
      <c r="B296" s="22" t="str">
        <f t="shared" si="44"/>
        <v>Child Functioning -- Child #4</v>
      </c>
      <c r="C296" s="22" t="str">
        <f t="shared" si="49"/>
        <v>4</v>
      </c>
      <c r="D296" s="22" t="str">
        <f t="shared" si="50"/>
        <v>US</v>
      </c>
      <c r="E296" s="22">
        <f t="shared" si="51"/>
        <v>2</v>
      </c>
      <c r="F296" s="22">
        <f t="shared" si="52"/>
        <v>123</v>
      </c>
      <c r="G296" s="22" t="str">
        <f t="shared" si="45"/>
        <v>Attachment – Birth to 5</v>
      </c>
      <c r="H296" s="22" t="str">
        <f t="shared" si="53"/>
        <v>Attachment – Birth to 5US4</v>
      </c>
      <c r="I296" s="20" t="e">
        <f t="shared" si="46"/>
        <v>#N/A</v>
      </c>
      <c r="J296" s="20" t="e">
        <f t="shared" si="47"/>
        <v>#N/A</v>
      </c>
      <c r="K296" s="20" t="e">
        <f t="shared" si="48"/>
        <v>#N/A</v>
      </c>
    </row>
    <row r="297" spans="2:11" x14ac:dyDescent="0.25">
      <c r="B297" s="22" t="str">
        <f t="shared" si="44"/>
        <v>Child Functioning -- Child #4</v>
      </c>
      <c r="C297" s="22" t="str">
        <f t="shared" si="49"/>
        <v>4</v>
      </c>
      <c r="D297" s="22" t="str">
        <f t="shared" si="50"/>
        <v>US</v>
      </c>
      <c r="E297" s="22">
        <f t="shared" si="51"/>
        <v>2</v>
      </c>
      <c r="F297" s="22">
        <f t="shared" si="52"/>
        <v>124</v>
      </c>
      <c r="G297" s="22" t="str">
        <f t="shared" si="45"/>
        <v>Relationship with Biological Mother</v>
      </c>
      <c r="H297" s="22" t="str">
        <f t="shared" si="53"/>
        <v>Relationship with Biological MotherUS4</v>
      </c>
      <c r="I297" s="20" t="e">
        <f t="shared" si="46"/>
        <v>#N/A</v>
      </c>
      <c r="J297" s="20" t="e">
        <f t="shared" si="47"/>
        <v>#N/A</v>
      </c>
      <c r="K297" s="20" t="e">
        <f t="shared" si="48"/>
        <v>#N/A</v>
      </c>
    </row>
    <row r="298" spans="2:11" x14ac:dyDescent="0.25">
      <c r="B298" s="22" t="str">
        <f t="shared" si="44"/>
        <v>Child Functioning -- Child #4</v>
      </c>
      <c r="C298" s="22" t="str">
        <f t="shared" si="49"/>
        <v>4</v>
      </c>
      <c r="D298" s="22" t="str">
        <f t="shared" si="50"/>
        <v>US</v>
      </c>
      <c r="E298" s="22">
        <f t="shared" si="51"/>
        <v>2</v>
      </c>
      <c r="F298" s="22">
        <f t="shared" si="52"/>
        <v>125</v>
      </c>
      <c r="G298" s="22" t="str">
        <f t="shared" si="45"/>
        <v>Relationship with Biological Father</v>
      </c>
      <c r="H298" s="22" t="str">
        <f t="shared" si="53"/>
        <v>Relationship with Biological FatherUS4</v>
      </c>
      <c r="I298" s="20" t="e">
        <f t="shared" si="46"/>
        <v>#N/A</v>
      </c>
      <c r="J298" s="20" t="e">
        <f t="shared" si="47"/>
        <v>#N/A</v>
      </c>
      <c r="K298" s="20" t="e">
        <f t="shared" si="48"/>
        <v>#N/A</v>
      </c>
    </row>
    <row r="299" spans="2:11" x14ac:dyDescent="0.25">
      <c r="B299" s="22" t="str">
        <f t="shared" si="44"/>
        <v>Child Functioning -- Child #4</v>
      </c>
      <c r="C299" s="22" t="str">
        <f t="shared" si="49"/>
        <v>4</v>
      </c>
      <c r="D299" s="22" t="str">
        <f t="shared" si="50"/>
        <v>US</v>
      </c>
      <c r="E299" s="22">
        <f t="shared" si="51"/>
        <v>2</v>
      </c>
      <c r="F299" s="22">
        <f t="shared" si="52"/>
        <v>126</v>
      </c>
      <c r="G299" s="22" t="str">
        <f t="shared" si="45"/>
        <v>Relationship with Primary Caregiver</v>
      </c>
      <c r="H299" s="22" t="str">
        <f t="shared" si="53"/>
        <v>Relationship with Primary CaregiverUS4</v>
      </c>
      <c r="I299" s="20" t="e">
        <f t="shared" si="46"/>
        <v>#N/A</v>
      </c>
      <c r="J299" s="20" t="e">
        <f t="shared" si="47"/>
        <v>#N/A</v>
      </c>
      <c r="K299" s="20" t="e">
        <f t="shared" si="48"/>
        <v>#N/A</v>
      </c>
    </row>
    <row r="300" spans="2:11" x14ac:dyDescent="0.25">
      <c r="B300" s="22" t="str">
        <f t="shared" si="44"/>
        <v>Child Functioning -- Child #4</v>
      </c>
      <c r="C300" s="22" t="str">
        <f t="shared" si="49"/>
        <v>4</v>
      </c>
      <c r="D300" s="22" t="str">
        <f t="shared" si="50"/>
        <v>US</v>
      </c>
      <c r="E300" s="22">
        <f t="shared" si="51"/>
        <v>2</v>
      </c>
      <c r="F300" s="22">
        <f t="shared" si="52"/>
        <v>127</v>
      </c>
      <c r="G300" s="22" t="str">
        <f t="shared" si="45"/>
        <v>Relationship with Other Family Adults</v>
      </c>
      <c r="H300" s="22" t="str">
        <f t="shared" si="53"/>
        <v>Relationship with Other Family AdultsUS4</v>
      </c>
      <c r="I300" s="20" t="e">
        <f t="shared" si="46"/>
        <v>#N/A</v>
      </c>
      <c r="J300" s="20" t="e">
        <f t="shared" si="47"/>
        <v>#N/A</v>
      </c>
      <c r="K300" s="20" t="e">
        <f t="shared" si="48"/>
        <v>#N/A</v>
      </c>
    </row>
    <row r="301" spans="2:11" x14ac:dyDescent="0.25">
      <c r="B301" s="22" t="str">
        <f t="shared" si="44"/>
        <v>Child Functioning -- Child #4</v>
      </c>
      <c r="C301" s="22" t="str">
        <f t="shared" si="49"/>
        <v>4</v>
      </c>
      <c r="D301" s="22" t="str">
        <f t="shared" si="50"/>
        <v>US</v>
      </c>
      <c r="E301" s="22">
        <f t="shared" si="51"/>
        <v>2</v>
      </c>
      <c r="F301" s="22">
        <f t="shared" si="52"/>
        <v>128</v>
      </c>
      <c r="G301" s="22" t="str">
        <f t="shared" si="45"/>
        <v>Relationship with Siblings</v>
      </c>
      <c r="H301" s="22" t="str">
        <f t="shared" si="53"/>
        <v>Relationship with SiblingsUS4</v>
      </c>
      <c r="I301" s="20" t="e">
        <f t="shared" si="46"/>
        <v>#N/A</v>
      </c>
      <c r="J301" s="20" t="e">
        <f t="shared" si="47"/>
        <v>#N/A</v>
      </c>
      <c r="K301" s="20" t="e">
        <f t="shared" si="48"/>
        <v>#N/A</v>
      </c>
    </row>
    <row r="302" spans="2:11" x14ac:dyDescent="0.25">
      <c r="B302" s="22" t="str">
        <f t="shared" si="44"/>
        <v>Child Functioning -- Child #4</v>
      </c>
      <c r="C302" s="22" t="str">
        <f t="shared" si="49"/>
        <v>4</v>
      </c>
      <c r="D302" s="22" t="str">
        <f t="shared" si="50"/>
        <v>US</v>
      </c>
      <c r="E302" s="22">
        <f t="shared" si="51"/>
        <v>2</v>
      </c>
      <c r="F302" s="22">
        <f t="shared" si="52"/>
        <v>129</v>
      </c>
      <c r="G302" s="22" t="str">
        <f t="shared" si="45"/>
        <v>Medical / Physical</v>
      </c>
      <c r="H302" s="22" t="str">
        <f t="shared" si="53"/>
        <v>Medical / PhysicalUS4</v>
      </c>
      <c r="I302" s="20" t="e">
        <f t="shared" si="46"/>
        <v>#N/A</v>
      </c>
      <c r="J302" s="20" t="e">
        <f t="shared" si="47"/>
        <v>#N/A</v>
      </c>
      <c r="K302" s="20" t="e">
        <f t="shared" si="48"/>
        <v>#N/A</v>
      </c>
    </row>
    <row r="303" spans="2:11" x14ac:dyDescent="0.25">
      <c r="B303" s="22" t="str">
        <f t="shared" si="44"/>
        <v>Child Functioning -- Child #4</v>
      </c>
      <c r="C303" s="22" t="str">
        <f t="shared" si="49"/>
        <v>4</v>
      </c>
      <c r="D303" s="22" t="str">
        <f t="shared" si="50"/>
        <v>US</v>
      </c>
      <c r="E303" s="22">
        <f t="shared" si="51"/>
        <v>2</v>
      </c>
      <c r="F303" s="22">
        <f t="shared" si="52"/>
        <v>130</v>
      </c>
      <c r="G303" s="22" t="str">
        <f t="shared" si="45"/>
        <v>Sleeping</v>
      </c>
      <c r="H303" s="22" t="str">
        <f t="shared" si="53"/>
        <v>SleepingUS4</v>
      </c>
      <c r="I303" s="20" t="e">
        <f t="shared" si="46"/>
        <v>#N/A</v>
      </c>
      <c r="J303" s="20" t="e">
        <f t="shared" si="47"/>
        <v>#N/A</v>
      </c>
      <c r="K303" s="20" t="e">
        <f t="shared" si="48"/>
        <v>#N/A</v>
      </c>
    </row>
    <row r="304" spans="2:11" x14ac:dyDescent="0.25">
      <c r="B304" s="22" t="str">
        <f t="shared" si="44"/>
        <v>Child Functioning -- Child #4</v>
      </c>
      <c r="C304" s="22" t="str">
        <f t="shared" si="49"/>
        <v>4</v>
      </c>
      <c r="D304" s="22" t="str">
        <f t="shared" si="50"/>
        <v>US</v>
      </c>
      <c r="E304" s="22">
        <f t="shared" si="51"/>
        <v>2</v>
      </c>
      <c r="F304" s="22">
        <f t="shared" si="52"/>
        <v>131</v>
      </c>
      <c r="G304" s="22" t="str">
        <f t="shared" si="45"/>
        <v>Cognitive Skills</v>
      </c>
      <c r="H304" s="22" t="str">
        <f t="shared" si="53"/>
        <v>Cognitive SkillsUS4</v>
      </c>
      <c r="I304" s="20" t="e">
        <f t="shared" si="46"/>
        <v>#N/A</v>
      </c>
      <c r="J304" s="20" t="e">
        <f t="shared" si="47"/>
        <v>#N/A</v>
      </c>
      <c r="K304" s="20" t="e">
        <f t="shared" si="48"/>
        <v>#N/A</v>
      </c>
    </row>
    <row r="305" spans="2:11" x14ac:dyDescent="0.25">
      <c r="B305" s="22" t="str">
        <f t="shared" si="44"/>
        <v>Child Functioning -- Child #4</v>
      </c>
      <c r="C305" s="22" t="str">
        <f t="shared" si="49"/>
        <v>4</v>
      </c>
      <c r="D305" s="22" t="str">
        <f t="shared" si="50"/>
        <v>US</v>
      </c>
      <c r="E305" s="22">
        <f t="shared" si="51"/>
        <v>2</v>
      </c>
      <c r="F305" s="22">
        <f t="shared" si="52"/>
        <v>132</v>
      </c>
      <c r="G305" s="22" t="str">
        <f t="shared" si="45"/>
        <v>Social Functioning</v>
      </c>
      <c r="H305" s="22" t="str">
        <f t="shared" si="53"/>
        <v>Social FunctioningUS4</v>
      </c>
      <c r="I305" s="20" t="e">
        <f t="shared" si="46"/>
        <v>#N/A</v>
      </c>
      <c r="J305" s="20" t="e">
        <f t="shared" si="47"/>
        <v>#N/A</v>
      </c>
      <c r="K305" s="20" t="e">
        <f t="shared" si="48"/>
        <v>#N/A</v>
      </c>
    </row>
    <row r="306" spans="2:11" x14ac:dyDescent="0.25">
      <c r="B306" s="22" t="str">
        <f t="shared" si="44"/>
        <v>Child Functioning -- Child #4</v>
      </c>
      <c r="C306" s="22" t="str">
        <f t="shared" si="49"/>
        <v>4</v>
      </c>
      <c r="D306" s="22" t="str">
        <f t="shared" si="50"/>
        <v>US</v>
      </c>
      <c r="E306" s="22">
        <f t="shared" si="51"/>
        <v>2</v>
      </c>
      <c r="F306" s="22">
        <f t="shared" si="52"/>
        <v>133</v>
      </c>
      <c r="G306" s="22" t="str">
        <f t="shared" si="45"/>
        <v>Educational Status</v>
      </c>
      <c r="H306" s="22" t="str">
        <f t="shared" si="53"/>
        <v>Educational StatusUS4</v>
      </c>
      <c r="I306" s="20" t="e">
        <f t="shared" si="46"/>
        <v>#N/A</v>
      </c>
      <c r="J306" s="20" t="e">
        <f t="shared" si="47"/>
        <v>#N/A</v>
      </c>
      <c r="K306" s="20" t="e">
        <f t="shared" si="48"/>
        <v>#N/A</v>
      </c>
    </row>
    <row r="307" spans="2:11" x14ac:dyDescent="0.25">
      <c r="B307" s="22" t="str">
        <f t="shared" si="44"/>
        <v>Child Functioning -- Child #4</v>
      </c>
      <c r="C307" s="22" t="str">
        <f t="shared" si="49"/>
        <v>4</v>
      </c>
      <c r="D307" s="22" t="str">
        <f t="shared" si="50"/>
        <v>US</v>
      </c>
      <c r="E307" s="22">
        <f t="shared" si="51"/>
        <v>2</v>
      </c>
      <c r="F307" s="22">
        <f t="shared" si="52"/>
        <v>134</v>
      </c>
      <c r="G307" s="22" t="str">
        <f t="shared" si="45"/>
        <v>Risk Behaviors</v>
      </c>
      <c r="H307" s="22" t="str">
        <f t="shared" si="53"/>
        <v>Risk BehaviorsUS4</v>
      </c>
      <c r="I307" s="20" t="e">
        <f t="shared" si="46"/>
        <v>#N/A</v>
      </c>
      <c r="J307" s="20" t="e">
        <f t="shared" si="47"/>
        <v>#N/A</v>
      </c>
      <c r="K307" s="20" t="e">
        <f t="shared" si="48"/>
        <v>#N/A</v>
      </c>
    </row>
    <row r="308" spans="2:11" x14ac:dyDescent="0.25">
      <c r="B308" s="22" t="str">
        <f t="shared" si="44"/>
        <v>Child Functioning -- Child #5</v>
      </c>
      <c r="C308" s="22" t="str">
        <f t="shared" si="49"/>
        <v>5</v>
      </c>
      <c r="D308" s="22" t="str">
        <f t="shared" si="50"/>
        <v>US</v>
      </c>
      <c r="E308" s="22">
        <f t="shared" si="51"/>
        <v>2</v>
      </c>
      <c r="F308" s="22">
        <f t="shared" si="52"/>
        <v>135</v>
      </c>
      <c r="G308" s="22" t="str">
        <f t="shared" si="45"/>
        <v>Mental Health Needs</v>
      </c>
      <c r="H308" s="22" t="str">
        <f t="shared" si="53"/>
        <v>Mental Health NeedsUS5</v>
      </c>
      <c r="I308" s="20" t="e">
        <f t="shared" si="46"/>
        <v>#N/A</v>
      </c>
      <c r="J308" s="20" t="e">
        <f t="shared" si="47"/>
        <v>#N/A</v>
      </c>
      <c r="K308" s="20" t="e">
        <f t="shared" si="48"/>
        <v>#N/A</v>
      </c>
    </row>
    <row r="309" spans="2:11" x14ac:dyDescent="0.25">
      <c r="B309" s="22" t="str">
        <f t="shared" si="44"/>
        <v>Child Functioning -- Child #5</v>
      </c>
      <c r="C309" s="22" t="str">
        <f t="shared" si="49"/>
        <v>5</v>
      </c>
      <c r="D309" s="22" t="str">
        <f t="shared" si="50"/>
        <v>US</v>
      </c>
      <c r="E309" s="22">
        <f t="shared" si="51"/>
        <v>2</v>
      </c>
      <c r="F309" s="22">
        <f t="shared" si="52"/>
        <v>136</v>
      </c>
      <c r="G309" s="22" t="str">
        <f t="shared" si="45"/>
        <v>Adjustment to Trauma</v>
      </c>
      <c r="H309" s="22" t="str">
        <f t="shared" si="53"/>
        <v>Adjustment to TraumaUS5</v>
      </c>
      <c r="I309" s="20" t="e">
        <f t="shared" si="46"/>
        <v>#N/A</v>
      </c>
      <c r="J309" s="20" t="e">
        <f t="shared" si="47"/>
        <v>#N/A</v>
      </c>
      <c r="K309" s="20" t="e">
        <f t="shared" si="48"/>
        <v>#N/A</v>
      </c>
    </row>
    <row r="310" spans="2:11" x14ac:dyDescent="0.25">
      <c r="B310" s="22" t="str">
        <f t="shared" si="44"/>
        <v>Child Functioning -- Child #5</v>
      </c>
      <c r="C310" s="22" t="str">
        <f t="shared" si="49"/>
        <v>5</v>
      </c>
      <c r="D310" s="22" t="str">
        <f t="shared" si="50"/>
        <v>US</v>
      </c>
      <c r="E310" s="22">
        <f t="shared" si="51"/>
        <v>2</v>
      </c>
      <c r="F310" s="22">
        <f t="shared" si="52"/>
        <v>137</v>
      </c>
      <c r="G310" s="22" t="str">
        <f t="shared" si="45"/>
        <v>Recreation / Play</v>
      </c>
      <c r="H310" s="22" t="str">
        <f t="shared" si="53"/>
        <v>Recreation / PlayUS5</v>
      </c>
      <c r="I310" s="20" t="e">
        <f t="shared" si="46"/>
        <v>#N/A</v>
      </c>
      <c r="J310" s="20" t="e">
        <f t="shared" si="47"/>
        <v>#N/A</v>
      </c>
      <c r="K310" s="20" t="e">
        <f t="shared" si="48"/>
        <v>#N/A</v>
      </c>
    </row>
    <row r="311" spans="2:11" x14ac:dyDescent="0.25">
      <c r="B311" s="22" t="str">
        <f t="shared" si="44"/>
        <v>Child Functioning -- Child #5</v>
      </c>
      <c r="C311" s="22" t="str">
        <f t="shared" si="49"/>
        <v>5</v>
      </c>
      <c r="D311" s="22" t="str">
        <f t="shared" si="50"/>
        <v>US</v>
      </c>
      <c r="E311" s="22">
        <f t="shared" si="51"/>
        <v>2</v>
      </c>
      <c r="F311" s="22">
        <f t="shared" si="52"/>
        <v>138</v>
      </c>
      <c r="G311" s="22" t="str">
        <f t="shared" si="45"/>
        <v>Attachment – Birth to 5</v>
      </c>
      <c r="H311" s="22" t="str">
        <f t="shared" si="53"/>
        <v>Attachment – Birth to 5US5</v>
      </c>
      <c r="I311" s="20" t="e">
        <f t="shared" si="46"/>
        <v>#N/A</v>
      </c>
      <c r="J311" s="20" t="e">
        <f t="shared" si="47"/>
        <v>#N/A</v>
      </c>
      <c r="K311" s="20" t="e">
        <f t="shared" si="48"/>
        <v>#N/A</v>
      </c>
    </row>
    <row r="312" spans="2:11" x14ac:dyDescent="0.25">
      <c r="B312" s="22" t="str">
        <f t="shared" si="44"/>
        <v>Child Functioning -- Child #5</v>
      </c>
      <c r="C312" s="22" t="str">
        <f t="shared" si="49"/>
        <v>5</v>
      </c>
      <c r="D312" s="22" t="str">
        <f t="shared" si="50"/>
        <v>US</v>
      </c>
      <c r="E312" s="22">
        <f t="shared" si="51"/>
        <v>2</v>
      </c>
      <c r="F312" s="22">
        <f t="shared" si="52"/>
        <v>139</v>
      </c>
      <c r="G312" s="22" t="str">
        <f t="shared" si="45"/>
        <v>Relationship with Biological Mother</v>
      </c>
      <c r="H312" s="22" t="str">
        <f t="shared" si="53"/>
        <v>Relationship with Biological MotherUS5</v>
      </c>
      <c r="I312" s="20" t="e">
        <f t="shared" si="46"/>
        <v>#N/A</v>
      </c>
      <c r="J312" s="20" t="e">
        <f t="shared" si="47"/>
        <v>#N/A</v>
      </c>
      <c r="K312" s="20" t="e">
        <f t="shared" si="48"/>
        <v>#N/A</v>
      </c>
    </row>
    <row r="313" spans="2:11" x14ac:dyDescent="0.25">
      <c r="B313" s="22" t="str">
        <f t="shared" si="44"/>
        <v>Child Functioning -- Child #5</v>
      </c>
      <c r="C313" s="22" t="str">
        <f t="shared" si="49"/>
        <v>5</v>
      </c>
      <c r="D313" s="22" t="str">
        <f t="shared" si="50"/>
        <v>US</v>
      </c>
      <c r="E313" s="22">
        <f t="shared" si="51"/>
        <v>2</v>
      </c>
      <c r="F313" s="22">
        <f t="shared" si="52"/>
        <v>140</v>
      </c>
      <c r="G313" s="22" t="str">
        <f t="shared" si="45"/>
        <v>Relationship with Biological Father</v>
      </c>
      <c r="H313" s="22" t="str">
        <f t="shared" si="53"/>
        <v>Relationship with Biological FatherUS5</v>
      </c>
      <c r="I313" s="20" t="e">
        <f t="shared" si="46"/>
        <v>#N/A</v>
      </c>
      <c r="J313" s="20" t="e">
        <f t="shared" si="47"/>
        <v>#N/A</v>
      </c>
      <c r="K313" s="20" t="e">
        <f t="shared" si="48"/>
        <v>#N/A</v>
      </c>
    </row>
    <row r="314" spans="2:11" x14ac:dyDescent="0.25">
      <c r="B314" s="22" t="str">
        <f t="shared" si="44"/>
        <v>Child Functioning -- Child #5</v>
      </c>
      <c r="C314" s="22" t="str">
        <f t="shared" si="49"/>
        <v>5</v>
      </c>
      <c r="D314" s="22" t="str">
        <f t="shared" si="50"/>
        <v>US</v>
      </c>
      <c r="E314" s="22">
        <f t="shared" si="51"/>
        <v>2</v>
      </c>
      <c r="F314" s="22">
        <f t="shared" si="52"/>
        <v>141</v>
      </c>
      <c r="G314" s="22" t="str">
        <f t="shared" si="45"/>
        <v>Relationship with Primary Caregiver</v>
      </c>
      <c r="H314" s="22" t="str">
        <f t="shared" si="53"/>
        <v>Relationship with Primary CaregiverUS5</v>
      </c>
      <c r="I314" s="20" t="e">
        <f t="shared" si="46"/>
        <v>#N/A</v>
      </c>
      <c r="J314" s="20" t="e">
        <f t="shared" si="47"/>
        <v>#N/A</v>
      </c>
      <c r="K314" s="20" t="e">
        <f t="shared" si="48"/>
        <v>#N/A</v>
      </c>
    </row>
    <row r="315" spans="2:11" x14ac:dyDescent="0.25">
      <c r="B315" s="22" t="str">
        <f t="shared" si="44"/>
        <v>Child Functioning -- Child #5</v>
      </c>
      <c r="C315" s="22" t="str">
        <f t="shared" si="49"/>
        <v>5</v>
      </c>
      <c r="D315" s="22" t="str">
        <f t="shared" si="50"/>
        <v>US</v>
      </c>
      <c r="E315" s="22">
        <f t="shared" si="51"/>
        <v>2</v>
      </c>
      <c r="F315" s="22">
        <f t="shared" si="52"/>
        <v>142</v>
      </c>
      <c r="G315" s="22" t="str">
        <f t="shared" si="45"/>
        <v>Relationship with Other Family Adults</v>
      </c>
      <c r="H315" s="22" t="str">
        <f t="shared" si="53"/>
        <v>Relationship with Other Family AdultsUS5</v>
      </c>
      <c r="I315" s="20" t="e">
        <f t="shared" si="46"/>
        <v>#N/A</v>
      </c>
      <c r="J315" s="20" t="e">
        <f t="shared" si="47"/>
        <v>#N/A</v>
      </c>
      <c r="K315" s="20" t="e">
        <f t="shared" si="48"/>
        <v>#N/A</v>
      </c>
    </row>
    <row r="316" spans="2:11" x14ac:dyDescent="0.25">
      <c r="B316" s="22" t="str">
        <f t="shared" si="44"/>
        <v>Child Functioning -- Child #5</v>
      </c>
      <c r="C316" s="22" t="str">
        <f t="shared" si="49"/>
        <v>5</v>
      </c>
      <c r="D316" s="22" t="str">
        <f t="shared" si="50"/>
        <v>US</v>
      </c>
      <c r="E316" s="22">
        <f t="shared" si="51"/>
        <v>2</v>
      </c>
      <c r="F316" s="22">
        <f t="shared" si="52"/>
        <v>143</v>
      </c>
      <c r="G316" s="22" t="str">
        <f t="shared" si="45"/>
        <v>Relationship with Siblings</v>
      </c>
      <c r="H316" s="22" t="str">
        <f t="shared" si="53"/>
        <v>Relationship with SiblingsUS5</v>
      </c>
      <c r="I316" s="20" t="e">
        <f t="shared" si="46"/>
        <v>#N/A</v>
      </c>
      <c r="J316" s="20" t="e">
        <f t="shared" si="47"/>
        <v>#N/A</v>
      </c>
      <c r="K316" s="20" t="e">
        <f t="shared" si="48"/>
        <v>#N/A</v>
      </c>
    </row>
    <row r="317" spans="2:11" x14ac:dyDescent="0.25">
      <c r="B317" s="22" t="str">
        <f t="shared" si="44"/>
        <v>Child Functioning -- Child #5</v>
      </c>
      <c r="C317" s="22" t="str">
        <f t="shared" si="49"/>
        <v>5</v>
      </c>
      <c r="D317" s="22" t="str">
        <f t="shared" si="50"/>
        <v>US</v>
      </c>
      <c r="E317" s="22">
        <f t="shared" si="51"/>
        <v>2</v>
      </c>
      <c r="F317" s="22">
        <f t="shared" si="52"/>
        <v>144</v>
      </c>
      <c r="G317" s="22" t="str">
        <f t="shared" si="45"/>
        <v>Medical / Physical</v>
      </c>
      <c r="H317" s="22" t="str">
        <f t="shared" si="53"/>
        <v>Medical / PhysicalUS5</v>
      </c>
      <c r="I317" s="20" t="e">
        <f t="shared" si="46"/>
        <v>#N/A</v>
      </c>
      <c r="J317" s="20" t="e">
        <f t="shared" si="47"/>
        <v>#N/A</v>
      </c>
      <c r="K317" s="20" t="e">
        <f t="shared" si="48"/>
        <v>#N/A</v>
      </c>
    </row>
    <row r="318" spans="2:11" x14ac:dyDescent="0.25">
      <c r="B318" s="22" t="str">
        <f t="shared" si="44"/>
        <v>Child Functioning -- Child #5</v>
      </c>
      <c r="C318" s="22" t="str">
        <f t="shared" si="49"/>
        <v>5</v>
      </c>
      <c r="D318" s="22" t="str">
        <f t="shared" si="50"/>
        <v>US</v>
      </c>
      <c r="E318" s="22">
        <f t="shared" si="51"/>
        <v>2</v>
      </c>
      <c r="F318" s="22">
        <f t="shared" si="52"/>
        <v>145</v>
      </c>
      <c r="G318" s="22" t="str">
        <f t="shared" si="45"/>
        <v>Sleeping</v>
      </c>
      <c r="H318" s="22" t="str">
        <f t="shared" si="53"/>
        <v>SleepingUS5</v>
      </c>
      <c r="I318" s="20" t="e">
        <f t="shared" si="46"/>
        <v>#N/A</v>
      </c>
      <c r="J318" s="20" t="e">
        <f t="shared" si="47"/>
        <v>#N/A</v>
      </c>
      <c r="K318" s="20" t="e">
        <f t="shared" si="48"/>
        <v>#N/A</v>
      </c>
    </row>
    <row r="319" spans="2:11" x14ac:dyDescent="0.25">
      <c r="B319" s="22" t="str">
        <f t="shared" si="44"/>
        <v>Child Functioning -- Child #5</v>
      </c>
      <c r="C319" s="22" t="str">
        <f t="shared" si="49"/>
        <v>5</v>
      </c>
      <c r="D319" s="22" t="str">
        <f t="shared" si="50"/>
        <v>US</v>
      </c>
      <c r="E319" s="22">
        <f t="shared" si="51"/>
        <v>2</v>
      </c>
      <c r="F319" s="22">
        <f t="shared" si="52"/>
        <v>146</v>
      </c>
      <c r="G319" s="22" t="str">
        <f t="shared" si="45"/>
        <v>Cognitive Skills</v>
      </c>
      <c r="H319" s="22" t="str">
        <f t="shared" si="53"/>
        <v>Cognitive SkillsUS5</v>
      </c>
      <c r="I319" s="20" t="e">
        <f t="shared" si="46"/>
        <v>#N/A</v>
      </c>
      <c r="J319" s="20" t="e">
        <f t="shared" si="47"/>
        <v>#N/A</v>
      </c>
      <c r="K319" s="20" t="e">
        <f t="shared" si="48"/>
        <v>#N/A</v>
      </c>
    </row>
    <row r="320" spans="2:11" x14ac:dyDescent="0.25">
      <c r="B320" s="22" t="str">
        <f t="shared" si="44"/>
        <v>Child Functioning -- Child #5</v>
      </c>
      <c r="C320" s="22" t="str">
        <f t="shared" si="49"/>
        <v>5</v>
      </c>
      <c r="D320" s="22" t="str">
        <f t="shared" si="50"/>
        <v>US</v>
      </c>
      <c r="E320" s="22">
        <f t="shared" si="51"/>
        <v>2</v>
      </c>
      <c r="F320" s="22">
        <f t="shared" si="52"/>
        <v>147</v>
      </c>
      <c r="G320" s="22" t="str">
        <f t="shared" si="45"/>
        <v>Social Functioning</v>
      </c>
      <c r="H320" s="22" t="str">
        <f t="shared" si="53"/>
        <v>Social FunctioningUS5</v>
      </c>
      <c r="I320" s="20" t="e">
        <f t="shared" si="46"/>
        <v>#N/A</v>
      </c>
      <c r="J320" s="20" t="e">
        <f t="shared" si="47"/>
        <v>#N/A</v>
      </c>
      <c r="K320" s="20" t="e">
        <f t="shared" si="48"/>
        <v>#N/A</v>
      </c>
    </row>
    <row r="321" spans="2:11" x14ac:dyDescent="0.25">
      <c r="B321" s="22" t="str">
        <f t="shared" si="44"/>
        <v>Child Functioning -- Child #5</v>
      </c>
      <c r="C321" s="22" t="str">
        <f t="shared" si="49"/>
        <v>5</v>
      </c>
      <c r="D321" s="22" t="str">
        <f t="shared" si="50"/>
        <v>US</v>
      </c>
      <c r="E321" s="22">
        <f t="shared" si="51"/>
        <v>2</v>
      </c>
      <c r="F321" s="22">
        <f t="shared" si="52"/>
        <v>148</v>
      </c>
      <c r="G321" s="22" t="str">
        <f t="shared" si="45"/>
        <v>Educational Status</v>
      </c>
      <c r="H321" s="22" t="str">
        <f t="shared" si="53"/>
        <v>Educational StatusUS5</v>
      </c>
      <c r="I321" s="20" t="e">
        <f t="shared" si="46"/>
        <v>#N/A</v>
      </c>
      <c r="J321" s="20" t="e">
        <f t="shared" si="47"/>
        <v>#N/A</v>
      </c>
      <c r="K321" s="20" t="e">
        <f t="shared" si="48"/>
        <v>#N/A</v>
      </c>
    </row>
    <row r="322" spans="2:11" x14ac:dyDescent="0.25">
      <c r="B322" s="22" t="str">
        <f t="shared" si="44"/>
        <v>Child Functioning -- Child #5</v>
      </c>
      <c r="C322" s="22" t="str">
        <f t="shared" si="49"/>
        <v>5</v>
      </c>
      <c r="D322" s="22" t="str">
        <f t="shared" si="50"/>
        <v>US</v>
      </c>
      <c r="E322" s="22">
        <f t="shared" si="51"/>
        <v>2</v>
      </c>
      <c r="F322" s="22">
        <f t="shared" si="52"/>
        <v>149</v>
      </c>
      <c r="G322" s="22" t="str">
        <f t="shared" si="45"/>
        <v>Risk Behaviors</v>
      </c>
      <c r="H322" s="22" t="str">
        <f t="shared" si="53"/>
        <v>Risk BehaviorsUS5</v>
      </c>
      <c r="I322" s="20" t="e">
        <f t="shared" si="46"/>
        <v>#N/A</v>
      </c>
      <c r="J322" s="20" t="e">
        <f t="shared" si="47"/>
        <v>#N/A</v>
      </c>
      <c r="K322" s="20" t="e">
        <f t="shared" si="48"/>
        <v>#N/A</v>
      </c>
    </row>
    <row r="323" spans="2:11" x14ac:dyDescent="0.25">
      <c r="B323" s="22" t="str">
        <f t="shared" si="44"/>
        <v>Child Functioning -- Child #6</v>
      </c>
      <c r="C323" s="22" t="str">
        <f t="shared" si="49"/>
        <v>6</v>
      </c>
      <c r="D323" s="22" t="str">
        <f t="shared" si="50"/>
        <v>US</v>
      </c>
      <c r="E323" s="22">
        <f t="shared" si="51"/>
        <v>2</v>
      </c>
      <c r="F323" s="22">
        <f t="shared" si="52"/>
        <v>150</v>
      </c>
      <c r="G323" s="22" t="str">
        <f t="shared" si="45"/>
        <v>Mental Health Needs</v>
      </c>
      <c r="H323" s="22" t="str">
        <f t="shared" si="53"/>
        <v>Mental Health NeedsUS6</v>
      </c>
      <c r="I323" s="20" t="e">
        <f t="shared" si="46"/>
        <v>#N/A</v>
      </c>
      <c r="J323" s="20" t="e">
        <f t="shared" si="47"/>
        <v>#N/A</v>
      </c>
      <c r="K323" s="20" t="e">
        <f t="shared" si="48"/>
        <v>#N/A</v>
      </c>
    </row>
    <row r="324" spans="2:11" x14ac:dyDescent="0.25">
      <c r="B324" s="22" t="str">
        <f t="shared" si="44"/>
        <v>Child Functioning -- Child #6</v>
      </c>
      <c r="C324" s="22" t="str">
        <f t="shared" si="49"/>
        <v>6</v>
      </c>
      <c r="D324" s="22" t="str">
        <f t="shared" si="50"/>
        <v>US</v>
      </c>
      <c r="E324" s="22">
        <f t="shared" si="51"/>
        <v>2</v>
      </c>
      <c r="F324" s="22">
        <f t="shared" si="52"/>
        <v>151</v>
      </c>
      <c r="G324" s="22" t="str">
        <f t="shared" si="45"/>
        <v>Adjustment to Trauma</v>
      </c>
      <c r="H324" s="22" t="str">
        <f t="shared" si="53"/>
        <v>Adjustment to TraumaUS6</v>
      </c>
      <c r="I324" s="20" t="e">
        <f t="shared" si="46"/>
        <v>#N/A</v>
      </c>
      <c r="J324" s="20" t="e">
        <f t="shared" si="47"/>
        <v>#N/A</v>
      </c>
      <c r="K324" s="20" t="e">
        <f t="shared" si="48"/>
        <v>#N/A</v>
      </c>
    </row>
    <row r="325" spans="2:11" x14ac:dyDescent="0.25">
      <c r="B325" s="22" t="str">
        <f t="shared" si="44"/>
        <v>Child Functioning -- Child #6</v>
      </c>
      <c r="C325" s="22" t="str">
        <f t="shared" si="49"/>
        <v>6</v>
      </c>
      <c r="D325" s="22" t="str">
        <f t="shared" si="50"/>
        <v>US</v>
      </c>
      <c r="E325" s="22">
        <f t="shared" si="51"/>
        <v>2</v>
      </c>
      <c r="F325" s="22">
        <f t="shared" si="52"/>
        <v>152</v>
      </c>
      <c r="G325" s="22" t="str">
        <f t="shared" si="45"/>
        <v>Recreation / Play</v>
      </c>
      <c r="H325" s="22" t="str">
        <f t="shared" si="53"/>
        <v>Recreation / PlayUS6</v>
      </c>
      <c r="I325" s="20" t="e">
        <f t="shared" si="46"/>
        <v>#N/A</v>
      </c>
      <c r="J325" s="20" t="e">
        <f t="shared" si="47"/>
        <v>#N/A</v>
      </c>
      <c r="K325" s="20" t="e">
        <f t="shared" si="48"/>
        <v>#N/A</v>
      </c>
    </row>
    <row r="326" spans="2:11" x14ac:dyDescent="0.25">
      <c r="B326" s="22" t="str">
        <f t="shared" si="44"/>
        <v>Child Functioning -- Child #6</v>
      </c>
      <c r="C326" s="22" t="str">
        <f t="shared" si="49"/>
        <v>6</v>
      </c>
      <c r="D326" s="22" t="str">
        <f t="shared" si="50"/>
        <v>US</v>
      </c>
      <c r="E326" s="22">
        <f t="shared" si="51"/>
        <v>2</v>
      </c>
      <c r="F326" s="22">
        <f t="shared" si="52"/>
        <v>153</v>
      </c>
      <c r="G326" s="22" t="str">
        <f t="shared" si="45"/>
        <v>Attachment – Birth to 5</v>
      </c>
      <c r="H326" s="22" t="str">
        <f t="shared" si="53"/>
        <v>Attachment – Birth to 5US6</v>
      </c>
      <c r="I326" s="20" t="e">
        <f t="shared" si="46"/>
        <v>#N/A</v>
      </c>
      <c r="J326" s="20" t="e">
        <f t="shared" si="47"/>
        <v>#N/A</v>
      </c>
      <c r="K326" s="20" t="e">
        <f t="shared" si="48"/>
        <v>#N/A</v>
      </c>
    </row>
    <row r="327" spans="2:11" x14ac:dyDescent="0.25">
      <c r="B327" s="22" t="str">
        <f t="shared" si="44"/>
        <v>Child Functioning -- Child #6</v>
      </c>
      <c r="C327" s="22" t="str">
        <f t="shared" si="49"/>
        <v>6</v>
      </c>
      <c r="D327" s="22" t="str">
        <f t="shared" si="50"/>
        <v>US</v>
      </c>
      <c r="E327" s="22">
        <f t="shared" si="51"/>
        <v>2</v>
      </c>
      <c r="F327" s="22">
        <f t="shared" si="52"/>
        <v>154</v>
      </c>
      <c r="G327" s="22" t="str">
        <f t="shared" si="45"/>
        <v>Relationship with Biological Mother</v>
      </c>
      <c r="H327" s="22" t="str">
        <f t="shared" si="53"/>
        <v>Relationship with Biological MotherUS6</v>
      </c>
      <c r="I327" s="20" t="e">
        <f t="shared" si="46"/>
        <v>#N/A</v>
      </c>
      <c r="J327" s="20" t="e">
        <f t="shared" si="47"/>
        <v>#N/A</v>
      </c>
      <c r="K327" s="20" t="e">
        <f t="shared" si="48"/>
        <v>#N/A</v>
      </c>
    </row>
    <row r="328" spans="2:11" x14ac:dyDescent="0.25">
      <c r="B328" s="22" t="str">
        <f t="shared" si="44"/>
        <v>Child Functioning -- Child #6</v>
      </c>
      <c r="C328" s="22" t="str">
        <f t="shared" si="49"/>
        <v>6</v>
      </c>
      <c r="D328" s="22" t="str">
        <f t="shared" si="50"/>
        <v>US</v>
      </c>
      <c r="E328" s="22">
        <f t="shared" si="51"/>
        <v>2</v>
      </c>
      <c r="F328" s="22">
        <f t="shared" si="52"/>
        <v>155</v>
      </c>
      <c r="G328" s="22" t="str">
        <f t="shared" si="45"/>
        <v>Relationship with Biological Father</v>
      </c>
      <c r="H328" s="22" t="str">
        <f t="shared" si="53"/>
        <v>Relationship with Biological FatherUS6</v>
      </c>
      <c r="I328" s="20" t="e">
        <f t="shared" si="46"/>
        <v>#N/A</v>
      </c>
      <c r="J328" s="20" t="e">
        <f t="shared" si="47"/>
        <v>#N/A</v>
      </c>
      <c r="K328" s="20" t="e">
        <f t="shared" si="48"/>
        <v>#N/A</v>
      </c>
    </row>
    <row r="329" spans="2:11" x14ac:dyDescent="0.25">
      <c r="B329" s="22" t="str">
        <f t="shared" si="44"/>
        <v>Child Functioning -- Child #6</v>
      </c>
      <c r="C329" s="22" t="str">
        <f t="shared" si="49"/>
        <v>6</v>
      </c>
      <c r="D329" s="22" t="str">
        <f t="shared" si="50"/>
        <v>US</v>
      </c>
      <c r="E329" s="22">
        <f t="shared" si="51"/>
        <v>2</v>
      </c>
      <c r="F329" s="22">
        <f t="shared" si="52"/>
        <v>156</v>
      </c>
      <c r="G329" s="22" t="str">
        <f t="shared" si="45"/>
        <v>Relationship with Primary Caregiver</v>
      </c>
      <c r="H329" s="22" t="str">
        <f t="shared" si="53"/>
        <v>Relationship with Primary CaregiverUS6</v>
      </c>
      <c r="I329" s="20" t="e">
        <f t="shared" si="46"/>
        <v>#N/A</v>
      </c>
      <c r="J329" s="20" t="e">
        <f t="shared" si="47"/>
        <v>#N/A</v>
      </c>
      <c r="K329" s="20" t="e">
        <f t="shared" si="48"/>
        <v>#N/A</v>
      </c>
    </row>
    <row r="330" spans="2:11" x14ac:dyDescent="0.25">
      <c r="B330" s="22" t="str">
        <f t="shared" ref="B330:B393" si="54">INDEX(ItemDomain, MATCH(F330, ItemNum, 0))</f>
        <v>Child Functioning -- Child #6</v>
      </c>
      <c r="C330" s="22" t="str">
        <f t="shared" si="49"/>
        <v>6</v>
      </c>
      <c r="D330" s="22" t="str">
        <f t="shared" si="50"/>
        <v>US</v>
      </c>
      <c r="E330" s="22">
        <f t="shared" si="51"/>
        <v>2</v>
      </c>
      <c r="F330" s="22">
        <f t="shared" si="52"/>
        <v>157</v>
      </c>
      <c r="G330" s="22" t="str">
        <f t="shared" ref="G330:G393" si="55">INDEX(ItemShort, MATCH(F330, ItemNum, 0))</f>
        <v>Relationship with Other Family Adults</v>
      </c>
      <c r="H330" s="22" t="str">
        <f t="shared" si="53"/>
        <v>Relationship with Other Family AdultsUS6</v>
      </c>
      <c r="I330" s="20" t="e">
        <f t="shared" ref="I330:I393" si="56">INDEX(Assess, MATCH($F330, ItemNum, 0), MATCH(dateAssess1, DatesRow, 0)+CHOOSE($E330, 0, 2, 3))&amp;""</f>
        <v>#N/A</v>
      </c>
      <c r="J330" s="20" t="e">
        <f t="shared" ref="J330:J393" si="57">INDEX(Assess, MATCH($F330, ItemNum, 0), MATCH(dateAssess2, DatesRow, 0)+CHOOSE($E330, 0, 2, 3))&amp;""</f>
        <v>#N/A</v>
      </c>
      <c r="K330" s="20" t="e">
        <f t="shared" ref="K330:K393" si="58">INDEX(Assess, MATCH($F330, ItemNum, 0), MATCH(dateAssess3, DatesRow, 0)+CHOOSE($E330, 0, 2, 3))&amp;""</f>
        <v>#N/A</v>
      </c>
    </row>
    <row r="331" spans="2:11" x14ac:dyDescent="0.25">
      <c r="B331" s="22" t="str">
        <f t="shared" si="54"/>
        <v>Child Functioning -- Child #6</v>
      </c>
      <c r="C331" s="22" t="str">
        <f t="shared" ref="C331:C394" si="59">IF(ISERROR(VALUE(RIGHT(B331))), "", RIGHT(B331))</f>
        <v>6</v>
      </c>
      <c r="D331" s="22" t="str">
        <f t="shared" ref="D331:D394" si="60">CHOOSE(E331, "", "US", "SB")</f>
        <v>US</v>
      </c>
      <c r="E331" s="22">
        <f t="shared" ref="E331:E394" si="61">IF(F330=nItems, IF(E330=3, "DONE", E330+1), E330)</f>
        <v>2</v>
      </c>
      <c r="F331" s="22">
        <f t="shared" ref="F331:F394" si="62">IF(F330=nItems, IF(E330=3, "DONE", 1), F330+1)</f>
        <v>158</v>
      </c>
      <c r="G331" s="22" t="str">
        <f t="shared" si="55"/>
        <v>Relationship with Siblings</v>
      </c>
      <c r="H331" s="22" t="str">
        <f t="shared" ref="H331:H394" si="63">G331&amp;D331&amp;C331</f>
        <v>Relationship with SiblingsUS6</v>
      </c>
      <c r="I331" s="20" t="e">
        <f t="shared" si="56"/>
        <v>#N/A</v>
      </c>
      <c r="J331" s="20" t="e">
        <f t="shared" si="57"/>
        <v>#N/A</v>
      </c>
      <c r="K331" s="20" t="e">
        <f t="shared" si="58"/>
        <v>#N/A</v>
      </c>
    </row>
    <row r="332" spans="2:11" x14ac:dyDescent="0.25">
      <c r="B332" s="22" t="str">
        <f t="shared" si="54"/>
        <v>Child Functioning -- Child #6</v>
      </c>
      <c r="C332" s="22" t="str">
        <f t="shared" si="59"/>
        <v>6</v>
      </c>
      <c r="D332" s="22" t="str">
        <f t="shared" si="60"/>
        <v>US</v>
      </c>
      <c r="E332" s="22">
        <f t="shared" si="61"/>
        <v>2</v>
      </c>
      <c r="F332" s="22">
        <f t="shared" si="62"/>
        <v>159</v>
      </c>
      <c r="G332" s="22" t="str">
        <f t="shared" si="55"/>
        <v>Medical / Physical</v>
      </c>
      <c r="H332" s="22" t="str">
        <f t="shared" si="63"/>
        <v>Medical / PhysicalUS6</v>
      </c>
      <c r="I332" s="20" t="e">
        <f t="shared" si="56"/>
        <v>#N/A</v>
      </c>
      <c r="J332" s="20" t="e">
        <f t="shared" si="57"/>
        <v>#N/A</v>
      </c>
      <c r="K332" s="20" t="e">
        <f t="shared" si="58"/>
        <v>#N/A</v>
      </c>
    </row>
    <row r="333" spans="2:11" x14ac:dyDescent="0.25">
      <c r="B333" s="22" t="str">
        <f t="shared" si="54"/>
        <v>Child Functioning -- Child #6</v>
      </c>
      <c r="C333" s="22" t="str">
        <f t="shared" si="59"/>
        <v>6</v>
      </c>
      <c r="D333" s="22" t="str">
        <f t="shared" si="60"/>
        <v>US</v>
      </c>
      <c r="E333" s="22">
        <f t="shared" si="61"/>
        <v>2</v>
      </c>
      <c r="F333" s="22">
        <f t="shared" si="62"/>
        <v>160</v>
      </c>
      <c r="G333" s="22" t="str">
        <f t="shared" si="55"/>
        <v>Sleeping</v>
      </c>
      <c r="H333" s="22" t="str">
        <f t="shared" si="63"/>
        <v>SleepingUS6</v>
      </c>
      <c r="I333" s="20" t="e">
        <f t="shared" si="56"/>
        <v>#N/A</v>
      </c>
      <c r="J333" s="20" t="e">
        <f t="shared" si="57"/>
        <v>#N/A</v>
      </c>
      <c r="K333" s="20" t="e">
        <f t="shared" si="58"/>
        <v>#N/A</v>
      </c>
    </row>
    <row r="334" spans="2:11" x14ac:dyDescent="0.25">
      <c r="B334" s="22" t="str">
        <f t="shared" si="54"/>
        <v>Child Functioning -- Child #6</v>
      </c>
      <c r="C334" s="22" t="str">
        <f t="shared" si="59"/>
        <v>6</v>
      </c>
      <c r="D334" s="22" t="str">
        <f t="shared" si="60"/>
        <v>US</v>
      </c>
      <c r="E334" s="22">
        <f t="shared" si="61"/>
        <v>2</v>
      </c>
      <c r="F334" s="22">
        <f t="shared" si="62"/>
        <v>161</v>
      </c>
      <c r="G334" s="22" t="str">
        <f t="shared" si="55"/>
        <v>Cognitive Skills</v>
      </c>
      <c r="H334" s="22" t="str">
        <f t="shared" si="63"/>
        <v>Cognitive SkillsUS6</v>
      </c>
      <c r="I334" s="20" t="e">
        <f t="shared" si="56"/>
        <v>#N/A</v>
      </c>
      <c r="J334" s="20" t="e">
        <f t="shared" si="57"/>
        <v>#N/A</v>
      </c>
      <c r="K334" s="20" t="e">
        <f t="shared" si="58"/>
        <v>#N/A</v>
      </c>
    </row>
    <row r="335" spans="2:11" x14ac:dyDescent="0.25">
      <c r="B335" s="22" t="str">
        <f t="shared" si="54"/>
        <v>Child Functioning -- Child #6</v>
      </c>
      <c r="C335" s="22" t="str">
        <f t="shared" si="59"/>
        <v>6</v>
      </c>
      <c r="D335" s="22" t="str">
        <f t="shared" si="60"/>
        <v>US</v>
      </c>
      <c r="E335" s="22">
        <f t="shared" si="61"/>
        <v>2</v>
      </c>
      <c r="F335" s="22">
        <f t="shared" si="62"/>
        <v>162</v>
      </c>
      <c r="G335" s="22" t="str">
        <f t="shared" si="55"/>
        <v>Social Functioning</v>
      </c>
      <c r="H335" s="22" t="str">
        <f t="shared" si="63"/>
        <v>Social FunctioningUS6</v>
      </c>
      <c r="I335" s="20" t="e">
        <f t="shared" si="56"/>
        <v>#N/A</v>
      </c>
      <c r="J335" s="20" t="e">
        <f t="shared" si="57"/>
        <v>#N/A</v>
      </c>
      <c r="K335" s="20" t="e">
        <f t="shared" si="58"/>
        <v>#N/A</v>
      </c>
    </row>
    <row r="336" spans="2:11" x14ac:dyDescent="0.25">
      <c r="B336" s="22" t="str">
        <f t="shared" si="54"/>
        <v>Child Functioning -- Child #6</v>
      </c>
      <c r="C336" s="22" t="str">
        <f t="shared" si="59"/>
        <v>6</v>
      </c>
      <c r="D336" s="22" t="str">
        <f t="shared" si="60"/>
        <v>US</v>
      </c>
      <c r="E336" s="22">
        <f t="shared" si="61"/>
        <v>2</v>
      </c>
      <c r="F336" s="22">
        <f t="shared" si="62"/>
        <v>163</v>
      </c>
      <c r="G336" s="22" t="str">
        <f t="shared" si="55"/>
        <v>Educational Status</v>
      </c>
      <c r="H336" s="22" t="str">
        <f t="shared" si="63"/>
        <v>Educational StatusUS6</v>
      </c>
      <c r="I336" s="20" t="e">
        <f t="shared" si="56"/>
        <v>#N/A</v>
      </c>
      <c r="J336" s="20" t="e">
        <f t="shared" si="57"/>
        <v>#N/A</v>
      </c>
      <c r="K336" s="20" t="e">
        <f t="shared" si="58"/>
        <v>#N/A</v>
      </c>
    </row>
    <row r="337" spans="2:11" x14ac:dyDescent="0.25">
      <c r="B337" s="22" t="str">
        <f t="shared" si="54"/>
        <v>Child Functioning -- Child #6</v>
      </c>
      <c r="C337" s="22" t="str">
        <f t="shared" si="59"/>
        <v>6</v>
      </c>
      <c r="D337" s="22" t="str">
        <f t="shared" si="60"/>
        <v>US</v>
      </c>
      <c r="E337" s="22">
        <f t="shared" si="61"/>
        <v>2</v>
      </c>
      <c r="F337" s="22">
        <f t="shared" si="62"/>
        <v>164</v>
      </c>
      <c r="G337" s="22" t="str">
        <f t="shared" si="55"/>
        <v>Risk Behaviors</v>
      </c>
      <c r="H337" s="22" t="str">
        <f t="shared" si="63"/>
        <v>Risk BehaviorsUS6</v>
      </c>
      <c r="I337" s="20" t="e">
        <f t="shared" si="56"/>
        <v>#N/A</v>
      </c>
      <c r="J337" s="20" t="e">
        <f t="shared" si="57"/>
        <v>#N/A</v>
      </c>
      <c r="K337" s="20" t="e">
        <f t="shared" si="58"/>
        <v>#N/A</v>
      </c>
    </row>
    <row r="338" spans="2:11" x14ac:dyDescent="0.25">
      <c r="B338" s="22" t="str">
        <f t="shared" si="54"/>
        <v>Family Functioning</v>
      </c>
      <c r="C338" s="22" t="str">
        <f t="shared" si="59"/>
        <v/>
      </c>
      <c r="D338" s="22" t="str">
        <f t="shared" si="60"/>
        <v>SB</v>
      </c>
      <c r="E338" s="22">
        <f t="shared" si="61"/>
        <v>3</v>
      </c>
      <c r="F338" s="22">
        <f t="shared" si="62"/>
        <v>1</v>
      </c>
      <c r="G338" s="22" t="str">
        <f t="shared" si="55"/>
        <v>Parent / Caregiver Collaboration</v>
      </c>
      <c r="H338" s="22" t="str">
        <f t="shared" si="63"/>
        <v>Parent / Caregiver CollaborationSB</v>
      </c>
      <c r="I338" s="20" t="e">
        <f t="shared" si="56"/>
        <v>#N/A</v>
      </c>
      <c r="J338" s="20" t="e">
        <f t="shared" si="57"/>
        <v>#N/A</v>
      </c>
      <c r="K338" s="20" t="e">
        <f t="shared" si="58"/>
        <v>#N/A</v>
      </c>
    </row>
    <row r="339" spans="2:11" x14ac:dyDescent="0.25">
      <c r="B339" s="22" t="str">
        <f t="shared" si="54"/>
        <v>Family Functioning</v>
      </c>
      <c r="C339" s="22" t="str">
        <f t="shared" si="59"/>
        <v/>
      </c>
      <c r="D339" s="22" t="str">
        <f t="shared" si="60"/>
        <v>SB</v>
      </c>
      <c r="E339" s="22">
        <f t="shared" si="61"/>
        <v>3</v>
      </c>
      <c r="F339" s="22">
        <f t="shared" si="62"/>
        <v>2</v>
      </c>
      <c r="G339" s="22" t="str">
        <f t="shared" si="55"/>
        <v>Family Conflict</v>
      </c>
      <c r="H339" s="22" t="str">
        <f t="shared" si="63"/>
        <v>Family ConflictSB</v>
      </c>
      <c r="I339" s="20" t="e">
        <f t="shared" si="56"/>
        <v>#N/A</v>
      </c>
      <c r="J339" s="20" t="e">
        <f t="shared" si="57"/>
        <v>#N/A</v>
      </c>
      <c r="K339" s="20" t="e">
        <f t="shared" si="58"/>
        <v>#N/A</v>
      </c>
    </row>
    <row r="340" spans="2:11" x14ac:dyDescent="0.25">
      <c r="B340" s="22" t="str">
        <f t="shared" si="54"/>
        <v>Family Functioning</v>
      </c>
      <c r="C340" s="22" t="str">
        <f t="shared" si="59"/>
        <v/>
      </c>
      <c r="D340" s="22" t="str">
        <f t="shared" si="60"/>
        <v>SB</v>
      </c>
      <c r="E340" s="22">
        <f t="shared" si="61"/>
        <v>3</v>
      </c>
      <c r="F340" s="22">
        <f t="shared" si="62"/>
        <v>3</v>
      </c>
      <c r="G340" s="22" t="str">
        <f t="shared" si="55"/>
        <v>Safety</v>
      </c>
      <c r="H340" s="22" t="str">
        <f t="shared" si="63"/>
        <v>SafetySB</v>
      </c>
      <c r="I340" s="20" t="e">
        <f t="shared" si="56"/>
        <v>#N/A</v>
      </c>
      <c r="J340" s="20" t="e">
        <f t="shared" si="57"/>
        <v>#N/A</v>
      </c>
      <c r="K340" s="20" t="e">
        <f t="shared" si="58"/>
        <v>#N/A</v>
      </c>
    </row>
    <row r="341" spans="2:11" x14ac:dyDescent="0.25">
      <c r="B341" s="22" t="str">
        <f t="shared" si="54"/>
        <v>Family Functioning</v>
      </c>
      <c r="C341" s="22" t="str">
        <f t="shared" si="59"/>
        <v/>
      </c>
      <c r="D341" s="22" t="str">
        <f t="shared" si="60"/>
        <v>SB</v>
      </c>
      <c r="E341" s="22">
        <f t="shared" si="61"/>
        <v>3</v>
      </c>
      <c r="F341" s="22">
        <f t="shared" si="62"/>
        <v>4</v>
      </c>
      <c r="G341" s="22" t="str">
        <f t="shared" si="55"/>
        <v>Family Role Appropriateness</v>
      </c>
      <c r="H341" s="22" t="str">
        <f t="shared" si="63"/>
        <v>Family Role AppropriatenessSB</v>
      </c>
      <c r="I341" s="20" t="e">
        <f t="shared" si="56"/>
        <v>#N/A</v>
      </c>
      <c r="J341" s="20" t="e">
        <f t="shared" si="57"/>
        <v>#N/A</v>
      </c>
      <c r="K341" s="20" t="e">
        <f t="shared" si="58"/>
        <v>#N/A</v>
      </c>
    </row>
    <row r="342" spans="2:11" x14ac:dyDescent="0.25">
      <c r="B342" s="22" t="str">
        <f t="shared" si="54"/>
        <v>Family Functioning</v>
      </c>
      <c r="C342" s="22" t="str">
        <f t="shared" si="59"/>
        <v/>
      </c>
      <c r="D342" s="22" t="str">
        <f t="shared" si="60"/>
        <v>SB</v>
      </c>
      <c r="E342" s="22">
        <f t="shared" si="61"/>
        <v>3</v>
      </c>
      <c r="F342" s="22">
        <f t="shared" si="62"/>
        <v>5</v>
      </c>
      <c r="G342" s="22" t="str">
        <f t="shared" si="55"/>
        <v>Social Resources</v>
      </c>
      <c r="H342" s="22" t="str">
        <f t="shared" si="63"/>
        <v>Social ResourcesSB</v>
      </c>
      <c r="I342" s="20" t="e">
        <f t="shared" si="56"/>
        <v>#N/A</v>
      </c>
      <c r="J342" s="20" t="e">
        <f t="shared" si="57"/>
        <v>#N/A</v>
      </c>
      <c r="K342" s="20" t="e">
        <f t="shared" si="58"/>
        <v>#N/A</v>
      </c>
    </row>
    <row r="343" spans="2:11" x14ac:dyDescent="0.25">
      <c r="B343" s="22" t="str">
        <f t="shared" si="54"/>
        <v>Family Functioning</v>
      </c>
      <c r="C343" s="22" t="str">
        <f t="shared" si="59"/>
        <v/>
      </c>
      <c r="D343" s="22" t="str">
        <f t="shared" si="60"/>
        <v>SB</v>
      </c>
      <c r="E343" s="22">
        <f t="shared" si="61"/>
        <v>3</v>
      </c>
      <c r="F343" s="22">
        <f t="shared" si="62"/>
        <v>6</v>
      </c>
      <c r="G343" s="22" t="str">
        <f t="shared" si="55"/>
        <v>Financial Resources</v>
      </c>
      <c r="H343" s="22" t="str">
        <f t="shared" si="63"/>
        <v>Financial ResourcesSB</v>
      </c>
      <c r="I343" s="20" t="e">
        <f t="shared" si="56"/>
        <v>#N/A</v>
      </c>
      <c r="J343" s="20" t="e">
        <f t="shared" si="57"/>
        <v>#N/A</v>
      </c>
      <c r="K343" s="20" t="e">
        <f t="shared" si="58"/>
        <v>#N/A</v>
      </c>
    </row>
    <row r="344" spans="2:11" x14ac:dyDescent="0.25">
      <c r="B344" s="22" t="str">
        <f t="shared" si="54"/>
        <v>Family Functioning</v>
      </c>
      <c r="C344" s="22" t="str">
        <f t="shared" si="59"/>
        <v/>
      </c>
      <c r="D344" s="22" t="str">
        <f t="shared" si="60"/>
        <v>SB</v>
      </c>
      <c r="E344" s="22">
        <f t="shared" si="61"/>
        <v>3</v>
      </c>
      <c r="F344" s="22">
        <f t="shared" si="62"/>
        <v>7</v>
      </c>
      <c r="G344" s="22" t="str">
        <f t="shared" si="55"/>
        <v>Relations Among Siblings</v>
      </c>
      <c r="H344" s="22" t="str">
        <f t="shared" si="63"/>
        <v>Relations Among SiblingsSB</v>
      </c>
      <c r="I344" s="20" t="e">
        <f t="shared" si="56"/>
        <v>#N/A</v>
      </c>
      <c r="J344" s="20" t="e">
        <f t="shared" si="57"/>
        <v>#N/A</v>
      </c>
      <c r="K344" s="20" t="e">
        <f t="shared" si="58"/>
        <v>#N/A</v>
      </c>
    </row>
    <row r="345" spans="2:11" x14ac:dyDescent="0.25">
      <c r="B345" s="22" t="str">
        <f t="shared" si="54"/>
        <v>Family Functioning</v>
      </c>
      <c r="C345" s="22" t="str">
        <f t="shared" si="59"/>
        <v/>
      </c>
      <c r="D345" s="22" t="str">
        <f t="shared" si="60"/>
        <v>SB</v>
      </c>
      <c r="E345" s="22">
        <f t="shared" si="61"/>
        <v>3</v>
      </c>
      <c r="F345" s="22">
        <f t="shared" si="62"/>
        <v>8</v>
      </c>
      <c r="G345" s="22" t="str">
        <f t="shared" si="55"/>
        <v>Extended Family Relations</v>
      </c>
      <c r="H345" s="22" t="str">
        <f t="shared" si="63"/>
        <v>Extended Family RelationsSB</v>
      </c>
      <c r="I345" s="20" t="e">
        <f t="shared" si="56"/>
        <v>#N/A</v>
      </c>
      <c r="J345" s="20" t="e">
        <f t="shared" si="57"/>
        <v>#N/A</v>
      </c>
      <c r="K345" s="20" t="e">
        <f t="shared" si="58"/>
        <v>#N/A</v>
      </c>
    </row>
    <row r="346" spans="2:11" x14ac:dyDescent="0.25">
      <c r="B346" s="22" t="str">
        <f t="shared" si="54"/>
        <v>Family Functioning</v>
      </c>
      <c r="C346" s="22" t="str">
        <f t="shared" si="59"/>
        <v/>
      </c>
      <c r="D346" s="22" t="str">
        <f t="shared" si="60"/>
        <v>SB</v>
      </c>
      <c r="E346" s="22">
        <f t="shared" si="61"/>
        <v>3</v>
      </c>
      <c r="F346" s="22">
        <f t="shared" si="62"/>
        <v>9</v>
      </c>
      <c r="G346" s="22" t="str">
        <f t="shared" si="55"/>
        <v>Family Communication</v>
      </c>
      <c r="H346" s="22" t="str">
        <f t="shared" si="63"/>
        <v>Family CommunicationSB</v>
      </c>
      <c r="I346" s="20" t="e">
        <f t="shared" si="56"/>
        <v>#N/A</v>
      </c>
      <c r="J346" s="20" t="e">
        <f t="shared" si="57"/>
        <v>#N/A</v>
      </c>
      <c r="K346" s="20" t="e">
        <f t="shared" si="58"/>
        <v>#N/A</v>
      </c>
    </row>
    <row r="347" spans="2:11" x14ac:dyDescent="0.25">
      <c r="B347" s="22" t="str">
        <f t="shared" si="54"/>
        <v>Family Functioning</v>
      </c>
      <c r="C347" s="22" t="str">
        <f t="shared" si="59"/>
        <v/>
      </c>
      <c r="D347" s="22" t="str">
        <f t="shared" si="60"/>
        <v>SB</v>
      </c>
      <c r="E347" s="22">
        <f t="shared" si="61"/>
        <v>3</v>
      </c>
      <c r="F347" s="22">
        <f t="shared" si="62"/>
        <v>10</v>
      </c>
      <c r="G347" s="22" t="str">
        <f t="shared" si="55"/>
        <v>Residential Stability</v>
      </c>
      <c r="H347" s="22" t="str">
        <f t="shared" si="63"/>
        <v>Residential StabilitySB</v>
      </c>
      <c r="I347" s="20" t="e">
        <f t="shared" si="56"/>
        <v>#N/A</v>
      </c>
      <c r="J347" s="20" t="e">
        <f t="shared" si="57"/>
        <v>#N/A</v>
      </c>
      <c r="K347" s="20" t="e">
        <f t="shared" si="58"/>
        <v>#N/A</v>
      </c>
    </row>
    <row r="348" spans="2:11" x14ac:dyDescent="0.25">
      <c r="B348" s="22" t="str">
        <f t="shared" si="54"/>
        <v>Caregiver Advocacy</v>
      </c>
      <c r="C348" s="22" t="str">
        <f t="shared" si="59"/>
        <v/>
      </c>
      <c r="D348" s="22" t="str">
        <f t="shared" si="60"/>
        <v>SB</v>
      </c>
      <c r="E348" s="22">
        <f t="shared" si="61"/>
        <v>3</v>
      </c>
      <c r="F348" s="22">
        <f t="shared" si="62"/>
        <v>11</v>
      </c>
      <c r="G348" s="22" t="str">
        <f t="shared" si="55"/>
        <v>Knowledge of Family / Child Needs</v>
      </c>
      <c r="H348" s="22" t="str">
        <f t="shared" si="63"/>
        <v>Knowledge of Family / Child NeedsSB</v>
      </c>
      <c r="I348" s="20" t="e">
        <f t="shared" si="56"/>
        <v>#N/A</v>
      </c>
      <c r="J348" s="20" t="e">
        <f t="shared" si="57"/>
        <v>#N/A</v>
      </c>
      <c r="K348" s="20" t="e">
        <f t="shared" si="58"/>
        <v>#N/A</v>
      </c>
    </row>
    <row r="349" spans="2:11" x14ac:dyDescent="0.25">
      <c r="B349" s="22" t="str">
        <f t="shared" si="54"/>
        <v>Caregiver Advocacy</v>
      </c>
      <c r="C349" s="22" t="str">
        <f t="shared" si="59"/>
        <v/>
      </c>
      <c r="D349" s="22" t="str">
        <f t="shared" si="60"/>
        <v>SB</v>
      </c>
      <c r="E349" s="22">
        <f t="shared" si="61"/>
        <v>3</v>
      </c>
      <c r="F349" s="22">
        <f t="shared" si="62"/>
        <v>12</v>
      </c>
      <c r="G349" s="22" t="str">
        <f t="shared" si="55"/>
        <v>Knowledge of Service Options</v>
      </c>
      <c r="H349" s="22" t="str">
        <f t="shared" si="63"/>
        <v>Knowledge of Service OptionsSB</v>
      </c>
      <c r="I349" s="20" t="e">
        <f t="shared" si="56"/>
        <v>#N/A</v>
      </c>
      <c r="J349" s="20" t="e">
        <f t="shared" si="57"/>
        <v>#N/A</v>
      </c>
      <c r="K349" s="20" t="e">
        <f t="shared" si="58"/>
        <v>#N/A</v>
      </c>
    </row>
    <row r="350" spans="2:11" x14ac:dyDescent="0.25">
      <c r="B350" s="22" t="str">
        <f t="shared" si="54"/>
        <v>Caregiver Advocacy</v>
      </c>
      <c r="C350" s="22" t="str">
        <f t="shared" si="59"/>
        <v/>
      </c>
      <c r="D350" s="22" t="str">
        <f t="shared" si="60"/>
        <v>SB</v>
      </c>
      <c r="E350" s="22">
        <f t="shared" si="61"/>
        <v>3</v>
      </c>
      <c r="F350" s="22">
        <f t="shared" si="62"/>
        <v>13</v>
      </c>
      <c r="G350" s="22" t="str">
        <f t="shared" si="55"/>
        <v>Knowledge of Rights And Responsibilities</v>
      </c>
      <c r="H350" s="22" t="str">
        <f t="shared" si="63"/>
        <v>Knowledge of Rights And ResponsibilitiesSB</v>
      </c>
      <c r="I350" s="20" t="e">
        <f t="shared" si="56"/>
        <v>#N/A</v>
      </c>
      <c r="J350" s="20" t="e">
        <f t="shared" si="57"/>
        <v>#N/A</v>
      </c>
      <c r="K350" s="20" t="e">
        <f t="shared" si="58"/>
        <v>#N/A</v>
      </c>
    </row>
    <row r="351" spans="2:11" x14ac:dyDescent="0.25">
      <c r="B351" s="22" t="str">
        <f t="shared" si="54"/>
        <v>Caregiver Advocacy</v>
      </c>
      <c r="C351" s="22" t="str">
        <f t="shared" si="59"/>
        <v/>
      </c>
      <c r="D351" s="22" t="str">
        <f t="shared" si="60"/>
        <v>SB</v>
      </c>
      <c r="E351" s="22">
        <f t="shared" si="61"/>
        <v>3</v>
      </c>
      <c r="F351" s="22">
        <f t="shared" si="62"/>
        <v>14</v>
      </c>
      <c r="G351" s="22" t="str">
        <f t="shared" si="55"/>
        <v>Ability to Listen</v>
      </c>
      <c r="H351" s="22" t="str">
        <f t="shared" si="63"/>
        <v>Ability to ListenSB</v>
      </c>
      <c r="I351" s="20" t="e">
        <f t="shared" si="56"/>
        <v>#N/A</v>
      </c>
      <c r="J351" s="20" t="e">
        <f t="shared" si="57"/>
        <v>#N/A</v>
      </c>
      <c r="K351" s="20" t="e">
        <f t="shared" si="58"/>
        <v>#N/A</v>
      </c>
    </row>
    <row r="352" spans="2:11" x14ac:dyDescent="0.25">
      <c r="B352" s="22" t="str">
        <f t="shared" si="54"/>
        <v>Caregiver Advocacy</v>
      </c>
      <c r="C352" s="22" t="str">
        <f t="shared" si="59"/>
        <v/>
      </c>
      <c r="D352" s="22" t="str">
        <f t="shared" si="60"/>
        <v>SB</v>
      </c>
      <c r="E352" s="22">
        <f t="shared" si="61"/>
        <v>3</v>
      </c>
      <c r="F352" s="22">
        <f t="shared" si="62"/>
        <v>15</v>
      </c>
      <c r="G352" s="22" t="str">
        <f t="shared" si="55"/>
        <v>Ability to Communicate</v>
      </c>
      <c r="H352" s="22" t="str">
        <f t="shared" si="63"/>
        <v>Ability to CommunicateSB</v>
      </c>
      <c r="I352" s="20" t="e">
        <f t="shared" si="56"/>
        <v>#N/A</v>
      </c>
      <c r="J352" s="20" t="e">
        <f t="shared" si="57"/>
        <v>#N/A</v>
      </c>
      <c r="K352" s="20" t="e">
        <f t="shared" si="58"/>
        <v>#N/A</v>
      </c>
    </row>
    <row r="353" spans="2:11" x14ac:dyDescent="0.25">
      <c r="B353" s="22" t="str">
        <f t="shared" si="54"/>
        <v>Caregiver Advocacy</v>
      </c>
      <c r="C353" s="22" t="str">
        <f t="shared" si="59"/>
        <v/>
      </c>
      <c r="D353" s="22" t="str">
        <f t="shared" si="60"/>
        <v>SB</v>
      </c>
      <c r="E353" s="22">
        <f t="shared" si="61"/>
        <v>3</v>
      </c>
      <c r="F353" s="22">
        <f t="shared" si="62"/>
        <v>16</v>
      </c>
      <c r="G353" s="22" t="str">
        <f t="shared" si="55"/>
        <v>Natural Supports</v>
      </c>
      <c r="H353" s="22" t="str">
        <f t="shared" si="63"/>
        <v>Natural SupportsSB</v>
      </c>
      <c r="I353" s="20" t="e">
        <f t="shared" si="56"/>
        <v>#N/A</v>
      </c>
      <c r="J353" s="20" t="e">
        <f t="shared" si="57"/>
        <v>#N/A</v>
      </c>
      <c r="K353" s="20" t="e">
        <f t="shared" si="58"/>
        <v>#N/A</v>
      </c>
    </row>
    <row r="354" spans="2:11" x14ac:dyDescent="0.25">
      <c r="B354" s="22" t="str">
        <f t="shared" si="54"/>
        <v>Caregiver Advocacy</v>
      </c>
      <c r="C354" s="22" t="str">
        <f t="shared" si="59"/>
        <v/>
      </c>
      <c r="D354" s="22" t="str">
        <f t="shared" si="60"/>
        <v>SB</v>
      </c>
      <c r="E354" s="22">
        <f t="shared" si="61"/>
        <v>3</v>
      </c>
      <c r="F354" s="22">
        <f t="shared" si="62"/>
        <v>17</v>
      </c>
      <c r="G354" s="22" t="str">
        <f t="shared" si="55"/>
        <v>Satisfaction With Child’s Living Arrangement</v>
      </c>
      <c r="H354" s="22" t="str">
        <f t="shared" si="63"/>
        <v>Satisfaction With Child’s Living ArrangementSB</v>
      </c>
      <c r="I354" s="20" t="e">
        <f t="shared" si="56"/>
        <v>#N/A</v>
      </c>
      <c r="J354" s="20" t="e">
        <f t="shared" si="57"/>
        <v>#N/A</v>
      </c>
      <c r="K354" s="20" t="e">
        <f t="shared" si="58"/>
        <v>#N/A</v>
      </c>
    </row>
    <row r="355" spans="2:11" x14ac:dyDescent="0.25">
      <c r="B355" s="22" t="str">
        <f t="shared" si="54"/>
        <v>Caregiver Advocacy</v>
      </c>
      <c r="C355" s="22" t="str">
        <f t="shared" si="59"/>
        <v/>
      </c>
      <c r="D355" s="22" t="str">
        <f t="shared" si="60"/>
        <v>SB</v>
      </c>
      <c r="E355" s="22">
        <f t="shared" si="61"/>
        <v>3</v>
      </c>
      <c r="F355" s="22">
        <f t="shared" si="62"/>
        <v>18</v>
      </c>
      <c r="G355" s="22" t="str">
        <f t="shared" si="55"/>
        <v>Satisfaction With Educational Arrangement</v>
      </c>
      <c r="H355" s="22" t="str">
        <f t="shared" si="63"/>
        <v>Satisfaction With Educational ArrangementSB</v>
      </c>
      <c r="I355" s="20" t="e">
        <f t="shared" si="56"/>
        <v>#N/A</v>
      </c>
      <c r="J355" s="20" t="e">
        <f t="shared" si="57"/>
        <v>#N/A</v>
      </c>
      <c r="K355" s="20" t="e">
        <f t="shared" si="58"/>
        <v>#N/A</v>
      </c>
    </row>
    <row r="356" spans="2:11" x14ac:dyDescent="0.25">
      <c r="B356" s="22" t="str">
        <f t="shared" si="54"/>
        <v>Caregiver Functioning - Caregiver #1</v>
      </c>
      <c r="C356" s="22" t="str">
        <f t="shared" si="59"/>
        <v>1</v>
      </c>
      <c r="D356" s="22" t="str">
        <f t="shared" si="60"/>
        <v>SB</v>
      </c>
      <c r="E356" s="22">
        <f t="shared" si="61"/>
        <v>3</v>
      </c>
      <c r="F356" s="22">
        <f t="shared" si="62"/>
        <v>19</v>
      </c>
      <c r="G356" s="22" t="str">
        <f t="shared" si="55"/>
        <v>Involvement with Services</v>
      </c>
      <c r="H356" s="22" t="str">
        <f t="shared" si="63"/>
        <v>Involvement with ServicesSB1</v>
      </c>
      <c r="I356" s="20" t="e">
        <f t="shared" si="56"/>
        <v>#N/A</v>
      </c>
      <c r="J356" s="20" t="e">
        <f t="shared" si="57"/>
        <v>#N/A</v>
      </c>
      <c r="K356" s="20" t="e">
        <f t="shared" si="58"/>
        <v>#N/A</v>
      </c>
    </row>
    <row r="357" spans="2:11" x14ac:dyDescent="0.25">
      <c r="B357" s="22" t="str">
        <f t="shared" si="54"/>
        <v>Caregiver Functioning - Caregiver #1</v>
      </c>
      <c r="C357" s="22" t="str">
        <f t="shared" si="59"/>
        <v>1</v>
      </c>
      <c r="D357" s="22" t="str">
        <f t="shared" si="60"/>
        <v>SB</v>
      </c>
      <c r="E357" s="22">
        <f t="shared" si="61"/>
        <v>3</v>
      </c>
      <c r="F357" s="22">
        <f t="shared" si="62"/>
        <v>20</v>
      </c>
      <c r="G357" s="22" t="str">
        <f t="shared" si="55"/>
        <v>Distress Tolerance</v>
      </c>
      <c r="H357" s="22" t="str">
        <f t="shared" si="63"/>
        <v>Distress ToleranceSB1</v>
      </c>
      <c r="I357" s="20" t="e">
        <f t="shared" si="56"/>
        <v>#N/A</v>
      </c>
      <c r="J357" s="20" t="e">
        <f t="shared" si="57"/>
        <v>#N/A</v>
      </c>
      <c r="K357" s="20" t="e">
        <f t="shared" si="58"/>
        <v>#N/A</v>
      </c>
    </row>
    <row r="358" spans="2:11" x14ac:dyDescent="0.25">
      <c r="B358" s="22" t="str">
        <f t="shared" si="54"/>
        <v>Caregiver Functioning - Caregiver #1</v>
      </c>
      <c r="C358" s="22" t="str">
        <f t="shared" si="59"/>
        <v>1</v>
      </c>
      <c r="D358" s="22" t="str">
        <f t="shared" si="60"/>
        <v>SB</v>
      </c>
      <c r="E358" s="22">
        <f t="shared" si="61"/>
        <v>3</v>
      </c>
      <c r="F358" s="22">
        <f t="shared" si="62"/>
        <v>21</v>
      </c>
      <c r="G358" s="22" t="str">
        <f t="shared" si="55"/>
        <v>Supervision</v>
      </c>
      <c r="H358" s="22" t="str">
        <f t="shared" si="63"/>
        <v>SupervisionSB1</v>
      </c>
      <c r="I358" s="20" t="e">
        <f t="shared" si="56"/>
        <v>#N/A</v>
      </c>
      <c r="J358" s="20" t="e">
        <f t="shared" si="57"/>
        <v>#N/A</v>
      </c>
      <c r="K358" s="20" t="e">
        <f t="shared" si="58"/>
        <v>#N/A</v>
      </c>
    </row>
    <row r="359" spans="2:11" x14ac:dyDescent="0.25">
      <c r="B359" s="22" t="str">
        <f t="shared" si="54"/>
        <v>Caregiver Functioning - Caregiver #1</v>
      </c>
      <c r="C359" s="22" t="str">
        <f t="shared" si="59"/>
        <v>1</v>
      </c>
      <c r="D359" s="22" t="str">
        <f t="shared" si="60"/>
        <v>SB</v>
      </c>
      <c r="E359" s="22">
        <f t="shared" si="61"/>
        <v>3</v>
      </c>
      <c r="F359" s="22">
        <f t="shared" si="62"/>
        <v>22</v>
      </c>
      <c r="G359" s="22" t="str">
        <f t="shared" si="55"/>
        <v>Discipline</v>
      </c>
      <c r="H359" s="22" t="str">
        <f t="shared" si="63"/>
        <v>DisciplineSB1</v>
      </c>
      <c r="I359" s="20" t="e">
        <f t="shared" si="56"/>
        <v>#N/A</v>
      </c>
      <c r="J359" s="20" t="e">
        <f t="shared" si="57"/>
        <v>#N/A</v>
      </c>
      <c r="K359" s="20" t="e">
        <f t="shared" si="58"/>
        <v>#N/A</v>
      </c>
    </row>
    <row r="360" spans="2:11" x14ac:dyDescent="0.25">
      <c r="B360" s="22" t="str">
        <f t="shared" si="54"/>
        <v>Caregiver Functioning - Caregiver #1</v>
      </c>
      <c r="C360" s="22" t="str">
        <f t="shared" si="59"/>
        <v>1</v>
      </c>
      <c r="D360" s="22" t="str">
        <f t="shared" si="60"/>
        <v>SB</v>
      </c>
      <c r="E360" s="22">
        <f t="shared" si="61"/>
        <v>3</v>
      </c>
      <c r="F360" s="22">
        <f t="shared" si="62"/>
        <v>23</v>
      </c>
      <c r="G360" s="22" t="str">
        <f t="shared" si="55"/>
        <v>Mental Health</v>
      </c>
      <c r="H360" s="22" t="str">
        <f t="shared" si="63"/>
        <v>Mental HealthSB1</v>
      </c>
      <c r="I360" s="20" t="e">
        <f t="shared" si="56"/>
        <v>#N/A</v>
      </c>
      <c r="J360" s="20" t="e">
        <f t="shared" si="57"/>
        <v>#N/A</v>
      </c>
      <c r="K360" s="20" t="e">
        <f t="shared" si="58"/>
        <v>#N/A</v>
      </c>
    </row>
    <row r="361" spans="2:11" x14ac:dyDescent="0.25">
      <c r="B361" s="22" t="str">
        <f t="shared" si="54"/>
        <v>Caregiver Functioning - Caregiver #1</v>
      </c>
      <c r="C361" s="22" t="str">
        <f t="shared" si="59"/>
        <v>1</v>
      </c>
      <c r="D361" s="22" t="str">
        <f t="shared" si="60"/>
        <v>SB</v>
      </c>
      <c r="E361" s="22">
        <f t="shared" si="61"/>
        <v>3</v>
      </c>
      <c r="F361" s="22">
        <f t="shared" si="62"/>
        <v>24</v>
      </c>
      <c r="G361" s="22" t="str">
        <f t="shared" si="55"/>
        <v>Partner Relations</v>
      </c>
      <c r="H361" s="22" t="str">
        <f t="shared" si="63"/>
        <v>Partner RelationsSB1</v>
      </c>
      <c r="I361" s="20" t="e">
        <f t="shared" si="56"/>
        <v>#N/A</v>
      </c>
      <c r="J361" s="20" t="e">
        <f t="shared" si="57"/>
        <v>#N/A</v>
      </c>
      <c r="K361" s="20" t="e">
        <f t="shared" si="58"/>
        <v>#N/A</v>
      </c>
    </row>
    <row r="362" spans="2:11" x14ac:dyDescent="0.25">
      <c r="B362" s="22" t="str">
        <f t="shared" si="54"/>
        <v>Caregiver Functioning - Caregiver #1</v>
      </c>
      <c r="C362" s="22" t="str">
        <f t="shared" si="59"/>
        <v>1</v>
      </c>
      <c r="D362" s="22" t="str">
        <f t="shared" si="60"/>
        <v>SB</v>
      </c>
      <c r="E362" s="22">
        <f t="shared" si="61"/>
        <v>3</v>
      </c>
      <c r="F362" s="22">
        <f t="shared" si="62"/>
        <v>25</v>
      </c>
      <c r="G362" s="22" t="str">
        <f t="shared" si="55"/>
        <v>Substance Abuse</v>
      </c>
      <c r="H362" s="22" t="str">
        <f t="shared" si="63"/>
        <v>Substance AbuseSB1</v>
      </c>
      <c r="I362" s="20" t="e">
        <f t="shared" si="56"/>
        <v>#N/A</v>
      </c>
      <c r="J362" s="20" t="e">
        <f t="shared" si="57"/>
        <v>#N/A</v>
      </c>
      <c r="K362" s="20" t="e">
        <f t="shared" si="58"/>
        <v>#N/A</v>
      </c>
    </row>
    <row r="363" spans="2:11" x14ac:dyDescent="0.25">
      <c r="B363" s="22" t="str">
        <f t="shared" si="54"/>
        <v>Caregiver Functioning - Caregiver #1</v>
      </c>
      <c r="C363" s="22" t="str">
        <f t="shared" si="59"/>
        <v>1</v>
      </c>
      <c r="D363" s="22" t="str">
        <f t="shared" si="60"/>
        <v>SB</v>
      </c>
      <c r="E363" s="22">
        <f t="shared" si="61"/>
        <v>3</v>
      </c>
      <c r="F363" s="22">
        <f t="shared" si="62"/>
        <v>26</v>
      </c>
      <c r="G363" s="22" t="str">
        <f t="shared" si="55"/>
        <v>Physical Health</v>
      </c>
      <c r="H363" s="22" t="str">
        <f t="shared" si="63"/>
        <v>Physical HealthSB1</v>
      </c>
      <c r="I363" s="20" t="e">
        <f t="shared" si="56"/>
        <v>#N/A</v>
      </c>
      <c r="J363" s="20" t="e">
        <f t="shared" si="57"/>
        <v>#N/A</v>
      </c>
      <c r="K363" s="20" t="e">
        <f t="shared" si="58"/>
        <v>#N/A</v>
      </c>
    </row>
    <row r="364" spans="2:11" x14ac:dyDescent="0.25">
      <c r="B364" s="22" t="str">
        <f t="shared" si="54"/>
        <v>Caregiver Functioning - Caregiver #1</v>
      </c>
      <c r="C364" s="22" t="str">
        <f t="shared" si="59"/>
        <v>1</v>
      </c>
      <c r="D364" s="22" t="str">
        <f t="shared" si="60"/>
        <v>SB</v>
      </c>
      <c r="E364" s="22">
        <f t="shared" si="61"/>
        <v>3</v>
      </c>
      <c r="F364" s="22">
        <f t="shared" si="62"/>
        <v>27</v>
      </c>
      <c r="G364" s="22" t="str">
        <f t="shared" si="55"/>
        <v>Organization</v>
      </c>
      <c r="H364" s="22" t="str">
        <f t="shared" si="63"/>
        <v>OrganizationSB1</v>
      </c>
      <c r="I364" s="20" t="e">
        <f t="shared" si="56"/>
        <v>#N/A</v>
      </c>
      <c r="J364" s="20" t="e">
        <f t="shared" si="57"/>
        <v>#N/A</v>
      </c>
      <c r="K364" s="20" t="e">
        <f t="shared" si="58"/>
        <v>#N/A</v>
      </c>
    </row>
    <row r="365" spans="2:11" x14ac:dyDescent="0.25">
      <c r="B365" s="22" t="str">
        <f t="shared" si="54"/>
        <v>Caregiver Functioning - Caregiver #1</v>
      </c>
      <c r="C365" s="22" t="str">
        <f t="shared" si="59"/>
        <v>1</v>
      </c>
      <c r="D365" s="22" t="str">
        <f t="shared" si="60"/>
        <v>SB</v>
      </c>
      <c r="E365" s="22">
        <f t="shared" si="61"/>
        <v>3</v>
      </c>
      <c r="F365" s="22">
        <f t="shared" si="62"/>
        <v>28</v>
      </c>
      <c r="G365" s="22" t="str">
        <f t="shared" si="55"/>
        <v>Parental Attribution</v>
      </c>
      <c r="H365" s="22" t="str">
        <f t="shared" si="63"/>
        <v>Parental AttributionSB1</v>
      </c>
      <c r="I365" s="20" t="e">
        <f t="shared" si="56"/>
        <v>#N/A</v>
      </c>
      <c r="J365" s="20" t="e">
        <f t="shared" si="57"/>
        <v>#N/A</v>
      </c>
      <c r="K365" s="20" t="e">
        <f t="shared" si="58"/>
        <v>#N/A</v>
      </c>
    </row>
    <row r="366" spans="2:11" x14ac:dyDescent="0.25">
      <c r="B366" s="22" t="str">
        <f t="shared" si="54"/>
        <v>Caregiver Functioning - Caregiver #1</v>
      </c>
      <c r="C366" s="22" t="str">
        <f t="shared" si="59"/>
        <v>1</v>
      </c>
      <c r="D366" s="22" t="str">
        <f t="shared" si="60"/>
        <v>SB</v>
      </c>
      <c r="E366" s="22">
        <f t="shared" si="61"/>
        <v>3</v>
      </c>
      <c r="F366" s="22">
        <f t="shared" si="62"/>
        <v>29</v>
      </c>
      <c r="G366" s="22" t="str">
        <f t="shared" si="55"/>
        <v>Emotional Responsiveness</v>
      </c>
      <c r="H366" s="22" t="str">
        <f t="shared" si="63"/>
        <v>Emotional ResponsivenessSB1</v>
      </c>
      <c r="I366" s="20" t="e">
        <f t="shared" si="56"/>
        <v>#N/A</v>
      </c>
      <c r="J366" s="20" t="e">
        <f t="shared" si="57"/>
        <v>#N/A</v>
      </c>
      <c r="K366" s="20" t="e">
        <f t="shared" si="58"/>
        <v>#N/A</v>
      </c>
    </row>
    <row r="367" spans="2:11" x14ac:dyDescent="0.25">
      <c r="B367" s="22" t="str">
        <f t="shared" si="54"/>
        <v>Caregiver Functioning - Caregiver #1</v>
      </c>
      <c r="C367" s="22" t="str">
        <f t="shared" si="59"/>
        <v>1</v>
      </c>
      <c r="D367" s="22" t="str">
        <f t="shared" si="60"/>
        <v>SB</v>
      </c>
      <c r="E367" s="22">
        <f t="shared" si="61"/>
        <v>3</v>
      </c>
      <c r="F367" s="22">
        <f t="shared" si="62"/>
        <v>30</v>
      </c>
      <c r="G367" s="22" t="str">
        <f t="shared" si="55"/>
        <v>Caregiver Posttraumatic Reactions</v>
      </c>
      <c r="H367" s="22" t="str">
        <f t="shared" si="63"/>
        <v>Caregiver Posttraumatic ReactionsSB1</v>
      </c>
      <c r="I367" s="20" t="e">
        <f t="shared" si="56"/>
        <v>#N/A</v>
      </c>
      <c r="J367" s="20" t="e">
        <f t="shared" si="57"/>
        <v>#N/A</v>
      </c>
      <c r="K367" s="20" t="e">
        <f t="shared" si="58"/>
        <v>#N/A</v>
      </c>
    </row>
    <row r="368" spans="2:11" x14ac:dyDescent="0.25">
      <c r="B368" s="22" t="str">
        <f t="shared" si="54"/>
        <v>Caregiver Functioning - Caregiver #1</v>
      </c>
      <c r="C368" s="22" t="str">
        <f t="shared" si="59"/>
        <v>1</v>
      </c>
      <c r="D368" s="22" t="str">
        <f t="shared" si="60"/>
        <v>SB</v>
      </c>
      <c r="E368" s="22">
        <f t="shared" si="61"/>
        <v>3</v>
      </c>
      <c r="F368" s="22">
        <f t="shared" si="62"/>
        <v>31</v>
      </c>
      <c r="G368" s="22" t="str">
        <f t="shared" si="55"/>
        <v>Family Stress</v>
      </c>
      <c r="H368" s="22" t="str">
        <f t="shared" si="63"/>
        <v>Family StressSB1</v>
      </c>
      <c r="I368" s="20" t="e">
        <f t="shared" si="56"/>
        <v>#N/A</v>
      </c>
      <c r="J368" s="20" t="e">
        <f t="shared" si="57"/>
        <v>#N/A</v>
      </c>
      <c r="K368" s="20" t="e">
        <f t="shared" si="58"/>
        <v>#N/A</v>
      </c>
    </row>
    <row r="369" spans="2:11" x14ac:dyDescent="0.25">
      <c r="B369" s="22" t="str">
        <f t="shared" si="54"/>
        <v>Caregiver Functioning - Caregiver #1</v>
      </c>
      <c r="C369" s="22" t="str">
        <f t="shared" si="59"/>
        <v>1</v>
      </c>
      <c r="D369" s="22" t="str">
        <f t="shared" si="60"/>
        <v>SB</v>
      </c>
      <c r="E369" s="22">
        <f t="shared" si="61"/>
        <v>3</v>
      </c>
      <c r="F369" s="22">
        <f t="shared" si="62"/>
        <v>32</v>
      </c>
      <c r="G369" s="22" t="str">
        <f t="shared" si="55"/>
        <v>Boundaries</v>
      </c>
      <c r="H369" s="22" t="str">
        <f t="shared" si="63"/>
        <v>BoundariesSB1</v>
      </c>
      <c r="I369" s="20" t="e">
        <f t="shared" si="56"/>
        <v>#N/A</v>
      </c>
      <c r="J369" s="20" t="e">
        <f t="shared" si="57"/>
        <v>#N/A</v>
      </c>
      <c r="K369" s="20" t="e">
        <f t="shared" si="58"/>
        <v>#N/A</v>
      </c>
    </row>
    <row r="370" spans="2:11" x14ac:dyDescent="0.25">
      <c r="B370" s="22" t="str">
        <f t="shared" si="54"/>
        <v>Caregiver Functioning - Caregiver #2</v>
      </c>
      <c r="C370" s="22" t="str">
        <f t="shared" si="59"/>
        <v>2</v>
      </c>
      <c r="D370" s="22" t="str">
        <f t="shared" si="60"/>
        <v>SB</v>
      </c>
      <c r="E370" s="22">
        <f t="shared" si="61"/>
        <v>3</v>
      </c>
      <c r="F370" s="22">
        <f t="shared" si="62"/>
        <v>33</v>
      </c>
      <c r="G370" s="22" t="str">
        <f t="shared" si="55"/>
        <v>Involvement with Services</v>
      </c>
      <c r="H370" s="22" t="str">
        <f t="shared" si="63"/>
        <v>Involvement with ServicesSB2</v>
      </c>
      <c r="I370" s="20" t="e">
        <f t="shared" si="56"/>
        <v>#N/A</v>
      </c>
      <c r="J370" s="20" t="e">
        <f t="shared" si="57"/>
        <v>#N/A</v>
      </c>
      <c r="K370" s="20" t="e">
        <f t="shared" si="58"/>
        <v>#N/A</v>
      </c>
    </row>
    <row r="371" spans="2:11" x14ac:dyDescent="0.25">
      <c r="B371" s="22" t="str">
        <f t="shared" si="54"/>
        <v>Caregiver Functioning - Caregiver #2</v>
      </c>
      <c r="C371" s="22" t="str">
        <f t="shared" si="59"/>
        <v>2</v>
      </c>
      <c r="D371" s="22" t="str">
        <f t="shared" si="60"/>
        <v>SB</v>
      </c>
      <c r="E371" s="22">
        <f t="shared" si="61"/>
        <v>3</v>
      </c>
      <c r="F371" s="22">
        <f t="shared" si="62"/>
        <v>34</v>
      </c>
      <c r="G371" s="22" t="str">
        <f t="shared" si="55"/>
        <v>Distress Tolerance</v>
      </c>
      <c r="H371" s="22" t="str">
        <f t="shared" si="63"/>
        <v>Distress ToleranceSB2</v>
      </c>
      <c r="I371" s="20" t="e">
        <f t="shared" si="56"/>
        <v>#N/A</v>
      </c>
      <c r="J371" s="20" t="e">
        <f t="shared" si="57"/>
        <v>#N/A</v>
      </c>
      <c r="K371" s="20" t="e">
        <f t="shared" si="58"/>
        <v>#N/A</v>
      </c>
    </row>
    <row r="372" spans="2:11" x14ac:dyDescent="0.25">
      <c r="B372" s="22" t="str">
        <f t="shared" si="54"/>
        <v>Caregiver Functioning - Caregiver #2</v>
      </c>
      <c r="C372" s="22" t="str">
        <f t="shared" si="59"/>
        <v>2</v>
      </c>
      <c r="D372" s="22" t="str">
        <f t="shared" si="60"/>
        <v>SB</v>
      </c>
      <c r="E372" s="22">
        <f t="shared" si="61"/>
        <v>3</v>
      </c>
      <c r="F372" s="22">
        <f t="shared" si="62"/>
        <v>35</v>
      </c>
      <c r="G372" s="22" t="str">
        <f t="shared" si="55"/>
        <v>Supervision</v>
      </c>
      <c r="H372" s="22" t="str">
        <f t="shared" si="63"/>
        <v>SupervisionSB2</v>
      </c>
      <c r="I372" s="20" t="e">
        <f t="shared" si="56"/>
        <v>#N/A</v>
      </c>
      <c r="J372" s="20" t="e">
        <f t="shared" si="57"/>
        <v>#N/A</v>
      </c>
      <c r="K372" s="20" t="e">
        <f t="shared" si="58"/>
        <v>#N/A</v>
      </c>
    </row>
    <row r="373" spans="2:11" x14ac:dyDescent="0.25">
      <c r="B373" s="22" t="str">
        <f t="shared" si="54"/>
        <v>Caregiver Functioning - Caregiver #2</v>
      </c>
      <c r="C373" s="22" t="str">
        <f t="shared" si="59"/>
        <v>2</v>
      </c>
      <c r="D373" s="22" t="str">
        <f t="shared" si="60"/>
        <v>SB</v>
      </c>
      <c r="E373" s="22">
        <f t="shared" si="61"/>
        <v>3</v>
      </c>
      <c r="F373" s="22">
        <f t="shared" si="62"/>
        <v>36</v>
      </c>
      <c r="G373" s="22" t="str">
        <f t="shared" si="55"/>
        <v>Discipline</v>
      </c>
      <c r="H373" s="22" t="str">
        <f t="shared" si="63"/>
        <v>DisciplineSB2</v>
      </c>
      <c r="I373" s="20" t="e">
        <f t="shared" si="56"/>
        <v>#N/A</v>
      </c>
      <c r="J373" s="20" t="e">
        <f t="shared" si="57"/>
        <v>#N/A</v>
      </c>
      <c r="K373" s="20" t="e">
        <f t="shared" si="58"/>
        <v>#N/A</v>
      </c>
    </row>
    <row r="374" spans="2:11" x14ac:dyDescent="0.25">
      <c r="B374" s="22" t="str">
        <f t="shared" si="54"/>
        <v>Caregiver Functioning - Caregiver #2</v>
      </c>
      <c r="C374" s="22" t="str">
        <f t="shared" si="59"/>
        <v>2</v>
      </c>
      <c r="D374" s="22" t="str">
        <f t="shared" si="60"/>
        <v>SB</v>
      </c>
      <c r="E374" s="22">
        <f t="shared" si="61"/>
        <v>3</v>
      </c>
      <c r="F374" s="22">
        <f t="shared" si="62"/>
        <v>37</v>
      </c>
      <c r="G374" s="22" t="str">
        <f t="shared" si="55"/>
        <v>Mental Health</v>
      </c>
      <c r="H374" s="22" t="str">
        <f t="shared" si="63"/>
        <v>Mental HealthSB2</v>
      </c>
      <c r="I374" s="20" t="e">
        <f t="shared" si="56"/>
        <v>#N/A</v>
      </c>
      <c r="J374" s="20" t="e">
        <f t="shared" si="57"/>
        <v>#N/A</v>
      </c>
      <c r="K374" s="20" t="e">
        <f t="shared" si="58"/>
        <v>#N/A</v>
      </c>
    </row>
    <row r="375" spans="2:11" x14ac:dyDescent="0.25">
      <c r="B375" s="22" t="str">
        <f t="shared" si="54"/>
        <v>Caregiver Functioning - Caregiver #2</v>
      </c>
      <c r="C375" s="22" t="str">
        <f t="shared" si="59"/>
        <v>2</v>
      </c>
      <c r="D375" s="22" t="str">
        <f t="shared" si="60"/>
        <v>SB</v>
      </c>
      <c r="E375" s="22">
        <f t="shared" si="61"/>
        <v>3</v>
      </c>
      <c r="F375" s="22">
        <f t="shared" si="62"/>
        <v>38</v>
      </c>
      <c r="G375" s="22" t="str">
        <f t="shared" si="55"/>
        <v>Partner Relations</v>
      </c>
      <c r="H375" s="22" t="str">
        <f t="shared" si="63"/>
        <v>Partner RelationsSB2</v>
      </c>
      <c r="I375" s="20" t="e">
        <f t="shared" si="56"/>
        <v>#N/A</v>
      </c>
      <c r="J375" s="20" t="e">
        <f t="shared" si="57"/>
        <v>#N/A</v>
      </c>
      <c r="K375" s="20" t="e">
        <f t="shared" si="58"/>
        <v>#N/A</v>
      </c>
    </row>
    <row r="376" spans="2:11" x14ac:dyDescent="0.25">
      <c r="B376" s="22" t="str">
        <f t="shared" si="54"/>
        <v>Caregiver Functioning - Caregiver #2</v>
      </c>
      <c r="C376" s="22" t="str">
        <f t="shared" si="59"/>
        <v>2</v>
      </c>
      <c r="D376" s="22" t="str">
        <f t="shared" si="60"/>
        <v>SB</v>
      </c>
      <c r="E376" s="22">
        <f t="shared" si="61"/>
        <v>3</v>
      </c>
      <c r="F376" s="22">
        <f t="shared" si="62"/>
        <v>39</v>
      </c>
      <c r="G376" s="22" t="str">
        <f t="shared" si="55"/>
        <v>Substance Abuse</v>
      </c>
      <c r="H376" s="22" t="str">
        <f t="shared" si="63"/>
        <v>Substance AbuseSB2</v>
      </c>
      <c r="I376" s="20" t="e">
        <f t="shared" si="56"/>
        <v>#N/A</v>
      </c>
      <c r="J376" s="20" t="e">
        <f t="shared" si="57"/>
        <v>#N/A</v>
      </c>
      <c r="K376" s="20" t="e">
        <f t="shared" si="58"/>
        <v>#N/A</v>
      </c>
    </row>
    <row r="377" spans="2:11" x14ac:dyDescent="0.25">
      <c r="B377" s="22" t="str">
        <f t="shared" si="54"/>
        <v>Caregiver Functioning - Caregiver #2</v>
      </c>
      <c r="C377" s="22" t="str">
        <f t="shared" si="59"/>
        <v>2</v>
      </c>
      <c r="D377" s="22" t="str">
        <f t="shared" si="60"/>
        <v>SB</v>
      </c>
      <c r="E377" s="22">
        <f t="shared" si="61"/>
        <v>3</v>
      </c>
      <c r="F377" s="22">
        <f t="shared" si="62"/>
        <v>40</v>
      </c>
      <c r="G377" s="22" t="str">
        <f t="shared" si="55"/>
        <v>Physical Health</v>
      </c>
      <c r="H377" s="22" t="str">
        <f t="shared" si="63"/>
        <v>Physical HealthSB2</v>
      </c>
      <c r="I377" s="20" t="e">
        <f t="shared" si="56"/>
        <v>#N/A</v>
      </c>
      <c r="J377" s="20" t="e">
        <f t="shared" si="57"/>
        <v>#N/A</v>
      </c>
      <c r="K377" s="20" t="e">
        <f t="shared" si="58"/>
        <v>#N/A</v>
      </c>
    </row>
    <row r="378" spans="2:11" x14ac:dyDescent="0.25">
      <c r="B378" s="22" t="str">
        <f t="shared" si="54"/>
        <v>Caregiver Functioning - Caregiver #2</v>
      </c>
      <c r="C378" s="22" t="str">
        <f t="shared" si="59"/>
        <v>2</v>
      </c>
      <c r="D378" s="22" t="str">
        <f t="shared" si="60"/>
        <v>SB</v>
      </c>
      <c r="E378" s="22">
        <f t="shared" si="61"/>
        <v>3</v>
      </c>
      <c r="F378" s="22">
        <f t="shared" si="62"/>
        <v>41</v>
      </c>
      <c r="G378" s="22" t="str">
        <f t="shared" si="55"/>
        <v>Organization</v>
      </c>
      <c r="H378" s="22" t="str">
        <f t="shared" si="63"/>
        <v>OrganizationSB2</v>
      </c>
      <c r="I378" s="20" t="e">
        <f t="shared" si="56"/>
        <v>#N/A</v>
      </c>
      <c r="J378" s="20" t="e">
        <f t="shared" si="57"/>
        <v>#N/A</v>
      </c>
      <c r="K378" s="20" t="e">
        <f t="shared" si="58"/>
        <v>#N/A</v>
      </c>
    </row>
    <row r="379" spans="2:11" x14ac:dyDescent="0.25">
      <c r="B379" s="22" t="str">
        <f t="shared" si="54"/>
        <v>Caregiver Functioning - Caregiver #2</v>
      </c>
      <c r="C379" s="22" t="str">
        <f t="shared" si="59"/>
        <v>2</v>
      </c>
      <c r="D379" s="22" t="str">
        <f t="shared" si="60"/>
        <v>SB</v>
      </c>
      <c r="E379" s="22">
        <f t="shared" si="61"/>
        <v>3</v>
      </c>
      <c r="F379" s="22">
        <f t="shared" si="62"/>
        <v>42</v>
      </c>
      <c r="G379" s="22" t="str">
        <f t="shared" si="55"/>
        <v>Parental Attribution</v>
      </c>
      <c r="H379" s="22" t="str">
        <f t="shared" si="63"/>
        <v>Parental AttributionSB2</v>
      </c>
      <c r="I379" s="20" t="e">
        <f t="shared" si="56"/>
        <v>#N/A</v>
      </c>
      <c r="J379" s="20" t="e">
        <f t="shared" si="57"/>
        <v>#N/A</v>
      </c>
      <c r="K379" s="20" t="e">
        <f t="shared" si="58"/>
        <v>#N/A</v>
      </c>
    </row>
    <row r="380" spans="2:11" x14ac:dyDescent="0.25">
      <c r="B380" s="22" t="str">
        <f t="shared" si="54"/>
        <v>Caregiver Functioning - Caregiver #2</v>
      </c>
      <c r="C380" s="22" t="str">
        <f t="shared" si="59"/>
        <v>2</v>
      </c>
      <c r="D380" s="22" t="str">
        <f t="shared" si="60"/>
        <v>SB</v>
      </c>
      <c r="E380" s="22">
        <f t="shared" si="61"/>
        <v>3</v>
      </c>
      <c r="F380" s="22">
        <f t="shared" si="62"/>
        <v>43</v>
      </c>
      <c r="G380" s="22" t="str">
        <f t="shared" si="55"/>
        <v>Emotional Responsiveness</v>
      </c>
      <c r="H380" s="22" t="str">
        <f t="shared" si="63"/>
        <v>Emotional ResponsivenessSB2</v>
      </c>
      <c r="I380" s="20" t="e">
        <f t="shared" si="56"/>
        <v>#N/A</v>
      </c>
      <c r="J380" s="20" t="e">
        <f t="shared" si="57"/>
        <v>#N/A</v>
      </c>
      <c r="K380" s="20" t="e">
        <f t="shared" si="58"/>
        <v>#N/A</v>
      </c>
    </row>
    <row r="381" spans="2:11" x14ac:dyDescent="0.25">
      <c r="B381" s="22" t="str">
        <f t="shared" si="54"/>
        <v>Caregiver Functioning - Caregiver #2</v>
      </c>
      <c r="C381" s="22" t="str">
        <f t="shared" si="59"/>
        <v>2</v>
      </c>
      <c r="D381" s="22" t="str">
        <f t="shared" si="60"/>
        <v>SB</v>
      </c>
      <c r="E381" s="22">
        <f t="shared" si="61"/>
        <v>3</v>
      </c>
      <c r="F381" s="22">
        <f t="shared" si="62"/>
        <v>44</v>
      </c>
      <c r="G381" s="22" t="str">
        <f t="shared" si="55"/>
        <v>Caregiver Posttraumatic Reactions</v>
      </c>
      <c r="H381" s="22" t="str">
        <f t="shared" si="63"/>
        <v>Caregiver Posttraumatic ReactionsSB2</v>
      </c>
      <c r="I381" s="20" t="e">
        <f t="shared" si="56"/>
        <v>#N/A</v>
      </c>
      <c r="J381" s="20" t="e">
        <f t="shared" si="57"/>
        <v>#N/A</v>
      </c>
      <c r="K381" s="20" t="e">
        <f t="shared" si="58"/>
        <v>#N/A</v>
      </c>
    </row>
    <row r="382" spans="2:11" x14ac:dyDescent="0.25">
      <c r="B382" s="22" t="str">
        <f t="shared" si="54"/>
        <v>Caregiver Functioning - Caregiver #2</v>
      </c>
      <c r="C382" s="22" t="str">
        <f t="shared" si="59"/>
        <v>2</v>
      </c>
      <c r="D382" s="22" t="str">
        <f t="shared" si="60"/>
        <v>SB</v>
      </c>
      <c r="E382" s="22">
        <f t="shared" si="61"/>
        <v>3</v>
      </c>
      <c r="F382" s="22">
        <f t="shared" si="62"/>
        <v>45</v>
      </c>
      <c r="G382" s="22" t="str">
        <f t="shared" si="55"/>
        <v>Family Stress</v>
      </c>
      <c r="H382" s="22" t="str">
        <f t="shared" si="63"/>
        <v>Family StressSB2</v>
      </c>
      <c r="I382" s="20" t="e">
        <f t="shared" si="56"/>
        <v>#N/A</v>
      </c>
      <c r="J382" s="20" t="e">
        <f t="shared" si="57"/>
        <v>#N/A</v>
      </c>
      <c r="K382" s="20" t="e">
        <f t="shared" si="58"/>
        <v>#N/A</v>
      </c>
    </row>
    <row r="383" spans="2:11" x14ac:dyDescent="0.25">
      <c r="B383" s="22" t="str">
        <f t="shared" si="54"/>
        <v>Caregiver Functioning - Caregiver #2</v>
      </c>
      <c r="C383" s="22" t="str">
        <f t="shared" si="59"/>
        <v>2</v>
      </c>
      <c r="D383" s="22" t="str">
        <f t="shared" si="60"/>
        <v>SB</v>
      </c>
      <c r="E383" s="22">
        <f t="shared" si="61"/>
        <v>3</v>
      </c>
      <c r="F383" s="22">
        <f t="shared" si="62"/>
        <v>46</v>
      </c>
      <c r="G383" s="22" t="str">
        <f t="shared" si="55"/>
        <v>Boundaries</v>
      </c>
      <c r="H383" s="22" t="str">
        <f t="shared" si="63"/>
        <v>BoundariesSB2</v>
      </c>
      <c r="I383" s="20" t="e">
        <f t="shared" si="56"/>
        <v>#N/A</v>
      </c>
      <c r="J383" s="20" t="e">
        <f t="shared" si="57"/>
        <v>#N/A</v>
      </c>
      <c r="K383" s="20" t="e">
        <f t="shared" si="58"/>
        <v>#N/A</v>
      </c>
    </row>
    <row r="384" spans="2:11" x14ac:dyDescent="0.25">
      <c r="B384" s="22" t="str">
        <f t="shared" si="54"/>
        <v>Caregiver Functioning - Caregiver #3</v>
      </c>
      <c r="C384" s="22" t="str">
        <f t="shared" si="59"/>
        <v>3</v>
      </c>
      <c r="D384" s="22" t="str">
        <f t="shared" si="60"/>
        <v>SB</v>
      </c>
      <c r="E384" s="22">
        <f t="shared" si="61"/>
        <v>3</v>
      </c>
      <c r="F384" s="22">
        <f t="shared" si="62"/>
        <v>47</v>
      </c>
      <c r="G384" s="22" t="str">
        <f t="shared" si="55"/>
        <v>Involvement with Services</v>
      </c>
      <c r="H384" s="22" t="str">
        <f t="shared" si="63"/>
        <v>Involvement with ServicesSB3</v>
      </c>
      <c r="I384" s="20" t="e">
        <f t="shared" si="56"/>
        <v>#N/A</v>
      </c>
      <c r="J384" s="20" t="e">
        <f t="shared" si="57"/>
        <v>#N/A</v>
      </c>
      <c r="K384" s="20" t="e">
        <f t="shared" si="58"/>
        <v>#N/A</v>
      </c>
    </row>
    <row r="385" spans="2:11" x14ac:dyDescent="0.25">
      <c r="B385" s="22" t="str">
        <f t="shared" si="54"/>
        <v>Caregiver Functioning - Caregiver #3</v>
      </c>
      <c r="C385" s="22" t="str">
        <f t="shared" si="59"/>
        <v>3</v>
      </c>
      <c r="D385" s="22" t="str">
        <f t="shared" si="60"/>
        <v>SB</v>
      </c>
      <c r="E385" s="22">
        <f t="shared" si="61"/>
        <v>3</v>
      </c>
      <c r="F385" s="22">
        <f t="shared" si="62"/>
        <v>48</v>
      </c>
      <c r="G385" s="22" t="str">
        <f t="shared" si="55"/>
        <v>Distress Tolerance</v>
      </c>
      <c r="H385" s="22" t="str">
        <f t="shared" si="63"/>
        <v>Distress ToleranceSB3</v>
      </c>
      <c r="I385" s="20" t="e">
        <f t="shared" si="56"/>
        <v>#N/A</v>
      </c>
      <c r="J385" s="20" t="e">
        <f t="shared" si="57"/>
        <v>#N/A</v>
      </c>
      <c r="K385" s="20" t="e">
        <f t="shared" si="58"/>
        <v>#N/A</v>
      </c>
    </row>
    <row r="386" spans="2:11" x14ac:dyDescent="0.25">
      <c r="B386" s="22" t="str">
        <f t="shared" si="54"/>
        <v>Caregiver Functioning - Caregiver #3</v>
      </c>
      <c r="C386" s="22" t="str">
        <f t="shared" si="59"/>
        <v>3</v>
      </c>
      <c r="D386" s="22" t="str">
        <f t="shared" si="60"/>
        <v>SB</v>
      </c>
      <c r="E386" s="22">
        <f t="shared" si="61"/>
        <v>3</v>
      </c>
      <c r="F386" s="22">
        <f t="shared" si="62"/>
        <v>49</v>
      </c>
      <c r="G386" s="22" t="str">
        <f t="shared" si="55"/>
        <v>Supervision</v>
      </c>
      <c r="H386" s="22" t="str">
        <f t="shared" si="63"/>
        <v>SupervisionSB3</v>
      </c>
      <c r="I386" s="20" t="e">
        <f t="shared" si="56"/>
        <v>#N/A</v>
      </c>
      <c r="J386" s="20" t="e">
        <f t="shared" si="57"/>
        <v>#N/A</v>
      </c>
      <c r="K386" s="20" t="e">
        <f t="shared" si="58"/>
        <v>#N/A</v>
      </c>
    </row>
    <row r="387" spans="2:11" x14ac:dyDescent="0.25">
      <c r="B387" s="22" t="str">
        <f t="shared" si="54"/>
        <v>Caregiver Functioning - Caregiver #3</v>
      </c>
      <c r="C387" s="22" t="str">
        <f t="shared" si="59"/>
        <v>3</v>
      </c>
      <c r="D387" s="22" t="str">
        <f t="shared" si="60"/>
        <v>SB</v>
      </c>
      <c r="E387" s="22">
        <f t="shared" si="61"/>
        <v>3</v>
      </c>
      <c r="F387" s="22">
        <f t="shared" si="62"/>
        <v>50</v>
      </c>
      <c r="G387" s="22" t="str">
        <f t="shared" si="55"/>
        <v>Discipline</v>
      </c>
      <c r="H387" s="22" t="str">
        <f t="shared" si="63"/>
        <v>DisciplineSB3</v>
      </c>
      <c r="I387" s="20" t="e">
        <f t="shared" si="56"/>
        <v>#N/A</v>
      </c>
      <c r="J387" s="20" t="e">
        <f t="shared" si="57"/>
        <v>#N/A</v>
      </c>
      <c r="K387" s="20" t="e">
        <f t="shared" si="58"/>
        <v>#N/A</v>
      </c>
    </row>
    <row r="388" spans="2:11" x14ac:dyDescent="0.25">
      <c r="B388" s="22" t="str">
        <f t="shared" si="54"/>
        <v>Caregiver Functioning - Caregiver #3</v>
      </c>
      <c r="C388" s="22" t="str">
        <f t="shared" si="59"/>
        <v>3</v>
      </c>
      <c r="D388" s="22" t="str">
        <f t="shared" si="60"/>
        <v>SB</v>
      </c>
      <c r="E388" s="22">
        <f t="shared" si="61"/>
        <v>3</v>
      </c>
      <c r="F388" s="22">
        <f t="shared" si="62"/>
        <v>51</v>
      </c>
      <c r="G388" s="22" t="str">
        <f t="shared" si="55"/>
        <v>Mental Health</v>
      </c>
      <c r="H388" s="22" t="str">
        <f t="shared" si="63"/>
        <v>Mental HealthSB3</v>
      </c>
      <c r="I388" s="20" t="e">
        <f t="shared" si="56"/>
        <v>#N/A</v>
      </c>
      <c r="J388" s="20" t="e">
        <f t="shared" si="57"/>
        <v>#N/A</v>
      </c>
      <c r="K388" s="20" t="e">
        <f t="shared" si="58"/>
        <v>#N/A</v>
      </c>
    </row>
    <row r="389" spans="2:11" x14ac:dyDescent="0.25">
      <c r="B389" s="22" t="str">
        <f t="shared" si="54"/>
        <v>Caregiver Functioning - Caregiver #3</v>
      </c>
      <c r="C389" s="22" t="str">
        <f t="shared" si="59"/>
        <v>3</v>
      </c>
      <c r="D389" s="22" t="str">
        <f t="shared" si="60"/>
        <v>SB</v>
      </c>
      <c r="E389" s="22">
        <f t="shared" si="61"/>
        <v>3</v>
      </c>
      <c r="F389" s="22">
        <f t="shared" si="62"/>
        <v>52</v>
      </c>
      <c r="G389" s="22" t="str">
        <f t="shared" si="55"/>
        <v>Partner Relations</v>
      </c>
      <c r="H389" s="22" t="str">
        <f t="shared" si="63"/>
        <v>Partner RelationsSB3</v>
      </c>
      <c r="I389" s="20" t="e">
        <f t="shared" si="56"/>
        <v>#N/A</v>
      </c>
      <c r="J389" s="20" t="e">
        <f t="shared" si="57"/>
        <v>#N/A</v>
      </c>
      <c r="K389" s="20" t="e">
        <f t="shared" si="58"/>
        <v>#N/A</v>
      </c>
    </row>
    <row r="390" spans="2:11" x14ac:dyDescent="0.25">
      <c r="B390" s="22" t="str">
        <f t="shared" si="54"/>
        <v>Caregiver Functioning - Caregiver #3</v>
      </c>
      <c r="C390" s="22" t="str">
        <f t="shared" si="59"/>
        <v>3</v>
      </c>
      <c r="D390" s="22" t="str">
        <f t="shared" si="60"/>
        <v>SB</v>
      </c>
      <c r="E390" s="22">
        <f t="shared" si="61"/>
        <v>3</v>
      </c>
      <c r="F390" s="22">
        <f t="shared" si="62"/>
        <v>53</v>
      </c>
      <c r="G390" s="22" t="str">
        <f t="shared" si="55"/>
        <v>Substance Abuse</v>
      </c>
      <c r="H390" s="22" t="str">
        <f t="shared" si="63"/>
        <v>Substance AbuseSB3</v>
      </c>
      <c r="I390" s="20" t="e">
        <f t="shared" si="56"/>
        <v>#N/A</v>
      </c>
      <c r="J390" s="20" t="e">
        <f t="shared" si="57"/>
        <v>#N/A</v>
      </c>
      <c r="K390" s="20" t="e">
        <f t="shared" si="58"/>
        <v>#N/A</v>
      </c>
    </row>
    <row r="391" spans="2:11" x14ac:dyDescent="0.25">
      <c r="B391" s="22" t="str">
        <f t="shared" si="54"/>
        <v>Caregiver Functioning - Caregiver #3</v>
      </c>
      <c r="C391" s="22" t="str">
        <f t="shared" si="59"/>
        <v>3</v>
      </c>
      <c r="D391" s="22" t="str">
        <f t="shared" si="60"/>
        <v>SB</v>
      </c>
      <c r="E391" s="22">
        <f t="shared" si="61"/>
        <v>3</v>
      </c>
      <c r="F391" s="22">
        <f t="shared" si="62"/>
        <v>54</v>
      </c>
      <c r="G391" s="22" t="str">
        <f t="shared" si="55"/>
        <v>Physical Health</v>
      </c>
      <c r="H391" s="22" t="str">
        <f t="shared" si="63"/>
        <v>Physical HealthSB3</v>
      </c>
      <c r="I391" s="20" t="e">
        <f t="shared" si="56"/>
        <v>#N/A</v>
      </c>
      <c r="J391" s="20" t="e">
        <f t="shared" si="57"/>
        <v>#N/A</v>
      </c>
      <c r="K391" s="20" t="e">
        <f t="shared" si="58"/>
        <v>#N/A</v>
      </c>
    </row>
    <row r="392" spans="2:11" x14ac:dyDescent="0.25">
      <c r="B392" s="22" t="str">
        <f t="shared" si="54"/>
        <v>Caregiver Functioning - Caregiver #3</v>
      </c>
      <c r="C392" s="22" t="str">
        <f t="shared" si="59"/>
        <v>3</v>
      </c>
      <c r="D392" s="22" t="str">
        <f t="shared" si="60"/>
        <v>SB</v>
      </c>
      <c r="E392" s="22">
        <f t="shared" si="61"/>
        <v>3</v>
      </c>
      <c r="F392" s="22">
        <f t="shared" si="62"/>
        <v>55</v>
      </c>
      <c r="G392" s="22" t="str">
        <f t="shared" si="55"/>
        <v>Organization</v>
      </c>
      <c r="H392" s="22" t="str">
        <f t="shared" si="63"/>
        <v>OrganizationSB3</v>
      </c>
      <c r="I392" s="20" t="e">
        <f t="shared" si="56"/>
        <v>#N/A</v>
      </c>
      <c r="J392" s="20" t="e">
        <f t="shared" si="57"/>
        <v>#N/A</v>
      </c>
      <c r="K392" s="20" t="e">
        <f t="shared" si="58"/>
        <v>#N/A</v>
      </c>
    </row>
    <row r="393" spans="2:11" x14ac:dyDescent="0.25">
      <c r="B393" s="22" t="str">
        <f t="shared" si="54"/>
        <v>Caregiver Functioning - Caregiver #3</v>
      </c>
      <c r="C393" s="22" t="str">
        <f t="shared" si="59"/>
        <v>3</v>
      </c>
      <c r="D393" s="22" t="str">
        <f t="shared" si="60"/>
        <v>SB</v>
      </c>
      <c r="E393" s="22">
        <f t="shared" si="61"/>
        <v>3</v>
      </c>
      <c r="F393" s="22">
        <f t="shared" si="62"/>
        <v>56</v>
      </c>
      <c r="G393" s="22" t="str">
        <f t="shared" si="55"/>
        <v>Parental Attribution</v>
      </c>
      <c r="H393" s="22" t="str">
        <f t="shared" si="63"/>
        <v>Parental AttributionSB3</v>
      </c>
      <c r="I393" s="20" t="e">
        <f t="shared" si="56"/>
        <v>#N/A</v>
      </c>
      <c r="J393" s="20" t="e">
        <f t="shared" si="57"/>
        <v>#N/A</v>
      </c>
      <c r="K393" s="20" t="e">
        <f t="shared" si="58"/>
        <v>#N/A</v>
      </c>
    </row>
    <row r="394" spans="2:11" x14ac:dyDescent="0.25">
      <c r="B394" s="22" t="str">
        <f t="shared" ref="B394:B457" si="64">INDEX(ItemDomain, MATCH(F394, ItemNum, 0))</f>
        <v>Caregiver Functioning - Caregiver #3</v>
      </c>
      <c r="C394" s="22" t="str">
        <f t="shared" si="59"/>
        <v>3</v>
      </c>
      <c r="D394" s="22" t="str">
        <f t="shared" si="60"/>
        <v>SB</v>
      </c>
      <c r="E394" s="22">
        <f t="shared" si="61"/>
        <v>3</v>
      </c>
      <c r="F394" s="22">
        <f t="shared" si="62"/>
        <v>57</v>
      </c>
      <c r="G394" s="22" t="str">
        <f t="shared" ref="G394:G457" si="65">INDEX(ItemShort, MATCH(F394, ItemNum, 0))</f>
        <v>Emotional Responsiveness</v>
      </c>
      <c r="H394" s="22" t="str">
        <f t="shared" si="63"/>
        <v>Emotional ResponsivenessSB3</v>
      </c>
      <c r="I394" s="20" t="e">
        <f t="shared" ref="I394:I457" si="66">INDEX(Assess, MATCH($F394, ItemNum, 0), MATCH(dateAssess1, DatesRow, 0)+CHOOSE($E394, 0, 2, 3))&amp;""</f>
        <v>#N/A</v>
      </c>
      <c r="J394" s="20" t="e">
        <f t="shared" ref="J394:J457" si="67">INDEX(Assess, MATCH($F394, ItemNum, 0), MATCH(dateAssess2, DatesRow, 0)+CHOOSE($E394, 0, 2, 3))&amp;""</f>
        <v>#N/A</v>
      </c>
      <c r="K394" s="20" t="e">
        <f t="shared" ref="K394:K457" si="68">INDEX(Assess, MATCH($F394, ItemNum, 0), MATCH(dateAssess3, DatesRow, 0)+CHOOSE($E394, 0, 2, 3))&amp;""</f>
        <v>#N/A</v>
      </c>
    </row>
    <row r="395" spans="2:11" x14ac:dyDescent="0.25">
      <c r="B395" s="22" t="str">
        <f t="shared" si="64"/>
        <v>Caregiver Functioning - Caregiver #3</v>
      </c>
      <c r="C395" s="22" t="str">
        <f t="shared" ref="C395:C458" si="69">IF(ISERROR(VALUE(RIGHT(B395))), "", RIGHT(B395))</f>
        <v>3</v>
      </c>
      <c r="D395" s="22" t="str">
        <f t="shared" ref="D395:D458" si="70">CHOOSE(E395, "", "US", "SB")</f>
        <v>SB</v>
      </c>
      <c r="E395" s="22">
        <f t="shared" ref="E395:E458" si="71">IF(F394=nItems, IF(E394=3, "DONE", E394+1), E394)</f>
        <v>3</v>
      </c>
      <c r="F395" s="22">
        <f t="shared" ref="F395:F458" si="72">IF(F394=nItems, IF(E394=3, "DONE", 1), F394+1)</f>
        <v>58</v>
      </c>
      <c r="G395" s="22" t="str">
        <f t="shared" si="65"/>
        <v>Caregiver Posttraumatic Reactions</v>
      </c>
      <c r="H395" s="22" t="str">
        <f t="shared" ref="H395:H458" si="73">G395&amp;D395&amp;C395</f>
        <v>Caregiver Posttraumatic ReactionsSB3</v>
      </c>
      <c r="I395" s="20" t="e">
        <f t="shared" si="66"/>
        <v>#N/A</v>
      </c>
      <c r="J395" s="20" t="e">
        <f t="shared" si="67"/>
        <v>#N/A</v>
      </c>
      <c r="K395" s="20" t="e">
        <f t="shared" si="68"/>
        <v>#N/A</v>
      </c>
    </row>
    <row r="396" spans="2:11" x14ac:dyDescent="0.25">
      <c r="B396" s="22" t="str">
        <f t="shared" si="64"/>
        <v>Caregiver Functioning - Caregiver #3</v>
      </c>
      <c r="C396" s="22" t="str">
        <f t="shared" si="69"/>
        <v>3</v>
      </c>
      <c r="D396" s="22" t="str">
        <f t="shared" si="70"/>
        <v>SB</v>
      </c>
      <c r="E396" s="22">
        <f t="shared" si="71"/>
        <v>3</v>
      </c>
      <c r="F396" s="22">
        <f t="shared" si="72"/>
        <v>59</v>
      </c>
      <c r="G396" s="22" t="str">
        <f t="shared" si="65"/>
        <v>Family Stress</v>
      </c>
      <c r="H396" s="22" t="str">
        <f t="shared" si="73"/>
        <v>Family StressSB3</v>
      </c>
      <c r="I396" s="20" t="e">
        <f t="shared" si="66"/>
        <v>#N/A</v>
      </c>
      <c r="J396" s="20" t="e">
        <f t="shared" si="67"/>
        <v>#N/A</v>
      </c>
      <c r="K396" s="20" t="e">
        <f t="shared" si="68"/>
        <v>#N/A</v>
      </c>
    </row>
    <row r="397" spans="2:11" x14ac:dyDescent="0.25">
      <c r="B397" s="22" t="str">
        <f t="shared" si="64"/>
        <v>Caregiver Functioning - Caregiver #3</v>
      </c>
      <c r="C397" s="22" t="str">
        <f t="shared" si="69"/>
        <v>3</v>
      </c>
      <c r="D397" s="22" t="str">
        <f t="shared" si="70"/>
        <v>SB</v>
      </c>
      <c r="E397" s="22">
        <f t="shared" si="71"/>
        <v>3</v>
      </c>
      <c r="F397" s="22">
        <f t="shared" si="72"/>
        <v>60</v>
      </c>
      <c r="G397" s="22" t="str">
        <f t="shared" si="65"/>
        <v>Boundaries</v>
      </c>
      <c r="H397" s="22" t="str">
        <f t="shared" si="73"/>
        <v>BoundariesSB3</v>
      </c>
      <c r="I397" s="20" t="e">
        <f t="shared" si="66"/>
        <v>#N/A</v>
      </c>
      <c r="J397" s="20" t="e">
        <f t="shared" si="67"/>
        <v>#N/A</v>
      </c>
      <c r="K397" s="20" t="e">
        <f t="shared" si="68"/>
        <v>#N/A</v>
      </c>
    </row>
    <row r="398" spans="2:11" x14ac:dyDescent="0.25">
      <c r="B398" s="22" t="str">
        <f t="shared" si="64"/>
        <v>Caregiver Functioning - Caregiver #4</v>
      </c>
      <c r="C398" s="22" t="str">
        <f t="shared" si="69"/>
        <v>4</v>
      </c>
      <c r="D398" s="22" t="str">
        <f t="shared" si="70"/>
        <v>SB</v>
      </c>
      <c r="E398" s="22">
        <f t="shared" si="71"/>
        <v>3</v>
      </c>
      <c r="F398" s="22">
        <f t="shared" si="72"/>
        <v>61</v>
      </c>
      <c r="G398" s="22" t="str">
        <f t="shared" si="65"/>
        <v>Involvement with Services</v>
      </c>
      <c r="H398" s="22" t="str">
        <f t="shared" si="73"/>
        <v>Involvement with ServicesSB4</v>
      </c>
      <c r="I398" s="20" t="e">
        <f t="shared" si="66"/>
        <v>#N/A</v>
      </c>
      <c r="J398" s="20" t="e">
        <f t="shared" si="67"/>
        <v>#N/A</v>
      </c>
      <c r="K398" s="20" t="e">
        <f t="shared" si="68"/>
        <v>#N/A</v>
      </c>
    </row>
    <row r="399" spans="2:11" x14ac:dyDescent="0.25">
      <c r="B399" s="22" t="str">
        <f t="shared" si="64"/>
        <v>Caregiver Functioning - Caregiver #4</v>
      </c>
      <c r="C399" s="22" t="str">
        <f t="shared" si="69"/>
        <v>4</v>
      </c>
      <c r="D399" s="22" t="str">
        <f t="shared" si="70"/>
        <v>SB</v>
      </c>
      <c r="E399" s="22">
        <f t="shared" si="71"/>
        <v>3</v>
      </c>
      <c r="F399" s="22">
        <f t="shared" si="72"/>
        <v>62</v>
      </c>
      <c r="G399" s="22" t="str">
        <f t="shared" si="65"/>
        <v>Distress Tolerance</v>
      </c>
      <c r="H399" s="22" t="str">
        <f t="shared" si="73"/>
        <v>Distress ToleranceSB4</v>
      </c>
      <c r="I399" s="20" t="e">
        <f t="shared" si="66"/>
        <v>#N/A</v>
      </c>
      <c r="J399" s="20" t="e">
        <f t="shared" si="67"/>
        <v>#N/A</v>
      </c>
      <c r="K399" s="20" t="e">
        <f t="shared" si="68"/>
        <v>#N/A</v>
      </c>
    </row>
    <row r="400" spans="2:11" x14ac:dyDescent="0.25">
      <c r="B400" s="22" t="str">
        <f t="shared" si="64"/>
        <v>Caregiver Functioning - Caregiver #4</v>
      </c>
      <c r="C400" s="22" t="str">
        <f t="shared" si="69"/>
        <v>4</v>
      </c>
      <c r="D400" s="22" t="str">
        <f t="shared" si="70"/>
        <v>SB</v>
      </c>
      <c r="E400" s="22">
        <f t="shared" si="71"/>
        <v>3</v>
      </c>
      <c r="F400" s="22">
        <f t="shared" si="72"/>
        <v>63</v>
      </c>
      <c r="G400" s="22" t="str">
        <f t="shared" si="65"/>
        <v>Supervision</v>
      </c>
      <c r="H400" s="22" t="str">
        <f t="shared" si="73"/>
        <v>SupervisionSB4</v>
      </c>
      <c r="I400" s="20" t="e">
        <f t="shared" si="66"/>
        <v>#N/A</v>
      </c>
      <c r="J400" s="20" t="e">
        <f t="shared" si="67"/>
        <v>#N/A</v>
      </c>
      <c r="K400" s="20" t="e">
        <f t="shared" si="68"/>
        <v>#N/A</v>
      </c>
    </row>
    <row r="401" spans="2:11" x14ac:dyDescent="0.25">
      <c r="B401" s="22" t="str">
        <f t="shared" si="64"/>
        <v>Caregiver Functioning - Caregiver #4</v>
      </c>
      <c r="C401" s="22" t="str">
        <f t="shared" si="69"/>
        <v>4</v>
      </c>
      <c r="D401" s="22" t="str">
        <f t="shared" si="70"/>
        <v>SB</v>
      </c>
      <c r="E401" s="22">
        <f t="shared" si="71"/>
        <v>3</v>
      </c>
      <c r="F401" s="22">
        <f t="shared" si="72"/>
        <v>64</v>
      </c>
      <c r="G401" s="22" t="str">
        <f t="shared" si="65"/>
        <v>Discipline</v>
      </c>
      <c r="H401" s="22" t="str">
        <f t="shared" si="73"/>
        <v>DisciplineSB4</v>
      </c>
      <c r="I401" s="20" t="e">
        <f t="shared" si="66"/>
        <v>#N/A</v>
      </c>
      <c r="J401" s="20" t="e">
        <f t="shared" si="67"/>
        <v>#N/A</v>
      </c>
      <c r="K401" s="20" t="e">
        <f t="shared" si="68"/>
        <v>#N/A</v>
      </c>
    </row>
    <row r="402" spans="2:11" x14ac:dyDescent="0.25">
      <c r="B402" s="22" t="str">
        <f t="shared" si="64"/>
        <v>Caregiver Functioning - Caregiver #4</v>
      </c>
      <c r="C402" s="22" t="str">
        <f t="shared" si="69"/>
        <v>4</v>
      </c>
      <c r="D402" s="22" t="str">
        <f t="shared" si="70"/>
        <v>SB</v>
      </c>
      <c r="E402" s="22">
        <f t="shared" si="71"/>
        <v>3</v>
      </c>
      <c r="F402" s="22">
        <f t="shared" si="72"/>
        <v>65</v>
      </c>
      <c r="G402" s="22" t="str">
        <f t="shared" si="65"/>
        <v>Mental Health</v>
      </c>
      <c r="H402" s="22" t="str">
        <f t="shared" si="73"/>
        <v>Mental HealthSB4</v>
      </c>
      <c r="I402" s="20" t="e">
        <f t="shared" si="66"/>
        <v>#N/A</v>
      </c>
      <c r="J402" s="20" t="e">
        <f t="shared" si="67"/>
        <v>#N/A</v>
      </c>
      <c r="K402" s="20" t="e">
        <f t="shared" si="68"/>
        <v>#N/A</v>
      </c>
    </row>
    <row r="403" spans="2:11" x14ac:dyDescent="0.25">
      <c r="B403" s="22" t="str">
        <f t="shared" si="64"/>
        <v>Caregiver Functioning - Caregiver #4</v>
      </c>
      <c r="C403" s="22" t="str">
        <f t="shared" si="69"/>
        <v>4</v>
      </c>
      <c r="D403" s="22" t="str">
        <f t="shared" si="70"/>
        <v>SB</v>
      </c>
      <c r="E403" s="22">
        <f t="shared" si="71"/>
        <v>3</v>
      </c>
      <c r="F403" s="22">
        <f t="shared" si="72"/>
        <v>66</v>
      </c>
      <c r="G403" s="22" t="str">
        <f t="shared" si="65"/>
        <v>Partner Relations</v>
      </c>
      <c r="H403" s="22" t="str">
        <f t="shared" si="73"/>
        <v>Partner RelationsSB4</v>
      </c>
      <c r="I403" s="20" t="e">
        <f t="shared" si="66"/>
        <v>#N/A</v>
      </c>
      <c r="J403" s="20" t="e">
        <f t="shared" si="67"/>
        <v>#N/A</v>
      </c>
      <c r="K403" s="20" t="e">
        <f t="shared" si="68"/>
        <v>#N/A</v>
      </c>
    </row>
    <row r="404" spans="2:11" x14ac:dyDescent="0.25">
      <c r="B404" s="22" t="str">
        <f t="shared" si="64"/>
        <v>Caregiver Functioning - Caregiver #4</v>
      </c>
      <c r="C404" s="22" t="str">
        <f t="shared" si="69"/>
        <v>4</v>
      </c>
      <c r="D404" s="22" t="str">
        <f t="shared" si="70"/>
        <v>SB</v>
      </c>
      <c r="E404" s="22">
        <f t="shared" si="71"/>
        <v>3</v>
      </c>
      <c r="F404" s="22">
        <f t="shared" si="72"/>
        <v>67</v>
      </c>
      <c r="G404" s="22" t="str">
        <f t="shared" si="65"/>
        <v>Substance Abuse</v>
      </c>
      <c r="H404" s="22" t="str">
        <f t="shared" si="73"/>
        <v>Substance AbuseSB4</v>
      </c>
      <c r="I404" s="20" t="e">
        <f t="shared" si="66"/>
        <v>#N/A</v>
      </c>
      <c r="J404" s="20" t="e">
        <f t="shared" si="67"/>
        <v>#N/A</v>
      </c>
      <c r="K404" s="20" t="e">
        <f t="shared" si="68"/>
        <v>#N/A</v>
      </c>
    </row>
    <row r="405" spans="2:11" x14ac:dyDescent="0.25">
      <c r="B405" s="22" t="str">
        <f t="shared" si="64"/>
        <v>Caregiver Functioning - Caregiver #4</v>
      </c>
      <c r="C405" s="22" t="str">
        <f t="shared" si="69"/>
        <v>4</v>
      </c>
      <c r="D405" s="22" t="str">
        <f t="shared" si="70"/>
        <v>SB</v>
      </c>
      <c r="E405" s="22">
        <f t="shared" si="71"/>
        <v>3</v>
      </c>
      <c r="F405" s="22">
        <f t="shared" si="72"/>
        <v>68</v>
      </c>
      <c r="G405" s="22" t="str">
        <f t="shared" si="65"/>
        <v>Physical Health</v>
      </c>
      <c r="H405" s="22" t="str">
        <f t="shared" si="73"/>
        <v>Physical HealthSB4</v>
      </c>
      <c r="I405" s="20" t="e">
        <f t="shared" si="66"/>
        <v>#N/A</v>
      </c>
      <c r="J405" s="20" t="e">
        <f t="shared" si="67"/>
        <v>#N/A</v>
      </c>
      <c r="K405" s="20" t="e">
        <f t="shared" si="68"/>
        <v>#N/A</v>
      </c>
    </row>
    <row r="406" spans="2:11" x14ac:dyDescent="0.25">
      <c r="B406" s="22" t="str">
        <f t="shared" si="64"/>
        <v>Caregiver Functioning - Caregiver #4</v>
      </c>
      <c r="C406" s="22" t="str">
        <f t="shared" si="69"/>
        <v>4</v>
      </c>
      <c r="D406" s="22" t="str">
        <f t="shared" si="70"/>
        <v>SB</v>
      </c>
      <c r="E406" s="22">
        <f t="shared" si="71"/>
        <v>3</v>
      </c>
      <c r="F406" s="22">
        <f t="shared" si="72"/>
        <v>69</v>
      </c>
      <c r="G406" s="22" t="str">
        <f t="shared" si="65"/>
        <v>Organization</v>
      </c>
      <c r="H406" s="22" t="str">
        <f t="shared" si="73"/>
        <v>OrganizationSB4</v>
      </c>
      <c r="I406" s="20" t="e">
        <f t="shared" si="66"/>
        <v>#N/A</v>
      </c>
      <c r="J406" s="20" t="e">
        <f t="shared" si="67"/>
        <v>#N/A</v>
      </c>
      <c r="K406" s="20" t="e">
        <f t="shared" si="68"/>
        <v>#N/A</v>
      </c>
    </row>
    <row r="407" spans="2:11" x14ac:dyDescent="0.25">
      <c r="B407" s="22" t="str">
        <f t="shared" si="64"/>
        <v>Caregiver Functioning - Caregiver #4</v>
      </c>
      <c r="C407" s="22" t="str">
        <f t="shared" si="69"/>
        <v>4</v>
      </c>
      <c r="D407" s="22" t="str">
        <f t="shared" si="70"/>
        <v>SB</v>
      </c>
      <c r="E407" s="22">
        <f t="shared" si="71"/>
        <v>3</v>
      </c>
      <c r="F407" s="22">
        <f t="shared" si="72"/>
        <v>70</v>
      </c>
      <c r="G407" s="22" t="str">
        <f t="shared" si="65"/>
        <v>Parental Attribution</v>
      </c>
      <c r="H407" s="22" t="str">
        <f t="shared" si="73"/>
        <v>Parental AttributionSB4</v>
      </c>
      <c r="I407" s="20" t="e">
        <f t="shared" si="66"/>
        <v>#N/A</v>
      </c>
      <c r="J407" s="20" t="e">
        <f t="shared" si="67"/>
        <v>#N/A</v>
      </c>
      <c r="K407" s="20" t="e">
        <f t="shared" si="68"/>
        <v>#N/A</v>
      </c>
    </row>
    <row r="408" spans="2:11" x14ac:dyDescent="0.25">
      <c r="B408" s="22" t="str">
        <f t="shared" si="64"/>
        <v>Caregiver Functioning - Caregiver #4</v>
      </c>
      <c r="C408" s="22" t="str">
        <f t="shared" si="69"/>
        <v>4</v>
      </c>
      <c r="D408" s="22" t="str">
        <f t="shared" si="70"/>
        <v>SB</v>
      </c>
      <c r="E408" s="22">
        <f t="shared" si="71"/>
        <v>3</v>
      </c>
      <c r="F408" s="22">
        <f t="shared" si="72"/>
        <v>71</v>
      </c>
      <c r="G408" s="22" t="str">
        <f t="shared" si="65"/>
        <v>Emotional Responsiveness</v>
      </c>
      <c r="H408" s="22" t="str">
        <f t="shared" si="73"/>
        <v>Emotional ResponsivenessSB4</v>
      </c>
      <c r="I408" s="20" t="e">
        <f t="shared" si="66"/>
        <v>#N/A</v>
      </c>
      <c r="J408" s="20" t="e">
        <f t="shared" si="67"/>
        <v>#N/A</v>
      </c>
      <c r="K408" s="20" t="e">
        <f t="shared" si="68"/>
        <v>#N/A</v>
      </c>
    </row>
    <row r="409" spans="2:11" x14ac:dyDescent="0.25">
      <c r="B409" s="22" t="str">
        <f t="shared" si="64"/>
        <v>Caregiver Functioning - Caregiver #4</v>
      </c>
      <c r="C409" s="22" t="str">
        <f t="shared" si="69"/>
        <v>4</v>
      </c>
      <c r="D409" s="22" t="str">
        <f t="shared" si="70"/>
        <v>SB</v>
      </c>
      <c r="E409" s="22">
        <f t="shared" si="71"/>
        <v>3</v>
      </c>
      <c r="F409" s="22">
        <f t="shared" si="72"/>
        <v>72</v>
      </c>
      <c r="G409" s="22" t="str">
        <f t="shared" si="65"/>
        <v>Caregiver Posttraumatic Reactions</v>
      </c>
      <c r="H409" s="22" t="str">
        <f t="shared" si="73"/>
        <v>Caregiver Posttraumatic ReactionsSB4</v>
      </c>
      <c r="I409" s="20" t="e">
        <f t="shared" si="66"/>
        <v>#N/A</v>
      </c>
      <c r="J409" s="20" t="e">
        <f t="shared" si="67"/>
        <v>#N/A</v>
      </c>
      <c r="K409" s="20" t="e">
        <f t="shared" si="68"/>
        <v>#N/A</v>
      </c>
    </row>
    <row r="410" spans="2:11" x14ac:dyDescent="0.25">
      <c r="B410" s="22" t="str">
        <f t="shared" si="64"/>
        <v>Caregiver Functioning - Caregiver #4</v>
      </c>
      <c r="C410" s="22" t="str">
        <f t="shared" si="69"/>
        <v>4</v>
      </c>
      <c r="D410" s="22" t="str">
        <f t="shared" si="70"/>
        <v>SB</v>
      </c>
      <c r="E410" s="22">
        <f t="shared" si="71"/>
        <v>3</v>
      </c>
      <c r="F410" s="22">
        <f t="shared" si="72"/>
        <v>73</v>
      </c>
      <c r="G410" s="22" t="str">
        <f t="shared" si="65"/>
        <v>Family Stress</v>
      </c>
      <c r="H410" s="22" t="str">
        <f t="shared" si="73"/>
        <v>Family StressSB4</v>
      </c>
      <c r="I410" s="20" t="e">
        <f t="shared" si="66"/>
        <v>#N/A</v>
      </c>
      <c r="J410" s="20" t="e">
        <f t="shared" si="67"/>
        <v>#N/A</v>
      </c>
      <c r="K410" s="20" t="e">
        <f t="shared" si="68"/>
        <v>#N/A</v>
      </c>
    </row>
    <row r="411" spans="2:11" x14ac:dyDescent="0.25">
      <c r="B411" s="22" t="str">
        <f t="shared" si="64"/>
        <v>Caregiver Functioning - Caregiver #4</v>
      </c>
      <c r="C411" s="22" t="str">
        <f t="shared" si="69"/>
        <v>4</v>
      </c>
      <c r="D411" s="22" t="str">
        <f t="shared" si="70"/>
        <v>SB</v>
      </c>
      <c r="E411" s="22">
        <f t="shared" si="71"/>
        <v>3</v>
      </c>
      <c r="F411" s="22">
        <f t="shared" si="72"/>
        <v>74</v>
      </c>
      <c r="G411" s="22" t="str">
        <f t="shared" si="65"/>
        <v>Boundaries</v>
      </c>
      <c r="H411" s="22" t="str">
        <f t="shared" si="73"/>
        <v>BoundariesSB4</v>
      </c>
      <c r="I411" s="20" t="e">
        <f t="shared" si="66"/>
        <v>#N/A</v>
      </c>
      <c r="J411" s="20" t="e">
        <f t="shared" si="67"/>
        <v>#N/A</v>
      </c>
      <c r="K411" s="20" t="e">
        <f t="shared" si="68"/>
        <v>#N/A</v>
      </c>
    </row>
    <row r="412" spans="2:11" x14ac:dyDescent="0.25">
      <c r="B412" s="22" t="str">
        <f t="shared" si="64"/>
        <v>Child Functioning -- Child #1</v>
      </c>
      <c r="C412" s="22" t="str">
        <f t="shared" si="69"/>
        <v>1</v>
      </c>
      <c r="D412" s="22" t="str">
        <f t="shared" si="70"/>
        <v>SB</v>
      </c>
      <c r="E412" s="22">
        <f t="shared" si="71"/>
        <v>3</v>
      </c>
      <c r="F412" s="22">
        <f t="shared" si="72"/>
        <v>75</v>
      </c>
      <c r="G412" s="22" t="str">
        <f t="shared" si="65"/>
        <v>Mental Health Needs</v>
      </c>
      <c r="H412" s="22" t="str">
        <f t="shared" si="73"/>
        <v>Mental Health NeedsSB1</v>
      </c>
      <c r="I412" s="20" t="e">
        <f t="shared" si="66"/>
        <v>#N/A</v>
      </c>
      <c r="J412" s="20" t="e">
        <f t="shared" si="67"/>
        <v>#N/A</v>
      </c>
      <c r="K412" s="20" t="e">
        <f t="shared" si="68"/>
        <v>#N/A</v>
      </c>
    </row>
    <row r="413" spans="2:11" x14ac:dyDescent="0.25">
      <c r="B413" s="22" t="str">
        <f t="shared" si="64"/>
        <v>Child Functioning -- Child #1</v>
      </c>
      <c r="C413" s="22" t="str">
        <f t="shared" si="69"/>
        <v>1</v>
      </c>
      <c r="D413" s="22" t="str">
        <f t="shared" si="70"/>
        <v>SB</v>
      </c>
      <c r="E413" s="22">
        <f t="shared" si="71"/>
        <v>3</v>
      </c>
      <c r="F413" s="22">
        <f t="shared" si="72"/>
        <v>76</v>
      </c>
      <c r="G413" s="22" t="str">
        <f t="shared" si="65"/>
        <v>Adjustment to Trauma</v>
      </c>
      <c r="H413" s="22" t="str">
        <f t="shared" si="73"/>
        <v>Adjustment to TraumaSB1</v>
      </c>
      <c r="I413" s="20" t="e">
        <f t="shared" si="66"/>
        <v>#N/A</v>
      </c>
      <c r="J413" s="20" t="e">
        <f t="shared" si="67"/>
        <v>#N/A</v>
      </c>
      <c r="K413" s="20" t="e">
        <f t="shared" si="68"/>
        <v>#N/A</v>
      </c>
    </row>
    <row r="414" spans="2:11" x14ac:dyDescent="0.25">
      <c r="B414" s="22" t="str">
        <f t="shared" si="64"/>
        <v>Child Functioning -- Child #1</v>
      </c>
      <c r="C414" s="22" t="str">
        <f t="shared" si="69"/>
        <v>1</v>
      </c>
      <c r="D414" s="22" t="str">
        <f t="shared" si="70"/>
        <v>SB</v>
      </c>
      <c r="E414" s="22">
        <f t="shared" si="71"/>
        <v>3</v>
      </c>
      <c r="F414" s="22">
        <f t="shared" si="72"/>
        <v>77</v>
      </c>
      <c r="G414" s="22" t="str">
        <f t="shared" si="65"/>
        <v>Recreation / Play</v>
      </c>
      <c r="H414" s="22" t="str">
        <f t="shared" si="73"/>
        <v>Recreation / PlaySB1</v>
      </c>
      <c r="I414" s="20" t="e">
        <f t="shared" si="66"/>
        <v>#N/A</v>
      </c>
      <c r="J414" s="20" t="e">
        <f t="shared" si="67"/>
        <v>#N/A</v>
      </c>
      <c r="K414" s="20" t="e">
        <f t="shared" si="68"/>
        <v>#N/A</v>
      </c>
    </row>
    <row r="415" spans="2:11" x14ac:dyDescent="0.25">
      <c r="B415" s="22" t="str">
        <f t="shared" si="64"/>
        <v>Child Functioning -- Child #1</v>
      </c>
      <c r="C415" s="22" t="str">
        <f t="shared" si="69"/>
        <v>1</v>
      </c>
      <c r="D415" s="22" t="str">
        <f t="shared" si="70"/>
        <v>SB</v>
      </c>
      <c r="E415" s="22">
        <f t="shared" si="71"/>
        <v>3</v>
      </c>
      <c r="F415" s="22">
        <f t="shared" si="72"/>
        <v>78</v>
      </c>
      <c r="G415" s="22" t="str">
        <f t="shared" si="65"/>
        <v>Attachment – Birth to 5</v>
      </c>
      <c r="H415" s="22" t="str">
        <f t="shared" si="73"/>
        <v>Attachment – Birth to 5SB1</v>
      </c>
      <c r="I415" s="20" t="e">
        <f t="shared" si="66"/>
        <v>#N/A</v>
      </c>
      <c r="J415" s="20" t="e">
        <f t="shared" si="67"/>
        <v>#N/A</v>
      </c>
      <c r="K415" s="20" t="e">
        <f t="shared" si="68"/>
        <v>#N/A</v>
      </c>
    </row>
    <row r="416" spans="2:11" x14ac:dyDescent="0.25">
      <c r="B416" s="22" t="str">
        <f t="shared" si="64"/>
        <v>Child Functioning -- Child #1</v>
      </c>
      <c r="C416" s="22" t="str">
        <f t="shared" si="69"/>
        <v>1</v>
      </c>
      <c r="D416" s="22" t="str">
        <f t="shared" si="70"/>
        <v>SB</v>
      </c>
      <c r="E416" s="22">
        <f t="shared" si="71"/>
        <v>3</v>
      </c>
      <c r="F416" s="22">
        <f t="shared" si="72"/>
        <v>79</v>
      </c>
      <c r="G416" s="22" t="str">
        <f t="shared" si="65"/>
        <v>Relationship with Biological Mother</v>
      </c>
      <c r="H416" s="22" t="str">
        <f t="shared" si="73"/>
        <v>Relationship with Biological MotherSB1</v>
      </c>
      <c r="I416" s="20" t="e">
        <f t="shared" si="66"/>
        <v>#N/A</v>
      </c>
      <c r="J416" s="20" t="e">
        <f t="shared" si="67"/>
        <v>#N/A</v>
      </c>
      <c r="K416" s="20" t="e">
        <f t="shared" si="68"/>
        <v>#N/A</v>
      </c>
    </row>
    <row r="417" spans="2:11" x14ac:dyDescent="0.25">
      <c r="B417" s="22" t="str">
        <f t="shared" si="64"/>
        <v>Child Functioning -- Child #1</v>
      </c>
      <c r="C417" s="22" t="str">
        <f t="shared" si="69"/>
        <v>1</v>
      </c>
      <c r="D417" s="22" t="str">
        <f t="shared" si="70"/>
        <v>SB</v>
      </c>
      <c r="E417" s="22">
        <f t="shared" si="71"/>
        <v>3</v>
      </c>
      <c r="F417" s="22">
        <f t="shared" si="72"/>
        <v>80</v>
      </c>
      <c r="G417" s="22" t="str">
        <f t="shared" si="65"/>
        <v>Relationship with Biological Father</v>
      </c>
      <c r="H417" s="22" t="str">
        <f t="shared" si="73"/>
        <v>Relationship with Biological FatherSB1</v>
      </c>
      <c r="I417" s="20" t="e">
        <f t="shared" si="66"/>
        <v>#N/A</v>
      </c>
      <c r="J417" s="20" t="e">
        <f t="shared" si="67"/>
        <v>#N/A</v>
      </c>
      <c r="K417" s="20" t="e">
        <f t="shared" si="68"/>
        <v>#N/A</v>
      </c>
    </row>
    <row r="418" spans="2:11" x14ac:dyDescent="0.25">
      <c r="B418" s="22" t="str">
        <f t="shared" si="64"/>
        <v>Child Functioning -- Child #1</v>
      </c>
      <c r="C418" s="22" t="str">
        <f t="shared" si="69"/>
        <v>1</v>
      </c>
      <c r="D418" s="22" t="str">
        <f t="shared" si="70"/>
        <v>SB</v>
      </c>
      <c r="E418" s="22">
        <f t="shared" si="71"/>
        <v>3</v>
      </c>
      <c r="F418" s="22">
        <f t="shared" si="72"/>
        <v>81</v>
      </c>
      <c r="G418" s="22" t="str">
        <f t="shared" si="65"/>
        <v>Relationship with Primary Caregiver</v>
      </c>
      <c r="H418" s="22" t="str">
        <f t="shared" si="73"/>
        <v>Relationship with Primary CaregiverSB1</v>
      </c>
      <c r="I418" s="20" t="e">
        <f t="shared" si="66"/>
        <v>#N/A</v>
      </c>
      <c r="J418" s="20" t="e">
        <f t="shared" si="67"/>
        <v>#N/A</v>
      </c>
      <c r="K418" s="20" t="e">
        <f t="shared" si="68"/>
        <v>#N/A</v>
      </c>
    </row>
    <row r="419" spans="2:11" x14ac:dyDescent="0.25">
      <c r="B419" s="22" t="str">
        <f t="shared" si="64"/>
        <v>Child Functioning -- Child #1</v>
      </c>
      <c r="C419" s="22" t="str">
        <f t="shared" si="69"/>
        <v>1</v>
      </c>
      <c r="D419" s="22" t="str">
        <f t="shared" si="70"/>
        <v>SB</v>
      </c>
      <c r="E419" s="22">
        <f t="shared" si="71"/>
        <v>3</v>
      </c>
      <c r="F419" s="22">
        <f t="shared" si="72"/>
        <v>82</v>
      </c>
      <c r="G419" s="22" t="str">
        <f t="shared" si="65"/>
        <v>Relationship with Other Family Adults</v>
      </c>
      <c r="H419" s="22" t="str">
        <f t="shared" si="73"/>
        <v>Relationship with Other Family AdultsSB1</v>
      </c>
      <c r="I419" s="20" t="e">
        <f t="shared" si="66"/>
        <v>#N/A</v>
      </c>
      <c r="J419" s="20" t="e">
        <f t="shared" si="67"/>
        <v>#N/A</v>
      </c>
      <c r="K419" s="20" t="e">
        <f t="shared" si="68"/>
        <v>#N/A</v>
      </c>
    </row>
    <row r="420" spans="2:11" x14ac:dyDescent="0.25">
      <c r="B420" s="22" t="str">
        <f t="shared" si="64"/>
        <v>Child Functioning -- Child #1</v>
      </c>
      <c r="C420" s="22" t="str">
        <f t="shared" si="69"/>
        <v>1</v>
      </c>
      <c r="D420" s="22" t="str">
        <f t="shared" si="70"/>
        <v>SB</v>
      </c>
      <c r="E420" s="22">
        <f t="shared" si="71"/>
        <v>3</v>
      </c>
      <c r="F420" s="22">
        <f t="shared" si="72"/>
        <v>83</v>
      </c>
      <c r="G420" s="22" t="str">
        <f t="shared" si="65"/>
        <v>Relationship with Siblings</v>
      </c>
      <c r="H420" s="22" t="str">
        <f t="shared" si="73"/>
        <v>Relationship with SiblingsSB1</v>
      </c>
      <c r="I420" s="20" t="e">
        <f t="shared" si="66"/>
        <v>#N/A</v>
      </c>
      <c r="J420" s="20" t="e">
        <f t="shared" si="67"/>
        <v>#N/A</v>
      </c>
      <c r="K420" s="20" t="e">
        <f t="shared" si="68"/>
        <v>#N/A</v>
      </c>
    </row>
    <row r="421" spans="2:11" x14ac:dyDescent="0.25">
      <c r="B421" s="22" t="str">
        <f t="shared" si="64"/>
        <v>Child Functioning -- Child #1</v>
      </c>
      <c r="C421" s="22" t="str">
        <f t="shared" si="69"/>
        <v>1</v>
      </c>
      <c r="D421" s="22" t="str">
        <f t="shared" si="70"/>
        <v>SB</v>
      </c>
      <c r="E421" s="22">
        <f t="shared" si="71"/>
        <v>3</v>
      </c>
      <c r="F421" s="22">
        <f t="shared" si="72"/>
        <v>84</v>
      </c>
      <c r="G421" s="22" t="str">
        <f t="shared" si="65"/>
        <v>Medical / Physical</v>
      </c>
      <c r="H421" s="22" t="str">
        <f t="shared" si="73"/>
        <v>Medical / PhysicalSB1</v>
      </c>
      <c r="I421" s="20" t="e">
        <f t="shared" si="66"/>
        <v>#N/A</v>
      </c>
      <c r="J421" s="20" t="e">
        <f t="shared" si="67"/>
        <v>#N/A</v>
      </c>
      <c r="K421" s="20" t="e">
        <f t="shared" si="68"/>
        <v>#N/A</v>
      </c>
    </row>
    <row r="422" spans="2:11" x14ac:dyDescent="0.25">
      <c r="B422" s="22" t="str">
        <f t="shared" si="64"/>
        <v>Child Functioning -- Child #1</v>
      </c>
      <c r="C422" s="22" t="str">
        <f t="shared" si="69"/>
        <v>1</v>
      </c>
      <c r="D422" s="22" t="str">
        <f t="shared" si="70"/>
        <v>SB</v>
      </c>
      <c r="E422" s="22">
        <f t="shared" si="71"/>
        <v>3</v>
      </c>
      <c r="F422" s="22">
        <f t="shared" si="72"/>
        <v>85</v>
      </c>
      <c r="G422" s="22" t="str">
        <f t="shared" si="65"/>
        <v>Sleeping</v>
      </c>
      <c r="H422" s="22" t="str">
        <f t="shared" si="73"/>
        <v>SleepingSB1</v>
      </c>
      <c r="I422" s="20" t="e">
        <f t="shared" si="66"/>
        <v>#N/A</v>
      </c>
      <c r="J422" s="20" t="e">
        <f t="shared" si="67"/>
        <v>#N/A</v>
      </c>
      <c r="K422" s="20" t="e">
        <f t="shared" si="68"/>
        <v>#N/A</v>
      </c>
    </row>
    <row r="423" spans="2:11" x14ac:dyDescent="0.25">
      <c r="B423" s="22" t="str">
        <f t="shared" si="64"/>
        <v>Child Functioning -- Child #1</v>
      </c>
      <c r="C423" s="22" t="str">
        <f t="shared" si="69"/>
        <v>1</v>
      </c>
      <c r="D423" s="22" t="str">
        <f t="shared" si="70"/>
        <v>SB</v>
      </c>
      <c r="E423" s="22">
        <f t="shared" si="71"/>
        <v>3</v>
      </c>
      <c r="F423" s="22">
        <f t="shared" si="72"/>
        <v>86</v>
      </c>
      <c r="G423" s="22" t="str">
        <f t="shared" si="65"/>
        <v>Cognitive Skills</v>
      </c>
      <c r="H423" s="22" t="str">
        <f t="shared" si="73"/>
        <v>Cognitive SkillsSB1</v>
      </c>
      <c r="I423" s="20" t="e">
        <f t="shared" si="66"/>
        <v>#N/A</v>
      </c>
      <c r="J423" s="20" t="e">
        <f t="shared" si="67"/>
        <v>#N/A</v>
      </c>
      <c r="K423" s="20" t="e">
        <f t="shared" si="68"/>
        <v>#N/A</v>
      </c>
    </row>
    <row r="424" spans="2:11" x14ac:dyDescent="0.25">
      <c r="B424" s="22" t="str">
        <f t="shared" si="64"/>
        <v>Child Functioning -- Child #1</v>
      </c>
      <c r="C424" s="22" t="str">
        <f t="shared" si="69"/>
        <v>1</v>
      </c>
      <c r="D424" s="22" t="str">
        <f t="shared" si="70"/>
        <v>SB</v>
      </c>
      <c r="E424" s="22">
        <f t="shared" si="71"/>
        <v>3</v>
      </c>
      <c r="F424" s="22">
        <f t="shared" si="72"/>
        <v>87</v>
      </c>
      <c r="G424" s="22" t="str">
        <f t="shared" si="65"/>
        <v>Social Functioning</v>
      </c>
      <c r="H424" s="22" t="str">
        <f t="shared" si="73"/>
        <v>Social FunctioningSB1</v>
      </c>
      <c r="I424" s="20" t="e">
        <f t="shared" si="66"/>
        <v>#N/A</v>
      </c>
      <c r="J424" s="20" t="e">
        <f t="shared" si="67"/>
        <v>#N/A</v>
      </c>
      <c r="K424" s="20" t="e">
        <f t="shared" si="68"/>
        <v>#N/A</v>
      </c>
    </row>
    <row r="425" spans="2:11" x14ac:dyDescent="0.25">
      <c r="B425" s="22" t="str">
        <f t="shared" si="64"/>
        <v>Child Functioning -- Child #1</v>
      </c>
      <c r="C425" s="22" t="str">
        <f t="shared" si="69"/>
        <v>1</v>
      </c>
      <c r="D425" s="22" t="str">
        <f t="shared" si="70"/>
        <v>SB</v>
      </c>
      <c r="E425" s="22">
        <f t="shared" si="71"/>
        <v>3</v>
      </c>
      <c r="F425" s="22">
        <f t="shared" si="72"/>
        <v>88</v>
      </c>
      <c r="G425" s="22" t="str">
        <f t="shared" si="65"/>
        <v>Educational Status</v>
      </c>
      <c r="H425" s="22" t="str">
        <f t="shared" si="73"/>
        <v>Educational StatusSB1</v>
      </c>
      <c r="I425" s="20" t="e">
        <f t="shared" si="66"/>
        <v>#N/A</v>
      </c>
      <c r="J425" s="20" t="e">
        <f t="shared" si="67"/>
        <v>#N/A</v>
      </c>
      <c r="K425" s="20" t="e">
        <f t="shared" si="68"/>
        <v>#N/A</v>
      </c>
    </row>
    <row r="426" spans="2:11" x14ac:dyDescent="0.25">
      <c r="B426" s="22" t="str">
        <f t="shared" si="64"/>
        <v>Child Functioning -- Child #1</v>
      </c>
      <c r="C426" s="22" t="str">
        <f t="shared" si="69"/>
        <v>1</v>
      </c>
      <c r="D426" s="22" t="str">
        <f t="shared" si="70"/>
        <v>SB</v>
      </c>
      <c r="E426" s="22">
        <f t="shared" si="71"/>
        <v>3</v>
      </c>
      <c r="F426" s="22">
        <f t="shared" si="72"/>
        <v>89</v>
      </c>
      <c r="G426" s="22" t="str">
        <f t="shared" si="65"/>
        <v>Risk Behaviors</v>
      </c>
      <c r="H426" s="22" t="str">
        <f t="shared" si="73"/>
        <v>Risk BehaviorsSB1</v>
      </c>
      <c r="I426" s="20" t="e">
        <f t="shared" si="66"/>
        <v>#N/A</v>
      </c>
      <c r="J426" s="20" t="e">
        <f t="shared" si="67"/>
        <v>#N/A</v>
      </c>
      <c r="K426" s="20" t="e">
        <f t="shared" si="68"/>
        <v>#N/A</v>
      </c>
    </row>
    <row r="427" spans="2:11" x14ac:dyDescent="0.25">
      <c r="B427" s="22" t="str">
        <f t="shared" si="64"/>
        <v>Child Functioning -- Child #2</v>
      </c>
      <c r="C427" s="22" t="str">
        <f t="shared" si="69"/>
        <v>2</v>
      </c>
      <c r="D427" s="22" t="str">
        <f t="shared" si="70"/>
        <v>SB</v>
      </c>
      <c r="E427" s="22">
        <f t="shared" si="71"/>
        <v>3</v>
      </c>
      <c r="F427" s="22">
        <f t="shared" si="72"/>
        <v>90</v>
      </c>
      <c r="G427" s="22" t="str">
        <f t="shared" si="65"/>
        <v>Mental Health Needs</v>
      </c>
      <c r="H427" s="22" t="str">
        <f t="shared" si="73"/>
        <v>Mental Health NeedsSB2</v>
      </c>
      <c r="I427" s="20" t="e">
        <f t="shared" si="66"/>
        <v>#N/A</v>
      </c>
      <c r="J427" s="20" t="e">
        <f t="shared" si="67"/>
        <v>#N/A</v>
      </c>
      <c r="K427" s="20" t="e">
        <f t="shared" si="68"/>
        <v>#N/A</v>
      </c>
    </row>
    <row r="428" spans="2:11" x14ac:dyDescent="0.25">
      <c r="B428" s="22" t="str">
        <f t="shared" si="64"/>
        <v>Child Functioning -- Child #2</v>
      </c>
      <c r="C428" s="22" t="str">
        <f t="shared" si="69"/>
        <v>2</v>
      </c>
      <c r="D428" s="22" t="str">
        <f t="shared" si="70"/>
        <v>SB</v>
      </c>
      <c r="E428" s="22">
        <f t="shared" si="71"/>
        <v>3</v>
      </c>
      <c r="F428" s="22">
        <f t="shared" si="72"/>
        <v>91</v>
      </c>
      <c r="G428" s="22" t="str">
        <f t="shared" si="65"/>
        <v>Adjustment to Trauma</v>
      </c>
      <c r="H428" s="22" t="str">
        <f t="shared" si="73"/>
        <v>Adjustment to TraumaSB2</v>
      </c>
      <c r="I428" s="20" t="e">
        <f t="shared" si="66"/>
        <v>#N/A</v>
      </c>
      <c r="J428" s="20" t="e">
        <f t="shared" si="67"/>
        <v>#N/A</v>
      </c>
      <c r="K428" s="20" t="e">
        <f t="shared" si="68"/>
        <v>#N/A</v>
      </c>
    </row>
    <row r="429" spans="2:11" x14ac:dyDescent="0.25">
      <c r="B429" s="22" t="str">
        <f t="shared" si="64"/>
        <v>Child Functioning -- Child #2</v>
      </c>
      <c r="C429" s="22" t="str">
        <f t="shared" si="69"/>
        <v>2</v>
      </c>
      <c r="D429" s="22" t="str">
        <f t="shared" si="70"/>
        <v>SB</v>
      </c>
      <c r="E429" s="22">
        <f t="shared" si="71"/>
        <v>3</v>
      </c>
      <c r="F429" s="22">
        <f t="shared" si="72"/>
        <v>92</v>
      </c>
      <c r="G429" s="22" t="str">
        <f t="shared" si="65"/>
        <v>Recreation / Play</v>
      </c>
      <c r="H429" s="22" t="str">
        <f t="shared" si="73"/>
        <v>Recreation / PlaySB2</v>
      </c>
      <c r="I429" s="20" t="e">
        <f t="shared" si="66"/>
        <v>#N/A</v>
      </c>
      <c r="J429" s="20" t="e">
        <f t="shared" si="67"/>
        <v>#N/A</v>
      </c>
      <c r="K429" s="20" t="e">
        <f t="shared" si="68"/>
        <v>#N/A</v>
      </c>
    </row>
    <row r="430" spans="2:11" x14ac:dyDescent="0.25">
      <c r="B430" s="22" t="str">
        <f t="shared" si="64"/>
        <v>Child Functioning -- Child #2</v>
      </c>
      <c r="C430" s="22" t="str">
        <f t="shared" si="69"/>
        <v>2</v>
      </c>
      <c r="D430" s="22" t="str">
        <f t="shared" si="70"/>
        <v>SB</v>
      </c>
      <c r="E430" s="22">
        <f t="shared" si="71"/>
        <v>3</v>
      </c>
      <c r="F430" s="22">
        <f t="shared" si="72"/>
        <v>93</v>
      </c>
      <c r="G430" s="22" t="str">
        <f t="shared" si="65"/>
        <v>Attachment – Birth to 5</v>
      </c>
      <c r="H430" s="22" t="str">
        <f t="shared" si="73"/>
        <v>Attachment – Birth to 5SB2</v>
      </c>
      <c r="I430" s="20" t="e">
        <f t="shared" si="66"/>
        <v>#N/A</v>
      </c>
      <c r="J430" s="20" t="e">
        <f t="shared" si="67"/>
        <v>#N/A</v>
      </c>
      <c r="K430" s="20" t="e">
        <f t="shared" si="68"/>
        <v>#N/A</v>
      </c>
    </row>
    <row r="431" spans="2:11" x14ac:dyDescent="0.25">
      <c r="B431" s="22" t="str">
        <f t="shared" si="64"/>
        <v>Child Functioning -- Child #2</v>
      </c>
      <c r="C431" s="22" t="str">
        <f t="shared" si="69"/>
        <v>2</v>
      </c>
      <c r="D431" s="22" t="str">
        <f t="shared" si="70"/>
        <v>SB</v>
      </c>
      <c r="E431" s="22">
        <f t="shared" si="71"/>
        <v>3</v>
      </c>
      <c r="F431" s="22">
        <f t="shared" si="72"/>
        <v>94</v>
      </c>
      <c r="G431" s="22" t="str">
        <f t="shared" si="65"/>
        <v>Relationship with Biological Mother</v>
      </c>
      <c r="H431" s="22" t="str">
        <f t="shared" si="73"/>
        <v>Relationship with Biological MotherSB2</v>
      </c>
      <c r="I431" s="20" t="e">
        <f t="shared" si="66"/>
        <v>#N/A</v>
      </c>
      <c r="J431" s="20" t="e">
        <f t="shared" si="67"/>
        <v>#N/A</v>
      </c>
      <c r="K431" s="20" t="e">
        <f t="shared" si="68"/>
        <v>#N/A</v>
      </c>
    </row>
    <row r="432" spans="2:11" x14ac:dyDescent="0.25">
      <c r="B432" s="22" t="str">
        <f t="shared" si="64"/>
        <v>Child Functioning -- Child #2</v>
      </c>
      <c r="C432" s="22" t="str">
        <f t="shared" si="69"/>
        <v>2</v>
      </c>
      <c r="D432" s="22" t="str">
        <f t="shared" si="70"/>
        <v>SB</v>
      </c>
      <c r="E432" s="22">
        <f t="shared" si="71"/>
        <v>3</v>
      </c>
      <c r="F432" s="22">
        <f t="shared" si="72"/>
        <v>95</v>
      </c>
      <c r="G432" s="22" t="str">
        <f t="shared" si="65"/>
        <v>Relationship with Biological Father</v>
      </c>
      <c r="H432" s="22" t="str">
        <f t="shared" si="73"/>
        <v>Relationship with Biological FatherSB2</v>
      </c>
      <c r="I432" s="20" t="e">
        <f t="shared" si="66"/>
        <v>#N/A</v>
      </c>
      <c r="J432" s="20" t="e">
        <f t="shared" si="67"/>
        <v>#N/A</v>
      </c>
      <c r="K432" s="20" t="e">
        <f t="shared" si="68"/>
        <v>#N/A</v>
      </c>
    </row>
    <row r="433" spans="2:11" x14ac:dyDescent="0.25">
      <c r="B433" s="22" t="str">
        <f t="shared" si="64"/>
        <v>Child Functioning -- Child #2</v>
      </c>
      <c r="C433" s="22" t="str">
        <f t="shared" si="69"/>
        <v>2</v>
      </c>
      <c r="D433" s="22" t="str">
        <f t="shared" si="70"/>
        <v>SB</v>
      </c>
      <c r="E433" s="22">
        <f t="shared" si="71"/>
        <v>3</v>
      </c>
      <c r="F433" s="22">
        <f t="shared" si="72"/>
        <v>96</v>
      </c>
      <c r="G433" s="22" t="str">
        <f t="shared" si="65"/>
        <v>Relationship with Primary Caregiver</v>
      </c>
      <c r="H433" s="22" t="str">
        <f t="shared" si="73"/>
        <v>Relationship with Primary CaregiverSB2</v>
      </c>
      <c r="I433" s="20" t="e">
        <f t="shared" si="66"/>
        <v>#N/A</v>
      </c>
      <c r="J433" s="20" t="e">
        <f t="shared" si="67"/>
        <v>#N/A</v>
      </c>
      <c r="K433" s="20" t="e">
        <f t="shared" si="68"/>
        <v>#N/A</v>
      </c>
    </row>
    <row r="434" spans="2:11" x14ac:dyDescent="0.25">
      <c r="B434" s="22" t="str">
        <f t="shared" si="64"/>
        <v>Child Functioning -- Child #2</v>
      </c>
      <c r="C434" s="22" t="str">
        <f t="shared" si="69"/>
        <v>2</v>
      </c>
      <c r="D434" s="22" t="str">
        <f t="shared" si="70"/>
        <v>SB</v>
      </c>
      <c r="E434" s="22">
        <f t="shared" si="71"/>
        <v>3</v>
      </c>
      <c r="F434" s="22">
        <f t="shared" si="72"/>
        <v>97</v>
      </c>
      <c r="G434" s="22" t="str">
        <f t="shared" si="65"/>
        <v>Relationship with Other Family Adults</v>
      </c>
      <c r="H434" s="22" t="str">
        <f t="shared" si="73"/>
        <v>Relationship with Other Family AdultsSB2</v>
      </c>
      <c r="I434" s="20" t="e">
        <f t="shared" si="66"/>
        <v>#N/A</v>
      </c>
      <c r="J434" s="20" t="e">
        <f t="shared" si="67"/>
        <v>#N/A</v>
      </c>
      <c r="K434" s="20" t="e">
        <f t="shared" si="68"/>
        <v>#N/A</v>
      </c>
    </row>
    <row r="435" spans="2:11" x14ac:dyDescent="0.25">
      <c r="B435" s="22" t="str">
        <f t="shared" si="64"/>
        <v>Child Functioning -- Child #2</v>
      </c>
      <c r="C435" s="22" t="str">
        <f t="shared" si="69"/>
        <v>2</v>
      </c>
      <c r="D435" s="22" t="str">
        <f t="shared" si="70"/>
        <v>SB</v>
      </c>
      <c r="E435" s="22">
        <f t="shared" si="71"/>
        <v>3</v>
      </c>
      <c r="F435" s="22">
        <f t="shared" si="72"/>
        <v>98</v>
      </c>
      <c r="G435" s="22" t="str">
        <f t="shared" si="65"/>
        <v>Relationship with Siblings</v>
      </c>
      <c r="H435" s="22" t="str">
        <f t="shared" si="73"/>
        <v>Relationship with SiblingsSB2</v>
      </c>
      <c r="I435" s="20" t="e">
        <f t="shared" si="66"/>
        <v>#N/A</v>
      </c>
      <c r="J435" s="20" t="e">
        <f t="shared" si="67"/>
        <v>#N/A</v>
      </c>
      <c r="K435" s="20" t="e">
        <f t="shared" si="68"/>
        <v>#N/A</v>
      </c>
    </row>
    <row r="436" spans="2:11" x14ac:dyDescent="0.25">
      <c r="B436" s="22" t="str">
        <f t="shared" si="64"/>
        <v>Child Functioning -- Child #2</v>
      </c>
      <c r="C436" s="22" t="str">
        <f t="shared" si="69"/>
        <v>2</v>
      </c>
      <c r="D436" s="22" t="str">
        <f t="shared" si="70"/>
        <v>SB</v>
      </c>
      <c r="E436" s="22">
        <f t="shared" si="71"/>
        <v>3</v>
      </c>
      <c r="F436" s="22">
        <f t="shared" si="72"/>
        <v>99</v>
      </c>
      <c r="G436" s="22" t="str">
        <f t="shared" si="65"/>
        <v>Medical / Physical</v>
      </c>
      <c r="H436" s="22" t="str">
        <f t="shared" si="73"/>
        <v>Medical / PhysicalSB2</v>
      </c>
      <c r="I436" s="20" t="e">
        <f t="shared" si="66"/>
        <v>#N/A</v>
      </c>
      <c r="J436" s="20" t="e">
        <f t="shared" si="67"/>
        <v>#N/A</v>
      </c>
      <c r="K436" s="20" t="e">
        <f t="shared" si="68"/>
        <v>#N/A</v>
      </c>
    </row>
    <row r="437" spans="2:11" x14ac:dyDescent="0.25">
      <c r="B437" s="22" t="str">
        <f t="shared" si="64"/>
        <v>Child Functioning -- Child #2</v>
      </c>
      <c r="C437" s="22" t="str">
        <f t="shared" si="69"/>
        <v>2</v>
      </c>
      <c r="D437" s="22" t="str">
        <f t="shared" si="70"/>
        <v>SB</v>
      </c>
      <c r="E437" s="22">
        <f t="shared" si="71"/>
        <v>3</v>
      </c>
      <c r="F437" s="22">
        <f t="shared" si="72"/>
        <v>100</v>
      </c>
      <c r="G437" s="22" t="str">
        <f t="shared" si="65"/>
        <v>Sleeping</v>
      </c>
      <c r="H437" s="22" t="str">
        <f t="shared" si="73"/>
        <v>SleepingSB2</v>
      </c>
      <c r="I437" s="20" t="e">
        <f t="shared" si="66"/>
        <v>#N/A</v>
      </c>
      <c r="J437" s="20" t="e">
        <f t="shared" si="67"/>
        <v>#N/A</v>
      </c>
      <c r="K437" s="20" t="e">
        <f t="shared" si="68"/>
        <v>#N/A</v>
      </c>
    </row>
    <row r="438" spans="2:11" x14ac:dyDescent="0.25">
      <c r="B438" s="22" t="str">
        <f t="shared" si="64"/>
        <v>Child Functioning -- Child #2</v>
      </c>
      <c r="C438" s="22" t="str">
        <f t="shared" si="69"/>
        <v>2</v>
      </c>
      <c r="D438" s="22" t="str">
        <f t="shared" si="70"/>
        <v>SB</v>
      </c>
      <c r="E438" s="22">
        <f t="shared" si="71"/>
        <v>3</v>
      </c>
      <c r="F438" s="22">
        <f t="shared" si="72"/>
        <v>101</v>
      </c>
      <c r="G438" s="22" t="str">
        <f t="shared" si="65"/>
        <v>Cognitive Skills</v>
      </c>
      <c r="H438" s="22" t="str">
        <f t="shared" si="73"/>
        <v>Cognitive SkillsSB2</v>
      </c>
      <c r="I438" s="20" t="e">
        <f t="shared" si="66"/>
        <v>#N/A</v>
      </c>
      <c r="J438" s="20" t="e">
        <f t="shared" si="67"/>
        <v>#N/A</v>
      </c>
      <c r="K438" s="20" t="e">
        <f t="shared" si="68"/>
        <v>#N/A</v>
      </c>
    </row>
    <row r="439" spans="2:11" x14ac:dyDescent="0.25">
      <c r="B439" s="22" t="str">
        <f t="shared" si="64"/>
        <v>Child Functioning -- Child #2</v>
      </c>
      <c r="C439" s="22" t="str">
        <f t="shared" si="69"/>
        <v>2</v>
      </c>
      <c r="D439" s="22" t="str">
        <f t="shared" si="70"/>
        <v>SB</v>
      </c>
      <c r="E439" s="22">
        <f t="shared" si="71"/>
        <v>3</v>
      </c>
      <c r="F439" s="22">
        <f t="shared" si="72"/>
        <v>102</v>
      </c>
      <c r="G439" s="22" t="str">
        <f t="shared" si="65"/>
        <v>Social Functioning</v>
      </c>
      <c r="H439" s="22" t="str">
        <f t="shared" si="73"/>
        <v>Social FunctioningSB2</v>
      </c>
      <c r="I439" s="20" t="e">
        <f t="shared" si="66"/>
        <v>#N/A</v>
      </c>
      <c r="J439" s="20" t="e">
        <f t="shared" si="67"/>
        <v>#N/A</v>
      </c>
      <c r="K439" s="20" t="e">
        <f t="shared" si="68"/>
        <v>#N/A</v>
      </c>
    </row>
    <row r="440" spans="2:11" x14ac:dyDescent="0.25">
      <c r="B440" s="22" t="str">
        <f t="shared" si="64"/>
        <v>Child Functioning -- Child #2</v>
      </c>
      <c r="C440" s="22" t="str">
        <f t="shared" si="69"/>
        <v>2</v>
      </c>
      <c r="D440" s="22" t="str">
        <f t="shared" si="70"/>
        <v>SB</v>
      </c>
      <c r="E440" s="22">
        <f t="shared" si="71"/>
        <v>3</v>
      </c>
      <c r="F440" s="22">
        <f t="shared" si="72"/>
        <v>103</v>
      </c>
      <c r="G440" s="22" t="str">
        <f t="shared" si="65"/>
        <v>Educational Status</v>
      </c>
      <c r="H440" s="22" t="str">
        <f t="shared" si="73"/>
        <v>Educational StatusSB2</v>
      </c>
      <c r="I440" s="20" t="e">
        <f t="shared" si="66"/>
        <v>#N/A</v>
      </c>
      <c r="J440" s="20" t="e">
        <f t="shared" si="67"/>
        <v>#N/A</v>
      </c>
      <c r="K440" s="20" t="e">
        <f t="shared" si="68"/>
        <v>#N/A</v>
      </c>
    </row>
    <row r="441" spans="2:11" x14ac:dyDescent="0.25">
      <c r="B441" s="22" t="str">
        <f t="shared" si="64"/>
        <v>Child Functioning -- Child #2</v>
      </c>
      <c r="C441" s="22" t="str">
        <f t="shared" si="69"/>
        <v>2</v>
      </c>
      <c r="D441" s="22" t="str">
        <f t="shared" si="70"/>
        <v>SB</v>
      </c>
      <c r="E441" s="22">
        <f t="shared" si="71"/>
        <v>3</v>
      </c>
      <c r="F441" s="22">
        <f t="shared" si="72"/>
        <v>104</v>
      </c>
      <c r="G441" s="22" t="str">
        <f t="shared" si="65"/>
        <v>Risk Behaviors</v>
      </c>
      <c r="H441" s="22" t="str">
        <f t="shared" si="73"/>
        <v>Risk BehaviorsSB2</v>
      </c>
      <c r="I441" s="20" t="e">
        <f t="shared" si="66"/>
        <v>#N/A</v>
      </c>
      <c r="J441" s="20" t="e">
        <f t="shared" si="67"/>
        <v>#N/A</v>
      </c>
      <c r="K441" s="20" t="e">
        <f t="shared" si="68"/>
        <v>#N/A</v>
      </c>
    </row>
    <row r="442" spans="2:11" x14ac:dyDescent="0.25">
      <c r="B442" s="22" t="str">
        <f t="shared" si="64"/>
        <v>Child Functioning -- Child #3</v>
      </c>
      <c r="C442" s="22" t="str">
        <f t="shared" si="69"/>
        <v>3</v>
      </c>
      <c r="D442" s="22" t="str">
        <f t="shared" si="70"/>
        <v>SB</v>
      </c>
      <c r="E442" s="22">
        <f t="shared" si="71"/>
        <v>3</v>
      </c>
      <c r="F442" s="22">
        <f t="shared" si="72"/>
        <v>105</v>
      </c>
      <c r="G442" s="22" t="str">
        <f t="shared" si="65"/>
        <v>Mental Health Needs</v>
      </c>
      <c r="H442" s="22" t="str">
        <f t="shared" si="73"/>
        <v>Mental Health NeedsSB3</v>
      </c>
      <c r="I442" s="20" t="e">
        <f t="shared" si="66"/>
        <v>#N/A</v>
      </c>
      <c r="J442" s="20" t="e">
        <f t="shared" si="67"/>
        <v>#N/A</v>
      </c>
      <c r="K442" s="20" t="e">
        <f t="shared" si="68"/>
        <v>#N/A</v>
      </c>
    </row>
    <row r="443" spans="2:11" x14ac:dyDescent="0.25">
      <c r="B443" s="22" t="str">
        <f t="shared" si="64"/>
        <v>Child Functioning -- Child #3</v>
      </c>
      <c r="C443" s="22" t="str">
        <f t="shared" si="69"/>
        <v>3</v>
      </c>
      <c r="D443" s="22" t="str">
        <f t="shared" si="70"/>
        <v>SB</v>
      </c>
      <c r="E443" s="22">
        <f t="shared" si="71"/>
        <v>3</v>
      </c>
      <c r="F443" s="22">
        <f t="shared" si="72"/>
        <v>106</v>
      </c>
      <c r="G443" s="22" t="str">
        <f t="shared" si="65"/>
        <v>Adjustment to Trauma</v>
      </c>
      <c r="H443" s="22" t="str">
        <f t="shared" si="73"/>
        <v>Adjustment to TraumaSB3</v>
      </c>
      <c r="I443" s="20" t="e">
        <f t="shared" si="66"/>
        <v>#N/A</v>
      </c>
      <c r="J443" s="20" t="e">
        <f t="shared" si="67"/>
        <v>#N/A</v>
      </c>
      <c r="K443" s="20" t="e">
        <f t="shared" si="68"/>
        <v>#N/A</v>
      </c>
    </row>
    <row r="444" spans="2:11" x14ac:dyDescent="0.25">
      <c r="B444" s="22" t="str">
        <f t="shared" si="64"/>
        <v>Child Functioning -- Child #3</v>
      </c>
      <c r="C444" s="22" t="str">
        <f t="shared" si="69"/>
        <v>3</v>
      </c>
      <c r="D444" s="22" t="str">
        <f t="shared" si="70"/>
        <v>SB</v>
      </c>
      <c r="E444" s="22">
        <f t="shared" si="71"/>
        <v>3</v>
      </c>
      <c r="F444" s="22">
        <f t="shared" si="72"/>
        <v>107</v>
      </c>
      <c r="G444" s="22" t="str">
        <f t="shared" si="65"/>
        <v>Recreation / Play</v>
      </c>
      <c r="H444" s="22" t="str">
        <f t="shared" si="73"/>
        <v>Recreation / PlaySB3</v>
      </c>
      <c r="I444" s="20" t="e">
        <f t="shared" si="66"/>
        <v>#N/A</v>
      </c>
      <c r="J444" s="20" t="e">
        <f t="shared" si="67"/>
        <v>#N/A</v>
      </c>
      <c r="K444" s="20" t="e">
        <f t="shared" si="68"/>
        <v>#N/A</v>
      </c>
    </row>
    <row r="445" spans="2:11" x14ac:dyDescent="0.25">
      <c r="B445" s="22" t="str">
        <f t="shared" si="64"/>
        <v>Child Functioning -- Child #3</v>
      </c>
      <c r="C445" s="22" t="str">
        <f t="shared" si="69"/>
        <v>3</v>
      </c>
      <c r="D445" s="22" t="str">
        <f t="shared" si="70"/>
        <v>SB</v>
      </c>
      <c r="E445" s="22">
        <f t="shared" si="71"/>
        <v>3</v>
      </c>
      <c r="F445" s="22">
        <f t="shared" si="72"/>
        <v>108</v>
      </c>
      <c r="G445" s="22" t="str">
        <f t="shared" si="65"/>
        <v>Attachment – Birth to 5</v>
      </c>
      <c r="H445" s="22" t="str">
        <f t="shared" si="73"/>
        <v>Attachment – Birth to 5SB3</v>
      </c>
      <c r="I445" s="20" t="e">
        <f t="shared" si="66"/>
        <v>#N/A</v>
      </c>
      <c r="J445" s="20" t="e">
        <f t="shared" si="67"/>
        <v>#N/A</v>
      </c>
      <c r="K445" s="20" t="e">
        <f t="shared" si="68"/>
        <v>#N/A</v>
      </c>
    </row>
    <row r="446" spans="2:11" x14ac:dyDescent="0.25">
      <c r="B446" s="22" t="str">
        <f t="shared" si="64"/>
        <v>Child Functioning -- Child #3</v>
      </c>
      <c r="C446" s="22" t="str">
        <f t="shared" si="69"/>
        <v>3</v>
      </c>
      <c r="D446" s="22" t="str">
        <f t="shared" si="70"/>
        <v>SB</v>
      </c>
      <c r="E446" s="22">
        <f t="shared" si="71"/>
        <v>3</v>
      </c>
      <c r="F446" s="22">
        <f t="shared" si="72"/>
        <v>109</v>
      </c>
      <c r="G446" s="22" t="str">
        <f t="shared" si="65"/>
        <v>Relationship with Biological Mother</v>
      </c>
      <c r="H446" s="22" t="str">
        <f t="shared" si="73"/>
        <v>Relationship with Biological MotherSB3</v>
      </c>
      <c r="I446" s="20" t="e">
        <f t="shared" si="66"/>
        <v>#N/A</v>
      </c>
      <c r="J446" s="20" t="e">
        <f t="shared" si="67"/>
        <v>#N/A</v>
      </c>
      <c r="K446" s="20" t="e">
        <f t="shared" si="68"/>
        <v>#N/A</v>
      </c>
    </row>
    <row r="447" spans="2:11" x14ac:dyDescent="0.25">
      <c r="B447" s="22" t="str">
        <f t="shared" si="64"/>
        <v>Child Functioning -- Child #3</v>
      </c>
      <c r="C447" s="22" t="str">
        <f t="shared" si="69"/>
        <v>3</v>
      </c>
      <c r="D447" s="22" t="str">
        <f t="shared" si="70"/>
        <v>SB</v>
      </c>
      <c r="E447" s="22">
        <f t="shared" si="71"/>
        <v>3</v>
      </c>
      <c r="F447" s="22">
        <f t="shared" si="72"/>
        <v>110</v>
      </c>
      <c r="G447" s="22" t="str">
        <f t="shared" si="65"/>
        <v>Relationship with Biological Father</v>
      </c>
      <c r="H447" s="22" t="str">
        <f t="shared" si="73"/>
        <v>Relationship with Biological FatherSB3</v>
      </c>
      <c r="I447" s="20" t="e">
        <f t="shared" si="66"/>
        <v>#N/A</v>
      </c>
      <c r="J447" s="20" t="e">
        <f t="shared" si="67"/>
        <v>#N/A</v>
      </c>
      <c r="K447" s="20" t="e">
        <f t="shared" si="68"/>
        <v>#N/A</v>
      </c>
    </row>
    <row r="448" spans="2:11" x14ac:dyDescent="0.25">
      <c r="B448" s="22" t="str">
        <f t="shared" si="64"/>
        <v>Child Functioning -- Child #3</v>
      </c>
      <c r="C448" s="22" t="str">
        <f t="shared" si="69"/>
        <v>3</v>
      </c>
      <c r="D448" s="22" t="str">
        <f t="shared" si="70"/>
        <v>SB</v>
      </c>
      <c r="E448" s="22">
        <f t="shared" si="71"/>
        <v>3</v>
      </c>
      <c r="F448" s="22">
        <f t="shared" si="72"/>
        <v>111</v>
      </c>
      <c r="G448" s="22" t="str">
        <f t="shared" si="65"/>
        <v>Relationship with Primary Caregiver</v>
      </c>
      <c r="H448" s="22" t="str">
        <f t="shared" si="73"/>
        <v>Relationship with Primary CaregiverSB3</v>
      </c>
      <c r="I448" s="20" t="e">
        <f t="shared" si="66"/>
        <v>#N/A</v>
      </c>
      <c r="J448" s="20" t="e">
        <f t="shared" si="67"/>
        <v>#N/A</v>
      </c>
      <c r="K448" s="20" t="e">
        <f t="shared" si="68"/>
        <v>#N/A</v>
      </c>
    </row>
    <row r="449" spans="2:11" x14ac:dyDescent="0.25">
      <c r="B449" s="22" t="str">
        <f t="shared" si="64"/>
        <v>Child Functioning -- Child #3</v>
      </c>
      <c r="C449" s="22" t="str">
        <f t="shared" si="69"/>
        <v>3</v>
      </c>
      <c r="D449" s="22" t="str">
        <f t="shared" si="70"/>
        <v>SB</v>
      </c>
      <c r="E449" s="22">
        <f t="shared" si="71"/>
        <v>3</v>
      </c>
      <c r="F449" s="22">
        <f t="shared" si="72"/>
        <v>112</v>
      </c>
      <c r="G449" s="22" t="str">
        <f t="shared" si="65"/>
        <v>Relationship with Other Family Adults</v>
      </c>
      <c r="H449" s="22" t="str">
        <f t="shared" si="73"/>
        <v>Relationship with Other Family AdultsSB3</v>
      </c>
      <c r="I449" s="20" t="e">
        <f t="shared" si="66"/>
        <v>#N/A</v>
      </c>
      <c r="J449" s="20" t="e">
        <f t="shared" si="67"/>
        <v>#N/A</v>
      </c>
      <c r="K449" s="20" t="e">
        <f t="shared" si="68"/>
        <v>#N/A</v>
      </c>
    </row>
    <row r="450" spans="2:11" x14ac:dyDescent="0.25">
      <c r="B450" s="22" t="str">
        <f t="shared" si="64"/>
        <v>Child Functioning -- Child #3</v>
      </c>
      <c r="C450" s="22" t="str">
        <f t="shared" si="69"/>
        <v>3</v>
      </c>
      <c r="D450" s="22" t="str">
        <f t="shared" si="70"/>
        <v>SB</v>
      </c>
      <c r="E450" s="22">
        <f t="shared" si="71"/>
        <v>3</v>
      </c>
      <c r="F450" s="22">
        <f t="shared" si="72"/>
        <v>113</v>
      </c>
      <c r="G450" s="22" t="str">
        <f t="shared" si="65"/>
        <v>Relationship with Siblings</v>
      </c>
      <c r="H450" s="22" t="str">
        <f t="shared" si="73"/>
        <v>Relationship with SiblingsSB3</v>
      </c>
      <c r="I450" s="20" t="e">
        <f t="shared" si="66"/>
        <v>#N/A</v>
      </c>
      <c r="J450" s="20" t="e">
        <f t="shared" si="67"/>
        <v>#N/A</v>
      </c>
      <c r="K450" s="20" t="e">
        <f t="shared" si="68"/>
        <v>#N/A</v>
      </c>
    </row>
    <row r="451" spans="2:11" x14ac:dyDescent="0.25">
      <c r="B451" s="22" t="str">
        <f t="shared" si="64"/>
        <v>Child Functioning -- Child #3</v>
      </c>
      <c r="C451" s="22" t="str">
        <f t="shared" si="69"/>
        <v>3</v>
      </c>
      <c r="D451" s="22" t="str">
        <f t="shared" si="70"/>
        <v>SB</v>
      </c>
      <c r="E451" s="22">
        <f t="shared" si="71"/>
        <v>3</v>
      </c>
      <c r="F451" s="22">
        <f t="shared" si="72"/>
        <v>114</v>
      </c>
      <c r="G451" s="22" t="str">
        <f t="shared" si="65"/>
        <v>Medical / Physical</v>
      </c>
      <c r="H451" s="22" t="str">
        <f t="shared" si="73"/>
        <v>Medical / PhysicalSB3</v>
      </c>
      <c r="I451" s="20" t="e">
        <f t="shared" si="66"/>
        <v>#N/A</v>
      </c>
      <c r="J451" s="20" t="e">
        <f t="shared" si="67"/>
        <v>#N/A</v>
      </c>
      <c r="K451" s="20" t="e">
        <f t="shared" si="68"/>
        <v>#N/A</v>
      </c>
    </row>
    <row r="452" spans="2:11" x14ac:dyDescent="0.25">
      <c r="B452" s="22" t="str">
        <f t="shared" si="64"/>
        <v>Child Functioning -- Child #3</v>
      </c>
      <c r="C452" s="22" t="str">
        <f t="shared" si="69"/>
        <v>3</v>
      </c>
      <c r="D452" s="22" t="str">
        <f t="shared" si="70"/>
        <v>SB</v>
      </c>
      <c r="E452" s="22">
        <f t="shared" si="71"/>
        <v>3</v>
      </c>
      <c r="F452" s="22">
        <f t="shared" si="72"/>
        <v>115</v>
      </c>
      <c r="G452" s="22" t="str">
        <f t="shared" si="65"/>
        <v>Sleeping</v>
      </c>
      <c r="H452" s="22" t="str">
        <f t="shared" si="73"/>
        <v>SleepingSB3</v>
      </c>
      <c r="I452" s="20" t="e">
        <f t="shared" si="66"/>
        <v>#N/A</v>
      </c>
      <c r="J452" s="20" t="e">
        <f t="shared" si="67"/>
        <v>#N/A</v>
      </c>
      <c r="K452" s="20" t="e">
        <f t="shared" si="68"/>
        <v>#N/A</v>
      </c>
    </row>
    <row r="453" spans="2:11" x14ac:dyDescent="0.25">
      <c r="B453" s="22" t="str">
        <f t="shared" si="64"/>
        <v>Child Functioning -- Child #3</v>
      </c>
      <c r="C453" s="22" t="str">
        <f t="shared" si="69"/>
        <v>3</v>
      </c>
      <c r="D453" s="22" t="str">
        <f t="shared" si="70"/>
        <v>SB</v>
      </c>
      <c r="E453" s="22">
        <f t="shared" si="71"/>
        <v>3</v>
      </c>
      <c r="F453" s="22">
        <f t="shared" si="72"/>
        <v>116</v>
      </c>
      <c r="G453" s="22" t="str">
        <f t="shared" si="65"/>
        <v>Cognitive Skills</v>
      </c>
      <c r="H453" s="22" t="str">
        <f t="shared" si="73"/>
        <v>Cognitive SkillsSB3</v>
      </c>
      <c r="I453" s="20" t="e">
        <f t="shared" si="66"/>
        <v>#N/A</v>
      </c>
      <c r="J453" s="20" t="e">
        <f t="shared" si="67"/>
        <v>#N/A</v>
      </c>
      <c r="K453" s="20" t="e">
        <f t="shared" si="68"/>
        <v>#N/A</v>
      </c>
    </row>
    <row r="454" spans="2:11" x14ac:dyDescent="0.25">
      <c r="B454" s="22" t="str">
        <f t="shared" si="64"/>
        <v>Child Functioning -- Child #3</v>
      </c>
      <c r="C454" s="22" t="str">
        <f t="shared" si="69"/>
        <v>3</v>
      </c>
      <c r="D454" s="22" t="str">
        <f t="shared" si="70"/>
        <v>SB</v>
      </c>
      <c r="E454" s="22">
        <f t="shared" si="71"/>
        <v>3</v>
      </c>
      <c r="F454" s="22">
        <f t="shared" si="72"/>
        <v>117</v>
      </c>
      <c r="G454" s="22" t="str">
        <f t="shared" si="65"/>
        <v>Social Functioning</v>
      </c>
      <c r="H454" s="22" t="str">
        <f t="shared" si="73"/>
        <v>Social FunctioningSB3</v>
      </c>
      <c r="I454" s="20" t="e">
        <f t="shared" si="66"/>
        <v>#N/A</v>
      </c>
      <c r="J454" s="20" t="e">
        <f t="shared" si="67"/>
        <v>#N/A</v>
      </c>
      <c r="K454" s="20" t="e">
        <f t="shared" si="68"/>
        <v>#N/A</v>
      </c>
    </row>
    <row r="455" spans="2:11" x14ac:dyDescent="0.25">
      <c r="B455" s="22" t="str">
        <f t="shared" si="64"/>
        <v>Child Functioning -- Child #3</v>
      </c>
      <c r="C455" s="22" t="str">
        <f t="shared" si="69"/>
        <v>3</v>
      </c>
      <c r="D455" s="22" t="str">
        <f t="shared" si="70"/>
        <v>SB</v>
      </c>
      <c r="E455" s="22">
        <f t="shared" si="71"/>
        <v>3</v>
      </c>
      <c r="F455" s="22">
        <f t="shared" si="72"/>
        <v>118</v>
      </c>
      <c r="G455" s="22" t="str">
        <f t="shared" si="65"/>
        <v>Educational Status</v>
      </c>
      <c r="H455" s="22" t="str">
        <f t="shared" si="73"/>
        <v>Educational StatusSB3</v>
      </c>
      <c r="I455" s="20" t="e">
        <f t="shared" si="66"/>
        <v>#N/A</v>
      </c>
      <c r="J455" s="20" t="e">
        <f t="shared" si="67"/>
        <v>#N/A</v>
      </c>
      <c r="K455" s="20" t="e">
        <f t="shared" si="68"/>
        <v>#N/A</v>
      </c>
    </row>
    <row r="456" spans="2:11" x14ac:dyDescent="0.25">
      <c r="B456" s="22" t="str">
        <f t="shared" si="64"/>
        <v>Child Functioning -- Child #3</v>
      </c>
      <c r="C456" s="22" t="str">
        <f t="shared" si="69"/>
        <v>3</v>
      </c>
      <c r="D456" s="22" t="str">
        <f t="shared" si="70"/>
        <v>SB</v>
      </c>
      <c r="E456" s="22">
        <f t="shared" si="71"/>
        <v>3</v>
      </c>
      <c r="F456" s="22">
        <f t="shared" si="72"/>
        <v>119</v>
      </c>
      <c r="G456" s="22" t="str">
        <f t="shared" si="65"/>
        <v>Risk Behaviors</v>
      </c>
      <c r="H456" s="22" t="str">
        <f t="shared" si="73"/>
        <v>Risk BehaviorsSB3</v>
      </c>
      <c r="I456" s="20" t="e">
        <f t="shared" si="66"/>
        <v>#N/A</v>
      </c>
      <c r="J456" s="20" t="e">
        <f t="shared" si="67"/>
        <v>#N/A</v>
      </c>
      <c r="K456" s="20" t="e">
        <f t="shared" si="68"/>
        <v>#N/A</v>
      </c>
    </row>
    <row r="457" spans="2:11" x14ac:dyDescent="0.25">
      <c r="B457" s="22" t="str">
        <f t="shared" si="64"/>
        <v>Child Functioning -- Child #4</v>
      </c>
      <c r="C457" s="22" t="str">
        <f t="shared" si="69"/>
        <v>4</v>
      </c>
      <c r="D457" s="22" t="str">
        <f t="shared" si="70"/>
        <v>SB</v>
      </c>
      <c r="E457" s="22">
        <f t="shared" si="71"/>
        <v>3</v>
      </c>
      <c r="F457" s="22">
        <f t="shared" si="72"/>
        <v>120</v>
      </c>
      <c r="G457" s="22" t="str">
        <f t="shared" si="65"/>
        <v>Mental Health Needs</v>
      </c>
      <c r="H457" s="22" t="str">
        <f t="shared" si="73"/>
        <v>Mental Health NeedsSB4</v>
      </c>
      <c r="I457" s="20" t="e">
        <f t="shared" si="66"/>
        <v>#N/A</v>
      </c>
      <c r="J457" s="20" t="e">
        <f t="shared" si="67"/>
        <v>#N/A</v>
      </c>
      <c r="K457" s="20" t="e">
        <f t="shared" si="68"/>
        <v>#N/A</v>
      </c>
    </row>
    <row r="458" spans="2:11" x14ac:dyDescent="0.25">
      <c r="B458" s="22" t="str">
        <f t="shared" ref="B458:B501" si="74">INDEX(ItemDomain, MATCH(F458, ItemNum, 0))</f>
        <v>Child Functioning -- Child #4</v>
      </c>
      <c r="C458" s="22" t="str">
        <f t="shared" si="69"/>
        <v>4</v>
      </c>
      <c r="D458" s="22" t="str">
        <f t="shared" si="70"/>
        <v>SB</v>
      </c>
      <c r="E458" s="22">
        <f t="shared" si="71"/>
        <v>3</v>
      </c>
      <c r="F458" s="22">
        <f t="shared" si="72"/>
        <v>121</v>
      </c>
      <c r="G458" s="22" t="str">
        <f t="shared" ref="G458:G501" si="75">INDEX(ItemShort, MATCH(F458, ItemNum, 0))</f>
        <v>Adjustment to Trauma</v>
      </c>
      <c r="H458" s="22" t="str">
        <f t="shared" si="73"/>
        <v>Adjustment to TraumaSB4</v>
      </c>
      <c r="I458" s="20" t="e">
        <f t="shared" ref="I458:I501" si="76">INDEX(Assess, MATCH($F458, ItemNum, 0), MATCH(dateAssess1, DatesRow, 0)+CHOOSE($E458, 0, 2, 3))&amp;""</f>
        <v>#N/A</v>
      </c>
      <c r="J458" s="20" t="e">
        <f t="shared" ref="J458:J501" si="77">INDEX(Assess, MATCH($F458, ItemNum, 0), MATCH(dateAssess2, DatesRow, 0)+CHOOSE($E458, 0, 2, 3))&amp;""</f>
        <v>#N/A</v>
      </c>
      <c r="K458" s="20" t="e">
        <f t="shared" ref="K458:K501" si="78">INDEX(Assess, MATCH($F458, ItemNum, 0), MATCH(dateAssess3, DatesRow, 0)+CHOOSE($E458, 0, 2, 3))&amp;""</f>
        <v>#N/A</v>
      </c>
    </row>
    <row r="459" spans="2:11" x14ac:dyDescent="0.25">
      <c r="B459" s="22" t="str">
        <f t="shared" si="74"/>
        <v>Child Functioning -- Child #4</v>
      </c>
      <c r="C459" s="22" t="str">
        <f t="shared" ref="C459:C501" si="79">IF(ISERROR(VALUE(RIGHT(B459))), "", RIGHT(B459))</f>
        <v>4</v>
      </c>
      <c r="D459" s="22" t="str">
        <f t="shared" ref="D459:D501" si="80">CHOOSE(E459, "", "US", "SB")</f>
        <v>SB</v>
      </c>
      <c r="E459" s="22">
        <f t="shared" ref="E459:E501" si="81">IF(F458=nItems, IF(E458=3, "DONE", E458+1), E458)</f>
        <v>3</v>
      </c>
      <c r="F459" s="22">
        <f t="shared" ref="F459:F501" si="82">IF(F458=nItems, IF(E458=3, "DONE", 1), F458+1)</f>
        <v>122</v>
      </c>
      <c r="G459" s="22" t="str">
        <f t="shared" si="75"/>
        <v>Recreation / Play</v>
      </c>
      <c r="H459" s="22" t="str">
        <f t="shared" ref="H459:H501" si="83">G459&amp;D459&amp;C459</f>
        <v>Recreation / PlaySB4</v>
      </c>
      <c r="I459" s="20" t="e">
        <f t="shared" si="76"/>
        <v>#N/A</v>
      </c>
      <c r="J459" s="20" t="e">
        <f t="shared" si="77"/>
        <v>#N/A</v>
      </c>
      <c r="K459" s="20" t="e">
        <f t="shared" si="78"/>
        <v>#N/A</v>
      </c>
    </row>
    <row r="460" spans="2:11" x14ac:dyDescent="0.25">
      <c r="B460" s="22" t="str">
        <f t="shared" si="74"/>
        <v>Child Functioning -- Child #4</v>
      </c>
      <c r="C460" s="22" t="str">
        <f t="shared" si="79"/>
        <v>4</v>
      </c>
      <c r="D460" s="22" t="str">
        <f t="shared" si="80"/>
        <v>SB</v>
      </c>
      <c r="E460" s="22">
        <f t="shared" si="81"/>
        <v>3</v>
      </c>
      <c r="F460" s="22">
        <f t="shared" si="82"/>
        <v>123</v>
      </c>
      <c r="G460" s="22" t="str">
        <f t="shared" si="75"/>
        <v>Attachment – Birth to 5</v>
      </c>
      <c r="H460" s="22" t="str">
        <f t="shared" si="83"/>
        <v>Attachment – Birth to 5SB4</v>
      </c>
      <c r="I460" s="20" t="e">
        <f t="shared" si="76"/>
        <v>#N/A</v>
      </c>
      <c r="J460" s="20" t="e">
        <f t="shared" si="77"/>
        <v>#N/A</v>
      </c>
      <c r="K460" s="20" t="e">
        <f t="shared" si="78"/>
        <v>#N/A</v>
      </c>
    </row>
    <row r="461" spans="2:11" x14ac:dyDescent="0.25">
      <c r="B461" s="22" t="str">
        <f t="shared" si="74"/>
        <v>Child Functioning -- Child #4</v>
      </c>
      <c r="C461" s="22" t="str">
        <f t="shared" si="79"/>
        <v>4</v>
      </c>
      <c r="D461" s="22" t="str">
        <f t="shared" si="80"/>
        <v>SB</v>
      </c>
      <c r="E461" s="22">
        <f t="shared" si="81"/>
        <v>3</v>
      </c>
      <c r="F461" s="22">
        <f t="shared" si="82"/>
        <v>124</v>
      </c>
      <c r="G461" s="22" t="str">
        <f t="shared" si="75"/>
        <v>Relationship with Biological Mother</v>
      </c>
      <c r="H461" s="22" t="str">
        <f t="shared" si="83"/>
        <v>Relationship with Biological MotherSB4</v>
      </c>
      <c r="I461" s="20" t="e">
        <f t="shared" si="76"/>
        <v>#N/A</v>
      </c>
      <c r="J461" s="20" t="e">
        <f t="shared" si="77"/>
        <v>#N/A</v>
      </c>
      <c r="K461" s="20" t="e">
        <f t="shared" si="78"/>
        <v>#N/A</v>
      </c>
    </row>
    <row r="462" spans="2:11" x14ac:dyDescent="0.25">
      <c r="B462" s="22" t="str">
        <f t="shared" si="74"/>
        <v>Child Functioning -- Child #4</v>
      </c>
      <c r="C462" s="22" t="str">
        <f t="shared" si="79"/>
        <v>4</v>
      </c>
      <c r="D462" s="22" t="str">
        <f t="shared" si="80"/>
        <v>SB</v>
      </c>
      <c r="E462" s="22">
        <f t="shared" si="81"/>
        <v>3</v>
      </c>
      <c r="F462" s="22">
        <f t="shared" si="82"/>
        <v>125</v>
      </c>
      <c r="G462" s="22" t="str">
        <f t="shared" si="75"/>
        <v>Relationship with Biological Father</v>
      </c>
      <c r="H462" s="22" t="str">
        <f t="shared" si="83"/>
        <v>Relationship with Biological FatherSB4</v>
      </c>
      <c r="I462" s="20" t="e">
        <f t="shared" si="76"/>
        <v>#N/A</v>
      </c>
      <c r="J462" s="20" t="e">
        <f t="shared" si="77"/>
        <v>#N/A</v>
      </c>
      <c r="K462" s="20" t="e">
        <f t="shared" si="78"/>
        <v>#N/A</v>
      </c>
    </row>
    <row r="463" spans="2:11" x14ac:dyDescent="0.25">
      <c r="B463" s="22" t="str">
        <f t="shared" si="74"/>
        <v>Child Functioning -- Child #4</v>
      </c>
      <c r="C463" s="22" t="str">
        <f t="shared" si="79"/>
        <v>4</v>
      </c>
      <c r="D463" s="22" t="str">
        <f t="shared" si="80"/>
        <v>SB</v>
      </c>
      <c r="E463" s="22">
        <f t="shared" si="81"/>
        <v>3</v>
      </c>
      <c r="F463" s="22">
        <f t="shared" si="82"/>
        <v>126</v>
      </c>
      <c r="G463" s="22" t="str">
        <f t="shared" si="75"/>
        <v>Relationship with Primary Caregiver</v>
      </c>
      <c r="H463" s="22" t="str">
        <f t="shared" si="83"/>
        <v>Relationship with Primary CaregiverSB4</v>
      </c>
      <c r="I463" s="20" t="e">
        <f t="shared" si="76"/>
        <v>#N/A</v>
      </c>
      <c r="J463" s="20" t="e">
        <f t="shared" si="77"/>
        <v>#N/A</v>
      </c>
      <c r="K463" s="20" t="e">
        <f t="shared" si="78"/>
        <v>#N/A</v>
      </c>
    </row>
    <row r="464" spans="2:11" x14ac:dyDescent="0.25">
      <c r="B464" s="22" t="str">
        <f t="shared" si="74"/>
        <v>Child Functioning -- Child #4</v>
      </c>
      <c r="C464" s="22" t="str">
        <f t="shared" si="79"/>
        <v>4</v>
      </c>
      <c r="D464" s="22" t="str">
        <f t="shared" si="80"/>
        <v>SB</v>
      </c>
      <c r="E464" s="22">
        <f t="shared" si="81"/>
        <v>3</v>
      </c>
      <c r="F464" s="22">
        <f t="shared" si="82"/>
        <v>127</v>
      </c>
      <c r="G464" s="22" t="str">
        <f t="shared" si="75"/>
        <v>Relationship with Other Family Adults</v>
      </c>
      <c r="H464" s="22" t="str">
        <f t="shared" si="83"/>
        <v>Relationship with Other Family AdultsSB4</v>
      </c>
      <c r="I464" s="20" t="e">
        <f t="shared" si="76"/>
        <v>#N/A</v>
      </c>
      <c r="J464" s="20" t="e">
        <f t="shared" si="77"/>
        <v>#N/A</v>
      </c>
      <c r="K464" s="20" t="e">
        <f t="shared" si="78"/>
        <v>#N/A</v>
      </c>
    </row>
    <row r="465" spans="2:11" x14ac:dyDescent="0.25">
      <c r="B465" s="22" t="str">
        <f t="shared" si="74"/>
        <v>Child Functioning -- Child #4</v>
      </c>
      <c r="C465" s="22" t="str">
        <f t="shared" si="79"/>
        <v>4</v>
      </c>
      <c r="D465" s="22" t="str">
        <f t="shared" si="80"/>
        <v>SB</v>
      </c>
      <c r="E465" s="22">
        <f t="shared" si="81"/>
        <v>3</v>
      </c>
      <c r="F465" s="22">
        <f t="shared" si="82"/>
        <v>128</v>
      </c>
      <c r="G465" s="22" t="str">
        <f t="shared" si="75"/>
        <v>Relationship with Siblings</v>
      </c>
      <c r="H465" s="22" t="str">
        <f t="shared" si="83"/>
        <v>Relationship with SiblingsSB4</v>
      </c>
      <c r="I465" s="20" t="e">
        <f t="shared" si="76"/>
        <v>#N/A</v>
      </c>
      <c r="J465" s="20" t="e">
        <f t="shared" si="77"/>
        <v>#N/A</v>
      </c>
      <c r="K465" s="20" t="e">
        <f t="shared" si="78"/>
        <v>#N/A</v>
      </c>
    </row>
    <row r="466" spans="2:11" x14ac:dyDescent="0.25">
      <c r="B466" s="22" t="str">
        <f t="shared" si="74"/>
        <v>Child Functioning -- Child #4</v>
      </c>
      <c r="C466" s="22" t="str">
        <f t="shared" si="79"/>
        <v>4</v>
      </c>
      <c r="D466" s="22" t="str">
        <f t="shared" si="80"/>
        <v>SB</v>
      </c>
      <c r="E466" s="22">
        <f t="shared" si="81"/>
        <v>3</v>
      </c>
      <c r="F466" s="22">
        <f t="shared" si="82"/>
        <v>129</v>
      </c>
      <c r="G466" s="22" t="str">
        <f t="shared" si="75"/>
        <v>Medical / Physical</v>
      </c>
      <c r="H466" s="22" t="str">
        <f t="shared" si="83"/>
        <v>Medical / PhysicalSB4</v>
      </c>
      <c r="I466" s="20" t="e">
        <f t="shared" si="76"/>
        <v>#N/A</v>
      </c>
      <c r="J466" s="20" t="e">
        <f t="shared" si="77"/>
        <v>#N/A</v>
      </c>
      <c r="K466" s="20" t="e">
        <f t="shared" si="78"/>
        <v>#N/A</v>
      </c>
    </row>
    <row r="467" spans="2:11" x14ac:dyDescent="0.25">
      <c r="B467" s="22" t="str">
        <f t="shared" si="74"/>
        <v>Child Functioning -- Child #4</v>
      </c>
      <c r="C467" s="22" t="str">
        <f t="shared" si="79"/>
        <v>4</v>
      </c>
      <c r="D467" s="22" t="str">
        <f t="shared" si="80"/>
        <v>SB</v>
      </c>
      <c r="E467" s="22">
        <f t="shared" si="81"/>
        <v>3</v>
      </c>
      <c r="F467" s="22">
        <f t="shared" si="82"/>
        <v>130</v>
      </c>
      <c r="G467" s="22" t="str">
        <f t="shared" si="75"/>
        <v>Sleeping</v>
      </c>
      <c r="H467" s="22" t="str">
        <f t="shared" si="83"/>
        <v>SleepingSB4</v>
      </c>
      <c r="I467" s="20" t="e">
        <f t="shared" si="76"/>
        <v>#N/A</v>
      </c>
      <c r="J467" s="20" t="e">
        <f t="shared" si="77"/>
        <v>#N/A</v>
      </c>
      <c r="K467" s="20" t="e">
        <f t="shared" si="78"/>
        <v>#N/A</v>
      </c>
    </row>
    <row r="468" spans="2:11" x14ac:dyDescent="0.25">
      <c r="B468" s="22" t="str">
        <f t="shared" si="74"/>
        <v>Child Functioning -- Child #4</v>
      </c>
      <c r="C468" s="22" t="str">
        <f t="shared" si="79"/>
        <v>4</v>
      </c>
      <c r="D468" s="22" t="str">
        <f t="shared" si="80"/>
        <v>SB</v>
      </c>
      <c r="E468" s="22">
        <f t="shared" si="81"/>
        <v>3</v>
      </c>
      <c r="F468" s="22">
        <f t="shared" si="82"/>
        <v>131</v>
      </c>
      <c r="G468" s="22" t="str">
        <f t="shared" si="75"/>
        <v>Cognitive Skills</v>
      </c>
      <c r="H468" s="22" t="str">
        <f t="shared" si="83"/>
        <v>Cognitive SkillsSB4</v>
      </c>
      <c r="I468" s="20" t="e">
        <f t="shared" si="76"/>
        <v>#N/A</v>
      </c>
      <c r="J468" s="20" t="e">
        <f t="shared" si="77"/>
        <v>#N/A</v>
      </c>
      <c r="K468" s="20" t="e">
        <f t="shared" si="78"/>
        <v>#N/A</v>
      </c>
    </row>
    <row r="469" spans="2:11" x14ac:dyDescent="0.25">
      <c r="B469" s="22" t="str">
        <f t="shared" si="74"/>
        <v>Child Functioning -- Child #4</v>
      </c>
      <c r="C469" s="22" t="str">
        <f t="shared" si="79"/>
        <v>4</v>
      </c>
      <c r="D469" s="22" t="str">
        <f t="shared" si="80"/>
        <v>SB</v>
      </c>
      <c r="E469" s="22">
        <f t="shared" si="81"/>
        <v>3</v>
      </c>
      <c r="F469" s="22">
        <f t="shared" si="82"/>
        <v>132</v>
      </c>
      <c r="G469" s="22" t="str">
        <f t="shared" si="75"/>
        <v>Social Functioning</v>
      </c>
      <c r="H469" s="22" t="str">
        <f t="shared" si="83"/>
        <v>Social FunctioningSB4</v>
      </c>
      <c r="I469" s="20" t="e">
        <f t="shared" si="76"/>
        <v>#N/A</v>
      </c>
      <c r="J469" s="20" t="e">
        <f t="shared" si="77"/>
        <v>#N/A</v>
      </c>
      <c r="K469" s="20" t="e">
        <f t="shared" si="78"/>
        <v>#N/A</v>
      </c>
    </row>
    <row r="470" spans="2:11" x14ac:dyDescent="0.25">
      <c r="B470" s="22" t="str">
        <f t="shared" si="74"/>
        <v>Child Functioning -- Child #4</v>
      </c>
      <c r="C470" s="22" t="str">
        <f t="shared" si="79"/>
        <v>4</v>
      </c>
      <c r="D470" s="22" t="str">
        <f t="shared" si="80"/>
        <v>SB</v>
      </c>
      <c r="E470" s="22">
        <f t="shared" si="81"/>
        <v>3</v>
      </c>
      <c r="F470" s="22">
        <f t="shared" si="82"/>
        <v>133</v>
      </c>
      <c r="G470" s="22" t="str">
        <f t="shared" si="75"/>
        <v>Educational Status</v>
      </c>
      <c r="H470" s="22" t="str">
        <f t="shared" si="83"/>
        <v>Educational StatusSB4</v>
      </c>
      <c r="I470" s="20" t="e">
        <f t="shared" si="76"/>
        <v>#N/A</v>
      </c>
      <c r="J470" s="20" t="e">
        <f t="shared" si="77"/>
        <v>#N/A</v>
      </c>
      <c r="K470" s="20" t="e">
        <f t="shared" si="78"/>
        <v>#N/A</v>
      </c>
    </row>
    <row r="471" spans="2:11" x14ac:dyDescent="0.25">
      <c r="B471" s="22" t="str">
        <f t="shared" si="74"/>
        <v>Child Functioning -- Child #4</v>
      </c>
      <c r="C471" s="22" t="str">
        <f t="shared" si="79"/>
        <v>4</v>
      </c>
      <c r="D471" s="22" t="str">
        <f t="shared" si="80"/>
        <v>SB</v>
      </c>
      <c r="E471" s="22">
        <f t="shared" si="81"/>
        <v>3</v>
      </c>
      <c r="F471" s="22">
        <f t="shared" si="82"/>
        <v>134</v>
      </c>
      <c r="G471" s="22" t="str">
        <f t="shared" si="75"/>
        <v>Risk Behaviors</v>
      </c>
      <c r="H471" s="22" t="str">
        <f t="shared" si="83"/>
        <v>Risk BehaviorsSB4</v>
      </c>
      <c r="I471" s="20" t="e">
        <f t="shared" si="76"/>
        <v>#N/A</v>
      </c>
      <c r="J471" s="20" t="e">
        <f t="shared" si="77"/>
        <v>#N/A</v>
      </c>
      <c r="K471" s="20" t="e">
        <f t="shared" si="78"/>
        <v>#N/A</v>
      </c>
    </row>
    <row r="472" spans="2:11" x14ac:dyDescent="0.25">
      <c r="B472" s="22" t="str">
        <f t="shared" si="74"/>
        <v>Child Functioning -- Child #5</v>
      </c>
      <c r="C472" s="22" t="str">
        <f t="shared" si="79"/>
        <v>5</v>
      </c>
      <c r="D472" s="22" t="str">
        <f t="shared" si="80"/>
        <v>SB</v>
      </c>
      <c r="E472" s="22">
        <f t="shared" si="81"/>
        <v>3</v>
      </c>
      <c r="F472" s="22">
        <f t="shared" si="82"/>
        <v>135</v>
      </c>
      <c r="G472" s="22" t="str">
        <f t="shared" si="75"/>
        <v>Mental Health Needs</v>
      </c>
      <c r="H472" s="22" t="str">
        <f t="shared" si="83"/>
        <v>Mental Health NeedsSB5</v>
      </c>
      <c r="I472" s="20" t="e">
        <f t="shared" si="76"/>
        <v>#N/A</v>
      </c>
      <c r="J472" s="20" t="e">
        <f t="shared" si="77"/>
        <v>#N/A</v>
      </c>
      <c r="K472" s="20" t="e">
        <f t="shared" si="78"/>
        <v>#N/A</v>
      </c>
    </row>
    <row r="473" spans="2:11" x14ac:dyDescent="0.25">
      <c r="B473" s="22" t="str">
        <f t="shared" si="74"/>
        <v>Child Functioning -- Child #5</v>
      </c>
      <c r="C473" s="22" t="str">
        <f t="shared" si="79"/>
        <v>5</v>
      </c>
      <c r="D473" s="22" t="str">
        <f t="shared" si="80"/>
        <v>SB</v>
      </c>
      <c r="E473" s="22">
        <f t="shared" si="81"/>
        <v>3</v>
      </c>
      <c r="F473" s="22">
        <f t="shared" si="82"/>
        <v>136</v>
      </c>
      <c r="G473" s="22" t="str">
        <f t="shared" si="75"/>
        <v>Adjustment to Trauma</v>
      </c>
      <c r="H473" s="22" t="str">
        <f t="shared" si="83"/>
        <v>Adjustment to TraumaSB5</v>
      </c>
      <c r="I473" s="20" t="e">
        <f t="shared" si="76"/>
        <v>#N/A</v>
      </c>
      <c r="J473" s="20" t="e">
        <f t="shared" si="77"/>
        <v>#N/A</v>
      </c>
      <c r="K473" s="20" t="e">
        <f t="shared" si="78"/>
        <v>#N/A</v>
      </c>
    </row>
    <row r="474" spans="2:11" x14ac:dyDescent="0.25">
      <c r="B474" s="22" t="str">
        <f t="shared" si="74"/>
        <v>Child Functioning -- Child #5</v>
      </c>
      <c r="C474" s="22" t="str">
        <f t="shared" si="79"/>
        <v>5</v>
      </c>
      <c r="D474" s="22" t="str">
        <f t="shared" si="80"/>
        <v>SB</v>
      </c>
      <c r="E474" s="22">
        <f t="shared" si="81"/>
        <v>3</v>
      </c>
      <c r="F474" s="22">
        <f t="shared" si="82"/>
        <v>137</v>
      </c>
      <c r="G474" s="22" t="str">
        <f t="shared" si="75"/>
        <v>Recreation / Play</v>
      </c>
      <c r="H474" s="22" t="str">
        <f t="shared" si="83"/>
        <v>Recreation / PlaySB5</v>
      </c>
      <c r="I474" s="20" t="e">
        <f t="shared" si="76"/>
        <v>#N/A</v>
      </c>
      <c r="J474" s="20" t="e">
        <f t="shared" si="77"/>
        <v>#N/A</v>
      </c>
      <c r="K474" s="20" t="e">
        <f t="shared" si="78"/>
        <v>#N/A</v>
      </c>
    </row>
    <row r="475" spans="2:11" x14ac:dyDescent="0.25">
      <c r="B475" s="22" t="str">
        <f t="shared" si="74"/>
        <v>Child Functioning -- Child #5</v>
      </c>
      <c r="C475" s="22" t="str">
        <f t="shared" si="79"/>
        <v>5</v>
      </c>
      <c r="D475" s="22" t="str">
        <f t="shared" si="80"/>
        <v>SB</v>
      </c>
      <c r="E475" s="22">
        <f t="shared" si="81"/>
        <v>3</v>
      </c>
      <c r="F475" s="22">
        <f t="shared" si="82"/>
        <v>138</v>
      </c>
      <c r="G475" s="22" t="str">
        <f t="shared" si="75"/>
        <v>Attachment – Birth to 5</v>
      </c>
      <c r="H475" s="22" t="str">
        <f t="shared" si="83"/>
        <v>Attachment – Birth to 5SB5</v>
      </c>
      <c r="I475" s="20" t="e">
        <f t="shared" si="76"/>
        <v>#N/A</v>
      </c>
      <c r="J475" s="20" t="e">
        <f t="shared" si="77"/>
        <v>#N/A</v>
      </c>
      <c r="K475" s="20" t="e">
        <f t="shared" si="78"/>
        <v>#N/A</v>
      </c>
    </row>
    <row r="476" spans="2:11" x14ac:dyDescent="0.25">
      <c r="B476" s="22" t="str">
        <f t="shared" si="74"/>
        <v>Child Functioning -- Child #5</v>
      </c>
      <c r="C476" s="22" t="str">
        <f t="shared" si="79"/>
        <v>5</v>
      </c>
      <c r="D476" s="22" t="str">
        <f t="shared" si="80"/>
        <v>SB</v>
      </c>
      <c r="E476" s="22">
        <f t="shared" si="81"/>
        <v>3</v>
      </c>
      <c r="F476" s="22">
        <f t="shared" si="82"/>
        <v>139</v>
      </c>
      <c r="G476" s="22" t="str">
        <f t="shared" si="75"/>
        <v>Relationship with Biological Mother</v>
      </c>
      <c r="H476" s="22" t="str">
        <f t="shared" si="83"/>
        <v>Relationship with Biological MotherSB5</v>
      </c>
      <c r="I476" s="20" t="e">
        <f t="shared" si="76"/>
        <v>#N/A</v>
      </c>
      <c r="J476" s="20" t="e">
        <f t="shared" si="77"/>
        <v>#N/A</v>
      </c>
      <c r="K476" s="20" t="e">
        <f t="shared" si="78"/>
        <v>#N/A</v>
      </c>
    </row>
    <row r="477" spans="2:11" x14ac:dyDescent="0.25">
      <c r="B477" s="22" t="str">
        <f t="shared" si="74"/>
        <v>Child Functioning -- Child #5</v>
      </c>
      <c r="C477" s="22" t="str">
        <f t="shared" si="79"/>
        <v>5</v>
      </c>
      <c r="D477" s="22" t="str">
        <f t="shared" si="80"/>
        <v>SB</v>
      </c>
      <c r="E477" s="22">
        <f t="shared" si="81"/>
        <v>3</v>
      </c>
      <c r="F477" s="22">
        <f t="shared" si="82"/>
        <v>140</v>
      </c>
      <c r="G477" s="22" t="str">
        <f t="shared" si="75"/>
        <v>Relationship with Biological Father</v>
      </c>
      <c r="H477" s="22" t="str">
        <f t="shared" si="83"/>
        <v>Relationship with Biological FatherSB5</v>
      </c>
      <c r="I477" s="20" t="e">
        <f t="shared" si="76"/>
        <v>#N/A</v>
      </c>
      <c r="J477" s="20" t="e">
        <f t="shared" si="77"/>
        <v>#N/A</v>
      </c>
      <c r="K477" s="20" t="e">
        <f t="shared" si="78"/>
        <v>#N/A</v>
      </c>
    </row>
    <row r="478" spans="2:11" x14ac:dyDescent="0.25">
      <c r="B478" s="22" t="str">
        <f t="shared" si="74"/>
        <v>Child Functioning -- Child #5</v>
      </c>
      <c r="C478" s="22" t="str">
        <f t="shared" si="79"/>
        <v>5</v>
      </c>
      <c r="D478" s="22" t="str">
        <f t="shared" si="80"/>
        <v>SB</v>
      </c>
      <c r="E478" s="22">
        <f t="shared" si="81"/>
        <v>3</v>
      </c>
      <c r="F478" s="22">
        <f t="shared" si="82"/>
        <v>141</v>
      </c>
      <c r="G478" s="22" t="str">
        <f t="shared" si="75"/>
        <v>Relationship with Primary Caregiver</v>
      </c>
      <c r="H478" s="22" t="str">
        <f t="shared" si="83"/>
        <v>Relationship with Primary CaregiverSB5</v>
      </c>
      <c r="I478" s="20" t="e">
        <f t="shared" si="76"/>
        <v>#N/A</v>
      </c>
      <c r="J478" s="20" t="e">
        <f t="shared" si="77"/>
        <v>#N/A</v>
      </c>
      <c r="K478" s="20" t="e">
        <f t="shared" si="78"/>
        <v>#N/A</v>
      </c>
    </row>
    <row r="479" spans="2:11" x14ac:dyDescent="0.25">
      <c r="B479" s="22" t="str">
        <f t="shared" si="74"/>
        <v>Child Functioning -- Child #5</v>
      </c>
      <c r="C479" s="22" t="str">
        <f t="shared" si="79"/>
        <v>5</v>
      </c>
      <c r="D479" s="22" t="str">
        <f t="shared" si="80"/>
        <v>SB</v>
      </c>
      <c r="E479" s="22">
        <f t="shared" si="81"/>
        <v>3</v>
      </c>
      <c r="F479" s="22">
        <f t="shared" si="82"/>
        <v>142</v>
      </c>
      <c r="G479" s="22" t="str">
        <f t="shared" si="75"/>
        <v>Relationship with Other Family Adults</v>
      </c>
      <c r="H479" s="22" t="str">
        <f t="shared" si="83"/>
        <v>Relationship with Other Family AdultsSB5</v>
      </c>
      <c r="I479" s="20" t="e">
        <f t="shared" si="76"/>
        <v>#N/A</v>
      </c>
      <c r="J479" s="20" t="e">
        <f t="shared" si="77"/>
        <v>#N/A</v>
      </c>
      <c r="K479" s="20" t="e">
        <f t="shared" si="78"/>
        <v>#N/A</v>
      </c>
    </row>
    <row r="480" spans="2:11" x14ac:dyDescent="0.25">
      <c r="B480" s="22" t="str">
        <f t="shared" si="74"/>
        <v>Child Functioning -- Child #5</v>
      </c>
      <c r="C480" s="22" t="str">
        <f t="shared" si="79"/>
        <v>5</v>
      </c>
      <c r="D480" s="22" t="str">
        <f t="shared" si="80"/>
        <v>SB</v>
      </c>
      <c r="E480" s="22">
        <f t="shared" si="81"/>
        <v>3</v>
      </c>
      <c r="F480" s="22">
        <f t="shared" si="82"/>
        <v>143</v>
      </c>
      <c r="G480" s="22" t="str">
        <f t="shared" si="75"/>
        <v>Relationship with Siblings</v>
      </c>
      <c r="H480" s="22" t="str">
        <f t="shared" si="83"/>
        <v>Relationship with SiblingsSB5</v>
      </c>
      <c r="I480" s="20" t="e">
        <f t="shared" si="76"/>
        <v>#N/A</v>
      </c>
      <c r="J480" s="20" t="e">
        <f t="shared" si="77"/>
        <v>#N/A</v>
      </c>
      <c r="K480" s="20" t="e">
        <f t="shared" si="78"/>
        <v>#N/A</v>
      </c>
    </row>
    <row r="481" spans="2:11" x14ac:dyDescent="0.25">
      <c r="B481" s="22" t="str">
        <f t="shared" si="74"/>
        <v>Child Functioning -- Child #5</v>
      </c>
      <c r="C481" s="22" t="str">
        <f t="shared" si="79"/>
        <v>5</v>
      </c>
      <c r="D481" s="22" t="str">
        <f t="shared" si="80"/>
        <v>SB</v>
      </c>
      <c r="E481" s="22">
        <f t="shared" si="81"/>
        <v>3</v>
      </c>
      <c r="F481" s="22">
        <f t="shared" si="82"/>
        <v>144</v>
      </c>
      <c r="G481" s="22" t="str">
        <f t="shared" si="75"/>
        <v>Medical / Physical</v>
      </c>
      <c r="H481" s="22" t="str">
        <f t="shared" si="83"/>
        <v>Medical / PhysicalSB5</v>
      </c>
      <c r="I481" s="20" t="e">
        <f t="shared" si="76"/>
        <v>#N/A</v>
      </c>
      <c r="J481" s="20" t="e">
        <f t="shared" si="77"/>
        <v>#N/A</v>
      </c>
      <c r="K481" s="20" t="e">
        <f t="shared" si="78"/>
        <v>#N/A</v>
      </c>
    </row>
    <row r="482" spans="2:11" x14ac:dyDescent="0.25">
      <c r="B482" s="22" t="str">
        <f t="shared" si="74"/>
        <v>Child Functioning -- Child #5</v>
      </c>
      <c r="C482" s="22" t="str">
        <f t="shared" si="79"/>
        <v>5</v>
      </c>
      <c r="D482" s="22" t="str">
        <f t="shared" si="80"/>
        <v>SB</v>
      </c>
      <c r="E482" s="22">
        <f t="shared" si="81"/>
        <v>3</v>
      </c>
      <c r="F482" s="22">
        <f t="shared" si="82"/>
        <v>145</v>
      </c>
      <c r="G482" s="22" t="str">
        <f t="shared" si="75"/>
        <v>Sleeping</v>
      </c>
      <c r="H482" s="22" t="str">
        <f t="shared" si="83"/>
        <v>SleepingSB5</v>
      </c>
      <c r="I482" s="20" t="e">
        <f t="shared" si="76"/>
        <v>#N/A</v>
      </c>
      <c r="J482" s="20" t="e">
        <f t="shared" si="77"/>
        <v>#N/A</v>
      </c>
      <c r="K482" s="20" t="e">
        <f t="shared" si="78"/>
        <v>#N/A</v>
      </c>
    </row>
    <row r="483" spans="2:11" x14ac:dyDescent="0.25">
      <c r="B483" s="22" t="str">
        <f t="shared" si="74"/>
        <v>Child Functioning -- Child #5</v>
      </c>
      <c r="C483" s="22" t="str">
        <f t="shared" si="79"/>
        <v>5</v>
      </c>
      <c r="D483" s="22" t="str">
        <f t="shared" si="80"/>
        <v>SB</v>
      </c>
      <c r="E483" s="22">
        <f t="shared" si="81"/>
        <v>3</v>
      </c>
      <c r="F483" s="22">
        <f t="shared" si="82"/>
        <v>146</v>
      </c>
      <c r="G483" s="22" t="str">
        <f t="shared" si="75"/>
        <v>Cognitive Skills</v>
      </c>
      <c r="H483" s="22" t="str">
        <f t="shared" si="83"/>
        <v>Cognitive SkillsSB5</v>
      </c>
      <c r="I483" s="20" t="e">
        <f t="shared" si="76"/>
        <v>#N/A</v>
      </c>
      <c r="J483" s="20" t="e">
        <f t="shared" si="77"/>
        <v>#N/A</v>
      </c>
      <c r="K483" s="20" t="e">
        <f t="shared" si="78"/>
        <v>#N/A</v>
      </c>
    </row>
    <row r="484" spans="2:11" x14ac:dyDescent="0.25">
      <c r="B484" s="22" t="str">
        <f t="shared" si="74"/>
        <v>Child Functioning -- Child #5</v>
      </c>
      <c r="C484" s="22" t="str">
        <f t="shared" si="79"/>
        <v>5</v>
      </c>
      <c r="D484" s="22" t="str">
        <f t="shared" si="80"/>
        <v>SB</v>
      </c>
      <c r="E484" s="22">
        <f t="shared" si="81"/>
        <v>3</v>
      </c>
      <c r="F484" s="22">
        <f t="shared" si="82"/>
        <v>147</v>
      </c>
      <c r="G484" s="22" t="str">
        <f t="shared" si="75"/>
        <v>Social Functioning</v>
      </c>
      <c r="H484" s="22" t="str">
        <f t="shared" si="83"/>
        <v>Social FunctioningSB5</v>
      </c>
      <c r="I484" s="20" t="e">
        <f t="shared" si="76"/>
        <v>#N/A</v>
      </c>
      <c r="J484" s="20" t="e">
        <f t="shared" si="77"/>
        <v>#N/A</v>
      </c>
      <c r="K484" s="20" t="e">
        <f t="shared" si="78"/>
        <v>#N/A</v>
      </c>
    </row>
    <row r="485" spans="2:11" x14ac:dyDescent="0.25">
      <c r="B485" s="22" t="str">
        <f t="shared" si="74"/>
        <v>Child Functioning -- Child #5</v>
      </c>
      <c r="C485" s="22" t="str">
        <f t="shared" si="79"/>
        <v>5</v>
      </c>
      <c r="D485" s="22" t="str">
        <f t="shared" si="80"/>
        <v>SB</v>
      </c>
      <c r="E485" s="22">
        <f t="shared" si="81"/>
        <v>3</v>
      </c>
      <c r="F485" s="22">
        <f t="shared" si="82"/>
        <v>148</v>
      </c>
      <c r="G485" s="22" t="str">
        <f t="shared" si="75"/>
        <v>Educational Status</v>
      </c>
      <c r="H485" s="22" t="str">
        <f t="shared" si="83"/>
        <v>Educational StatusSB5</v>
      </c>
      <c r="I485" s="20" t="e">
        <f t="shared" si="76"/>
        <v>#N/A</v>
      </c>
      <c r="J485" s="20" t="e">
        <f t="shared" si="77"/>
        <v>#N/A</v>
      </c>
      <c r="K485" s="20" t="e">
        <f t="shared" si="78"/>
        <v>#N/A</v>
      </c>
    </row>
    <row r="486" spans="2:11" x14ac:dyDescent="0.25">
      <c r="B486" s="22" t="str">
        <f t="shared" si="74"/>
        <v>Child Functioning -- Child #5</v>
      </c>
      <c r="C486" s="22" t="str">
        <f t="shared" si="79"/>
        <v>5</v>
      </c>
      <c r="D486" s="22" t="str">
        <f t="shared" si="80"/>
        <v>SB</v>
      </c>
      <c r="E486" s="22">
        <f t="shared" si="81"/>
        <v>3</v>
      </c>
      <c r="F486" s="22">
        <f t="shared" si="82"/>
        <v>149</v>
      </c>
      <c r="G486" s="22" t="str">
        <f t="shared" si="75"/>
        <v>Risk Behaviors</v>
      </c>
      <c r="H486" s="22" t="str">
        <f t="shared" si="83"/>
        <v>Risk BehaviorsSB5</v>
      </c>
      <c r="I486" s="20" t="e">
        <f t="shared" si="76"/>
        <v>#N/A</v>
      </c>
      <c r="J486" s="20" t="e">
        <f t="shared" si="77"/>
        <v>#N/A</v>
      </c>
      <c r="K486" s="20" t="e">
        <f t="shared" si="78"/>
        <v>#N/A</v>
      </c>
    </row>
    <row r="487" spans="2:11" x14ac:dyDescent="0.25">
      <c r="B487" s="22" t="str">
        <f t="shared" si="74"/>
        <v>Child Functioning -- Child #6</v>
      </c>
      <c r="C487" s="22" t="str">
        <f t="shared" si="79"/>
        <v>6</v>
      </c>
      <c r="D487" s="22" t="str">
        <f t="shared" si="80"/>
        <v>SB</v>
      </c>
      <c r="E487" s="22">
        <f t="shared" si="81"/>
        <v>3</v>
      </c>
      <c r="F487" s="22">
        <f t="shared" si="82"/>
        <v>150</v>
      </c>
      <c r="G487" s="22" t="str">
        <f t="shared" si="75"/>
        <v>Mental Health Needs</v>
      </c>
      <c r="H487" s="22" t="str">
        <f t="shared" si="83"/>
        <v>Mental Health NeedsSB6</v>
      </c>
      <c r="I487" s="20" t="e">
        <f t="shared" si="76"/>
        <v>#N/A</v>
      </c>
      <c r="J487" s="20" t="e">
        <f t="shared" si="77"/>
        <v>#N/A</v>
      </c>
      <c r="K487" s="20" t="e">
        <f t="shared" si="78"/>
        <v>#N/A</v>
      </c>
    </row>
    <row r="488" spans="2:11" x14ac:dyDescent="0.25">
      <c r="B488" s="22" t="str">
        <f t="shared" si="74"/>
        <v>Child Functioning -- Child #6</v>
      </c>
      <c r="C488" s="22" t="str">
        <f t="shared" si="79"/>
        <v>6</v>
      </c>
      <c r="D488" s="22" t="str">
        <f t="shared" si="80"/>
        <v>SB</v>
      </c>
      <c r="E488" s="22">
        <f t="shared" si="81"/>
        <v>3</v>
      </c>
      <c r="F488" s="22">
        <f t="shared" si="82"/>
        <v>151</v>
      </c>
      <c r="G488" s="22" t="str">
        <f t="shared" si="75"/>
        <v>Adjustment to Trauma</v>
      </c>
      <c r="H488" s="22" t="str">
        <f t="shared" si="83"/>
        <v>Adjustment to TraumaSB6</v>
      </c>
      <c r="I488" s="20" t="e">
        <f t="shared" si="76"/>
        <v>#N/A</v>
      </c>
      <c r="J488" s="20" t="e">
        <f t="shared" si="77"/>
        <v>#N/A</v>
      </c>
      <c r="K488" s="20" t="e">
        <f t="shared" si="78"/>
        <v>#N/A</v>
      </c>
    </row>
    <row r="489" spans="2:11" x14ac:dyDescent="0.25">
      <c r="B489" s="22" t="str">
        <f t="shared" si="74"/>
        <v>Child Functioning -- Child #6</v>
      </c>
      <c r="C489" s="22" t="str">
        <f t="shared" si="79"/>
        <v>6</v>
      </c>
      <c r="D489" s="22" t="str">
        <f t="shared" si="80"/>
        <v>SB</v>
      </c>
      <c r="E489" s="22">
        <f t="shared" si="81"/>
        <v>3</v>
      </c>
      <c r="F489" s="22">
        <f t="shared" si="82"/>
        <v>152</v>
      </c>
      <c r="G489" s="22" t="str">
        <f t="shared" si="75"/>
        <v>Recreation / Play</v>
      </c>
      <c r="H489" s="22" t="str">
        <f t="shared" si="83"/>
        <v>Recreation / PlaySB6</v>
      </c>
      <c r="I489" s="20" t="e">
        <f t="shared" si="76"/>
        <v>#N/A</v>
      </c>
      <c r="J489" s="20" t="e">
        <f t="shared" si="77"/>
        <v>#N/A</v>
      </c>
      <c r="K489" s="20" t="e">
        <f t="shared" si="78"/>
        <v>#N/A</v>
      </c>
    </row>
    <row r="490" spans="2:11" x14ac:dyDescent="0.25">
      <c r="B490" s="22" t="str">
        <f t="shared" si="74"/>
        <v>Child Functioning -- Child #6</v>
      </c>
      <c r="C490" s="22" t="str">
        <f t="shared" si="79"/>
        <v>6</v>
      </c>
      <c r="D490" s="22" t="str">
        <f t="shared" si="80"/>
        <v>SB</v>
      </c>
      <c r="E490" s="22">
        <f t="shared" si="81"/>
        <v>3</v>
      </c>
      <c r="F490" s="22">
        <f t="shared" si="82"/>
        <v>153</v>
      </c>
      <c r="G490" s="22" t="str">
        <f t="shared" si="75"/>
        <v>Attachment – Birth to 5</v>
      </c>
      <c r="H490" s="22" t="str">
        <f t="shared" si="83"/>
        <v>Attachment – Birth to 5SB6</v>
      </c>
      <c r="I490" s="20" t="e">
        <f t="shared" si="76"/>
        <v>#N/A</v>
      </c>
      <c r="J490" s="20" t="e">
        <f t="shared" si="77"/>
        <v>#N/A</v>
      </c>
      <c r="K490" s="20" t="e">
        <f t="shared" si="78"/>
        <v>#N/A</v>
      </c>
    </row>
    <row r="491" spans="2:11" x14ac:dyDescent="0.25">
      <c r="B491" s="22" t="str">
        <f t="shared" si="74"/>
        <v>Child Functioning -- Child #6</v>
      </c>
      <c r="C491" s="22" t="str">
        <f t="shared" si="79"/>
        <v>6</v>
      </c>
      <c r="D491" s="22" t="str">
        <f t="shared" si="80"/>
        <v>SB</v>
      </c>
      <c r="E491" s="22">
        <f t="shared" si="81"/>
        <v>3</v>
      </c>
      <c r="F491" s="22">
        <f t="shared" si="82"/>
        <v>154</v>
      </c>
      <c r="G491" s="22" t="str">
        <f t="shared" si="75"/>
        <v>Relationship with Biological Mother</v>
      </c>
      <c r="H491" s="22" t="str">
        <f t="shared" si="83"/>
        <v>Relationship with Biological MotherSB6</v>
      </c>
      <c r="I491" s="20" t="e">
        <f t="shared" si="76"/>
        <v>#N/A</v>
      </c>
      <c r="J491" s="20" t="e">
        <f t="shared" si="77"/>
        <v>#N/A</v>
      </c>
      <c r="K491" s="20" t="e">
        <f t="shared" si="78"/>
        <v>#N/A</v>
      </c>
    </row>
    <row r="492" spans="2:11" x14ac:dyDescent="0.25">
      <c r="B492" s="22" t="str">
        <f t="shared" si="74"/>
        <v>Child Functioning -- Child #6</v>
      </c>
      <c r="C492" s="22" t="str">
        <f t="shared" si="79"/>
        <v>6</v>
      </c>
      <c r="D492" s="22" t="str">
        <f t="shared" si="80"/>
        <v>SB</v>
      </c>
      <c r="E492" s="22">
        <f t="shared" si="81"/>
        <v>3</v>
      </c>
      <c r="F492" s="22">
        <f t="shared" si="82"/>
        <v>155</v>
      </c>
      <c r="G492" s="22" t="str">
        <f t="shared" si="75"/>
        <v>Relationship with Biological Father</v>
      </c>
      <c r="H492" s="22" t="str">
        <f t="shared" si="83"/>
        <v>Relationship with Biological FatherSB6</v>
      </c>
      <c r="I492" s="20" t="e">
        <f t="shared" si="76"/>
        <v>#N/A</v>
      </c>
      <c r="J492" s="20" t="e">
        <f t="shared" si="77"/>
        <v>#N/A</v>
      </c>
      <c r="K492" s="20" t="e">
        <f t="shared" si="78"/>
        <v>#N/A</v>
      </c>
    </row>
    <row r="493" spans="2:11" x14ac:dyDescent="0.25">
      <c r="B493" s="22" t="str">
        <f t="shared" si="74"/>
        <v>Child Functioning -- Child #6</v>
      </c>
      <c r="C493" s="22" t="str">
        <f t="shared" si="79"/>
        <v>6</v>
      </c>
      <c r="D493" s="22" t="str">
        <f t="shared" si="80"/>
        <v>SB</v>
      </c>
      <c r="E493" s="22">
        <f t="shared" si="81"/>
        <v>3</v>
      </c>
      <c r="F493" s="22">
        <f t="shared" si="82"/>
        <v>156</v>
      </c>
      <c r="G493" s="22" t="str">
        <f t="shared" si="75"/>
        <v>Relationship with Primary Caregiver</v>
      </c>
      <c r="H493" s="22" t="str">
        <f t="shared" si="83"/>
        <v>Relationship with Primary CaregiverSB6</v>
      </c>
      <c r="I493" s="20" t="e">
        <f t="shared" si="76"/>
        <v>#N/A</v>
      </c>
      <c r="J493" s="20" t="e">
        <f t="shared" si="77"/>
        <v>#N/A</v>
      </c>
      <c r="K493" s="20" t="e">
        <f t="shared" si="78"/>
        <v>#N/A</v>
      </c>
    </row>
    <row r="494" spans="2:11" x14ac:dyDescent="0.25">
      <c r="B494" s="22" t="str">
        <f t="shared" si="74"/>
        <v>Child Functioning -- Child #6</v>
      </c>
      <c r="C494" s="22" t="str">
        <f t="shared" si="79"/>
        <v>6</v>
      </c>
      <c r="D494" s="22" t="str">
        <f t="shared" si="80"/>
        <v>SB</v>
      </c>
      <c r="E494" s="22">
        <f t="shared" si="81"/>
        <v>3</v>
      </c>
      <c r="F494" s="22">
        <f t="shared" si="82"/>
        <v>157</v>
      </c>
      <c r="G494" s="22" t="str">
        <f t="shared" si="75"/>
        <v>Relationship with Other Family Adults</v>
      </c>
      <c r="H494" s="22" t="str">
        <f t="shared" si="83"/>
        <v>Relationship with Other Family AdultsSB6</v>
      </c>
      <c r="I494" s="20" t="e">
        <f t="shared" si="76"/>
        <v>#N/A</v>
      </c>
      <c r="J494" s="20" t="e">
        <f t="shared" si="77"/>
        <v>#N/A</v>
      </c>
      <c r="K494" s="20" t="e">
        <f t="shared" si="78"/>
        <v>#N/A</v>
      </c>
    </row>
    <row r="495" spans="2:11" x14ac:dyDescent="0.25">
      <c r="B495" s="22" t="str">
        <f t="shared" si="74"/>
        <v>Child Functioning -- Child #6</v>
      </c>
      <c r="C495" s="22" t="str">
        <f t="shared" si="79"/>
        <v>6</v>
      </c>
      <c r="D495" s="22" t="str">
        <f t="shared" si="80"/>
        <v>SB</v>
      </c>
      <c r="E495" s="22">
        <f t="shared" si="81"/>
        <v>3</v>
      </c>
      <c r="F495" s="22">
        <f t="shared" si="82"/>
        <v>158</v>
      </c>
      <c r="G495" s="22" t="str">
        <f t="shared" si="75"/>
        <v>Relationship with Siblings</v>
      </c>
      <c r="H495" s="22" t="str">
        <f t="shared" si="83"/>
        <v>Relationship with SiblingsSB6</v>
      </c>
      <c r="I495" s="20" t="e">
        <f t="shared" si="76"/>
        <v>#N/A</v>
      </c>
      <c r="J495" s="20" t="e">
        <f t="shared" si="77"/>
        <v>#N/A</v>
      </c>
      <c r="K495" s="20" t="e">
        <f t="shared" si="78"/>
        <v>#N/A</v>
      </c>
    </row>
    <row r="496" spans="2:11" x14ac:dyDescent="0.25">
      <c r="B496" s="22" t="str">
        <f t="shared" si="74"/>
        <v>Child Functioning -- Child #6</v>
      </c>
      <c r="C496" s="22" t="str">
        <f t="shared" si="79"/>
        <v>6</v>
      </c>
      <c r="D496" s="22" t="str">
        <f t="shared" si="80"/>
        <v>SB</v>
      </c>
      <c r="E496" s="22">
        <f t="shared" si="81"/>
        <v>3</v>
      </c>
      <c r="F496" s="22">
        <f t="shared" si="82"/>
        <v>159</v>
      </c>
      <c r="G496" s="22" t="str">
        <f t="shared" si="75"/>
        <v>Medical / Physical</v>
      </c>
      <c r="H496" s="22" t="str">
        <f t="shared" si="83"/>
        <v>Medical / PhysicalSB6</v>
      </c>
      <c r="I496" s="20" t="e">
        <f t="shared" si="76"/>
        <v>#N/A</v>
      </c>
      <c r="J496" s="20" t="e">
        <f t="shared" si="77"/>
        <v>#N/A</v>
      </c>
      <c r="K496" s="20" t="e">
        <f t="shared" si="78"/>
        <v>#N/A</v>
      </c>
    </row>
    <row r="497" spans="2:11" x14ac:dyDescent="0.25">
      <c r="B497" s="22" t="str">
        <f t="shared" si="74"/>
        <v>Child Functioning -- Child #6</v>
      </c>
      <c r="C497" s="22" t="str">
        <f t="shared" si="79"/>
        <v>6</v>
      </c>
      <c r="D497" s="22" t="str">
        <f t="shared" si="80"/>
        <v>SB</v>
      </c>
      <c r="E497" s="22">
        <f t="shared" si="81"/>
        <v>3</v>
      </c>
      <c r="F497" s="22">
        <f t="shared" si="82"/>
        <v>160</v>
      </c>
      <c r="G497" s="22" t="str">
        <f t="shared" si="75"/>
        <v>Sleeping</v>
      </c>
      <c r="H497" s="22" t="str">
        <f t="shared" si="83"/>
        <v>SleepingSB6</v>
      </c>
      <c r="I497" s="20" t="e">
        <f t="shared" si="76"/>
        <v>#N/A</v>
      </c>
      <c r="J497" s="20" t="e">
        <f t="shared" si="77"/>
        <v>#N/A</v>
      </c>
      <c r="K497" s="20" t="e">
        <f t="shared" si="78"/>
        <v>#N/A</v>
      </c>
    </row>
    <row r="498" spans="2:11" x14ac:dyDescent="0.25">
      <c r="B498" s="22" t="str">
        <f t="shared" si="74"/>
        <v>Child Functioning -- Child #6</v>
      </c>
      <c r="C498" s="22" t="str">
        <f t="shared" si="79"/>
        <v>6</v>
      </c>
      <c r="D498" s="22" t="str">
        <f t="shared" si="80"/>
        <v>SB</v>
      </c>
      <c r="E498" s="22">
        <f t="shared" si="81"/>
        <v>3</v>
      </c>
      <c r="F498" s="22">
        <f t="shared" si="82"/>
        <v>161</v>
      </c>
      <c r="G498" s="22" t="str">
        <f t="shared" si="75"/>
        <v>Cognitive Skills</v>
      </c>
      <c r="H498" s="22" t="str">
        <f t="shared" si="83"/>
        <v>Cognitive SkillsSB6</v>
      </c>
      <c r="I498" s="20" t="e">
        <f t="shared" si="76"/>
        <v>#N/A</v>
      </c>
      <c r="J498" s="20" t="e">
        <f t="shared" si="77"/>
        <v>#N/A</v>
      </c>
      <c r="K498" s="20" t="e">
        <f t="shared" si="78"/>
        <v>#N/A</v>
      </c>
    </row>
    <row r="499" spans="2:11" x14ac:dyDescent="0.25">
      <c r="B499" s="22" t="str">
        <f t="shared" si="74"/>
        <v>Child Functioning -- Child #6</v>
      </c>
      <c r="C499" s="22" t="str">
        <f t="shared" si="79"/>
        <v>6</v>
      </c>
      <c r="D499" s="22" t="str">
        <f t="shared" si="80"/>
        <v>SB</v>
      </c>
      <c r="E499" s="22">
        <f t="shared" si="81"/>
        <v>3</v>
      </c>
      <c r="F499" s="22">
        <f t="shared" si="82"/>
        <v>162</v>
      </c>
      <c r="G499" s="22" t="str">
        <f t="shared" si="75"/>
        <v>Social Functioning</v>
      </c>
      <c r="H499" s="22" t="str">
        <f t="shared" si="83"/>
        <v>Social FunctioningSB6</v>
      </c>
      <c r="I499" s="20" t="e">
        <f t="shared" si="76"/>
        <v>#N/A</v>
      </c>
      <c r="J499" s="20" t="e">
        <f t="shared" si="77"/>
        <v>#N/A</v>
      </c>
      <c r="K499" s="20" t="e">
        <f t="shared" si="78"/>
        <v>#N/A</v>
      </c>
    </row>
    <row r="500" spans="2:11" x14ac:dyDescent="0.25">
      <c r="B500" s="22" t="str">
        <f t="shared" si="74"/>
        <v>Child Functioning -- Child #6</v>
      </c>
      <c r="C500" s="22" t="str">
        <f t="shared" si="79"/>
        <v>6</v>
      </c>
      <c r="D500" s="22" t="str">
        <f t="shared" si="80"/>
        <v>SB</v>
      </c>
      <c r="E500" s="22">
        <f t="shared" si="81"/>
        <v>3</v>
      </c>
      <c r="F500" s="22">
        <f t="shared" si="82"/>
        <v>163</v>
      </c>
      <c r="G500" s="22" t="str">
        <f t="shared" si="75"/>
        <v>Educational Status</v>
      </c>
      <c r="H500" s="22" t="str">
        <f t="shared" si="83"/>
        <v>Educational StatusSB6</v>
      </c>
      <c r="I500" s="20" t="e">
        <f t="shared" si="76"/>
        <v>#N/A</v>
      </c>
      <c r="J500" s="20" t="e">
        <f t="shared" si="77"/>
        <v>#N/A</v>
      </c>
      <c r="K500" s="20" t="e">
        <f t="shared" si="78"/>
        <v>#N/A</v>
      </c>
    </row>
    <row r="501" spans="2:11" x14ac:dyDescent="0.25">
      <c r="B501" s="22" t="str">
        <f t="shared" si="74"/>
        <v>Child Functioning -- Child #6</v>
      </c>
      <c r="C501" s="22" t="str">
        <f t="shared" si="79"/>
        <v>6</v>
      </c>
      <c r="D501" s="22" t="str">
        <f t="shared" si="80"/>
        <v>SB</v>
      </c>
      <c r="E501" s="22">
        <f t="shared" si="81"/>
        <v>3</v>
      </c>
      <c r="F501" s="22">
        <f t="shared" si="82"/>
        <v>164</v>
      </c>
      <c r="G501" s="22" t="str">
        <f t="shared" si="75"/>
        <v>Risk Behaviors</v>
      </c>
      <c r="H501" s="22" t="str">
        <f t="shared" si="83"/>
        <v>Risk BehaviorsSB6</v>
      </c>
      <c r="I501" s="20" t="e">
        <f t="shared" si="76"/>
        <v>#N/A</v>
      </c>
      <c r="J501" s="20" t="e">
        <f t="shared" si="77"/>
        <v>#N/A</v>
      </c>
      <c r="K501" s="20"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3" t="s">
        <v>335</v>
      </c>
      <c r="B1" s="23" t="s">
        <v>336</v>
      </c>
      <c r="C1" s="23" t="s">
        <v>337</v>
      </c>
      <c r="D1" s="23" t="s">
        <v>338</v>
      </c>
      <c r="E1" s="23" t="s">
        <v>314</v>
      </c>
      <c r="F1" s="23" t="s">
        <v>339</v>
      </c>
      <c r="G1" s="23" t="s">
        <v>340</v>
      </c>
      <c r="H1" s="23" t="s">
        <v>263</v>
      </c>
      <c r="I1" s="23" t="s">
        <v>264</v>
      </c>
      <c r="J1" s="23" t="s">
        <v>45</v>
      </c>
      <c r="K1" s="23" t="s">
        <v>265</v>
      </c>
      <c r="L1" s="23" t="s">
        <v>115</v>
      </c>
      <c r="M1" s="23" t="s">
        <v>118</v>
      </c>
      <c r="N1" s="23" t="s">
        <v>266</v>
      </c>
      <c r="O1" s="23" t="s">
        <v>267</v>
      </c>
      <c r="P1" s="23" t="s">
        <v>268</v>
      </c>
      <c r="Q1" s="23" t="s">
        <v>116</v>
      </c>
      <c r="R1" s="23" t="s">
        <v>359</v>
      </c>
      <c r="S1" s="23" t="s">
        <v>360</v>
      </c>
      <c r="T1" s="23" t="s">
        <v>361</v>
      </c>
      <c r="U1" s="23" t="s">
        <v>272</v>
      </c>
      <c r="V1" s="23" t="s">
        <v>273</v>
      </c>
      <c r="W1" s="23" t="s">
        <v>22</v>
      </c>
      <c r="X1" s="23" t="s">
        <v>362</v>
      </c>
      <c r="Y1" s="23" t="s">
        <v>363</v>
      </c>
      <c r="Z1" s="23" t="s">
        <v>693</v>
      </c>
      <c r="AA1" s="23" t="s">
        <v>694</v>
      </c>
      <c r="AB1" s="23" t="s">
        <v>695</v>
      </c>
      <c r="AC1" s="23" t="s">
        <v>696</v>
      </c>
      <c r="AD1" s="23" t="s">
        <v>697</v>
      </c>
      <c r="AE1" s="23" t="s">
        <v>698</v>
      </c>
      <c r="AF1" s="23" t="s">
        <v>699</v>
      </c>
      <c r="AG1" s="23" t="s">
        <v>700</v>
      </c>
      <c r="AH1" s="23" t="s">
        <v>701</v>
      </c>
      <c r="AI1" s="23" t="s">
        <v>702</v>
      </c>
      <c r="AJ1" s="23" t="s">
        <v>703</v>
      </c>
      <c r="AK1" s="23" t="s">
        <v>704</v>
      </c>
      <c r="AL1" s="23" t="s">
        <v>705</v>
      </c>
      <c r="AM1" s="23" t="s">
        <v>706</v>
      </c>
      <c r="AN1" s="23" t="s">
        <v>380</v>
      </c>
      <c r="AO1" s="23" t="s">
        <v>381</v>
      </c>
      <c r="AP1" s="23" t="s">
        <v>382</v>
      </c>
      <c r="AQ1" s="23" t="s">
        <v>383</v>
      </c>
      <c r="AR1" s="23" t="s">
        <v>384</v>
      </c>
      <c r="AS1" s="23" t="s">
        <v>385</v>
      </c>
      <c r="AT1" s="23" t="s">
        <v>386</v>
      </c>
      <c r="AU1" s="23" t="s">
        <v>387</v>
      </c>
      <c r="AV1" s="23" t="s">
        <v>388</v>
      </c>
      <c r="AW1" s="23" t="s">
        <v>389</v>
      </c>
      <c r="AX1" s="23" t="s">
        <v>390</v>
      </c>
      <c r="AY1" s="23" t="s">
        <v>391</v>
      </c>
      <c r="AZ1" s="23" t="s">
        <v>392</v>
      </c>
      <c r="BA1" s="23" t="s">
        <v>393</v>
      </c>
      <c r="BB1" s="23" t="s">
        <v>414</v>
      </c>
      <c r="BC1" s="23" t="s">
        <v>415</v>
      </c>
      <c r="BD1" s="23" t="s">
        <v>416</v>
      </c>
      <c r="BE1" s="23" t="s">
        <v>417</v>
      </c>
      <c r="BF1" s="23" t="s">
        <v>418</v>
      </c>
      <c r="BG1" s="23" t="s">
        <v>419</v>
      </c>
      <c r="BH1" s="23" t="s">
        <v>420</v>
      </c>
      <c r="BI1" s="23" t="s">
        <v>421</v>
      </c>
      <c r="BJ1" s="23" t="s">
        <v>422</v>
      </c>
      <c r="BK1" s="23" t="s">
        <v>423</v>
      </c>
      <c r="BL1" s="23" t="s">
        <v>424</v>
      </c>
      <c r="BM1" s="23" t="s">
        <v>425</v>
      </c>
      <c r="BN1" s="23" t="s">
        <v>426</v>
      </c>
      <c r="BO1" s="23" t="s">
        <v>427</v>
      </c>
      <c r="BP1" s="23" t="s">
        <v>448</v>
      </c>
      <c r="BQ1" s="23" t="s">
        <v>449</v>
      </c>
      <c r="BR1" s="23" t="s">
        <v>450</v>
      </c>
      <c r="BS1" s="23" t="s">
        <v>451</v>
      </c>
      <c r="BT1" s="23" t="s">
        <v>452</v>
      </c>
      <c r="BU1" s="23" t="s">
        <v>453</v>
      </c>
      <c r="BV1" s="23" t="s">
        <v>454</v>
      </c>
      <c r="BW1" s="23" t="s">
        <v>455</v>
      </c>
      <c r="BX1" s="23" t="s">
        <v>456</v>
      </c>
      <c r="BY1" s="23" t="s">
        <v>457</v>
      </c>
      <c r="BZ1" s="23" t="s">
        <v>458</v>
      </c>
      <c r="CA1" s="23" t="s">
        <v>459</v>
      </c>
      <c r="CB1" s="23" t="s">
        <v>460</v>
      </c>
      <c r="CC1" s="23" t="s">
        <v>461</v>
      </c>
      <c r="CD1" s="23" t="s">
        <v>707</v>
      </c>
      <c r="CE1" s="23" t="s">
        <v>708</v>
      </c>
      <c r="CF1" s="23" t="s">
        <v>709</v>
      </c>
      <c r="CG1" s="23" t="s">
        <v>710</v>
      </c>
      <c r="CH1" s="23" t="s">
        <v>711</v>
      </c>
      <c r="CI1" s="23" t="s">
        <v>712</v>
      </c>
      <c r="CJ1" s="23" t="s">
        <v>713</v>
      </c>
      <c r="CK1" s="23" t="s">
        <v>714</v>
      </c>
      <c r="CL1" s="23" t="s">
        <v>715</v>
      </c>
      <c r="CM1" s="23" t="s">
        <v>716</v>
      </c>
      <c r="CN1" s="23" t="s">
        <v>717</v>
      </c>
      <c r="CO1" s="23" t="s">
        <v>718</v>
      </c>
      <c r="CP1" s="23" t="s">
        <v>719</v>
      </c>
      <c r="CQ1" s="23" t="s">
        <v>720</v>
      </c>
      <c r="CR1" s="23" t="s">
        <v>721</v>
      </c>
      <c r="CS1" s="23" t="s">
        <v>483</v>
      </c>
      <c r="CT1" s="23" t="s">
        <v>484</v>
      </c>
      <c r="CU1" s="23" t="s">
        <v>485</v>
      </c>
      <c r="CV1" s="23" t="s">
        <v>486</v>
      </c>
      <c r="CW1" s="23" t="s">
        <v>487</v>
      </c>
      <c r="CX1" s="23" t="s">
        <v>488</v>
      </c>
      <c r="CY1" s="23" t="s">
        <v>489</v>
      </c>
      <c r="CZ1" s="23" t="s">
        <v>490</v>
      </c>
      <c r="DA1" s="23" t="s">
        <v>491</v>
      </c>
      <c r="DB1" s="23" t="s">
        <v>492</v>
      </c>
      <c r="DC1" s="23" t="s">
        <v>493</v>
      </c>
      <c r="DD1" s="23" t="s">
        <v>494</v>
      </c>
      <c r="DE1" s="23" t="s">
        <v>495</v>
      </c>
      <c r="DF1" s="23" t="s">
        <v>496</v>
      </c>
      <c r="DG1" s="23" t="s">
        <v>497</v>
      </c>
      <c r="DH1" s="23" t="s">
        <v>520</v>
      </c>
      <c r="DI1" s="23" t="s">
        <v>521</v>
      </c>
      <c r="DJ1" s="23" t="s">
        <v>522</v>
      </c>
      <c r="DK1" s="23" t="s">
        <v>523</v>
      </c>
      <c r="DL1" s="23" t="s">
        <v>524</v>
      </c>
      <c r="DM1" s="23" t="s">
        <v>525</v>
      </c>
      <c r="DN1" s="23" t="s">
        <v>526</v>
      </c>
      <c r="DO1" s="23" t="s">
        <v>527</v>
      </c>
      <c r="DP1" s="23" t="s">
        <v>528</v>
      </c>
      <c r="DQ1" s="23" t="s">
        <v>529</v>
      </c>
      <c r="DR1" s="23" t="s">
        <v>530</v>
      </c>
      <c r="DS1" s="23" t="s">
        <v>531</v>
      </c>
      <c r="DT1" s="23" t="s">
        <v>532</v>
      </c>
      <c r="DU1" s="23" t="s">
        <v>533</v>
      </c>
      <c r="DV1" s="23" t="s">
        <v>534</v>
      </c>
      <c r="DW1" s="23" t="s">
        <v>557</v>
      </c>
      <c r="DX1" s="23" t="s">
        <v>558</v>
      </c>
      <c r="DY1" s="23" t="s">
        <v>559</v>
      </c>
      <c r="DZ1" s="23" t="s">
        <v>560</v>
      </c>
      <c r="EA1" s="23" t="s">
        <v>561</v>
      </c>
      <c r="EB1" s="23" t="s">
        <v>562</v>
      </c>
      <c r="EC1" s="23" t="s">
        <v>563</v>
      </c>
      <c r="ED1" s="23" t="s">
        <v>564</v>
      </c>
      <c r="EE1" s="23" t="s">
        <v>565</v>
      </c>
      <c r="EF1" s="23" t="s">
        <v>566</v>
      </c>
      <c r="EG1" s="23" t="s">
        <v>567</v>
      </c>
      <c r="EH1" s="23" t="s">
        <v>568</v>
      </c>
      <c r="EI1" s="23" t="s">
        <v>569</v>
      </c>
      <c r="EJ1" s="23" t="s">
        <v>570</v>
      </c>
      <c r="EK1" s="23" t="s">
        <v>571</v>
      </c>
      <c r="EL1" s="23" t="s">
        <v>594</v>
      </c>
      <c r="EM1" s="23" t="s">
        <v>595</v>
      </c>
      <c r="EN1" s="23" t="s">
        <v>596</v>
      </c>
      <c r="EO1" s="23" t="s">
        <v>597</v>
      </c>
      <c r="EP1" s="23" t="s">
        <v>722</v>
      </c>
      <c r="EQ1" s="23" t="s">
        <v>723</v>
      </c>
      <c r="ER1" s="23" t="s">
        <v>598</v>
      </c>
      <c r="ES1" s="23" t="s">
        <v>599</v>
      </c>
      <c r="ET1" s="23" t="s">
        <v>600</v>
      </c>
      <c r="EU1" s="23" t="s">
        <v>601</v>
      </c>
      <c r="EV1" s="23" t="s">
        <v>602</v>
      </c>
      <c r="EW1" s="23" t="s">
        <v>603</v>
      </c>
      <c r="EX1" s="23" t="s">
        <v>604</v>
      </c>
      <c r="EY1" s="23" t="s">
        <v>605</v>
      </c>
      <c r="EZ1" s="23" t="s">
        <v>606</v>
      </c>
      <c r="FA1" s="23" t="s">
        <v>629</v>
      </c>
      <c r="FB1" s="23" t="s">
        <v>630</v>
      </c>
      <c r="FC1" s="23" t="s">
        <v>631</v>
      </c>
      <c r="FD1" s="23" t="s">
        <v>632</v>
      </c>
      <c r="FE1" s="23" t="s">
        <v>633</v>
      </c>
      <c r="FF1" s="23" t="s">
        <v>634</v>
      </c>
      <c r="FG1" s="23" t="s">
        <v>635</v>
      </c>
      <c r="FH1" s="23" t="s">
        <v>636</v>
      </c>
      <c r="FI1" s="23" t="s">
        <v>637</v>
      </c>
      <c r="FJ1" s="23" t="s">
        <v>638</v>
      </c>
      <c r="FK1" s="23" t="s">
        <v>639</v>
      </c>
      <c r="FL1" s="23" t="s">
        <v>640</v>
      </c>
      <c r="FM1" s="23" t="s">
        <v>641</v>
      </c>
      <c r="FN1" s="23" t="s">
        <v>642</v>
      </c>
      <c r="FO1" s="23" t="s">
        <v>643</v>
      </c>
      <c r="FP1" s="23" t="s">
        <v>341</v>
      </c>
      <c r="FQ1" s="23" t="s">
        <v>724</v>
      </c>
      <c r="FR1" t="s">
        <v>342</v>
      </c>
      <c r="FS1" t="s">
        <v>343</v>
      </c>
      <c r="FT1" t="s">
        <v>344</v>
      </c>
      <c r="FU1" t="s">
        <v>345</v>
      </c>
      <c r="FV1" t="s">
        <v>346</v>
      </c>
      <c r="FW1" t="s">
        <v>347</v>
      </c>
      <c r="FX1" t="s">
        <v>348</v>
      </c>
      <c r="FY1" t="s">
        <v>349</v>
      </c>
      <c r="FZ1" t="s">
        <v>364</v>
      </c>
      <c r="GA1" t="s">
        <v>365</v>
      </c>
      <c r="GB1" t="s">
        <v>366</v>
      </c>
      <c r="GC1" t="s">
        <v>367</v>
      </c>
      <c r="GD1" t="s">
        <v>368</v>
      </c>
      <c r="GE1" t="s">
        <v>369</v>
      </c>
      <c r="GF1" t="s">
        <v>370</v>
      </c>
      <c r="GG1" t="s">
        <v>371</v>
      </c>
      <c r="GH1" t="s">
        <v>725</v>
      </c>
      <c r="GI1" t="s">
        <v>726</v>
      </c>
      <c r="GJ1" t="s">
        <v>727</v>
      </c>
      <c r="GK1" t="s">
        <v>728</v>
      </c>
      <c r="GL1" t="s">
        <v>729</v>
      </c>
      <c r="GM1" t="s">
        <v>730</v>
      </c>
      <c r="GN1" t="s">
        <v>731</v>
      </c>
      <c r="GO1" t="s">
        <v>732</v>
      </c>
      <c r="GP1" t="s">
        <v>733</v>
      </c>
      <c r="GQ1" t="s">
        <v>734</v>
      </c>
      <c r="GR1" t="s">
        <v>735</v>
      </c>
      <c r="GS1" t="s">
        <v>736</v>
      </c>
      <c r="GT1" t="s">
        <v>737</v>
      </c>
      <c r="GU1" t="s">
        <v>738</v>
      </c>
      <c r="GV1" t="s">
        <v>394</v>
      </c>
      <c r="GW1" t="s">
        <v>395</v>
      </c>
      <c r="GX1" t="s">
        <v>396</v>
      </c>
      <c r="GY1" t="s">
        <v>397</v>
      </c>
      <c r="GZ1" t="s">
        <v>739</v>
      </c>
      <c r="HA1" t="s">
        <v>398</v>
      </c>
      <c r="HB1" t="s">
        <v>740</v>
      </c>
      <c r="HC1" t="s">
        <v>399</v>
      </c>
      <c r="HD1" t="s">
        <v>400</v>
      </c>
      <c r="HE1" t="s">
        <v>401</v>
      </c>
      <c r="HF1" t="s">
        <v>402</v>
      </c>
      <c r="HG1" t="s">
        <v>741</v>
      </c>
      <c r="HH1" t="s">
        <v>742</v>
      </c>
      <c r="HI1" t="s">
        <v>403</v>
      </c>
      <c r="HJ1" t="s">
        <v>428</v>
      </c>
      <c r="HK1" t="s">
        <v>429</v>
      </c>
      <c r="HL1" t="s">
        <v>430</v>
      </c>
      <c r="HM1" t="s">
        <v>431</v>
      </c>
      <c r="HN1" t="s">
        <v>743</v>
      </c>
      <c r="HO1" t="s">
        <v>432</v>
      </c>
      <c r="HP1" t="s">
        <v>744</v>
      </c>
      <c r="HQ1" t="s">
        <v>433</v>
      </c>
      <c r="HR1" t="s">
        <v>434</v>
      </c>
      <c r="HS1" t="s">
        <v>435</v>
      </c>
      <c r="HT1" t="s">
        <v>436</v>
      </c>
      <c r="HU1" t="s">
        <v>745</v>
      </c>
      <c r="HV1" t="s">
        <v>746</v>
      </c>
      <c r="HW1" t="s">
        <v>437</v>
      </c>
      <c r="HX1" t="s">
        <v>462</v>
      </c>
      <c r="HY1" t="s">
        <v>463</v>
      </c>
      <c r="HZ1" t="s">
        <v>464</v>
      </c>
      <c r="IA1" t="s">
        <v>465</v>
      </c>
      <c r="IB1" t="s">
        <v>747</v>
      </c>
      <c r="IC1" t="s">
        <v>466</v>
      </c>
      <c r="ID1" t="s">
        <v>748</v>
      </c>
      <c r="IE1" t="s">
        <v>467</v>
      </c>
      <c r="IF1" t="s">
        <v>468</v>
      </c>
      <c r="IG1" t="s">
        <v>469</v>
      </c>
      <c r="IH1" t="s">
        <v>470</v>
      </c>
      <c r="II1" t="s">
        <v>749</v>
      </c>
      <c r="IJ1" t="s">
        <v>750</v>
      </c>
      <c r="IK1" t="s">
        <v>471</v>
      </c>
      <c r="IL1" t="s">
        <v>751</v>
      </c>
      <c r="IM1" t="s">
        <v>752</v>
      </c>
      <c r="IN1" t="s">
        <v>753</v>
      </c>
      <c r="IO1" t="s">
        <v>754</v>
      </c>
      <c r="IP1" t="s">
        <v>755</v>
      </c>
      <c r="IQ1" t="s">
        <v>756</v>
      </c>
      <c r="IR1" t="s">
        <v>757</v>
      </c>
      <c r="IS1" t="s">
        <v>758</v>
      </c>
      <c r="IT1" t="s">
        <v>759</v>
      </c>
      <c r="IU1" t="s">
        <v>760</v>
      </c>
      <c r="IV1" t="s">
        <v>761</v>
      </c>
      <c r="IW1" t="s">
        <v>762</v>
      </c>
      <c r="IX1" t="s">
        <v>763</v>
      </c>
      <c r="IY1" t="s">
        <v>764</v>
      </c>
      <c r="IZ1" t="s">
        <v>765</v>
      </c>
      <c r="JA1" t="s">
        <v>766</v>
      </c>
      <c r="JB1" t="s">
        <v>498</v>
      </c>
      <c r="JC1" t="s">
        <v>499</v>
      </c>
      <c r="JD1" t="s">
        <v>500</v>
      </c>
      <c r="JE1" t="s">
        <v>501</v>
      </c>
      <c r="JF1" t="s">
        <v>502</v>
      </c>
      <c r="JG1" t="s">
        <v>503</v>
      </c>
      <c r="JH1" t="s">
        <v>504</v>
      </c>
      <c r="JI1" t="s">
        <v>505</v>
      </c>
      <c r="JJ1" t="s">
        <v>767</v>
      </c>
      <c r="JK1" t="s">
        <v>768</v>
      </c>
      <c r="JL1" t="s">
        <v>506</v>
      </c>
      <c r="JM1" t="s">
        <v>507</v>
      </c>
      <c r="JN1" t="s">
        <v>508</v>
      </c>
      <c r="JO1" t="s">
        <v>769</v>
      </c>
      <c r="JP1" t="s">
        <v>770</v>
      </c>
      <c r="JQ1" t="s">
        <v>535</v>
      </c>
      <c r="JR1" t="s">
        <v>536</v>
      </c>
      <c r="JS1" t="s">
        <v>537</v>
      </c>
      <c r="JT1" t="s">
        <v>538</v>
      </c>
      <c r="JU1" t="s">
        <v>539</v>
      </c>
      <c r="JV1" t="s">
        <v>540</v>
      </c>
      <c r="JW1" t="s">
        <v>541</v>
      </c>
      <c r="JX1" t="s">
        <v>542</v>
      </c>
      <c r="JY1" t="s">
        <v>771</v>
      </c>
      <c r="JZ1" t="s">
        <v>772</v>
      </c>
      <c r="KA1" t="s">
        <v>543</v>
      </c>
      <c r="KB1" t="s">
        <v>544</v>
      </c>
      <c r="KC1" t="s">
        <v>545</v>
      </c>
      <c r="KD1" t="s">
        <v>773</v>
      </c>
      <c r="KE1" t="s">
        <v>774</v>
      </c>
      <c r="KF1" t="s">
        <v>572</v>
      </c>
      <c r="KG1" t="s">
        <v>573</v>
      </c>
      <c r="KH1" t="s">
        <v>574</v>
      </c>
      <c r="KI1" t="s">
        <v>575</v>
      </c>
      <c r="KJ1" t="s">
        <v>576</v>
      </c>
      <c r="KK1" t="s">
        <v>577</v>
      </c>
      <c r="KL1" t="s">
        <v>578</v>
      </c>
      <c r="KM1" t="s">
        <v>579</v>
      </c>
      <c r="KN1" t="s">
        <v>775</v>
      </c>
      <c r="KO1" t="s">
        <v>776</v>
      </c>
      <c r="KP1" t="s">
        <v>580</v>
      </c>
      <c r="KQ1" t="s">
        <v>581</v>
      </c>
      <c r="KR1" t="s">
        <v>582</v>
      </c>
      <c r="KS1" t="s">
        <v>777</v>
      </c>
      <c r="KT1" t="s">
        <v>778</v>
      </c>
      <c r="KU1" t="s">
        <v>607</v>
      </c>
      <c r="KV1" t="s">
        <v>608</v>
      </c>
      <c r="KW1" t="s">
        <v>609</v>
      </c>
      <c r="KX1" t="s">
        <v>610</v>
      </c>
      <c r="KY1" t="s">
        <v>611</v>
      </c>
      <c r="KZ1" t="s">
        <v>612</v>
      </c>
      <c r="LA1" t="s">
        <v>613</v>
      </c>
      <c r="LB1" t="s">
        <v>614</v>
      </c>
      <c r="LC1" t="s">
        <v>779</v>
      </c>
      <c r="LD1" t="s">
        <v>780</v>
      </c>
      <c r="LE1" t="s">
        <v>615</v>
      </c>
      <c r="LF1" t="s">
        <v>616</v>
      </c>
      <c r="LG1" t="s">
        <v>617</v>
      </c>
      <c r="LH1" t="s">
        <v>781</v>
      </c>
      <c r="LI1" t="s">
        <v>782</v>
      </c>
      <c r="LJ1" t="s">
        <v>644</v>
      </c>
      <c r="LK1" t="s">
        <v>645</v>
      </c>
      <c r="LL1" t="s">
        <v>646</v>
      </c>
      <c r="LM1" t="s">
        <v>647</v>
      </c>
      <c r="LN1" t="s">
        <v>648</v>
      </c>
      <c r="LO1" t="s">
        <v>649</v>
      </c>
      <c r="LP1" t="s">
        <v>650</v>
      </c>
      <c r="LQ1" t="s">
        <v>651</v>
      </c>
      <c r="LR1" t="s">
        <v>783</v>
      </c>
      <c r="LS1" t="s">
        <v>784</v>
      </c>
      <c r="LT1" t="s">
        <v>652</v>
      </c>
      <c r="LU1" t="s">
        <v>653</v>
      </c>
      <c r="LV1" t="s">
        <v>654</v>
      </c>
      <c r="LW1" t="s">
        <v>785</v>
      </c>
      <c r="LX1" t="s">
        <v>350</v>
      </c>
      <c r="LY1" t="s">
        <v>786</v>
      </c>
      <c r="LZ1" t="s">
        <v>351</v>
      </c>
      <c r="MA1" t="s">
        <v>352</v>
      </c>
      <c r="MB1" t="s">
        <v>353</v>
      </c>
      <c r="MC1" t="s">
        <v>354</v>
      </c>
      <c r="MD1" t="s">
        <v>355</v>
      </c>
      <c r="ME1" t="s">
        <v>356</v>
      </c>
      <c r="MF1" t="s">
        <v>357</v>
      </c>
      <c r="MG1" t="s">
        <v>358</v>
      </c>
      <c r="MH1" t="s">
        <v>372</v>
      </c>
      <c r="MI1" t="s">
        <v>373</v>
      </c>
      <c r="MJ1" t="s">
        <v>374</v>
      </c>
      <c r="MK1" t="s">
        <v>375</v>
      </c>
      <c r="ML1" t="s">
        <v>376</v>
      </c>
      <c r="MM1" t="s">
        <v>377</v>
      </c>
      <c r="MN1" t="s">
        <v>378</v>
      </c>
      <c r="MO1" t="s">
        <v>379</v>
      </c>
      <c r="MP1" t="s">
        <v>787</v>
      </c>
      <c r="MQ1" t="s">
        <v>788</v>
      </c>
      <c r="MR1" t="s">
        <v>789</v>
      </c>
      <c r="MS1" t="s">
        <v>790</v>
      </c>
      <c r="MT1" t="s">
        <v>791</v>
      </c>
      <c r="MU1" t="s">
        <v>792</v>
      </c>
      <c r="MV1" t="s">
        <v>793</v>
      </c>
      <c r="MW1" t="s">
        <v>794</v>
      </c>
      <c r="MX1" t="s">
        <v>795</v>
      </c>
      <c r="MY1" t="s">
        <v>796</v>
      </c>
      <c r="MZ1" t="s">
        <v>797</v>
      </c>
      <c r="NA1" t="s">
        <v>798</v>
      </c>
      <c r="NB1" t="s">
        <v>799</v>
      </c>
      <c r="NC1" t="s">
        <v>800</v>
      </c>
      <c r="ND1" t="s">
        <v>404</v>
      </c>
      <c r="NE1" t="s">
        <v>405</v>
      </c>
      <c r="NF1" t="s">
        <v>406</v>
      </c>
      <c r="NG1" t="s">
        <v>407</v>
      </c>
      <c r="NH1" t="s">
        <v>801</v>
      </c>
      <c r="NI1" t="s">
        <v>408</v>
      </c>
      <c r="NJ1" t="s">
        <v>802</v>
      </c>
      <c r="NK1" t="s">
        <v>409</v>
      </c>
      <c r="NL1" t="s">
        <v>410</v>
      </c>
      <c r="NM1" t="s">
        <v>411</v>
      </c>
      <c r="NN1" t="s">
        <v>412</v>
      </c>
      <c r="NO1" t="s">
        <v>803</v>
      </c>
      <c r="NP1" t="s">
        <v>804</v>
      </c>
      <c r="NQ1" t="s">
        <v>413</v>
      </c>
      <c r="NR1" t="s">
        <v>438</v>
      </c>
      <c r="NS1" t="s">
        <v>439</v>
      </c>
      <c r="NT1" t="s">
        <v>440</v>
      </c>
      <c r="NU1" t="s">
        <v>441</v>
      </c>
      <c r="NV1" t="s">
        <v>805</v>
      </c>
      <c r="NW1" t="s">
        <v>442</v>
      </c>
      <c r="NX1" t="s">
        <v>806</v>
      </c>
      <c r="NY1" t="s">
        <v>443</v>
      </c>
      <c r="NZ1" t="s">
        <v>444</v>
      </c>
      <c r="OA1" t="s">
        <v>445</v>
      </c>
      <c r="OB1" t="s">
        <v>446</v>
      </c>
      <c r="OC1" t="s">
        <v>807</v>
      </c>
      <c r="OD1" t="s">
        <v>808</v>
      </c>
      <c r="OE1" t="s">
        <v>447</v>
      </c>
      <c r="OF1" t="s">
        <v>472</v>
      </c>
      <c r="OG1" t="s">
        <v>473</v>
      </c>
      <c r="OH1" t="s">
        <v>474</v>
      </c>
      <c r="OI1" t="s">
        <v>475</v>
      </c>
      <c r="OJ1" t="s">
        <v>809</v>
      </c>
      <c r="OK1" t="s">
        <v>476</v>
      </c>
      <c r="OL1" t="s">
        <v>810</v>
      </c>
      <c r="OM1" t="s">
        <v>477</v>
      </c>
      <c r="ON1" t="s">
        <v>478</v>
      </c>
      <c r="OO1" t="s">
        <v>479</v>
      </c>
      <c r="OP1" t="s">
        <v>480</v>
      </c>
      <c r="OQ1" t="s">
        <v>811</v>
      </c>
      <c r="OR1" t="s">
        <v>812</v>
      </c>
      <c r="OS1" t="s">
        <v>481</v>
      </c>
      <c r="OT1" t="s">
        <v>813</v>
      </c>
      <c r="OU1" t="s">
        <v>814</v>
      </c>
      <c r="OV1" t="s">
        <v>815</v>
      </c>
      <c r="OW1" t="s">
        <v>816</v>
      </c>
      <c r="OX1" t="s">
        <v>817</v>
      </c>
      <c r="OY1" t="s">
        <v>818</v>
      </c>
      <c r="OZ1" t="s">
        <v>819</v>
      </c>
      <c r="PA1" t="s">
        <v>820</v>
      </c>
      <c r="PB1" t="s">
        <v>821</v>
      </c>
      <c r="PC1" t="s">
        <v>822</v>
      </c>
      <c r="PD1" t="s">
        <v>823</v>
      </c>
      <c r="PE1" t="s">
        <v>824</v>
      </c>
      <c r="PF1" t="s">
        <v>825</v>
      </c>
      <c r="PG1" t="s">
        <v>826</v>
      </c>
      <c r="PH1" t="s">
        <v>827</v>
      </c>
      <c r="PI1" t="s">
        <v>828</v>
      </c>
      <c r="PJ1" t="s">
        <v>509</v>
      </c>
      <c r="PK1" t="s">
        <v>510</v>
      </c>
      <c r="PL1" t="s">
        <v>511</v>
      </c>
      <c r="PM1" t="s">
        <v>512</v>
      </c>
      <c r="PN1" t="s">
        <v>513</v>
      </c>
      <c r="PO1" t="s">
        <v>514</v>
      </c>
      <c r="PP1" t="s">
        <v>515</v>
      </c>
      <c r="PQ1" t="s">
        <v>516</v>
      </c>
      <c r="PR1" t="s">
        <v>829</v>
      </c>
      <c r="PS1" t="s">
        <v>830</v>
      </c>
      <c r="PT1" t="s">
        <v>517</v>
      </c>
      <c r="PU1" t="s">
        <v>518</v>
      </c>
      <c r="PV1" t="s">
        <v>519</v>
      </c>
      <c r="PW1" t="s">
        <v>831</v>
      </c>
      <c r="PX1" t="s">
        <v>832</v>
      </c>
      <c r="PY1" t="s">
        <v>546</v>
      </c>
      <c r="PZ1" t="s">
        <v>547</v>
      </c>
      <c r="QA1" t="s">
        <v>548</v>
      </c>
      <c r="QB1" t="s">
        <v>549</v>
      </c>
      <c r="QC1" t="s">
        <v>550</v>
      </c>
      <c r="QD1" t="s">
        <v>551</v>
      </c>
      <c r="QE1" t="s">
        <v>552</v>
      </c>
      <c r="QF1" t="s">
        <v>553</v>
      </c>
      <c r="QG1" t="s">
        <v>833</v>
      </c>
      <c r="QH1" t="s">
        <v>834</v>
      </c>
      <c r="QI1" t="s">
        <v>554</v>
      </c>
      <c r="QJ1" t="s">
        <v>555</v>
      </c>
      <c r="QK1" t="s">
        <v>556</v>
      </c>
      <c r="QL1" t="s">
        <v>835</v>
      </c>
      <c r="QM1" t="s">
        <v>836</v>
      </c>
      <c r="QN1" t="s">
        <v>583</v>
      </c>
      <c r="QO1" t="s">
        <v>584</v>
      </c>
      <c r="QP1" t="s">
        <v>585</v>
      </c>
      <c r="QQ1" t="s">
        <v>586</v>
      </c>
      <c r="QR1" t="s">
        <v>587</v>
      </c>
      <c r="QS1" t="s">
        <v>588</v>
      </c>
      <c r="QT1" t="s">
        <v>589</v>
      </c>
      <c r="QU1" t="s">
        <v>590</v>
      </c>
      <c r="QV1" t="s">
        <v>837</v>
      </c>
      <c r="QW1" t="s">
        <v>838</v>
      </c>
      <c r="QX1" t="s">
        <v>591</v>
      </c>
      <c r="QY1" t="s">
        <v>592</v>
      </c>
      <c r="QZ1" t="s">
        <v>593</v>
      </c>
      <c r="RA1" t="s">
        <v>839</v>
      </c>
      <c r="RB1" t="s">
        <v>840</v>
      </c>
      <c r="RC1" t="s">
        <v>618</v>
      </c>
      <c r="RD1" t="s">
        <v>619</v>
      </c>
      <c r="RE1" t="s">
        <v>620</v>
      </c>
      <c r="RF1" t="s">
        <v>621</v>
      </c>
      <c r="RG1" t="s">
        <v>622</v>
      </c>
      <c r="RH1" t="s">
        <v>623</v>
      </c>
      <c r="RI1" t="s">
        <v>624</v>
      </c>
      <c r="RJ1" t="s">
        <v>625</v>
      </c>
      <c r="RK1" t="s">
        <v>841</v>
      </c>
      <c r="RL1" t="s">
        <v>842</v>
      </c>
      <c r="RM1" t="s">
        <v>626</v>
      </c>
      <c r="RN1" t="s">
        <v>627</v>
      </c>
      <c r="RO1" t="s">
        <v>628</v>
      </c>
      <c r="RP1" t="s">
        <v>843</v>
      </c>
      <c r="RQ1" t="s">
        <v>844</v>
      </c>
      <c r="RR1" t="s">
        <v>655</v>
      </c>
      <c r="RS1" t="s">
        <v>656</v>
      </c>
      <c r="RT1" t="s">
        <v>657</v>
      </c>
      <c r="RU1" t="s">
        <v>658</v>
      </c>
      <c r="RV1" t="s">
        <v>659</v>
      </c>
      <c r="RW1" t="s">
        <v>660</v>
      </c>
      <c r="RX1" t="s">
        <v>661</v>
      </c>
      <c r="RY1" t="s">
        <v>662</v>
      </c>
      <c r="RZ1" t="s">
        <v>845</v>
      </c>
      <c r="SA1" t="s">
        <v>846</v>
      </c>
      <c r="SB1" t="s">
        <v>663</v>
      </c>
      <c r="SC1" t="s">
        <v>664</v>
      </c>
      <c r="SD1" t="s">
        <v>665</v>
      </c>
      <c r="SE1" t="s">
        <v>847</v>
      </c>
    </row>
    <row r="2" spans="1:499" x14ac:dyDescent="0.25">
      <c r="A2" t="str">
        <f t="shared" ref="A2:P2" si="0">IF(ROW()-1 &gt; nAssess, "", VLOOKUP(A$1, ExportLong, ROW(), 0))</f>
        <v/>
      </c>
      <c r="B2" t="str">
        <f t="shared" si="0"/>
        <v/>
      </c>
      <c r="C2" t="str">
        <f t="shared" si="0"/>
        <v/>
      </c>
      <c r="D2" t="str">
        <f t="shared" si="0"/>
        <v/>
      </c>
      <c r="E2" t="str">
        <f t="shared" si="0"/>
        <v/>
      </c>
      <c r="F2" t="str">
        <f t="shared" si="0"/>
        <v/>
      </c>
      <c r="G2" t="str">
        <f t="shared" si="0"/>
        <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workbookViewId="0">
      <selection activeCell="B3" sqref="B3"/>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4" t="s">
        <v>255</v>
      </c>
    </row>
    <row r="2" spans="1:64" ht="17.25" x14ac:dyDescent="0.3">
      <c r="A2" s="24" t="s">
        <v>256</v>
      </c>
    </row>
    <row r="3" spans="1:64" s="9" customFormat="1" ht="30" x14ac:dyDescent="0.25">
      <c r="A3" s="203" t="s">
        <v>161</v>
      </c>
      <c r="B3" s="203" t="s">
        <v>54</v>
      </c>
      <c r="C3" s="203" t="s">
        <v>56</v>
      </c>
      <c r="D3" s="203" t="s">
        <v>57</v>
      </c>
      <c r="E3" s="203" t="s">
        <v>58</v>
      </c>
      <c r="F3" s="203" t="s">
        <v>0</v>
      </c>
      <c r="G3" s="203" t="s">
        <v>162</v>
      </c>
      <c r="H3" s="203" t="s">
        <v>61</v>
      </c>
      <c r="I3" s="203" t="s">
        <v>51</v>
      </c>
      <c r="J3" s="203" t="s">
        <v>59</v>
      </c>
      <c r="K3" s="203" t="s">
        <v>50</v>
      </c>
      <c r="L3" s="203" t="s">
        <v>60</v>
      </c>
      <c r="O3" s="147" t="s">
        <v>924</v>
      </c>
      <c r="P3" s="147" t="s">
        <v>925</v>
      </c>
      <c r="Q3" s="147" t="s">
        <v>926</v>
      </c>
      <c r="R3" s="147" t="s">
        <v>927</v>
      </c>
      <c r="S3" s="147" t="s">
        <v>928</v>
      </c>
      <c r="T3" s="147" t="s">
        <v>929</v>
      </c>
      <c r="AL3" s="4" t="e">
        <f>Assessments!#REF!</f>
        <v>#REF!</v>
      </c>
      <c r="AY3" s="4" t="e">
        <f>Assessments!#REF!</f>
        <v>#REF!</v>
      </c>
      <c r="BL3" s="4" t="str">
        <f>Assessments!AC89</f>
        <v>Distress Tolerance</v>
      </c>
    </row>
    <row r="4" spans="1:64" x14ac:dyDescent="0.25">
      <c r="A4" s="22">
        <v>1</v>
      </c>
      <c r="B4" s="22">
        <v>1</v>
      </c>
      <c r="C4" s="22">
        <f>VLOOKUP(G4, DomInfo, 3, 0)</f>
        <v>0</v>
      </c>
      <c r="D4" s="22">
        <v>1</v>
      </c>
      <c r="E4" s="22" t="b">
        <f>C4=D4</f>
        <v>0</v>
      </c>
      <c r="F4" s="22" t="str">
        <f t="shared" ref="F4:F67" si="0">VLOOKUP("Assessment #"&amp;$A4, DateMeta, MATCH("DisplDate", DateMeta_H, 0), 0)</f>
        <v/>
      </c>
      <c r="G4" s="22" t="str">
        <f>INDEX(DomInfo, $B4+1, 1)</f>
        <v>FUN</v>
      </c>
      <c r="H4" s="22" t="str">
        <f>G4&amp;"_"&amp;D4</f>
        <v>FUN_1</v>
      </c>
      <c r="I4" s="22" t="str">
        <f>INDEX(DomInfo, $B4+1, 2)</f>
        <v>Life Functioning Domain</v>
      </c>
      <c r="J4" s="22" t="e">
        <f>VLOOKUP(H4, ItemInfo, MATCH("ItemLong", ItemInfo_H, 0), 0)</f>
        <v>#N/A</v>
      </c>
      <c r="K4" s="22" t="e">
        <f t="shared" ref="K4:K67" si="1">IF(INDEX(Assess, MATCH($J4, ItemLong, 0), MATCH("Assessment #"&amp;$A4, Assess_H, 0))="", "", INDEX(Assess, MATCH($J4, ItemLong, 0), MATCH("Assessment #"&amp;$A4, Assess_H, 0)))</f>
        <v>#N/A</v>
      </c>
      <c r="L4" s="22" t="str">
        <f>IF(ISNUMBER(K4), IF(K4&gt;=2, 1, 0), "")</f>
        <v/>
      </c>
      <c r="O4">
        <v>1</v>
      </c>
      <c r="P4">
        <v>1</v>
      </c>
      <c r="Q4">
        <v>1</v>
      </c>
      <c r="R4" s="204" t="str">
        <f t="shared" ref="R4:R53" ca="1" si="2">IFERROR(INDEX(Items, MATCH(ROW()-ROW(R$3), Needs, 0)), "")</f>
        <v/>
      </c>
      <c r="S4" s="204" t="str">
        <f t="shared" ref="S4:S53" ca="1" si="3">IFERROR(INDEX(Items, MATCH(ROW()-ROW(S$3), UsefulStrengths, 0)), "")</f>
        <v/>
      </c>
      <c r="T4" s="204" t="str">
        <f t="shared" ref="T4:T53" ca="1" si="4">IFERROR(INDEX(Items, MATCH(ROW()-ROW(T$3), StrengthsToBuild, 0)), "")</f>
        <v/>
      </c>
      <c r="AL4" s="4" t="e">
        <f>Assessments!#REF!</f>
        <v>#REF!</v>
      </c>
      <c r="AY4" s="4" t="e">
        <f>Assessments!#REF!</f>
        <v>#REF!</v>
      </c>
      <c r="BL4" s="4" t="str">
        <f>Assessments!AC90</f>
        <v>Supervision</v>
      </c>
    </row>
    <row r="5" spans="1:64" x14ac:dyDescent="0.25">
      <c r="A5" s="22">
        <f>IF(AND(E4, B4=nDomains), A4+1, A4)</f>
        <v>1</v>
      </c>
      <c r="B5" s="22">
        <f>IF(E4, IF(B4=nDomains, 1, B4+1), B4)</f>
        <v>1</v>
      </c>
      <c r="C5" s="22">
        <f>VLOOKUP(G5, DomInfo, 3, 0)</f>
        <v>0</v>
      </c>
      <c r="D5" s="22">
        <f>IF(E4, 1, D4+1)</f>
        <v>2</v>
      </c>
      <c r="E5" s="22" t="b">
        <f>C5=D5</f>
        <v>0</v>
      </c>
      <c r="F5" s="22" t="str">
        <f t="shared" si="0"/>
        <v/>
      </c>
      <c r="G5" s="22" t="str">
        <f>INDEX(DomInfo, $B5+1, 1)</f>
        <v>FUN</v>
      </c>
      <c r="H5" s="22" t="str">
        <f>G5&amp;"_"&amp;D5</f>
        <v>FUN_2</v>
      </c>
      <c r="I5" s="22" t="str">
        <f>INDEX(DomInfo, $B5+1, 2)</f>
        <v>Life Functioning Domain</v>
      </c>
      <c r="J5" s="22" t="e">
        <f>VLOOKUP(H5, ItemInfo, MATCH("ItemLong", ItemInfo_H, 0), 0)</f>
        <v>#N/A</v>
      </c>
      <c r="K5" s="22" t="e">
        <f t="shared" si="1"/>
        <v>#N/A</v>
      </c>
      <c r="L5" s="22" t="str">
        <f t="shared" ref="L5:L68" si="5">IF(ISNUMBER(K5), IF(K5&gt;=2, 1, 0), "")</f>
        <v/>
      </c>
      <c r="O5">
        <f ca="1">O4+IF(COUNTIF(R$4:R5, R5)&gt;1, 0, 1)</f>
        <v>1</v>
      </c>
      <c r="P5">
        <f ca="1">P4+IF(COUNTIF(S$4:S5, S5)&gt;1, 0, 1)</f>
        <v>1</v>
      </c>
      <c r="Q5">
        <f ca="1">Q4+IF(COUNTIF(T$4:T5, T5)&gt;1, 0, 1)</f>
        <v>1</v>
      </c>
      <c r="R5" s="204" t="str">
        <f t="shared" ca="1" si="2"/>
        <v/>
      </c>
      <c r="S5" s="204" t="str">
        <f t="shared" ca="1" si="3"/>
        <v/>
      </c>
      <c r="T5" s="204" t="str">
        <f t="shared" ca="1" si="4"/>
        <v/>
      </c>
      <c r="AL5" s="4" t="e">
        <f>Assessments!#REF!</f>
        <v>#REF!</v>
      </c>
      <c r="AY5" s="4" t="e">
        <f>Assessments!#REF!</f>
        <v>#REF!</v>
      </c>
      <c r="BL5" s="4" t="str">
        <f>Assessments!AC91</f>
        <v>Discipline</v>
      </c>
    </row>
    <row r="6" spans="1:64" x14ac:dyDescent="0.25">
      <c r="A6">
        <v>1</v>
      </c>
      <c r="B6">
        <v>1</v>
      </c>
      <c r="C6">
        <v>18</v>
      </c>
      <c r="D6">
        <v>3</v>
      </c>
      <c r="E6" t="b">
        <v>0</v>
      </c>
      <c r="F6" s="22" t="str">
        <f t="shared" si="0"/>
        <v/>
      </c>
      <c r="G6" s="23" t="s">
        <v>167</v>
      </c>
      <c r="H6" s="23" t="s">
        <v>175</v>
      </c>
      <c r="I6" s="23" t="s">
        <v>2</v>
      </c>
      <c r="J6" t="s">
        <v>5</v>
      </c>
      <c r="K6" s="22" t="str">
        <f t="shared" si="1"/>
        <v/>
      </c>
      <c r="L6" s="22" t="str">
        <f t="shared" si="5"/>
        <v/>
      </c>
      <c r="O6">
        <f ca="1">O5+IF(COUNTIF(R$4:R6, R6)&gt;1, 0, 1)</f>
        <v>1</v>
      </c>
      <c r="P6">
        <f ca="1">P5+IF(COUNTIF(S$4:S6, S6)&gt;1, 0, 1)</f>
        <v>1</v>
      </c>
      <c r="Q6">
        <f ca="1">Q5+IF(COUNTIF(T$4:T6, T6)&gt;1, 0, 1)</f>
        <v>1</v>
      </c>
      <c r="R6" s="204" t="str">
        <f t="shared" ca="1" si="2"/>
        <v/>
      </c>
      <c r="S6" s="204" t="str">
        <f t="shared" ca="1" si="3"/>
        <v/>
      </c>
      <c r="T6" s="204" t="str">
        <f t="shared" ca="1" si="4"/>
        <v/>
      </c>
      <c r="AL6" s="4" t="e">
        <f>Assessments!#REF!</f>
        <v>#REF!</v>
      </c>
      <c r="AY6" s="4" t="e">
        <f>Assessments!#REF!</f>
        <v>#REF!</v>
      </c>
      <c r="BL6" s="4" t="str">
        <f>Assessments!AC92</f>
        <v>Mental Health</v>
      </c>
    </row>
    <row r="7" spans="1:64" x14ac:dyDescent="0.25">
      <c r="A7">
        <v>1</v>
      </c>
      <c r="B7">
        <v>1</v>
      </c>
      <c r="C7">
        <v>18</v>
      </c>
      <c r="D7">
        <v>4</v>
      </c>
      <c r="E7" t="b">
        <v>0</v>
      </c>
      <c r="F7" s="22" t="str">
        <f t="shared" si="0"/>
        <v/>
      </c>
      <c r="G7" s="23" t="s">
        <v>167</v>
      </c>
      <c r="H7" s="23" t="s">
        <v>176</v>
      </c>
      <c r="I7" s="23" t="s">
        <v>2</v>
      </c>
      <c r="J7" t="s">
        <v>6</v>
      </c>
      <c r="K7" s="22" t="e">
        <f t="shared" si="1"/>
        <v>#N/A</v>
      </c>
      <c r="L7" s="22" t="str">
        <f t="shared" si="5"/>
        <v/>
      </c>
      <c r="O7">
        <f ca="1">O6+IF(COUNTIF(R$4:R7, R7)&gt;1, 0, 1)</f>
        <v>1</v>
      </c>
      <c r="P7">
        <f ca="1">P6+IF(COUNTIF(S$4:S7, S7)&gt;1, 0, 1)</f>
        <v>1</v>
      </c>
      <c r="Q7">
        <f ca="1">Q6+IF(COUNTIF(T$4:T7, T7)&gt;1, 0, 1)</f>
        <v>1</v>
      </c>
      <c r="R7" s="204" t="str">
        <f t="shared" ca="1" si="2"/>
        <v/>
      </c>
      <c r="S7" s="204" t="str">
        <f t="shared" ca="1" si="3"/>
        <v/>
      </c>
      <c r="T7" s="204" t="str">
        <f t="shared" ca="1" si="4"/>
        <v/>
      </c>
      <c r="AL7" s="4" t="e">
        <f>Assessments!#REF!</f>
        <v>#REF!</v>
      </c>
      <c r="AY7" s="4" t="e">
        <f>Assessments!#REF!</f>
        <v>#REF!</v>
      </c>
      <c r="BL7" s="4" t="str">
        <f>Assessments!AC93</f>
        <v>Partner Relations</v>
      </c>
    </row>
    <row r="8" spans="1:64" x14ac:dyDescent="0.25">
      <c r="A8">
        <v>1</v>
      </c>
      <c r="B8">
        <v>1</v>
      </c>
      <c r="C8">
        <v>18</v>
      </c>
      <c r="D8">
        <v>5</v>
      </c>
      <c r="E8" t="b">
        <v>0</v>
      </c>
      <c r="F8" s="22" t="str">
        <f t="shared" si="0"/>
        <v/>
      </c>
      <c r="G8" s="23" t="s">
        <v>167</v>
      </c>
      <c r="H8" s="23" t="s">
        <v>177</v>
      </c>
      <c r="I8" s="23" t="s">
        <v>2</v>
      </c>
      <c r="J8" t="s">
        <v>44</v>
      </c>
      <c r="K8" s="22" t="e">
        <f t="shared" si="1"/>
        <v>#N/A</v>
      </c>
      <c r="L8" s="22" t="str">
        <f t="shared" si="5"/>
        <v/>
      </c>
      <c r="O8">
        <f ca="1">O7+IF(COUNTIF(R$4:R8, R8)&gt;1, 0, 1)</f>
        <v>1</v>
      </c>
      <c r="P8">
        <f ca="1">P7+IF(COUNTIF(S$4:S8, S8)&gt;1, 0, 1)</f>
        <v>1</v>
      </c>
      <c r="Q8">
        <f ca="1">Q7+IF(COUNTIF(T$4:T8, T8)&gt;1, 0, 1)</f>
        <v>1</v>
      </c>
      <c r="R8" s="204" t="str">
        <f t="shared" ca="1" si="2"/>
        <v/>
      </c>
      <c r="S8" s="204" t="str">
        <f t="shared" ca="1" si="3"/>
        <v/>
      </c>
      <c r="T8" s="204" t="str">
        <f t="shared" ca="1" si="4"/>
        <v/>
      </c>
      <c r="AL8" s="4" t="e">
        <f>Assessments!#REF!</f>
        <v>#REF!</v>
      </c>
      <c r="AY8" s="4" t="e">
        <f>Assessments!#REF!</f>
        <v>#REF!</v>
      </c>
      <c r="BL8" s="4" t="str">
        <f>Assessments!AC94</f>
        <v>Substance Abuse</v>
      </c>
    </row>
    <row r="9" spans="1:64" x14ac:dyDescent="0.25">
      <c r="A9">
        <v>1</v>
      </c>
      <c r="B9">
        <v>1</v>
      </c>
      <c r="C9">
        <v>18</v>
      </c>
      <c r="D9">
        <v>6</v>
      </c>
      <c r="E9" t="b">
        <v>0</v>
      </c>
      <c r="F9" s="22" t="str">
        <f t="shared" si="0"/>
        <v/>
      </c>
      <c r="G9" s="23" t="s">
        <v>167</v>
      </c>
      <c r="H9" s="23" t="s">
        <v>178</v>
      </c>
      <c r="I9" s="23" t="s">
        <v>2</v>
      </c>
      <c r="J9" t="s">
        <v>102</v>
      </c>
      <c r="K9" s="22" t="e">
        <f t="shared" si="1"/>
        <v>#N/A</v>
      </c>
      <c r="L9" s="22" t="str">
        <f t="shared" si="5"/>
        <v/>
      </c>
      <c r="O9">
        <f ca="1">O8+IF(COUNTIF(R$4:R9, R9)&gt;1, 0, 1)</f>
        <v>1</v>
      </c>
      <c r="P9">
        <f ca="1">P8+IF(COUNTIF(S$4:S9, S9)&gt;1, 0, 1)</f>
        <v>1</v>
      </c>
      <c r="Q9">
        <f ca="1">Q8+IF(COUNTIF(T$4:T9, T9)&gt;1, 0, 1)</f>
        <v>1</v>
      </c>
      <c r="R9" s="204" t="str">
        <f t="shared" ca="1" si="2"/>
        <v/>
      </c>
      <c r="S9" s="204" t="str">
        <f t="shared" ca="1" si="3"/>
        <v/>
      </c>
      <c r="T9" s="204" t="str">
        <f t="shared" ca="1" si="4"/>
        <v/>
      </c>
      <c r="AL9" s="4" t="e">
        <f>Assessments!#REF!</f>
        <v>#REF!</v>
      </c>
      <c r="AY9" s="4" t="e">
        <f>Assessments!#REF!</f>
        <v>#REF!</v>
      </c>
      <c r="BL9" s="4" t="str">
        <f>Assessments!AC95</f>
        <v>Physical Health</v>
      </c>
    </row>
    <row r="10" spans="1:64" x14ac:dyDescent="0.25">
      <c r="A10">
        <v>1</v>
      </c>
      <c r="B10">
        <v>1</v>
      </c>
      <c r="C10">
        <v>18</v>
      </c>
      <c r="D10">
        <v>7</v>
      </c>
      <c r="E10" t="b">
        <v>0</v>
      </c>
      <c r="F10" s="22" t="str">
        <f t="shared" si="0"/>
        <v/>
      </c>
      <c r="G10" s="23" t="s">
        <v>167</v>
      </c>
      <c r="H10" s="23" t="s">
        <v>179</v>
      </c>
      <c r="I10" s="23" t="s">
        <v>2</v>
      </c>
      <c r="J10" t="s">
        <v>103</v>
      </c>
      <c r="K10" s="22" t="e">
        <f t="shared" si="1"/>
        <v>#N/A</v>
      </c>
      <c r="L10" s="22" t="str">
        <f t="shared" si="5"/>
        <v/>
      </c>
      <c r="O10">
        <f ca="1">O9+IF(COUNTIF(R$4:R10, R10)&gt;1, 0, 1)</f>
        <v>1</v>
      </c>
      <c r="P10">
        <f ca="1">P9+IF(COUNTIF(S$4:S10, S10)&gt;1, 0, 1)</f>
        <v>1</v>
      </c>
      <c r="Q10">
        <f ca="1">Q9+IF(COUNTIF(T$4:T10, T10)&gt;1, 0, 1)</f>
        <v>1</v>
      </c>
      <c r="R10" s="204" t="str">
        <f t="shared" ca="1" si="2"/>
        <v/>
      </c>
      <c r="S10" s="204" t="str">
        <f t="shared" ca="1" si="3"/>
        <v/>
      </c>
      <c r="T10" s="204" t="str">
        <f t="shared" ca="1" si="4"/>
        <v/>
      </c>
      <c r="AL10" s="4"/>
      <c r="AY10" s="4"/>
      <c r="BL10" s="4" t="str">
        <f>Assessments!AC96</f>
        <v>Organization</v>
      </c>
    </row>
    <row r="11" spans="1:64" x14ac:dyDescent="0.25">
      <c r="A11">
        <v>1</v>
      </c>
      <c r="B11">
        <v>1</v>
      </c>
      <c r="C11">
        <v>18</v>
      </c>
      <c r="D11">
        <v>8</v>
      </c>
      <c r="E11" t="b">
        <v>0</v>
      </c>
      <c r="F11" s="22" t="str">
        <f t="shared" si="0"/>
        <v/>
      </c>
      <c r="G11" s="23" t="s">
        <v>167</v>
      </c>
      <c r="H11" s="23" t="s">
        <v>180</v>
      </c>
      <c r="I11" s="23" t="s">
        <v>2</v>
      </c>
      <c r="J11" t="s">
        <v>7</v>
      </c>
      <c r="K11" s="22" t="e">
        <f t="shared" si="1"/>
        <v>#N/A</v>
      </c>
      <c r="L11" s="22" t="str">
        <f t="shared" si="5"/>
        <v/>
      </c>
      <c r="O11">
        <f ca="1">O10+IF(COUNTIF(R$4:R11, R11)&gt;1, 0, 1)</f>
        <v>1</v>
      </c>
      <c r="P11">
        <f ca="1">P10+IF(COUNTIF(S$4:S11, S11)&gt;1, 0, 1)</f>
        <v>1</v>
      </c>
      <c r="Q11">
        <f ca="1">Q10+IF(COUNTIF(T$4:T11, T11)&gt;1, 0, 1)</f>
        <v>1</v>
      </c>
      <c r="R11" s="204" t="str">
        <f t="shared" ca="1" si="2"/>
        <v/>
      </c>
      <c r="S11" s="204" t="str">
        <f t="shared" ca="1" si="3"/>
        <v/>
      </c>
      <c r="T11" s="204" t="str">
        <f t="shared" ca="1" si="4"/>
        <v/>
      </c>
      <c r="AL11" s="4"/>
      <c r="AY11" s="4"/>
      <c r="BL11" s="4" t="e">
        <f>Assessments!#REF!</f>
        <v>#REF!</v>
      </c>
    </row>
    <row r="12" spans="1:64" x14ac:dyDescent="0.25">
      <c r="A12">
        <v>1</v>
      </c>
      <c r="B12">
        <v>1</v>
      </c>
      <c r="C12">
        <v>18</v>
      </c>
      <c r="D12">
        <v>9</v>
      </c>
      <c r="E12" t="b">
        <v>0</v>
      </c>
      <c r="F12" s="22" t="str">
        <f t="shared" si="0"/>
        <v/>
      </c>
      <c r="G12" s="23" t="s">
        <v>167</v>
      </c>
      <c r="H12" s="23" t="s">
        <v>181</v>
      </c>
      <c r="I12" s="23" t="s">
        <v>2</v>
      </c>
      <c r="J12" t="s">
        <v>104</v>
      </c>
      <c r="K12" s="22" t="e">
        <f t="shared" si="1"/>
        <v>#N/A</v>
      </c>
      <c r="L12" s="22" t="str">
        <f t="shared" si="5"/>
        <v/>
      </c>
      <c r="O12">
        <f ca="1">O11+IF(COUNTIF(R$4:R12, R12)&gt;1, 0, 1)</f>
        <v>1</v>
      </c>
      <c r="P12">
        <f ca="1">P11+IF(COUNTIF(S$4:S12, S12)&gt;1, 0, 1)</f>
        <v>1</v>
      </c>
      <c r="Q12">
        <f ca="1">Q11+IF(COUNTIF(T$4:T12, T12)&gt;1, 0, 1)</f>
        <v>1</v>
      </c>
      <c r="R12" s="204" t="str">
        <f t="shared" ca="1" si="2"/>
        <v/>
      </c>
      <c r="S12" s="204" t="str">
        <f t="shared" ca="1" si="3"/>
        <v/>
      </c>
      <c r="T12" s="204" t="str">
        <f t="shared" ca="1" si="4"/>
        <v/>
      </c>
      <c r="AL12" s="4"/>
      <c r="AY12" s="4"/>
    </row>
    <row r="13" spans="1:64" x14ac:dyDescent="0.25">
      <c r="A13">
        <v>1</v>
      </c>
      <c r="B13">
        <v>1</v>
      </c>
      <c r="C13">
        <v>18</v>
      </c>
      <c r="D13">
        <v>10</v>
      </c>
      <c r="E13" t="b">
        <v>0</v>
      </c>
      <c r="F13" s="22" t="str">
        <f t="shared" si="0"/>
        <v/>
      </c>
      <c r="G13" s="23" t="s">
        <v>167</v>
      </c>
      <c r="H13" s="23" t="s">
        <v>182</v>
      </c>
      <c r="I13" s="23" t="s">
        <v>2</v>
      </c>
      <c r="J13" t="s">
        <v>8</v>
      </c>
      <c r="K13" s="22" t="e">
        <f t="shared" si="1"/>
        <v>#N/A</v>
      </c>
      <c r="L13" s="22" t="str">
        <f t="shared" si="5"/>
        <v/>
      </c>
      <c r="O13">
        <f ca="1">O12+IF(COUNTIF(R$4:R13, R13)&gt;1, 0, 1)</f>
        <v>1</v>
      </c>
      <c r="P13">
        <f ca="1">P12+IF(COUNTIF(S$4:S13, S13)&gt;1, 0, 1)</f>
        <v>1</v>
      </c>
      <c r="Q13">
        <f ca="1">Q12+IF(COUNTIF(T$4:T13, T13)&gt;1, 0, 1)</f>
        <v>1</v>
      </c>
      <c r="R13" s="204" t="str">
        <f t="shared" ca="1" si="2"/>
        <v/>
      </c>
      <c r="S13" s="204" t="str">
        <f t="shared" ca="1" si="3"/>
        <v/>
      </c>
      <c r="T13" s="204" t="str">
        <f t="shared" ca="1" si="4"/>
        <v/>
      </c>
      <c r="AL13" s="4"/>
      <c r="AY13" s="4"/>
    </row>
    <row r="14" spans="1:64" x14ac:dyDescent="0.25">
      <c r="A14">
        <v>1</v>
      </c>
      <c r="B14">
        <v>1</v>
      </c>
      <c r="C14">
        <v>18</v>
      </c>
      <c r="D14">
        <v>11</v>
      </c>
      <c r="E14" t="b">
        <v>0</v>
      </c>
      <c r="F14" s="22" t="str">
        <f t="shared" si="0"/>
        <v/>
      </c>
      <c r="G14" s="23" t="s">
        <v>167</v>
      </c>
      <c r="H14" s="23" t="s">
        <v>183</v>
      </c>
      <c r="I14" s="23" t="s">
        <v>2</v>
      </c>
      <c r="J14" t="s">
        <v>105</v>
      </c>
      <c r="K14" s="22" t="e">
        <f t="shared" si="1"/>
        <v>#N/A</v>
      </c>
      <c r="L14" s="22" t="str">
        <f t="shared" si="5"/>
        <v/>
      </c>
      <c r="O14">
        <f ca="1">O13+IF(COUNTIF(R$4:R14, R14)&gt;1, 0, 1)</f>
        <v>1</v>
      </c>
      <c r="P14">
        <f ca="1">P13+IF(COUNTIF(S$4:S14, S14)&gt;1, 0, 1)</f>
        <v>1</v>
      </c>
      <c r="Q14">
        <f ca="1">Q13+IF(COUNTIF(T$4:T14, T14)&gt;1, 0, 1)</f>
        <v>1</v>
      </c>
      <c r="R14" s="204" t="str">
        <f t="shared" ca="1" si="2"/>
        <v/>
      </c>
      <c r="S14" s="204" t="str">
        <f t="shared" ca="1" si="3"/>
        <v/>
      </c>
      <c r="T14" s="204" t="str">
        <f t="shared" ca="1" si="4"/>
        <v/>
      </c>
      <c r="AL14" s="4"/>
      <c r="AY14" s="4"/>
    </row>
    <row r="15" spans="1:64" x14ac:dyDescent="0.25">
      <c r="A15">
        <v>1</v>
      </c>
      <c r="B15">
        <v>1</v>
      </c>
      <c r="C15">
        <v>18</v>
      </c>
      <c r="D15">
        <v>12</v>
      </c>
      <c r="E15" t="b">
        <v>0</v>
      </c>
      <c r="F15" s="22" t="str">
        <f t="shared" si="0"/>
        <v/>
      </c>
      <c r="G15" s="23" t="s">
        <v>167</v>
      </c>
      <c r="H15" s="23" t="s">
        <v>184</v>
      </c>
      <c r="I15" s="23" t="s">
        <v>2</v>
      </c>
      <c r="J15" t="s">
        <v>106</v>
      </c>
      <c r="K15" s="22" t="e">
        <f t="shared" si="1"/>
        <v>#N/A</v>
      </c>
      <c r="L15" s="22" t="str">
        <f t="shared" si="5"/>
        <v/>
      </c>
      <c r="O15">
        <f ca="1">O14+IF(COUNTIF(R$4:R15, R15)&gt;1, 0, 1)</f>
        <v>1</v>
      </c>
      <c r="P15">
        <f ca="1">P14+IF(COUNTIF(S$4:S15, S15)&gt;1, 0, 1)</f>
        <v>1</v>
      </c>
      <c r="Q15">
        <f ca="1">Q14+IF(COUNTIF(T$4:T15, T15)&gt;1, 0, 1)</f>
        <v>1</v>
      </c>
      <c r="R15" s="204" t="str">
        <f t="shared" ca="1" si="2"/>
        <v/>
      </c>
      <c r="S15" s="204" t="str">
        <f t="shared" ca="1" si="3"/>
        <v/>
      </c>
      <c r="T15" s="204" t="str">
        <f t="shared" ca="1" si="4"/>
        <v/>
      </c>
      <c r="AL15" s="4"/>
      <c r="AY15" s="4"/>
    </row>
    <row r="16" spans="1:64" x14ac:dyDescent="0.25">
      <c r="A16">
        <v>1</v>
      </c>
      <c r="B16">
        <v>1</v>
      </c>
      <c r="C16">
        <v>18</v>
      </c>
      <c r="D16">
        <v>13</v>
      </c>
      <c r="E16" t="b">
        <v>0</v>
      </c>
      <c r="F16" s="22" t="str">
        <f t="shared" si="0"/>
        <v/>
      </c>
      <c r="G16" s="23" t="s">
        <v>167</v>
      </c>
      <c r="H16" s="23" t="s">
        <v>185</v>
      </c>
      <c r="I16" s="23" t="s">
        <v>2</v>
      </c>
      <c r="J16" t="s">
        <v>107</v>
      </c>
      <c r="K16" s="22" t="e">
        <f t="shared" si="1"/>
        <v>#N/A</v>
      </c>
      <c r="L16" s="22" t="str">
        <f t="shared" si="5"/>
        <v/>
      </c>
      <c r="O16">
        <f ca="1">O15+IF(COUNTIF(R$4:R16, R16)&gt;1, 0, 1)</f>
        <v>1</v>
      </c>
      <c r="P16">
        <f ca="1">P15+IF(COUNTIF(S$4:S16, S16)&gt;1, 0, 1)</f>
        <v>1</v>
      </c>
      <c r="Q16">
        <f ca="1">Q15+IF(COUNTIF(T$4:T16, T16)&gt;1, 0, 1)</f>
        <v>1</v>
      </c>
      <c r="R16" s="204" t="str">
        <f t="shared" ca="1" si="2"/>
        <v/>
      </c>
      <c r="S16" s="204" t="str">
        <f t="shared" ca="1" si="3"/>
        <v/>
      </c>
      <c r="T16" s="204" t="str">
        <f t="shared" ca="1" si="4"/>
        <v/>
      </c>
      <c r="AL16" s="4"/>
      <c r="AY16" s="4"/>
    </row>
    <row r="17" spans="1:51" x14ac:dyDescent="0.25">
      <c r="A17">
        <v>1</v>
      </c>
      <c r="B17">
        <v>1</v>
      </c>
      <c r="C17">
        <v>18</v>
      </c>
      <c r="D17">
        <v>14</v>
      </c>
      <c r="E17" t="b">
        <v>0</v>
      </c>
      <c r="F17" s="22" t="str">
        <f t="shared" si="0"/>
        <v/>
      </c>
      <c r="G17" s="23" t="s">
        <v>167</v>
      </c>
      <c r="H17" s="23" t="s">
        <v>186</v>
      </c>
      <c r="I17" s="23" t="s">
        <v>2</v>
      </c>
      <c r="J17" t="s">
        <v>108</v>
      </c>
      <c r="K17" s="22" t="e">
        <f t="shared" si="1"/>
        <v>#N/A</v>
      </c>
      <c r="L17" s="22" t="str">
        <f t="shared" si="5"/>
        <v/>
      </c>
      <c r="O17">
        <f ca="1">O16+IF(COUNTIF(R$4:R17, R17)&gt;1, 0, 1)</f>
        <v>1</v>
      </c>
      <c r="P17">
        <f ca="1">P16+IF(COUNTIF(S$4:S17, S17)&gt;1, 0, 1)</f>
        <v>1</v>
      </c>
      <c r="Q17">
        <f ca="1">Q16+IF(COUNTIF(T$4:T17, T17)&gt;1, 0, 1)</f>
        <v>1</v>
      </c>
      <c r="R17" s="204" t="str">
        <f t="shared" ca="1" si="2"/>
        <v/>
      </c>
      <c r="S17" s="204" t="str">
        <f t="shared" ca="1" si="3"/>
        <v/>
      </c>
      <c r="T17" s="204" t="str">
        <f t="shared" ca="1" si="4"/>
        <v/>
      </c>
      <c r="AL17" s="4"/>
      <c r="AY17" s="4"/>
    </row>
    <row r="18" spans="1:51" x14ac:dyDescent="0.25">
      <c r="A18">
        <v>1</v>
      </c>
      <c r="B18">
        <v>1</v>
      </c>
      <c r="C18">
        <v>18</v>
      </c>
      <c r="D18">
        <v>15</v>
      </c>
      <c r="E18" t="b">
        <v>0</v>
      </c>
      <c r="F18" s="22" t="str">
        <f t="shared" si="0"/>
        <v/>
      </c>
      <c r="G18" s="23" t="s">
        <v>167</v>
      </c>
      <c r="H18" s="23" t="s">
        <v>187</v>
      </c>
      <c r="I18" s="23" t="s">
        <v>2</v>
      </c>
      <c r="J18" t="s">
        <v>109</v>
      </c>
      <c r="K18" s="22" t="e">
        <f t="shared" si="1"/>
        <v>#N/A</v>
      </c>
      <c r="L18" s="22" t="str">
        <f t="shared" si="5"/>
        <v/>
      </c>
      <c r="O18">
        <f ca="1">O17+IF(COUNTIF(R$4:R18, R18)&gt;1, 0, 1)</f>
        <v>1</v>
      </c>
      <c r="P18">
        <f ca="1">P17+IF(COUNTIF(S$4:S18, S18)&gt;1, 0, 1)</f>
        <v>1</v>
      </c>
      <c r="Q18">
        <f ca="1">Q17+IF(COUNTIF(T$4:T18, T18)&gt;1, 0, 1)</f>
        <v>1</v>
      </c>
      <c r="R18" s="204" t="str">
        <f t="shared" ca="1" si="2"/>
        <v/>
      </c>
      <c r="S18" s="204" t="str">
        <f t="shared" ca="1" si="3"/>
        <v/>
      </c>
      <c r="T18" s="204" t="str">
        <f t="shared" ca="1" si="4"/>
        <v/>
      </c>
      <c r="AL18" s="4"/>
      <c r="AY18" s="4"/>
    </row>
    <row r="19" spans="1:51" x14ac:dyDescent="0.25">
      <c r="A19">
        <v>1</v>
      </c>
      <c r="B19">
        <v>1</v>
      </c>
      <c r="C19">
        <v>18</v>
      </c>
      <c r="D19">
        <v>16</v>
      </c>
      <c r="E19" t="b">
        <v>0</v>
      </c>
      <c r="F19" s="22" t="str">
        <f t="shared" si="0"/>
        <v/>
      </c>
      <c r="G19" s="23" t="s">
        <v>167</v>
      </c>
      <c r="H19" s="23" t="s">
        <v>188</v>
      </c>
      <c r="I19" s="23" t="s">
        <v>2</v>
      </c>
      <c r="J19" t="s">
        <v>110</v>
      </c>
      <c r="K19" s="22" t="e">
        <f t="shared" si="1"/>
        <v>#N/A</v>
      </c>
      <c r="L19" s="22" t="str">
        <f t="shared" si="5"/>
        <v/>
      </c>
      <c r="O19">
        <f ca="1">O18+IF(COUNTIF(R$4:R19, R19)&gt;1, 0, 1)</f>
        <v>1</v>
      </c>
      <c r="P19">
        <f ca="1">P18+IF(COUNTIF(S$4:S19, S19)&gt;1, 0, 1)</f>
        <v>1</v>
      </c>
      <c r="Q19">
        <f ca="1">Q18+IF(COUNTIF(T$4:T19, T19)&gt;1, 0, 1)</f>
        <v>1</v>
      </c>
      <c r="R19" s="204" t="str">
        <f t="shared" ca="1" si="2"/>
        <v/>
      </c>
      <c r="S19" s="204" t="str">
        <f t="shared" ca="1" si="3"/>
        <v/>
      </c>
      <c r="T19" s="204" t="str">
        <f t="shared" ca="1" si="4"/>
        <v/>
      </c>
      <c r="AL19" s="4"/>
      <c r="AY19" s="4"/>
    </row>
    <row r="20" spans="1:51" x14ac:dyDescent="0.25">
      <c r="A20">
        <v>1</v>
      </c>
      <c r="B20">
        <v>1</v>
      </c>
      <c r="C20">
        <v>18</v>
      </c>
      <c r="D20">
        <v>17</v>
      </c>
      <c r="E20" t="b">
        <v>0</v>
      </c>
      <c r="F20" s="22" t="str">
        <f t="shared" si="0"/>
        <v/>
      </c>
      <c r="G20" s="23" t="s">
        <v>167</v>
      </c>
      <c r="H20" s="23" t="s">
        <v>189</v>
      </c>
      <c r="I20" s="23" t="s">
        <v>2</v>
      </c>
      <c r="J20" t="s">
        <v>23</v>
      </c>
      <c r="K20" s="22" t="e">
        <f t="shared" si="1"/>
        <v>#N/A</v>
      </c>
      <c r="L20" s="22" t="str">
        <f t="shared" si="5"/>
        <v/>
      </c>
      <c r="O20">
        <f ca="1">O19+IF(COUNTIF(R$4:R20, R20)&gt;1, 0, 1)</f>
        <v>1</v>
      </c>
      <c r="P20">
        <f ca="1">P19+IF(COUNTIF(S$4:S20, S20)&gt;1, 0, 1)</f>
        <v>1</v>
      </c>
      <c r="Q20">
        <f ca="1">Q19+IF(COUNTIF(T$4:T20, T20)&gt;1, 0, 1)</f>
        <v>1</v>
      </c>
      <c r="R20" s="204" t="str">
        <f t="shared" ca="1" si="2"/>
        <v/>
      </c>
      <c r="S20" s="204" t="str">
        <f t="shared" ca="1" si="3"/>
        <v/>
      </c>
      <c r="T20" s="204" t="str">
        <f t="shared" ca="1" si="4"/>
        <v/>
      </c>
      <c r="AL20" s="4"/>
      <c r="AY20" s="4"/>
    </row>
    <row r="21" spans="1:51" x14ac:dyDescent="0.25">
      <c r="A21">
        <v>1</v>
      </c>
      <c r="B21">
        <v>1</v>
      </c>
      <c r="C21">
        <v>18</v>
      </c>
      <c r="D21">
        <v>18</v>
      </c>
      <c r="E21" t="b">
        <v>1</v>
      </c>
      <c r="F21" s="22" t="str">
        <f t="shared" si="0"/>
        <v/>
      </c>
      <c r="G21" s="23" t="s">
        <v>167</v>
      </c>
      <c r="H21" s="23" t="s">
        <v>190</v>
      </c>
      <c r="I21" s="23" t="s">
        <v>2</v>
      </c>
      <c r="J21" t="s">
        <v>24</v>
      </c>
      <c r="K21" s="22" t="e">
        <f t="shared" si="1"/>
        <v>#N/A</v>
      </c>
      <c r="L21" s="22" t="str">
        <f t="shared" si="5"/>
        <v/>
      </c>
      <c r="O21">
        <f ca="1">O20+IF(COUNTIF(R$4:R21, R21)&gt;1, 0, 1)</f>
        <v>1</v>
      </c>
      <c r="P21">
        <f ca="1">P20+IF(COUNTIF(S$4:S21, S21)&gt;1, 0, 1)</f>
        <v>1</v>
      </c>
      <c r="Q21">
        <f ca="1">Q20+IF(COUNTIF(T$4:T21, T21)&gt;1, 0, 1)</f>
        <v>1</v>
      </c>
      <c r="R21" s="204" t="str">
        <f t="shared" ca="1" si="2"/>
        <v/>
      </c>
      <c r="S21" s="204" t="str">
        <f t="shared" ca="1" si="3"/>
        <v/>
      </c>
      <c r="T21" s="204" t="str">
        <f t="shared" ca="1" si="4"/>
        <v/>
      </c>
      <c r="AL21" s="4"/>
      <c r="AY21" s="4"/>
    </row>
    <row r="22" spans="1:51" x14ac:dyDescent="0.25">
      <c r="A22">
        <v>1</v>
      </c>
      <c r="B22">
        <v>2</v>
      </c>
      <c r="C22">
        <v>16</v>
      </c>
      <c r="D22">
        <v>1</v>
      </c>
      <c r="E22" t="b">
        <v>0</v>
      </c>
      <c r="F22" s="22" t="str">
        <f t="shared" si="0"/>
        <v/>
      </c>
      <c r="G22" s="23" t="s">
        <v>165</v>
      </c>
      <c r="H22" s="23" t="s">
        <v>191</v>
      </c>
      <c r="I22" s="23" t="s">
        <v>9</v>
      </c>
      <c r="J22" t="s">
        <v>10</v>
      </c>
      <c r="K22" s="22" t="e">
        <f t="shared" si="1"/>
        <v>#N/A</v>
      </c>
      <c r="L22" s="22" t="str">
        <f t="shared" si="5"/>
        <v/>
      </c>
      <c r="O22">
        <f ca="1">O21+IF(COUNTIF(R$4:R22, R22)&gt;1, 0, 1)</f>
        <v>1</v>
      </c>
      <c r="P22">
        <f ca="1">P21+IF(COUNTIF(S$4:S22, S22)&gt;1, 0, 1)</f>
        <v>1</v>
      </c>
      <c r="Q22">
        <f ca="1">Q21+IF(COUNTIF(T$4:T22, T22)&gt;1, 0, 1)</f>
        <v>1</v>
      </c>
      <c r="R22" s="204" t="str">
        <f t="shared" ca="1" si="2"/>
        <v/>
      </c>
      <c r="S22" s="204" t="str">
        <f t="shared" ca="1" si="3"/>
        <v/>
      </c>
      <c r="T22" s="204" t="str">
        <f t="shared" ca="1" si="4"/>
        <v/>
      </c>
      <c r="AL22" s="4"/>
      <c r="AY22" s="4"/>
    </row>
    <row r="23" spans="1:51" x14ac:dyDescent="0.25">
      <c r="A23">
        <v>1</v>
      </c>
      <c r="B23">
        <v>2</v>
      </c>
      <c r="C23">
        <v>16</v>
      </c>
      <c r="D23">
        <v>2</v>
      </c>
      <c r="E23" t="b">
        <v>0</v>
      </c>
      <c r="F23" s="22" t="str">
        <f t="shared" si="0"/>
        <v/>
      </c>
      <c r="G23" s="23" t="s">
        <v>165</v>
      </c>
      <c r="H23" s="23" t="s">
        <v>192</v>
      </c>
      <c r="I23" s="23" t="s">
        <v>9</v>
      </c>
      <c r="J23" t="s">
        <v>11</v>
      </c>
      <c r="K23" s="22" t="e">
        <f t="shared" si="1"/>
        <v>#N/A</v>
      </c>
      <c r="L23" s="22" t="str">
        <f t="shared" si="5"/>
        <v/>
      </c>
      <c r="O23">
        <f ca="1">O22+IF(COUNTIF(R$4:R23, R23)&gt;1, 0, 1)</f>
        <v>1</v>
      </c>
      <c r="P23">
        <f ca="1">P22+IF(COUNTIF(S$4:S23, S23)&gt;1, 0, 1)</f>
        <v>1</v>
      </c>
      <c r="Q23">
        <f ca="1">Q22+IF(COUNTIF(T$4:T23, T23)&gt;1, 0, 1)</f>
        <v>1</v>
      </c>
      <c r="R23" s="204" t="str">
        <f t="shared" ca="1" si="2"/>
        <v/>
      </c>
      <c r="S23" s="204" t="str">
        <f t="shared" ca="1" si="3"/>
        <v/>
      </c>
      <c r="T23" s="204" t="str">
        <f t="shared" ca="1" si="4"/>
        <v/>
      </c>
      <c r="AL23" s="4"/>
    </row>
    <row r="24" spans="1:51" x14ac:dyDescent="0.25">
      <c r="A24">
        <v>1</v>
      </c>
      <c r="B24">
        <v>2</v>
      </c>
      <c r="C24">
        <v>16</v>
      </c>
      <c r="D24">
        <v>3</v>
      </c>
      <c r="E24" t="b">
        <v>0</v>
      </c>
      <c r="F24" s="22" t="str">
        <f t="shared" si="0"/>
        <v/>
      </c>
      <c r="G24" s="23" t="s">
        <v>165</v>
      </c>
      <c r="H24" s="23" t="s">
        <v>193</v>
      </c>
      <c r="I24" s="23" t="s">
        <v>9</v>
      </c>
      <c r="J24" t="s">
        <v>12</v>
      </c>
      <c r="K24" s="22" t="e">
        <f t="shared" si="1"/>
        <v>#N/A</v>
      </c>
      <c r="L24" s="22" t="str">
        <f t="shared" si="5"/>
        <v/>
      </c>
      <c r="O24">
        <f ca="1">O23+IF(COUNTIF(R$4:R24, R24)&gt;1, 0, 1)</f>
        <v>1</v>
      </c>
      <c r="P24">
        <f ca="1">P23+IF(COUNTIF(S$4:S24, S24)&gt;1, 0, 1)</f>
        <v>1</v>
      </c>
      <c r="Q24">
        <f ca="1">Q23+IF(COUNTIF(T$4:T24, T24)&gt;1, 0, 1)</f>
        <v>1</v>
      </c>
      <c r="R24" s="204" t="str">
        <f t="shared" ca="1" si="2"/>
        <v/>
      </c>
      <c r="S24" s="204" t="str">
        <f t="shared" ca="1" si="3"/>
        <v/>
      </c>
      <c r="T24" s="204" t="str">
        <f t="shared" ca="1" si="4"/>
        <v/>
      </c>
      <c r="AL24" s="4"/>
      <c r="AY24" s="4"/>
    </row>
    <row r="25" spans="1:51" x14ac:dyDescent="0.25">
      <c r="A25">
        <v>1</v>
      </c>
      <c r="B25">
        <v>2</v>
      </c>
      <c r="C25">
        <v>16</v>
      </c>
      <c r="D25">
        <v>4</v>
      </c>
      <c r="E25" t="b">
        <v>0</v>
      </c>
      <c r="F25" s="22" t="str">
        <f t="shared" si="0"/>
        <v/>
      </c>
      <c r="G25" s="23" t="s">
        <v>165</v>
      </c>
      <c r="H25" s="23" t="s">
        <v>194</v>
      </c>
      <c r="I25" s="23" t="s">
        <v>9</v>
      </c>
      <c r="J25" t="s">
        <v>13</v>
      </c>
      <c r="K25" s="22" t="e">
        <f t="shared" si="1"/>
        <v>#N/A</v>
      </c>
      <c r="L25" s="22" t="str">
        <f t="shared" si="5"/>
        <v/>
      </c>
      <c r="O25">
        <f ca="1">O24+IF(COUNTIF(R$4:R25, R25)&gt;1, 0, 1)</f>
        <v>1</v>
      </c>
      <c r="P25">
        <f ca="1">P24+IF(COUNTIF(S$4:S25, S25)&gt;1, 0, 1)</f>
        <v>1</v>
      </c>
      <c r="Q25">
        <f ca="1">Q24+IF(COUNTIF(T$4:T25, T25)&gt;1, 0, 1)</f>
        <v>1</v>
      </c>
      <c r="R25" s="204" t="str">
        <f t="shared" ca="1" si="2"/>
        <v/>
      </c>
      <c r="S25" s="204" t="str">
        <f t="shared" ca="1" si="3"/>
        <v/>
      </c>
      <c r="T25" s="204" t="str">
        <f t="shared" ca="1" si="4"/>
        <v/>
      </c>
      <c r="AL25" s="4"/>
      <c r="AY25" s="4"/>
    </row>
    <row r="26" spans="1:51" x14ac:dyDescent="0.25">
      <c r="A26">
        <v>1</v>
      </c>
      <c r="B26">
        <v>2</v>
      </c>
      <c r="C26">
        <v>16</v>
      </c>
      <c r="D26">
        <v>5</v>
      </c>
      <c r="E26" t="b">
        <v>0</v>
      </c>
      <c r="F26" s="22" t="str">
        <f t="shared" si="0"/>
        <v/>
      </c>
      <c r="G26" s="23" t="s">
        <v>165</v>
      </c>
      <c r="H26" s="23" t="s">
        <v>195</v>
      </c>
      <c r="I26" s="23" t="s">
        <v>9</v>
      </c>
      <c r="J26" t="s">
        <v>14</v>
      </c>
      <c r="K26" s="22" t="e">
        <f t="shared" si="1"/>
        <v>#N/A</v>
      </c>
      <c r="L26" s="22" t="str">
        <f t="shared" si="5"/>
        <v/>
      </c>
      <c r="O26">
        <f ca="1">O25+IF(COUNTIF(R$4:R26, R26)&gt;1, 0, 1)</f>
        <v>1</v>
      </c>
      <c r="P26">
        <f ca="1">P25+IF(COUNTIF(S$4:S26, S26)&gt;1, 0, 1)</f>
        <v>1</v>
      </c>
      <c r="Q26">
        <f ca="1">Q25+IF(COUNTIF(T$4:T26, T26)&gt;1, 0, 1)</f>
        <v>1</v>
      </c>
      <c r="R26" s="204" t="str">
        <f t="shared" ca="1" si="2"/>
        <v/>
      </c>
      <c r="S26" s="204" t="str">
        <f t="shared" ca="1" si="3"/>
        <v/>
      </c>
      <c r="T26" s="204" t="str">
        <f t="shared" ca="1" si="4"/>
        <v/>
      </c>
      <c r="AL26" s="4"/>
      <c r="AY26" s="4"/>
    </row>
    <row r="27" spans="1:51" x14ac:dyDescent="0.25">
      <c r="A27">
        <v>1</v>
      </c>
      <c r="B27">
        <v>2</v>
      </c>
      <c r="C27">
        <v>16</v>
      </c>
      <c r="D27">
        <v>6</v>
      </c>
      <c r="E27" t="b">
        <v>0</v>
      </c>
      <c r="F27" s="22" t="str">
        <f t="shared" si="0"/>
        <v/>
      </c>
      <c r="G27" s="23" t="s">
        <v>165</v>
      </c>
      <c r="H27" s="23" t="s">
        <v>196</v>
      </c>
      <c r="I27" s="23" t="s">
        <v>9</v>
      </c>
      <c r="J27" t="s">
        <v>15</v>
      </c>
      <c r="K27" s="22" t="e">
        <f t="shared" si="1"/>
        <v>#N/A</v>
      </c>
      <c r="L27" s="22" t="str">
        <f t="shared" si="5"/>
        <v/>
      </c>
      <c r="O27">
        <f ca="1">O26+IF(COUNTIF(R$4:R27, R27)&gt;1, 0, 1)</f>
        <v>1</v>
      </c>
      <c r="P27">
        <f ca="1">P26+IF(COUNTIF(S$4:S27, S27)&gt;1, 0, 1)</f>
        <v>1</v>
      </c>
      <c r="Q27">
        <f ca="1">Q26+IF(COUNTIF(T$4:T27, T27)&gt;1, 0, 1)</f>
        <v>1</v>
      </c>
      <c r="R27" s="204" t="str">
        <f t="shared" ca="1" si="2"/>
        <v/>
      </c>
      <c r="S27" s="204" t="str">
        <f t="shared" ca="1" si="3"/>
        <v/>
      </c>
      <c r="T27" s="204" t="str">
        <f t="shared" ca="1" si="4"/>
        <v/>
      </c>
      <c r="AL27" s="4"/>
      <c r="AY27" s="4"/>
    </row>
    <row r="28" spans="1:51" x14ac:dyDescent="0.25">
      <c r="A28">
        <v>1</v>
      </c>
      <c r="B28">
        <v>2</v>
      </c>
      <c r="C28">
        <v>16</v>
      </c>
      <c r="D28">
        <v>7</v>
      </c>
      <c r="E28" t="b">
        <v>0</v>
      </c>
      <c r="F28" s="22" t="str">
        <f t="shared" si="0"/>
        <v/>
      </c>
      <c r="G28" s="23" t="s">
        <v>165</v>
      </c>
      <c r="H28" s="23" t="s">
        <v>197</v>
      </c>
      <c r="I28" s="23" t="s">
        <v>9</v>
      </c>
      <c r="J28" t="s">
        <v>16</v>
      </c>
      <c r="K28" s="22" t="e">
        <f t="shared" si="1"/>
        <v>#N/A</v>
      </c>
      <c r="L28" s="22" t="str">
        <f t="shared" si="5"/>
        <v/>
      </c>
      <c r="O28">
        <f ca="1">O27+IF(COUNTIF(R$4:R28, R28)&gt;1, 0, 1)</f>
        <v>1</v>
      </c>
      <c r="P28">
        <f ca="1">P27+IF(COUNTIF(S$4:S28, S28)&gt;1, 0, 1)</f>
        <v>1</v>
      </c>
      <c r="Q28">
        <f ca="1">Q27+IF(COUNTIF(T$4:T28, T28)&gt;1, 0, 1)</f>
        <v>1</v>
      </c>
      <c r="R28" s="204" t="str">
        <f t="shared" ca="1" si="2"/>
        <v/>
      </c>
      <c r="S28" s="204" t="str">
        <f t="shared" ca="1" si="3"/>
        <v/>
      </c>
      <c r="T28" s="204" t="str">
        <f t="shared" ca="1" si="4"/>
        <v/>
      </c>
      <c r="AL28" s="4"/>
      <c r="AY28" s="4"/>
    </row>
    <row r="29" spans="1:51" x14ac:dyDescent="0.25">
      <c r="A29">
        <v>1</v>
      </c>
      <c r="B29">
        <v>2</v>
      </c>
      <c r="C29">
        <v>16</v>
      </c>
      <c r="D29">
        <v>8</v>
      </c>
      <c r="E29" t="b">
        <v>0</v>
      </c>
      <c r="F29" s="22" t="str">
        <f t="shared" si="0"/>
        <v/>
      </c>
      <c r="G29" s="23" t="s">
        <v>165</v>
      </c>
      <c r="H29" s="23" t="s">
        <v>198</v>
      </c>
      <c r="I29" s="23" t="s">
        <v>9</v>
      </c>
      <c r="J29" t="s">
        <v>17</v>
      </c>
      <c r="K29" s="22" t="e">
        <f t="shared" si="1"/>
        <v>#N/A</v>
      </c>
      <c r="L29" s="22" t="str">
        <f t="shared" si="5"/>
        <v/>
      </c>
      <c r="O29">
        <f ca="1">O28+IF(COUNTIF(R$4:R29, R29)&gt;1, 0, 1)</f>
        <v>1</v>
      </c>
      <c r="P29">
        <f ca="1">P28+IF(COUNTIF(S$4:S29, S29)&gt;1, 0, 1)</f>
        <v>1</v>
      </c>
      <c r="Q29">
        <f ca="1">Q28+IF(COUNTIF(T$4:T29, T29)&gt;1, 0, 1)</f>
        <v>1</v>
      </c>
      <c r="R29" s="204" t="str">
        <f t="shared" ca="1" si="2"/>
        <v/>
      </c>
      <c r="S29" s="204" t="str">
        <f t="shared" ca="1" si="3"/>
        <v/>
      </c>
      <c r="T29" s="204" t="str">
        <f t="shared" ca="1" si="4"/>
        <v/>
      </c>
      <c r="AL29" s="4"/>
      <c r="AY29" s="4"/>
    </row>
    <row r="30" spans="1:51" x14ac:dyDescent="0.25">
      <c r="A30">
        <v>1</v>
      </c>
      <c r="B30">
        <v>2</v>
      </c>
      <c r="C30">
        <v>16</v>
      </c>
      <c r="D30">
        <v>9</v>
      </c>
      <c r="E30" t="b">
        <v>0</v>
      </c>
      <c r="F30" s="22" t="str">
        <f t="shared" si="0"/>
        <v/>
      </c>
      <c r="G30" s="23" t="s">
        <v>165</v>
      </c>
      <c r="H30" s="23" t="s">
        <v>199</v>
      </c>
      <c r="I30" s="23" t="s">
        <v>9</v>
      </c>
      <c r="J30" t="s">
        <v>18</v>
      </c>
      <c r="K30" s="22" t="e">
        <f t="shared" si="1"/>
        <v>#N/A</v>
      </c>
      <c r="L30" s="22" t="str">
        <f t="shared" si="5"/>
        <v/>
      </c>
      <c r="O30">
        <f ca="1">O29+IF(COUNTIF(R$4:R30, R30)&gt;1, 0, 1)</f>
        <v>1</v>
      </c>
      <c r="P30">
        <f ca="1">P29+IF(COUNTIF(S$4:S30, S30)&gt;1, 0, 1)</f>
        <v>1</v>
      </c>
      <c r="Q30">
        <f ca="1">Q29+IF(COUNTIF(T$4:T30, T30)&gt;1, 0, 1)</f>
        <v>1</v>
      </c>
      <c r="R30" s="204" t="str">
        <f t="shared" ca="1" si="2"/>
        <v/>
      </c>
      <c r="S30" s="204" t="str">
        <f t="shared" ca="1" si="3"/>
        <v/>
      </c>
      <c r="T30" s="204" t="str">
        <f t="shared" ca="1" si="4"/>
        <v/>
      </c>
      <c r="AL30" s="4"/>
      <c r="AY30" s="4"/>
    </row>
    <row r="31" spans="1:51" x14ac:dyDescent="0.25">
      <c r="A31">
        <v>1</v>
      </c>
      <c r="B31">
        <v>2</v>
      </c>
      <c r="C31">
        <v>16</v>
      </c>
      <c r="D31">
        <v>10</v>
      </c>
      <c r="E31" t="b">
        <v>0</v>
      </c>
      <c r="F31" s="22" t="str">
        <f t="shared" si="0"/>
        <v/>
      </c>
      <c r="G31" s="23" t="s">
        <v>165</v>
      </c>
      <c r="H31" s="23" t="s">
        <v>200</v>
      </c>
      <c r="I31" s="23" t="s">
        <v>9</v>
      </c>
      <c r="J31" t="s">
        <v>19</v>
      </c>
      <c r="K31" s="22" t="e">
        <f t="shared" si="1"/>
        <v>#N/A</v>
      </c>
      <c r="L31" s="22" t="str">
        <f t="shared" si="5"/>
        <v/>
      </c>
      <c r="O31">
        <f ca="1">O30+IF(COUNTIF(R$4:R31, R31)&gt;1, 0, 1)</f>
        <v>1</v>
      </c>
      <c r="P31">
        <f ca="1">P30+IF(COUNTIF(S$4:S31, S31)&gt;1, 0, 1)</f>
        <v>1</v>
      </c>
      <c r="Q31">
        <f ca="1">Q30+IF(COUNTIF(T$4:T31, T31)&gt;1, 0, 1)</f>
        <v>1</v>
      </c>
      <c r="R31" s="204" t="str">
        <f t="shared" ca="1" si="2"/>
        <v/>
      </c>
      <c r="S31" s="204" t="str">
        <f t="shared" ca="1" si="3"/>
        <v/>
      </c>
      <c r="T31" s="204" t="str">
        <f t="shared" ca="1" si="4"/>
        <v/>
      </c>
      <c r="AL31" s="4"/>
      <c r="AY31" s="4"/>
    </row>
    <row r="32" spans="1:51" x14ac:dyDescent="0.25">
      <c r="A32">
        <v>1</v>
      </c>
      <c r="B32">
        <v>2</v>
      </c>
      <c r="C32">
        <v>16</v>
      </c>
      <c r="D32">
        <v>11</v>
      </c>
      <c r="E32" t="b">
        <v>0</v>
      </c>
      <c r="F32" s="22" t="str">
        <f t="shared" si="0"/>
        <v/>
      </c>
      <c r="G32" s="23" t="s">
        <v>165</v>
      </c>
      <c r="H32" s="23" t="s">
        <v>201</v>
      </c>
      <c r="I32" s="23" t="s">
        <v>9</v>
      </c>
      <c r="J32" t="s">
        <v>20</v>
      </c>
      <c r="K32" s="22" t="e">
        <f t="shared" si="1"/>
        <v>#N/A</v>
      </c>
      <c r="L32" s="22" t="str">
        <f t="shared" si="5"/>
        <v/>
      </c>
      <c r="O32">
        <f ca="1">O31+IF(COUNTIF(R$4:R32, R32)&gt;1, 0, 1)</f>
        <v>1</v>
      </c>
      <c r="P32">
        <f ca="1">P31+IF(COUNTIF(S$4:S32, S32)&gt;1, 0, 1)</f>
        <v>1</v>
      </c>
      <c r="Q32">
        <f ca="1">Q31+IF(COUNTIF(T$4:T32, T32)&gt;1, 0, 1)</f>
        <v>1</v>
      </c>
      <c r="R32" s="204" t="str">
        <f t="shared" ca="1" si="2"/>
        <v/>
      </c>
      <c r="S32" s="204" t="str">
        <f t="shared" ca="1" si="3"/>
        <v/>
      </c>
      <c r="T32" s="204" t="str">
        <f t="shared" ca="1" si="4"/>
        <v/>
      </c>
      <c r="AL32" s="4"/>
      <c r="AY32" s="4"/>
    </row>
    <row r="33" spans="1:51" x14ac:dyDescent="0.25">
      <c r="A33">
        <v>1</v>
      </c>
      <c r="B33">
        <v>2</v>
      </c>
      <c r="C33">
        <v>16</v>
      </c>
      <c r="D33">
        <v>12</v>
      </c>
      <c r="E33" t="b">
        <v>0</v>
      </c>
      <c r="F33" s="22" t="str">
        <f t="shared" si="0"/>
        <v/>
      </c>
      <c r="G33" s="23" t="s">
        <v>165</v>
      </c>
      <c r="H33" s="23" t="s">
        <v>202</v>
      </c>
      <c r="I33" s="23" t="s">
        <v>9</v>
      </c>
      <c r="J33" t="s">
        <v>21</v>
      </c>
      <c r="K33" s="22" t="e">
        <f t="shared" si="1"/>
        <v>#N/A</v>
      </c>
      <c r="L33" s="22" t="str">
        <f t="shared" si="5"/>
        <v/>
      </c>
      <c r="O33">
        <f ca="1">O32+IF(COUNTIF(R$4:R33, R33)&gt;1, 0, 1)</f>
        <v>1</v>
      </c>
      <c r="P33">
        <f ca="1">P32+IF(COUNTIF(S$4:S33, S33)&gt;1, 0, 1)</f>
        <v>1</v>
      </c>
      <c r="Q33">
        <f ca="1">Q32+IF(COUNTIF(T$4:T33, T33)&gt;1, 0, 1)</f>
        <v>1</v>
      </c>
      <c r="R33" s="204" t="str">
        <f t="shared" ca="1" si="2"/>
        <v/>
      </c>
      <c r="S33" s="204" t="str">
        <f t="shared" ca="1" si="3"/>
        <v/>
      </c>
      <c r="T33" s="204" t="str">
        <f t="shared" ca="1" si="4"/>
        <v/>
      </c>
      <c r="AL33" s="4"/>
    </row>
    <row r="34" spans="1:51" x14ac:dyDescent="0.25">
      <c r="A34">
        <v>1</v>
      </c>
      <c r="B34">
        <v>2</v>
      </c>
      <c r="C34">
        <v>16</v>
      </c>
      <c r="D34">
        <v>13</v>
      </c>
      <c r="E34" t="b">
        <v>0</v>
      </c>
      <c r="F34" s="22" t="str">
        <f t="shared" si="0"/>
        <v/>
      </c>
      <c r="G34" s="23" t="s">
        <v>165</v>
      </c>
      <c r="H34" s="23" t="s">
        <v>203</v>
      </c>
      <c r="I34" s="23" t="s">
        <v>9</v>
      </c>
      <c r="J34" t="s">
        <v>22</v>
      </c>
      <c r="K34" s="22" t="str">
        <f t="shared" si="1"/>
        <v/>
      </c>
      <c r="L34" s="22" t="str">
        <f t="shared" si="5"/>
        <v/>
      </c>
      <c r="O34">
        <f ca="1">O33+IF(COUNTIF(R$4:R34, R34)&gt;1, 0, 1)</f>
        <v>1</v>
      </c>
      <c r="P34">
        <f ca="1">P33+IF(COUNTIF(S$4:S34, S34)&gt;1, 0, 1)</f>
        <v>1</v>
      </c>
      <c r="Q34">
        <f ca="1">Q33+IF(COUNTIF(T$4:T34, T34)&gt;1, 0, 1)</f>
        <v>1</v>
      </c>
      <c r="R34" s="204" t="str">
        <f t="shared" ca="1" si="2"/>
        <v/>
      </c>
      <c r="S34" s="204" t="str">
        <f t="shared" ca="1" si="3"/>
        <v/>
      </c>
      <c r="T34" s="204" t="str">
        <f t="shared" ca="1" si="4"/>
        <v/>
      </c>
      <c r="AL34" s="4"/>
    </row>
    <row r="35" spans="1:51" x14ac:dyDescent="0.25">
      <c r="A35">
        <v>1</v>
      </c>
      <c r="B35">
        <v>2</v>
      </c>
      <c r="C35">
        <v>16</v>
      </c>
      <c r="D35">
        <v>14</v>
      </c>
      <c r="E35" t="b">
        <v>0</v>
      </c>
      <c r="F35" s="22" t="str">
        <f t="shared" si="0"/>
        <v/>
      </c>
      <c r="G35" s="23" t="s">
        <v>165</v>
      </c>
      <c r="H35" s="23" t="s">
        <v>204</v>
      </c>
      <c r="I35" s="23" t="s">
        <v>9</v>
      </c>
      <c r="J35" t="s">
        <v>111</v>
      </c>
      <c r="K35" s="22" t="e">
        <f t="shared" si="1"/>
        <v>#N/A</v>
      </c>
      <c r="L35" s="22" t="str">
        <f t="shared" si="5"/>
        <v/>
      </c>
      <c r="O35">
        <f ca="1">O34+IF(COUNTIF(R$4:R35, R35)&gt;1, 0, 1)</f>
        <v>1</v>
      </c>
      <c r="P35">
        <f ca="1">P34+IF(COUNTIF(S$4:S35, S35)&gt;1, 0, 1)</f>
        <v>1</v>
      </c>
      <c r="Q35">
        <f ca="1">Q34+IF(COUNTIF(T$4:T35, T35)&gt;1, 0, 1)</f>
        <v>1</v>
      </c>
      <c r="R35" s="204" t="str">
        <f t="shared" ca="1" si="2"/>
        <v/>
      </c>
      <c r="S35" s="204" t="str">
        <f t="shared" ca="1" si="3"/>
        <v/>
      </c>
      <c r="T35" s="204" t="str">
        <f t="shared" ca="1" si="4"/>
        <v/>
      </c>
      <c r="AY35" s="4"/>
    </row>
    <row r="36" spans="1:51" x14ac:dyDescent="0.25">
      <c r="A36">
        <v>1</v>
      </c>
      <c r="B36">
        <v>2</v>
      </c>
      <c r="C36">
        <v>16</v>
      </c>
      <c r="D36">
        <v>15</v>
      </c>
      <c r="E36" t="b">
        <v>0</v>
      </c>
      <c r="F36" s="22" t="str">
        <f t="shared" si="0"/>
        <v/>
      </c>
      <c r="G36" s="23" t="s">
        <v>165</v>
      </c>
      <c r="H36" s="23" t="s">
        <v>205</v>
      </c>
      <c r="I36" s="23" t="s">
        <v>9</v>
      </c>
      <c r="J36" t="s">
        <v>112</v>
      </c>
      <c r="K36" s="22" t="e">
        <f t="shared" si="1"/>
        <v>#N/A</v>
      </c>
      <c r="L36" s="22" t="str">
        <f t="shared" si="5"/>
        <v/>
      </c>
      <c r="O36">
        <f ca="1">O35+IF(COUNTIF(R$4:R36, R36)&gt;1, 0, 1)</f>
        <v>1</v>
      </c>
      <c r="P36">
        <f ca="1">P35+IF(COUNTIF(S$4:S36, S36)&gt;1, 0, 1)</f>
        <v>1</v>
      </c>
      <c r="Q36">
        <f ca="1">Q35+IF(COUNTIF(T$4:T36, T36)&gt;1, 0, 1)</f>
        <v>1</v>
      </c>
      <c r="R36" s="204" t="str">
        <f t="shared" ca="1" si="2"/>
        <v/>
      </c>
      <c r="S36" s="204" t="str">
        <f t="shared" ca="1" si="3"/>
        <v/>
      </c>
      <c r="T36" s="204" t="str">
        <f t="shared" ca="1" si="4"/>
        <v/>
      </c>
      <c r="AY36" s="4"/>
    </row>
    <row r="37" spans="1:51" x14ac:dyDescent="0.25">
      <c r="A37">
        <v>1</v>
      </c>
      <c r="B37">
        <v>2</v>
      </c>
      <c r="C37">
        <v>16</v>
      </c>
      <c r="D37">
        <v>16</v>
      </c>
      <c r="E37" t="b">
        <v>1</v>
      </c>
      <c r="F37" s="22" t="str">
        <f t="shared" si="0"/>
        <v/>
      </c>
      <c r="G37" s="23" t="s">
        <v>165</v>
      </c>
      <c r="H37" s="23" t="s">
        <v>206</v>
      </c>
      <c r="I37" s="23" t="s">
        <v>9</v>
      </c>
      <c r="J37" t="s">
        <v>113</v>
      </c>
      <c r="K37" s="22" t="e">
        <f t="shared" si="1"/>
        <v>#N/A</v>
      </c>
      <c r="L37" s="22" t="str">
        <f t="shared" si="5"/>
        <v/>
      </c>
      <c r="O37">
        <f ca="1">O36+IF(COUNTIF(R$4:R37, R37)&gt;1, 0, 1)</f>
        <v>1</v>
      </c>
      <c r="P37">
        <f ca="1">P36+IF(COUNTIF(S$4:S37, S37)&gt;1, 0, 1)</f>
        <v>1</v>
      </c>
      <c r="Q37">
        <f ca="1">Q36+IF(COUNTIF(T$4:T37, T37)&gt;1, 0, 1)</f>
        <v>1</v>
      </c>
      <c r="R37" s="204" t="str">
        <f t="shared" ca="1" si="2"/>
        <v/>
      </c>
      <c r="S37" s="204" t="str">
        <f t="shared" ca="1" si="3"/>
        <v/>
      </c>
      <c r="T37" s="204" t="str">
        <f t="shared" ca="1" si="4"/>
        <v/>
      </c>
      <c r="AY37" s="4"/>
    </row>
    <row r="38" spans="1:51" x14ac:dyDescent="0.25">
      <c r="A38">
        <v>1</v>
      </c>
      <c r="B38">
        <v>3</v>
      </c>
      <c r="C38">
        <v>17</v>
      </c>
      <c r="D38">
        <v>1</v>
      </c>
      <c r="E38" t="b">
        <v>0</v>
      </c>
      <c r="F38" s="22" t="str">
        <f t="shared" si="0"/>
        <v/>
      </c>
      <c r="G38" s="23" t="s">
        <v>168</v>
      </c>
      <c r="H38" s="23" t="s">
        <v>207</v>
      </c>
      <c r="I38" s="23" t="s">
        <v>37</v>
      </c>
      <c r="J38" t="s">
        <v>114</v>
      </c>
      <c r="K38" s="22" t="e">
        <f t="shared" si="1"/>
        <v>#N/A</v>
      </c>
      <c r="L38" s="22" t="str">
        <f t="shared" si="5"/>
        <v/>
      </c>
      <c r="O38">
        <f ca="1">O37+IF(COUNTIF(R$4:R38, R38)&gt;1, 0, 1)</f>
        <v>1</v>
      </c>
      <c r="P38">
        <f ca="1">P37+IF(COUNTIF(S$4:S38, S38)&gt;1, 0, 1)</f>
        <v>1</v>
      </c>
      <c r="Q38">
        <f ca="1">Q37+IF(COUNTIF(T$4:T38, T38)&gt;1, 0, 1)</f>
        <v>1</v>
      </c>
      <c r="R38" s="204" t="str">
        <f t="shared" ca="1" si="2"/>
        <v/>
      </c>
      <c r="S38" s="204" t="str">
        <f t="shared" ca="1" si="3"/>
        <v/>
      </c>
      <c r="T38" s="204" t="str">
        <f t="shared" ca="1" si="4"/>
        <v/>
      </c>
      <c r="AY38" s="4"/>
    </row>
    <row r="39" spans="1:51" x14ac:dyDescent="0.25">
      <c r="A39">
        <v>1</v>
      </c>
      <c r="B39">
        <v>3</v>
      </c>
      <c r="C39">
        <v>17</v>
      </c>
      <c r="D39">
        <v>2</v>
      </c>
      <c r="E39" t="b">
        <v>0</v>
      </c>
      <c r="F39" s="22" t="str">
        <f t="shared" si="0"/>
        <v/>
      </c>
      <c r="G39" s="23" t="s">
        <v>168</v>
      </c>
      <c r="H39" s="23" t="s">
        <v>208</v>
      </c>
      <c r="I39" s="23" t="s">
        <v>37</v>
      </c>
      <c r="J39" t="s">
        <v>39</v>
      </c>
      <c r="K39" s="22" t="e">
        <f t="shared" si="1"/>
        <v>#N/A</v>
      </c>
      <c r="L39" s="22" t="str">
        <f t="shared" si="5"/>
        <v/>
      </c>
      <c r="O39">
        <f ca="1">O38+IF(COUNTIF(R$4:R39, R39)&gt;1, 0, 1)</f>
        <v>1</v>
      </c>
      <c r="P39">
        <f ca="1">P38+IF(COUNTIF(S$4:S39, S39)&gt;1, 0, 1)</f>
        <v>1</v>
      </c>
      <c r="Q39">
        <f ca="1">Q38+IF(COUNTIF(T$4:T39, T39)&gt;1, 0, 1)</f>
        <v>1</v>
      </c>
      <c r="R39" s="204" t="str">
        <f t="shared" ca="1" si="2"/>
        <v/>
      </c>
      <c r="S39" s="204" t="str">
        <f t="shared" ca="1" si="3"/>
        <v/>
      </c>
      <c r="T39" s="204" t="str">
        <f t="shared" ca="1" si="4"/>
        <v/>
      </c>
      <c r="AY39" s="4"/>
    </row>
    <row r="40" spans="1:51" x14ac:dyDescent="0.25">
      <c r="A40">
        <v>1</v>
      </c>
      <c r="B40">
        <v>3</v>
      </c>
      <c r="C40">
        <v>17</v>
      </c>
      <c r="D40">
        <v>3</v>
      </c>
      <c r="E40" t="b">
        <v>0</v>
      </c>
      <c r="F40" s="22" t="str">
        <f t="shared" si="0"/>
        <v/>
      </c>
      <c r="G40" s="23" t="s">
        <v>168</v>
      </c>
      <c r="H40" s="23" t="s">
        <v>209</v>
      </c>
      <c r="I40" s="23" t="s">
        <v>37</v>
      </c>
      <c r="J40" t="s">
        <v>40</v>
      </c>
      <c r="K40" s="22" t="e">
        <f t="shared" si="1"/>
        <v>#N/A</v>
      </c>
      <c r="L40" s="22" t="str">
        <f t="shared" si="5"/>
        <v/>
      </c>
      <c r="O40">
        <f ca="1">O39+IF(COUNTIF(R$4:R40, R40)&gt;1, 0, 1)</f>
        <v>1</v>
      </c>
      <c r="P40">
        <f ca="1">P39+IF(COUNTIF(S$4:S40, S40)&gt;1, 0, 1)</f>
        <v>1</v>
      </c>
      <c r="Q40">
        <f ca="1">Q39+IF(COUNTIF(T$4:T40, T40)&gt;1, 0, 1)</f>
        <v>1</v>
      </c>
      <c r="R40" s="204" t="str">
        <f t="shared" ca="1" si="2"/>
        <v/>
      </c>
      <c r="S40" s="204" t="str">
        <f t="shared" ca="1" si="3"/>
        <v/>
      </c>
      <c r="T40" s="204" t="str">
        <f t="shared" ca="1" si="4"/>
        <v/>
      </c>
      <c r="AY40" s="4"/>
    </row>
    <row r="41" spans="1:51" x14ac:dyDescent="0.25">
      <c r="A41">
        <v>1</v>
      </c>
      <c r="B41">
        <v>3</v>
      </c>
      <c r="C41">
        <v>17</v>
      </c>
      <c r="D41">
        <v>4</v>
      </c>
      <c r="E41" t="b">
        <v>0</v>
      </c>
      <c r="F41" s="22" t="str">
        <f t="shared" si="0"/>
        <v/>
      </c>
      <c r="G41" s="23" t="s">
        <v>168</v>
      </c>
      <c r="H41" s="23" t="s">
        <v>210</v>
      </c>
      <c r="I41" s="23" t="s">
        <v>37</v>
      </c>
      <c r="J41" t="s">
        <v>41</v>
      </c>
      <c r="K41" s="22" t="str">
        <f t="shared" si="1"/>
        <v/>
      </c>
      <c r="L41" s="22" t="str">
        <f t="shared" si="5"/>
        <v/>
      </c>
      <c r="O41">
        <f ca="1">O40+IF(COUNTIF(R$4:R41, R41)&gt;1, 0, 1)</f>
        <v>1</v>
      </c>
      <c r="P41">
        <f ca="1">P40+IF(COUNTIF(S$4:S41, S41)&gt;1, 0, 1)</f>
        <v>1</v>
      </c>
      <c r="Q41">
        <f ca="1">Q40+IF(COUNTIF(T$4:T41, T41)&gt;1, 0, 1)</f>
        <v>1</v>
      </c>
      <c r="R41" s="204" t="str">
        <f t="shared" ca="1" si="2"/>
        <v/>
      </c>
      <c r="S41" s="204" t="str">
        <f t="shared" ca="1" si="3"/>
        <v/>
      </c>
      <c r="T41" s="204" t="str">
        <f t="shared" ca="1" si="4"/>
        <v/>
      </c>
      <c r="AY41" s="4"/>
    </row>
    <row r="42" spans="1:51" x14ac:dyDescent="0.25">
      <c r="A42">
        <v>1</v>
      </c>
      <c r="B42">
        <v>3</v>
      </c>
      <c r="C42">
        <v>17</v>
      </c>
      <c r="D42">
        <v>5</v>
      </c>
      <c r="E42" t="b">
        <v>0</v>
      </c>
      <c r="F42" s="22" t="str">
        <f t="shared" si="0"/>
        <v/>
      </c>
      <c r="G42" s="23" t="s">
        <v>168</v>
      </c>
      <c r="H42" s="23" t="s">
        <v>211</v>
      </c>
      <c r="I42" s="23" t="s">
        <v>37</v>
      </c>
      <c r="J42" t="s">
        <v>38</v>
      </c>
      <c r="K42" s="22" t="str">
        <f t="shared" si="1"/>
        <v/>
      </c>
      <c r="L42" s="22" t="str">
        <f t="shared" si="5"/>
        <v/>
      </c>
      <c r="O42">
        <f ca="1">O41+IF(COUNTIF(R$4:R42, R42)&gt;1, 0, 1)</f>
        <v>1</v>
      </c>
      <c r="P42">
        <f ca="1">P41+IF(COUNTIF(S$4:S42, S42)&gt;1, 0, 1)</f>
        <v>1</v>
      </c>
      <c r="Q42">
        <f ca="1">Q41+IF(COUNTIF(T$4:T42, T42)&gt;1, 0, 1)</f>
        <v>1</v>
      </c>
      <c r="R42" s="204" t="str">
        <f t="shared" ca="1" si="2"/>
        <v/>
      </c>
      <c r="S42" s="204" t="str">
        <f t="shared" ca="1" si="3"/>
        <v/>
      </c>
      <c r="T42" s="204" t="str">
        <f t="shared" ca="1" si="4"/>
        <v/>
      </c>
    </row>
    <row r="43" spans="1:51" x14ac:dyDescent="0.25">
      <c r="A43">
        <v>1</v>
      </c>
      <c r="B43">
        <v>3</v>
      </c>
      <c r="C43">
        <v>17</v>
      </c>
      <c r="D43">
        <v>6</v>
      </c>
      <c r="E43" t="b">
        <v>0</v>
      </c>
      <c r="F43" s="22" t="str">
        <f t="shared" si="0"/>
        <v/>
      </c>
      <c r="G43" s="23" t="s">
        <v>168</v>
      </c>
      <c r="H43" s="23" t="s">
        <v>212</v>
      </c>
      <c r="I43" s="23" t="s">
        <v>37</v>
      </c>
      <c r="J43" t="s">
        <v>115</v>
      </c>
      <c r="K43" s="22" t="str">
        <f t="shared" si="1"/>
        <v/>
      </c>
      <c r="L43" s="22" t="str">
        <f t="shared" si="5"/>
        <v/>
      </c>
      <c r="O43">
        <f ca="1">O42+IF(COUNTIF(R$4:R43, R43)&gt;1, 0, 1)</f>
        <v>1</v>
      </c>
      <c r="P43">
        <f ca="1">P42+IF(COUNTIF(S$4:S43, S43)&gt;1, 0, 1)</f>
        <v>1</v>
      </c>
      <c r="Q43">
        <f ca="1">Q42+IF(COUNTIF(T$4:T43, T43)&gt;1, 0, 1)</f>
        <v>1</v>
      </c>
      <c r="R43" s="204" t="str">
        <f t="shared" ca="1" si="2"/>
        <v/>
      </c>
      <c r="S43" s="204" t="str">
        <f t="shared" ca="1" si="3"/>
        <v/>
      </c>
      <c r="T43" s="204" t="str">
        <f t="shared" ca="1" si="4"/>
        <v/>
      </c>
    </row>
    <row r="44" spans="1:51" x14ac:dyDescent="0.25">
      <c r="A44">
        <v>1</v>
      </c>
      <c r="B44">
        <v>3</v>
      </c>
      <c r="C44">
        <v>17</v>
      </c>
      <c r="D44">
        <v>7</v>
      </c>
      <c r="E44" t="b">
        <v>0</v>
      </c>
      <c r="F44" s="22" t="str">
        <f t="shared" si="0"/>
        <v/>
      </c>
      <c r="G44" s="23" t="s">
        <v>168</v>
      </c>
      <c r="H44" s="23" t="s">
        <v>213</v>
      </c>
      <c r="I44" s="23" t="s">
        <v>37</v>
      </c>
      <c r="J44" t="s">
        <v>116</v>
      </c>
      <c r="K44" s="22" t="str">
        <f t="shared" si="1"/>
        <v/>
      </c>
      <c r="L44" s="22" t="str">
        <f t="shared" si="5"/>
        <v/>
      </c>
      <c r="O44">
        <f ca="1">O43+IF(COUNTIF(R$4:R44, R44)&gt;1, 0, 1)</f>
        <v>1</v>
      </c>
      <c r="P44">
        <f ca="1">P43+IF(COUNTIF(S$4:S44, S44)&gt;1, 0, 1)</f>
        <v>1</v>
      </c>
      <c r="Q44">
        <f ca="1">Q43+IF(COUNTIF(T$4:T44, T44)&gt;1, 0, 1)</f>
        <v>1</v>
      </c>
      <c r="R44" s="204" t="str">
        <f t="shared" ca="1" si="2"/>
        <v/>
      </c>
      <c r="S44" s="204" t="str">
        <f t="shared" ca="1" si="3"/>
        <v/>
      </c>
      <c r="T44" s="204" t="str">
        <f t="shared" ca="1" si="4"/>
        <v/>
      </c>
    </row>
    <row r="45" spans="1:51" x14ac:dyDescent="0.25">
      <c r="A45">
        <v>1</v>
      </c>
      <c r="B45">
        <v>3</v>
      </c>
      <c r="C45">
        <v>17</v>
      </c>
      <c r="D45">
        <v>8</v>
      </c>
      <c r="E45" t="b">
        <v>0</v>
      </c>
      <c r="F45" s="22" t="str">
        <f t="shared" si="0"/>
        <v/>
      </c>
      <c r="G45" s="23" t="s">
        <v>168</v>
      </c>
      <c r="H45" s="23" t="s">
        <v>214</v>
      </c>
      <c r="I45" s="23" t="s">
        <v>37</v>
      </c>
      <c r="J45" t="s">
        <v>126</v>
      </c>
      <c r="K45" s="22" t="e">
        <f t="shared" si="1"/>
        <v>#N/A</v>
      </c>
      <c r="L45" s="22" t="str">
        <f t="shared" si="5"/>
        <v/>
      </c>
      <c r="O45">
        <f ca="1">O44+IF(COUNTIF(R$4:R45, R45)&gt;1, 0, 1)</f>
        <v>1</v>
      </c>
      <c r="P45">
        <f ca="1">P44+IF(COUNTIF(S$4:S45, S45)&gt;1, 0, 1)</f>
        <v>1</v>
      </c>
      <c r="Q45">
        <f ca="1">Q44+IF(COUNTIF(T$4:T45, T45)&gt;1, 0, 1)</f>
        <v>1</v>
      </c>
      <c r="R45" s="204" t="str">
        <f t="shared" ca="1" si="2"/>
        <v/>
      </c>
      <c r="S45" s="204" t="str">
        <f t="shared" ca="1" si="3"/>
        <v/>
      </c>
      <c r="T45" s="204" t="str">
        <f t="shared" ca="1" si="4"/>
        <v/>
      </c>
      <c r="AY45" s="4"/>
    </row>
    <row r="46" spans="1:51" x14ac:dyDescent="0.25">
      <c r="A46">
        <v>1</v>
      </c>
      <c r="B46">
        <v>3</v>
      </c>
      <c r="C46">
        <v>17</v>
      </c>
      <c r="D46">
        <v>9</v>
      </c>
      <c r="E46" t="b">
        <v>0</v>
      </c>
      <c r="F46" s="22" t="str">
        <f t="shared" si="0"/>
        <v/>
      </c>
      <c r="G46" s="23" t="s">
        <v>168</v>
      </c>
      <c r="H46" s="23" t="s">
        <v>215</v>
      </c>
      <c r="I46" s="23" t="s">
        <v>37</v>
      </c>
      <c r="J46" t="s">
        <v>45</v>
      </c>
      <c r="K46" s="22" t="str">
        <f t="shared" si="1"/>
        <v/>
      </c>
      <c r="L46" s="22" t="str">
        <f t="shared" si="5"/>
        <v/>
      </c>
      <c r="O46">
        <f ca="1">O45+IF(COUNTIF(R$4:R46, R46)&gt;1, 0, 1)</f>
        <v>1</v>
      </c>
      <c r="P46">
        <f ca="1">P45+IF(COUNTIF(S$4:S46, S46)&gt;1, 0, 1)</f>
        <v>1</v>
      </c>
      <c r="Q46">
        <f ca="1">Q45+IF(COUNTIF(T$4:T46, T46)&gt;1, 0, 1)</f>
        <v>1</v>
      </c>
      <c r="R46" s="204" t="str">
        <f t="shared" ca="1" si="2"/>
        <v/>
      </c>
      <c r="S46" s="204" t="str">
        <f t="shared" ca="1" si="3"/>
        <v/>
      </c>
      <c r="T46" s="204" t="str">
        <f t="shared" ca="1" si="4"/>
        <v/>
      </c>
      <c r="AY46" s="4"/>
    </row>
    <row r="47" spans="1:51" x14ac:dyDescent="0.25">
      <c r="A47">
        <v>1</v>
      </c>
      <c r="B47">
        <v>3</v>
      </c>
      <c r="C47">
        <v>17</v>
      </c>
      <c r="D47">
        <v>10</v>
      </c>
      <c r="E47" t="b">
        <v>0</v>
      </c>
      <c r="F47" s="22" t="str">
        <f t="shared" si="0"/>
        <v/>
      </c>
      <c r="G47" s="23" t="s">
        <v>168</v>
      </c>
      <c r="H47" s="23" t="s">
        <v>216</v>
      </c>
      <c r="I47" s="23" t="s">
        <v>37</v>
      </c>
      <c r="J47" t="s">
        <v>117</v>
      </c>
      <c r="K47" s="22" t="e">
        <f t="shared" si="1"/>
        <v>#N/A</v>
      </c>
      <c r="L47" s="22" t="str">
        <f t="shared" si="5"/>
        <v/>
      </c>
      <c r="O47">
        <f ca="1">O46+IF(COUNTIF(R$4:R47, R47)&gt;1, 0, 1)</f>
        <v>1</v>
      </c>
      <c r="P47">
        <f ca="1">P46+IF(COUNTIF(S$4:S47, S47)&gt;1, 0, 1)</f>
        <v>1</v>
      </c>
      <c r="Q47">
        <f ca="1">Q46+IF(COUNTIF(T$4:T47, T47)&gt;1, 0, 1)</f>
        <v>1</v>
      </c>
      <c r="R47" s="204" t="str">
        <f t="shared" ca="1" si="2"/>
        <v/>
      </c>
      <c r="S47" s="204" t="str">
        <f t="shared" ca="1" si="3"/>
        <v/>
      </c>
      <c r="T47" s="204" t="str">
        <f t="shared" ca="1" si="4"/>
        <v/>
      </c>
      <c r="AY47" s="4"/>
    </row>
    <row r="48" spans="1:51" x14ac:dyDescent="0.25">
      <c r="A48">
        <v>1</v>
      </c>
      <c r="B48">
        <v>3</v>
      </c>
      <c r="C48">
        <v>17</v>
      </c>
      <c r="D48">
        <v>11</v>
      </c>
      <c r="E48" t="b">
        <v>0</v>
      </c>
      <c r="F48" s="22" t="str">
        <f t="shared" si="0"/>
        <v/>
      </c>
      <c r="G48" s="23" t="s">
        <v>168</v>
      </c>
      <c r="H48" s="23" t="s">
        <v>217</v>
      </c>
      <c r="I48" s="23" t="s">
        <v>37</v>
      </c>
      <c r="J48" t="s">
        <v>118</v>
      </c>
      <c r="K48" s="22" t="str">
        <f t="shared" si="1"/>
        <v/>
      </c>
      <c r="L48" s="22" t="str">
        <f t="shared" si="5"/>
        <v/>
      </c>
      <c r="O48">
        <f ca="1">O47+IF(COUNTIF(R$4:R48, R48)&gt;1, 0, 1)</f>
        <v>1</v>
      </c>
      <c r="P48">
        <f ca="1">P47+IF(COUNTIF(S$4:S48, S48)&gt;1, 0, 1)</f>
        <v>1</v>
      </c>
      <c r="Q48">
        <f ca="1">Q47+IF(COUNTIF(T$4:T48, T48)&gt;1, 0, 1)</f>
        <v>1</v>
      </c>
      <c r="R48" s="204" t="str">
        <f t="shared" ca="1" si="2"/>
        <v/>
      </c>
      <c r="S48" s="204" t="str">
        <f t="shared" ca="1" si="3"/>
        <v/>
      </c>
      <c r="T48" s="204" t="str">
        <f t="shared" ca="1" si="4"/>
        <v/>
      </c>
      <c r="AY48" s="4"/>
    </row>
    <row r="49" spans="1:51" x14ac:dyDescent="0.25">
      <c r="A49">
        <v>1</v>
      </c>
      <c r="B49">
        <v>3</v>
      </c>
      <c r="C49">
        <v>17</v>
      </c>
      <c r="D49">
        <v>12</v>
      </c>
      <c r="E49" t="b">
        <v>0</v>
      </c>
      <c r="F49" s="22" t="str">
        <f t="shared" si="0"/>
        <v/>
      </c>
      <c r="G49" s="23" t="s">
        <v>168</v>
      </c>
      <c r="H49" s="23" t="s">
        <v>218</v>
      </c>
      <c r="I49" s="23" t="s">
        <v>37</v>
      </c>
      <c r="J49" t="s">
        <v>119</v>
      </c>
      <c r="K49" s="22" t="e">
        <f t="shared" si="1"/>
        <v>#N/A</v>
      </c>
      <c r="L49" s="22" t="str">
        <f t="shared" si="5"/>
        <v/>
      </c>
      <c r="O49">
        <f ca="1">O48+IF(COUNTIF(R$4:R49, R49)&gt;1, 0, 1)</f>
        <v>1</v>
      </c>
      <c r="P49">
        <f ca="1">P48+IF(COUNTIF(S$4:S49, S49)&gt;1, 0, 1)</f>
        <v>1</v>
      </c>
      <c r="Q49">
        <f ca="1">Q48+IF(COUNTIF(T$4:T49, T49)&gt;1, 0, 1)</f>
        <v>1</v>
      </c>
      <c r="R49" s="204" t="str">
        <f t="shared" ca="1" si="2"/>
        <v/>
      </c>
      <c r="S49" s="204" t="str">
        <f t="shared" ca="1" si="3"/>
        <v/>
      </c>
      <c r="T49" s="204" t="str">
        <f t="shared" ca="1" si="4"/>
        <v/>
      </c>
      <c r="AY49" s="4"/>
    </row>
    <row r="50" spans="1:51" x14ac:dyDescent="0.25">
      <c r="A50">
        <v>1</v>
      </c>
      <c r="B50">
        <v>3</v>
      </c>
      <c r="C50">
        <v>17</v>
      </c>
      <c r="D50">
        <v>13</v>
      </c>
      <c r="E50" t="b">
        <v>0</v>
      </c>
      <c r="F50" s="22" t="str">
        <f t="shared" si="0"/>
        <v/>
      </c>
      <c r="G50" s="23" t="s">
        <v>168</v>
      </c>
      <c r="H50" s="23" t="s">
        <v>219</v>
      </c>
      <c r="I50" s="23" t="s">
        <v>37</v>
      </c>
      <c r="J50" t="s">
        <v>127</v>
      </c>
      <c r="K50" s="22" t="e">
        <f t="shared" si="1"/>
        <v>#N/A</v>
      </c>
      <c r="L50" s="22" t="str">
        <f t="shared" si="5"/>
        <v/>
      </c>
      <c r="O50">
        <f ca="1">O49+IF(COUNTIF(R$4:R50, R50)&gt;1, 0, 1)</f>
        <v>1</v>
      </c>
      <c r="P50">
        <f ca="1">P49+IF(COUNTIF(S$4:S50, S50)&gt;1, 0, 1)</f>
        <v>1</v>
      </c>
      <c r="Q50">
        <f ca="1">Q49+IF(COUNTIF(T$4:T50, T50)&gt;1, 0, 1)</f>
        <v>1</v>
      </c>
      <c r="R50" s="204" t="str">
        <f t="shared" ca="1" si="2"/>
        <v/>
      </c>
      <c r="S50" s="204" t="str">
        <f t="shared" ca="1" si="3"/>
        <v/>
      </c>
      <c r="T50" s="204" t="str">
        <f t="shared" ca="1" si="4"/>
        <v/>
      </c>
    </row>
    <row r="51" spans="1:51" x14ac:dyDescent="0.25">
      <c r="A51">
        <v>1</v>
      </c>
      <c r="B51">
        <v>3</v>
      </c>
      <c r="C51">
        <v>17</v>
      </c>
      <c r="D51">
        <v>14</v>
      </c>
      <c r="E51" t="b">
        <v>0</v>
      </c>
      <c r="F51" s="22" t="str">
        <f t="shared" si="0"/>
        <v/>
      </c>
      <c r="G51" s="23" t="s">
        <v>168</v>
      </c>
      <c r="H51" s="23" t="s">
        <v>220</v>
      </c>
      <c r="I51" s="23" t="s">
        <v>37</v>
      </c>
      <c r="J51" t="s">
        <v>120</v>
      </c>
      <c r="K51" s="22" t="e">
        <f t="shared" si="1"/>
        <v>#N/A</v>
      </c>
      <c r="L51" s="22" t="str">
        <f t="shared" si="5"/>
        <v/>
      </c>
      <c r="O51">
        <f ca="1">O50+IF(COUNTIF(R$4:R51, R51)&gt;1, 0, 1)</f>
        <v>1</v>
      </c>
      <c r="P51">
        <f ca="1">P50+IF(COUNTIF(S$4:S51, S51)&gt;1, 0, 1)</f>
        <v>1</v>
      </c>
      <c r="Q51">
        <f ca="1">Q50+IF(COUNTIF(T$4:T51, T51)&gt;1, 0, 1)</f>
        <v>1</v>
      </c>
      <c r="R51" s="204" t="str">
        <f t="shared" ca="1" si="2"/>
        <v/>
      </c>
      <c r="S51" s="204" t="str">
        <f t="shared" ca="1" si="3"/>
        <v/>
      </c>
      <c r="T51" s="204" t="str">
        <f t="shared" ca="1" si="4"/>
        <v/>
      </c>
    </row>
    <row r="52" spans="1:51" x14ac:dyDescent="0.25">
      <c r="A52">
        <v>1</v>
      </c>
      <c r="B52">
        <v>3</v>
      </c>
      <c r="C52">
        <v>17</v>
      </c>
      <c r="D52">
        <v>15</v>
      </c>
      <c r="E52" t="b">
        <v>0</v>
      </c>
      <c r="F52" s="22" t="str">
        <f t="shared" si="0"/>
        <v/>
      </c>
      <c r="G52" s="23" t="s">
        <v>168</v>
      </c>
      <c r="H52" s="23" t="s">
        <v>221</v>
      </c>
      <c r="I52" s="23" t="s">
        <v>37</v>
      </c>
      <c r="J52" t="s">
        <v>42</v>
      </c>
      <c r="K52" s="22" t="str">
        <f t="shared" si="1"/>
        <v/>
      </c>
      <c r="L52" s="22" t="str">
        <f t="shared" si="5"/>
        <v/>
      </c>
      <c r="O52">
        <f ca="1">O51+IF(COUNTIF(R$4:R52, R52)&gt;1, 0, 1)</f>
        <v>1</v>
      </c>
      <c r="P52">
        <f ca="1">P51+IF(COUNTIF(S$4:S52, S52)&gt;1, 0, 1)</f>
        <v>1</v>
      </c>
      <c r="Q52">
        <f ca="1">Q51+IF(COUNTIF(T$4:T52, T52)&gt;1, 0, 1)</f>
        <v>1</v>
      </c>
      <c r="R52" s="204" t="str">
        <f t="shared" ca="1" si="2"/>
        <v/>
      </c>
      <c r="S52" s="204" t="str">
        <f t="shared" ca="1" si="3"/>
        <v/>
      </c>
      <c r="T52" s="204" t="str">
        <f t="shared" ca="1" si="4"/>
        <v/>
      </c>
    </row>
    <row r="53" spans="1:51" x14ac:dyDescent="0.25">
      <c r="A53">
        <v>1</v>
      </c>
      <c r="B53">
        <v>3</v>
      </c>
      <c r="C53">
        <v>17</v>
      </c>
      <c r="D53">
        <v>16</v>
      </c>
      <c r="E53" t="b">
        <v>0</v>
      </c>
      <c r="F53" s="22" t="str">
        <f t="shared" si="0"/>
        <v/>
      </c>
      <c r="G53" s="23" t="s">
        <v>168</v>
      </c>
      <c r="H53" s="23" t="s">
        <v>222</v>
      </c>
      <c r="I53" s="23" t="s">
        <v>37</v>
      </c>
      <c r="J53" t="s">
        <v>121</v>
      </c>
      <c r="K53" s="22" t="str">
        <f t="shared" si="1"/>
        <v/>
      </c>
      <c r="L53" s="22" t="str">
        <f t="shared" si="5"/>
        <v/>
      </c>
      <c r="O53">
        <f ca="1">O52+IF(COUNTIF(R$4:R53, R53)&gt;1, 0, 1)</f>
        <v>1</v>
      </c>
      <c r="P53">
        <f ca="1">P52+IF(COUNTIF(S$4:S53, S53)&gt;1, 0, 1)</f>
        <v>1</v>
      </c>
      <c r="Q53">
        <f ca="1">Q52+IF(COUNTIF(T$4:T53, T53)&gt;1, 0, 1)</f>
        <v>1</v>
      </c>
      <c r="R53" s="204" t="str">
        <f t="shared" ca="1" si="2"/>
        <v/>
      </c>
      <c r="S53" s="204" t="str">
        <f t="shared" ca="1" si="3"/>
        <v/>
      </c>
      <c r="T53" s="204" t="str">
        <f t="shared" ca="1" si="4"/>
        <v/>
      </c>
    </row>
    <row r="54" spans="1:51" x14ac:dyDescent="0.25">
      <c r="A54">
        <v>1</v>
      </c>
      <c r="B54">
        <v>3</v>
      </c>
      <c r="C54">
        <v>17</v>
      </c>
      <c r="D54">
        <v>17</v>
      </c>
      <c r="E54" t="b">
        <v>1</v>
      </c>
      <c r="F54" s="22" t="str">
        <f t="shared" si="0"/>
        <v/>
      </c>
      <c r="G54" s="23" t="s">
        <v>168</v>
      </c>
      <c r="H54" s="23" t="s">
        <v>223</v>
      </c>
      <c r="I54" s="23" t="s">
        <v>37</v>
      </c>
      <c r="J54" t="s">
        <v>44</v>
      </c>
      <c r="K54" s="22" t="e">
        <f t="shared" si="1"/>
        <v>#N/A</v>
      </c>
      <c r="L54" s="22" t="str">
        <f t="shared" si="5"/>
        <v/>
      </c>
      <c r="AY54" s="4"/>
    </row>
    <row r="55" spans="1:51" x14ac:dyDescent="0.25">
      <c r="A55">
        <v>1</v>
      </c>
      <c r="B55">
        <v>4</v>
      </c>
      <c r="C55">
        <v>9</v>
      </c>
      <c r="D55">
        <v>1</v>
      </c>
      <c r="E55" t="b">
        <v>0</v>
      </c>
      <c r="F55" s="22" t="str">
        <f t="shared" si="0"/>
        <v/>
      </c>
      <c r="G55" s="23" t="s">
        <v>169</v>
      </c>
      <c r="H55" s="23" t="s">
        <v>224</v>
      </c>
      <c r="I55" s="23" t="s">
        <v>25</v>
      </c>
      <c r="J55" t="s">
        <v>122</v>
      </c>
      <c r="K55" s="22" t="e">
        <f t="shared" si="1"/>
        <v>#N/A</v>
      </c>
      <c r="L55" s="22" t="str">
        <f t="shared" si="5"/>
        <v/>
      </c>
      <c r="AY55" s="4"/>
    </row>
    <row r="56" spans="1:51" x14ac:dyDescent="0.25">
      <c r="A56">
        <v>1</v>
      </c>
      <c r="B56">
        <v>4</v>
      </c>
      <c r="C56">
        <v>9</v>
      </c>
      <c r="D56">
        <v>2</v>
      </c>
      <c r="E56" t="b">
        <v>0</v>
      </c>
      <c r="F56" s="22" t="str">
        <f t="shared" si="0"/>
        <v/>
      </c>
      <c r="G56" s="23" t="s">
        <v>169</v>
      </c>
      <c r="H56" s="23" t="s">
        <v>225</v>
      </c>
      <c r="I56" s="23" t="s">
        <v>25</v>
      </c>
      <c r="J56" t="s">
        <v>26</v>
      </c>
      <c r="K56" s="22" t="e">
        <f t="shared" si="1"/>
        <v>#N/A</v>
      </c>
      <c r="L56" s="22" t="str">
        <f t="shared" si="5"/>
        <v/>
      </c>
      <c r="AY56" s="4"/>
    </row>
    <row r="57" spans="1:51" x14ac:dyDescent="0.25">
      <c r="A57">
        <v>1</v>
      </c>
      <c r="B57">
        <v>4</v>
      </c>
      <c r="C57">
        <v>9</v>
      </c>
      <c r="D57">
        <v>3</v>
      </c>
      <c r="E57" t="b">
        <v>0</v>
      </c>
      <c r="F57" s="22" t="str">
        <f t="shared" si="0"/>
        <v/>
      </c>
      <c r="G57" s="23" t="s">
        <v>169</v>
      </c>
      <c r="H57" s="23" t="s">
        <v>226</v>
      </c>
      <c r="I57" s="23" t="s">
        <v>25</v>
      </c>
      <c r="J57" t="s">
        <v>27</v>
      </c>
      <c r="K57" s="22" t="e">
        <f t="shared" si="1"/>
        <v>#N/A</v>
      </c>
      <c r="L57" s="22" t="str">
        <f t="shared" si="5"/>
        <v/>
      </c>
      <c r="AY57" s="4"/>
    </row>
    <row r="58" spans="1:51" x14ac:dyDescent="0.25">
      <c r="A58">
        <v>1</v>
      </c>
      <c r="B58">
        <v>4</v>
      </c>
      <c r="C58">
        <v>9</v>
      </c>
      <c r="D58">
        <v>4</v>
      </c>
      <c r="E58" t="b">
        <v>0</v>
      </c>
      <c r="F58" s="22" t="str">
        <f t="shared" si="0"/>
        <v/>
      </c>
      <c r="G58" s="23" t="s">
        <v>169</v>
      </c>
      <c r="H58" s="23" t="s">
        <v>227</v>
      </c>
      <c r="I58" s="23" t="s">
        <v>25</v>
      </c>
      <c r="J58" t="s">
        <v>28</v>
      </c>
      <c r="K58" s="22" t="e">
        <f t="shared" si="1"/>
        <v>#N/A</v>
      </c>
      <c r="L58" s="22" t="str">
        <f t="shared" si="5"/>
        <v/>
      </c>
      <c r="AY58" s="4"/>
    </row>
    <row r="59" spans="1:51" x14ac:dyDescent="0.25">
      <c r="A59">
        <v>1</v>
      </c>
      <c r="B59">
        <v>4</v>
      </c>
      <c r="C59">
        <v>9</v>
      </c>
      <c r="D59">
        <v>5</v>
      </c>
      <c r="E59" t="b">
        <v>0</v>
      </c>
      <c r="F59" s="22" t="str">
        <f t="shared" si="0"/>
        <v/>
      </c>
      <c r="G59" s="23" t="s">
        <v>169</v>
      </c>
      <c r="H59" s="23" t="s">
        <v>228</v>
      </c>
      <c r="I59" s="23" t="s">
        <v>25</v>
      </c>
      <c r="J59" t="s">
        <v>128</v>
      </c>
      <c r="K59" s="22" t="e">
        <f t="shared" si="1"/>
        <v>#N/A</v>
      </c>
      <c r="L59" s="22" t="str">
        <f t="shared" si="5"/>
        <v/>
      </c>
      <c r="AY59" s="4"/>
    </row>
    <row r="60" spans="1:51" x14ac:dyDescent="0.25">
      <c r="A60">
        <v>1</v>
      </c>
      <c r="B60">
        <v>4</v>
      </c>
      <c r="C60">
        <v>9</v>
      </c>
      <c r="D60">
        <v>6</v>
      </c>
      <c r="E60" t="b">
        <v>0</v>
      </c>
      <c r="F60" s="22" t="str">
        <f t="shared" si="0"/>
        <v/>
      </c>
      <c r="G60" s="23" t="s">
        <v>169</v>
      </c>
      <c r="H60" s="23" t="s">
        <v>229</v>
      </c>
      <c r="I60" s="23" t="s">
        <v>25</v>
      </c>
      <c r="J60" t="s">
        <v>29</v>
      </c>
      <c r="K60" s="22" t="e">
        <f t="shared" si="1"/>
        <v>#N/A</v>
      </c>
      <c r="L60" s="22" t="str">
        <f t="shared" si="5"/>
        <v/>
      </c>
    </row>
    <row r="61" spans="1:51" x14ac:dyDescent="0.25">
      <c r="A61">
        <v>1</v>
      </c>
      <c r="B61">
        <v>4</v>
      </c>
      <c r="C61">
        <v>9</v>
      </c>
      <c r="D61">
        <v>7</v>
      </c>
      <c r="E61" t="b">
        <v>0</v>
      </c>
      <c r="F61" s="22" t="str">
        <f t="shared" si="0"/>
        <v/>
      </c>
      <c r="G61" s="23" t="s">
        <v>169</v>
      </c>
      <c r="H61" s="23" t="s">
        <v>230</v>
      </c>
      <c r="I61" s="23" t="s">
        <v>25</v>
      </c>
      <c r="J61" t="s">
        <v>30</v>
      </c>
      <c r="K61" s="22" t="str">
        <f t="shared" si="1"/>
        <v/>
      </c>
      <c r="L61" s="22" t="str">
        <f t="shared" si="5"/>
        <v/>
      </c>
    </row>
    <row r="62" spans="1:51" x14ac:dyDescent="0.25">
      <c r="A62">
        <v>1</v>
      </c>
      <c r="B62">
        <v>4</v>
      </c>
      <c r="C62">
        <v>9</v>
      </c>
      <c r="D62">
        <v>8</v>
      </c>
      <c r="E62" t="b">
        <v>0</v>
      </c>
      <c r="F62" s="22" t="str">
        <f t="shared" si="0"/>
        <v/>
      </c>
      <c r="G62" s="23" t="s">
        <v>169</v>
      </c>
      <c r="H62" s="23" t="s">
        <v>231</v>
      </c>
      <c r="I62" s="23" t="s">
        <v>25</v>
      </c>
      <c r="J62" t="s">
        <v>31</v>
      </c>
      <c r="K62" s="22" t="e">
        <f t="shared" si="1"/>
        <v>#N/A</v>
      </c>
      <c r="L62" s="22" t="str">
        <f t="shared" si="5"/>
        <v/>
      </c>
    </row>
    <row r="63" spans="1:51" x14ac:dyDescent="0.25">
      <c r="A63">
        <v>1</v>
      </c>
      <c r="B63">
        <v>4</v>
      </c>
      <c r="C63">
        <v>9</v>
      </c>
      <c r="D63">
        <v>9</v>
      </c>
      <c r="E63" t="b">
        <v>1</v>
      </c>
      <c r="F63" s="22" t="str">
        <f t="shared" si="0"/>
        <v/>
      </c>
      <c r="G63" s="23" t="s">
        <v>169</v>
      </c>
      <c r="H63" s="23" t="s">
        <v>232</v>
      </c>
      <c r="I63" s="23" t="s">
        <v>25</v>
      </c>
      <c r="J63" t="s">
        <v>43</v>
      </c>
      <c r="K63" s="22" t="e">
        <f t="shared" si="1"/>
        <v>#N/A</v>
      </c>
      <c r="L63" s="22" t="str">
        <f t="shared" si="5"/>
        <v/>
      </c>
    </row>
    <row r="64" spans="1:51" x14ac:dyDescent="0.25">
      <c r="A64">
        <v>1</v>
      </c>
      <c r="B64">
        <v>5</v>
      </c>
      <c r="C64">
        <v>9</v>
      </c>
      <c r="D64">
        <v>1</v>
      </c>
      <c r="E64" t="b">
        <v>0</v>
      </c>
      <c r="F64" s="22" t="str">
        <f t="shared" si="0"/>
        <v/>
      </c>
      <c r="G64" s="23" t="s">
        <v>166</v>
      </c>
      <c r="H64" s="23" t="s">
        <v>233</v>
      </c>
      <c r="I64" s="23" t="s">
        <v>32</v>
      </c>
      <c r="J64" t="s">
        <v>33</v>
      </c>
      <c r="K64" s="22" t="e">
        <f t="shared" si="1"/>
        <v>#N/A</v>
      </c>
      <c r="L64" s="22" t="str">
        <f t="shared" si="5"/>
        <v/>
      </c>
    </row>
    <row r="65" spans="1:51" x14ac:dyDescent="0.25">
      <c r="A65">
        <v>1</v>
      </c>
      <c r="B65">
        <v>5</v>
      </c>
      <c r="C65">
        <v>9</v>
      </c>
      <c r="D65">
        <v>2</v>
      </c>
      <c r="E65" t="b">
        <v>0</v>
      </c>
      <c r="F65" s="22" t="str">
        <f t="shared" si="0"/>
        <v/>
      </c>
      <c r="G65" s="23" t="s">
        <v>166</v>
      </c>
      <c r="H65" s="23" t="s">
        <v>234</v>
      </c>
      <c r="I65" s="23" t="s">
        <v>32</v>
      </c>
      <c r="J65" t="s">
        <v>34</v>
      </c>
      <c r="K65" s="22" t="e">
        <f t="shared" si="1"/>
        <v>#N/A</v>
      </c>
      <c r="L65" s="22" t="str">
        <f t="shared" si="5"/>
        <v/>
      </c>
    </row>
    <row r="66" spans="1:51" x14ac:dyDescent="0.25">
      <c r="A66">
        <v>1</v>
      </c>
      <c r="B66">
        <v>5</v>
      </c>
      <c r="C66">
        <v>9</v>
      </c>
      <c r="D66">
        <v>3</v>
      </c>
      <c r="E66" t="b">
        <v>0</v>
      </c>
      <c r="F66" s="22" t="str">
        <f t="shared" si="0"/>
        <v/>
      </c>
      <c r="G66" s="23" t="s">
        <v>166</v>
      </c>
      <c r="H66" s="23" t="s">
        <v>235</v>
      </c>
      <c r="I66" s="23" t="s">
        <v>32</v>
      </c>
      <c r="J66" t="s">
        <v>35</v>
      </c>
      <c r="K66" s="22" t="e">
        <f t="shared" si="1"/>
        <v>#N/A</v>
      </c>
      <c r="L66" s="22" t="str">
        <f t="shared" si="5"/>
        <v/>
      </c>
    </row>
    <row r="67" spans="1:51" x14ac:dyDescent="0.25">
      <c r="A67">
        <v>1</v>
      </c>
      <c r="B67">
        <v>5</v>
      </c>
      <c r="C67">
        <v>9</v>
      </c>
      <c r="D67">
        <v>4</v>
      </c>
      <c r="E67" t="b">
        <v>0</v>
      </c>
      <c r="F67" s="22" t="str">
        <f t="shared" si="0"/>
        <v/>
      </c>
      <c r="G67" s="23" t="s">
        <v>166</v>
      </c>
      <c r="H67" s="23" t="s">
        <v>236</v>
      </c>
      <c r="I67" s="23" t="s">
        <v>32</v>
      </c>
      <c r="J67" t="s">
        <v>123</v>
      </c>
      <c r="K67" s="22" t="e">
        <f t="shared" si="1"/>
        <v>#N/A</v>
      </c>
      <c r="L67" s="22" t="str">
        <f t="shared" si="5"/>
        <v/>
      </c>
    </row>
    <row r="68" spans="1:51" x14ac:dyDescent="0.25">
      <c r="A68">
        <v>1</v>
      </c>
      <c r="B68">
        <v>5</v>
      </c>
      <c r="C68">
        <v>9</v>
      </c>
      <c r="D68">
        <v>5</v>
      </c>
      <c r="E68" t="b">
        <v>0</v>
      </c>
      <c r="F68" s="22" t="str">
        <f t="shared" ref="F68:F131" si="6">VLOOKUP("Assessment #"&amp;$A68, DateMeta, MATCH("DisplDate", DateMeta_H, 0), 0)</f>
        <v/>
      </c>
      <c r="G68" s="23" t="s">
        <v>166</v>
      </c>
      <c r="H68" s="23" t="s">
        <v>237</v>
      </c>
      <c r="I68" s="23" t="s">
        <v>32</v>
      </c>
      <c r="J68" t="s">
        <v>124</v>
      </c>
      <c r="K68" s="22" t="e">
        <f t="shared" ref="K68:K131" si="7">IF(INDEX(Assess, MATCH($J68, ItemLong, 0), MATCH("Assessment #"&amp;$A68, Assess_H, 0))="", "", INDEX(Assess, MATCH($J68, ItemLong, 0), MATCH("Assessment #"&amp;$A68, Assess_H, 0)))</f>
        <v>#N/A</v>
      </c>
      <c r="L68" s="22" t="str">
        <f t="shared" si="5"/>
        <v/>
      </c>
    </row>
    <row r="69" spans="1:51" x14ac:dyDescent="0.25">
      <c r="A69">
        <v>1</v>
      </c>
      <c r="B69">
        <v>5</v>
      </c>
      <c r="C69">
        <v>9</v>
      </c>
      <c r="D69">
        <v>6</v>
      </c>
      <c r="E69" t="b">
        <v>0</v>
      </c>
      <c r="F69" s="22" t="str">
        <f t="shared" si="6"/>
        <v/>
      </c>
      <c r="G69" s="23" t="s">
        <v>166</v>
      </c>
      <c r="H69" s="23" t="s">
        <v>238</v>
      </c>
      <c r="I69" s="23" t="s">
        <v>32</v>
      </c>
      <c r="J69" t="s">
        <v>129</v>
      </c>
      <c r="K69" s="22" t="e">
        <f t="shared" si="7"/>
        <v>#N/A</v>
      </c>
      <c r="L69" s="22" t="str">
        <f t="shared" ref="L69:L132" si="8">IF(ISNUMBER(K69), IF(K69&gt;=2, 1, 0), "")</f>
        <v/>
      </c>
    </row>
    <row r="70" spans="1:51" x14ac:dyDescent="0.25">
      <c r="A70">
        <v>1</v>
      </c>
      <c r="B70">
        <v>5</v>
      </c>
      <c r="C70">
        <v>9</v>
      </c>
      <c r="D70">
        <v>7</v>
      </c>
      <c r="E70" t="b">
        <v>0</v>
      </c>
      <c r="F70" s="22" t="str">
        <f t="shared" si="6"/>
        <v/>
      </c>
      <c r="G70" s="23" t="s">
        <v>166</v>
      </c>
      <c r="H70" s="23" t="s">
        <v>239</v>
      </c>
      <c r="I70" s="23" t="s">
        <v>32</v>
      </c>
      <c r="J70" t="s">
        <v>125</v>
      </c>
      <c r="K70" s="22" t="e">
        <f t="shared" si="7"/>
        <v>#N/A</v>
      </c>
      <c r="L70" s="22" t="str">
        <f t="shared" si="8"/>
        <v/>
      </c>
    </row>
    <row r="71" spans="1:51" x14ac:dyDescent="0.25">
      <c r="A71">
        <v>1</v>
      </c>
      <c r="B71">
        <v>5</v>
      </c>
      <c r="C71">
        <v>9</v>
      </c>
      <c r="D71">
        <v>8</v>
      </c>
      <c r="E71" t="b">
        <v>0</v>
      </c>
      <c r="F71" s="22" t="str">
        <f t="shared" si="6"/>
        <v/>
      </c>
      <c r="G71" s="23" t="s">
        <v>166</v>
      </c>
      <c r="H71" s="23" t="s">
        <v>240</v>
      </c>
      <c r="I71" s="23" t="s">
        <v>32</v>
      </c>
      <c r="J71" t="s">
        <v>36</v>
      </c>
      <c r="K71" s="22" t="e">
        <f t="shared" si="7"/>
        <v>#N/A</v>
      </c>
      <c r="L71" s="22" t="str">
        <f t="shared" si="8"/>
        <v/>
      </c>
    </row>
    <row r="72" spans="1:51" x14ac:dyDescent="0.25">
      <c r="A72">
        <v>1</v>
      </c>
      <c r="B72">
        <v>5</v>
      </c>
      <c r="C72">
        <v>9</v>
      </c>
      <c r="D72">
        <v>9</v>
      </c>
      <c r="E72" t="b">
        <v>1</v>
      </c>
      <c r="F72" s="22" t="str">
        <f t="shared" si="6"/>
        <v/>
      </c>
      <c r="G72" s="23" t="s">
        <v>166</v>
      </c>
      <c r="H72" s="23" t="s">
        <v>241</v>
      </c>
      <c r="I72" s="23" t="s">
        <v>32</v>
      </c>
      <c r="J72" t="s">
        <v>47</v>
      </c>
      <c r="K72" s="22" t="e">
        <f t="shared" si="7"/>
        <v>#N/A</v>
      </c>
      <c r="L72" s="22" t="str">
        <f t="shared" si="8"/>
        <v/>
      </c>
    </row>
    <row r="73" spans="1:51" x14ac:dyDescent="0.25">
      <c r="A73">
        <v>1</v>
      </c>
      <c r="B73">
        <v>6</v>
      </c>
      <c r="C73">
        <v>11</v>
      </c>
      <c r="D73">
        <v>1</v>
      </c>
      <c r="E73" t="b">
        <v>0</v>
      </c>
      <c r="F73" s="22" t="str">
        <f t="shared" si="6"/>
        <v/>
      </c>
      <c r="G73" s="23" t="s">
        <v>170</v>
      </c>
      <c r="H73" s="23" t="s">
        <v>242</v>
      </c>
      <c r="I73" s="23" t="s">
        <v>149</v>
      </c>
      <c r="J73" t="s">
        <v>150</v>
      </c>
      <c r="K73" s="22" t="e">
        <f t="shared" si="7"/>
        <v>#N/A</v>
      </c>
      <c r="L73" s="22" t="str">
        <f t="shared" si="8"/>
        <v/>
      </c>
    </row>
    <row r="74" spans="1:51" x14ac:dyDescent="0.25">
      <c r="A74">
        <v>1</v>
      </c>
      <c r="B74">
        <v>6</v>
      </c>
      <c r="C74">
        <v>11</v>
      </c>
      <c r="D74">
        <v>2</v>
      </c>
      <c r="E74" t="b">
        <v>0</v>
      </c>
      <c r="F74" s="22" t="str">
        <f t="shared" si="6"/>
        <v/>
      </c>
      <c r="G74" s="23" t="s">
        <v>170</v>
      </c>
      <c r="H74" s="23" t="s">
        <v>243</v>
      </c>
      <c r="I74" s="23" t="s">
        <v>149</v>
      </c>
      <c r="J74" t="s">
        <v>151</v>
      </c>
      <c r="K74" s="22" t="e">
        <f t="shared" si="7"/>
        <v>#N/A</v>
      </c>
      <c r="L74" s="22" t="str">
        <f t="shared" si="8"/>
        <v/>
      </c>
    </row>
    <row r="75" spans="1:51" x14ac:dyDescent="0.25">
      <c r="A75">
        <v>1</v>
      </c>
      <c r="B75">
        <v>6</v>
      </c>
      <c r="C75">
        <v>11</v>
      </c>
      <c r="D75">
        <v>3</v>
      </c>
      <c r="E75" t="b">
        <v>0</v>
      </c>
      <c r="F75" s="22" t="str">
        <f t="shared" si="6"/>
        <v/>
      </c>
      <c r="G75" s="23" t="s">
        <v>170</v>
      </c>
      <c r="H75" s="23" t="s">
        <v>244</v>
      </c>
      <c r="I75" s="23" t="s">
        <v>149</v>
      </c>
      <c r="J75" t="s">
        <v>152</v>
      </c>
      <c r="K75" s="22" t="e">
        <f t="shared" si="7"/>
        <v>#N/A</v>
      </c>
      <c r="L75" s="22" t="str">
        <f t="shared" si="8"/>
        <v/>
      </c>
    </row>
    <row r="76" spans="1:51" x14ac:dyDescent="0.25">
      <c r="A76">
        <v>1</v>
      </c>
      <c r="B76">
        <v>6</v>
      </c>
      <c r="C76">
        <v>11</v>
      </c>
      <c r="D76">
        <v>4</v>
      </c>
      <c r="E76" t="b">
        <v>0</v>
      </c>
      <c r="F76" s="22" t="str">
        <f t="shared" si="6"/>
        <v/>
      </c>
      <c r="G76" s="23" t="s">
        <v>170</v>
      </c>
      <c r="H76" s="23" t="s">
        <v>245</v>
      </c>
      <c r="I76" s="23" t="s">
        <v>149</v>
      </c>
      <c r="J76" t="s">
        <v>153</v>
      </c>
      <c r="K76" s="22" t="e">
        <f t="shared" si="7"/>
        <v>#N/A</v>
      </c>
      <c r="L76" s="22" t="str">
        <f t="shared" si="8"/>
        <v/>
      </c>
    </row>
    <row r="77" spans="1:51" x14ac:dyDescent="0.25">
      <c r="A77">
        <v>1</v>
      </c>
      <c r="B77">
        <v>6</v>
      </c>
      <c r="C77">
        <v>11</v>
      </c>
      <c r="D77">
        <v>5</v>
      </c>
      <c r="E77" t="b">
        <v>0</v>
      </c>
      <c r="F77" s="22" t="str">
        <f t="shared" si="6"/>
        <v/>
      </c>
      <c r="G77" s="23" t="s">
        <v>170</v>
      </c>
      <c r="H77" s="23" t="s">
        <v>246</v>
      </c>
      <c r="I77" s="23" t="s">
        <v>149</v>
      </c>
      <c r="J77" t="s">
        <v>154</v>
      </c>
      <c r="K77" s="22" t="e">
        <f t="shared" si="7"/>
        <v>#N/A</v>
      </c>
      <c r="L77" s="22" t="str">
        <f t="shared" si="8"/>
        <v/>
      </c>
    </row>
    <row r="78" spans="1:51" x14ac:dyDescent="0.25">
      <c r="A78">
        <v>1</v>
      </c>
      <c r="B78">
        <v>6</v>
      </c>
      <c r="C78">
        <v>11</v>
      </c>
      <c r="D78">
        <v>6</v>
      </c>
      <c r="E78" t="b">
        <v>0</v>
      </c>
      <c r="F78" s="22" t="str">
        <f t="shared" si="6"/>
        <v/>
      </c>
      <c r="G78" s="23" t="s">
        <v>170</v>
      </c>
      <c r="H78" s="23" t="s">
        <v>247</v>
      </c>
      <c r="I78" s="23" t="s">
        <v>149</v>
      </c>
      <c r="J78" t="s">
        <v>155</v>
      </c>
      <c r="K78" s="22" t="e">
        <f t="shared" si="7"/>
        <v>#N/A</v>
      </c>
      <c r="L78" s="22" t="str">
        <f t="shared" si="8"/>
        <v/>
      </c>
      <c r="AY78" s="4"/>
    </row>
    <row r="79" spans="1:51" x14ac:dyDescent="0.25">
      <c r="A79">
        <v>1</v>
      </c>
      <c r="B79">
        <v>6</v>
      </c>
      <c r="C79">
        <v>11</v>
      </c>
      <c r="D79">
        <v>7</v>
      </c>
      <c r="E79" t="b">
        <v>0</v>
      </c>
      <c r="F79" s="22" t="str">
        <f t="shared" si="6"/>
        <v/>
      </c>
      <c r="G79" s="23" t="s">
        <v>170</v>
      </c>
      <c r="H79" s="23" t="s">
        <v>248</v>
      </c>
      <c r="I79" s="23" t="s">
        <v>149</v>
      </c>
      <c r="J79" t="s">
        <v>156</v>
      </c>
      <c r="K79" s="22" t="e">
        <f t="shared" si="7"/>
        <v>#N/A</v>
      </c>
      <c r="L79" s="22" t="str">
        <f t="shared" si="8"/>
        <v/>
      </c>
      <c r="AY79" s="4"/>
    </row>
    <row r="80" spans="1:51" x14ac:dyDescent="0.25">
      <c r="A80">
        <v>1</v>
      </c>
      <c r="B80">
        <v>6</v>
      </c>
      <c r="C80">
        <v>11</v>
      </c>
      <c r="D80">
        <v>8</v>
      </c>
      <c r="E80" t="b">
        <v>0</v>
      </c>
      <c r="F80" s="22" t="str">
        <f t="shared" si="6"/>
        <v/>
      </c>
      <c r="G80" s="23" t="s">
        <v>170</v>
      </c>
      <c r="H80" s="23" t="s">
        <v>249</v>
      </c>
      <c r="I80" s="23" t="s">
        <v>149</v>
      </c>
      <c r="J80" t="s">
        <v>157</v>
      </c>
      <c r="K80" s="22" t="e">
        <f t="shared" si="7"/>
        <v>#N/A</v>
      </c>
      <c r="L80" s="22" t="str">
        <f t="shared" si="8"/>
        <v/>
      </c>
      <c r="AY80" s="4"/>
    </row>
    <row r="81" spans="1:51" x14ac:dyDescent="0.25">
      <c r="A81">
        <v>1</v>
      </c>
      <c r="B81">
        <v>6</v>
      </c>
      <c r="C81">
        <v>11</v>
      </c>
      <c r="D81">
        <v>9</v>
      </c>
      <c r="E81" t="b">
        <v>0</v>
      </c>
      <c r="F81" s="22" t="str">
        <f t="shared" si="6"/>
        <v/>
      </c>
      <c r="G81" s="23" t="s">
        <v>170</v>
      </c>
      <c r="H81" s="23" t="s">
        <v>250</v>
      </c>
      <c r="I81" s="23" t="s">
        <v>149</v>
      </c>
      <c r="J81" t="s">
        <v>158</v>
      </c>
      <c r="K81" s="22" t="e">
        <f t="shared" si="7"/>
        <v>#N/A</v>
      </c>
      <c r="L81" s="22" t="str">
        <f t="shared" si="8"/>
        <v/>
      </c>
      <c r="AY81" s="4"/>
    </row>
    <row r="82" spans="1:51" x14ac:dyDescent="0.25">
      <c r="A82">
        <v>1</v>
      </c>
      <c r="B82">
        <v>6</v>
      </c>
      <c r="C82">
        <v>11</v>
      </c>
      <c r="D82">
        <v>10</v>
      </c>
      <c r="E82" t="b">
        <v>0</v>
      </c>
      <c r="F82" s="22" t="str">
        <f t="shared" si="6"/>
        <v/>
      </c>
      <c r="G82" s="23" t="s">
        <v>170</v>
      </c>
      <c r="H82" s="23" t="s">
        <v>251</v>
      </c>
      <c r="I82" s="23" t="s">
        <v>149</v>
      </c>
      <c r="J82" t="s">
        <v>159</v>
      </c>
      <c r="K82" s="22" t="e">
        <f t="shared" si="7"/>
        <v>#N/A</v>
      </c>
      <c r="L82" s="22" t="str">
        <f t="shared" si="8"/>
        <v/>
      </c>
      <c r="AY82" s="4"/>
    </row>
    <row r="83" spans="1:51" x14ac:dyDescent="0.25">
      <c r="A83">
        <v>1</v>
      </c>
      <c r="B83">
        <v>6</v>
      </c>
      <c r="C83">
        <v>11</v>
      </c>
      <c r="D83">
        <v>11</v>
      </c>
      <c r="E83" t="b">
        <v>1</v>
      </c>
      <c r="F83" s="22" t="str">
        <f t="shared" si="6"/>
        <v/>
      </c>
      <c r="G83" s="23" t="s">
        <v>170</v>
      </c>
      <c r="H83" s="23" t="s">
        <v>252</v>
      </c>
      <c r="I83" s="23" t="s">
        <v>149</v>
      </c>
      <c r="J83" t="s">
        <v>160</v>
      </c>
      <c r="K83" s="22" t="e">
        <f t="shared" si="7"/>
        <v>#N/A</v>
      </c>
      <c r="L83" s="22" t="str">
        <f t="shared" si="8"/>
        <v/>
      </c>
      <c r="AY83" s="4"/>
    </row>
    <row r="84" spans="1:51" x14ac:dyDescent="0.25">
      <c r="A84">
        <v>2</v>
      </c>
      <c r="B84">
        <v>1</v>
      </c>
      <c r="C84">
        <v>18</v>
      </c>
      <c r="D84">
        <v>1</v>
      </c>
      <c r="E84" t="b">
        <v>0</v>
      </c>
      <c r="F84" s="22" t="str">
        <f t="shared" si="6"/>
        <v/>
      </c>
      <c r="G84" s="23" t="s">
        <v>167</v>
      </c>
      <c r="H84" s="23" t="s">
        <v>253</v>
      </c>
      <c r="I84" s="23" t="s">
        <v>2</v>
      </c>
      <c r="J84" t="s">
        <v>3</v>
      </c>
      <c r="K84" s="22" t="str">
        <f t="shared" si="7"/>
        <v/>
      </c>
      <c r="L84" s="22" t="str">
        <f t="shared" si="8"/>
        <v/>
      </c>
      <c r="AY84" s="4"/>
    </row>
    <row r="85" spans="1:51" x14ac:dyDescent="0.25">
      <c r="A85">
        <v>2</v>
      </c>
      <c r="B85">
        <v>1</v>
      </c>
      <c r="C85">
        <v>18</v>
      </c>
      <c r="D85">
        <v>2</v>
      </c>
      <c r="E85" t="b">
        <v>0</v>
      </c>
      <c r="F85" s="22" t="str">
        <f t="shared" si="6"/>
        <v/>
      </c>
      <c r="G85" s="23" t="s">
        <v>167</v>
      </c>
      <c r="H85" s="23" t="s">
        <v>254</v>
      </c>
      <c r="I85" s="23" t="s">
        <v>2</v>
      </c>
      <c r="J85" t="s">
        <v>4</v>
      </c>
      <c r="K85" s="22" t="e">
        <f t="shared" si="7"/>
        <v>#N/A</v>
      </c>
      <c r="L85" s="22" t="str">
        <f t="shared" si="8"/>
        <v/>
      </c>
      <c r="AY85" s="4"/>
    </row>
    <row r="86" spans="1:51" x14ac:dyDescent="0.25">
      <c r="A86">
        <v>2</v>
      </c>
      <c r="B86">
        <v>1</v>
      </c>
      <c r="C86">
        <v>18</v>
      </c>
      <c r="D86">
        <v>3</v>
      </c>
      <c r="E86" t="b">
        <v>0</v>
      </c>
      <c r="F86" s="22" t="str">
        <f t="shared" si="6"/>
        <v/>
      </c>
      <c r="G86" s="23" t="s">
        <v>167</v>
      </c>
      <c r="H86" s="23" t="s">
        <v>175</v>
      </c>
      <c r="I86" s="23" t="s">
        <v>2</v>
      </c>
      <c r="J86" t="s">
        <v>5</v>
      </c>
      <c r="K86" s="22" t="str">
        <f t="shared" si="7"/>
        <v/>
      </c>
      <c r="L86" s="22" t="str">
        <f t="shared" si="8"/>
        <v/>
      </c>
      <c r="AY86" s="4"/>
    </row>
    <row r="87" spans="1:51" x14ac:dyDescent="0.25">
      <c r="A87">
        <v>2</v>
      </c>
      <c r="B87">
        <v>1</v>
      </c>
      <c r="C87">
        <v>18</v>
      </c>
      <c r="D87">
        <v>4</v>
      </c>
      <c r="E87" t="b">
        <v>0</v>
      </c>
      <c r="F87" s="22" t="str">
        <f t="shared" si="6"/>
        <v/>
      </c>
      <c r="G87" s="23" t="s">
        <v>167</v>
      </c>
      <c r="H87" s="23" t="s">
        <v>176</v>
      </c>
      <c r="I87" s="23" t="s">
        <v>2</v>
      </c>
      <c r="J87" t="s">
        <v>6</v>
      </c>
      <c r="K87" s="22" t="e">
        <f t="shared" si="7"/>
        <v>#N/A</v>
      </c>
      <c r="L87" s="22" t="str">
        <f t="shared" si="8"/>
        <v/>
      </c>
      <c r="AY87" s="4"/>
    </row>
    <row r="88" spans="1:51" x14ac:dyDescent="0.25">
      <c r="A88">
        <v>2</v>
      </c>
      <c r="B88">
        <v>1</v>
      </c>
      <c r="C88">
        <v>18</v>
      </c>
      <c r="D88">
        <v>5</v>
      </c>
      <c r="E88" t="b">
        <v>0</v>
      </c>
      <c r="F88" s="22" t="str">
        <f t="shared" si="6"/>
        <v/>
      </c>
      <c r="G88" s="23" t="s">
        <v>167</v>
      </c>
      <c r="H88" s="23" t="s">
        <v>177</v>
      </c>
      <c r="I88" s="23" t="s">
        <v>2</v>
      </c>
      <c r="J88" t="s">
        <v>44</v>
      </c>
      <c r="K88" s="22" t="e">
        <f t="shared" si="7"/>
        <v>#N/A</v>
      </c>
      <c r="L88" s="22" t="str">
        <f t="shared" si="8"/>
        <v/>
      </c>
      <c r="AY88" s="4"/>
    </row>
    <row r="89" spans="1:51" x14ac:dyDescent="0.25">
      <c r="A89">
        <v>2</v>
      </c>
      <c r="B89">
        <v>1</v>
      </c>
      <c r="C89">
        <v>18</v>
      </c>
      <c r="D89">
        <v>6</v>
      </c>
      <c r="E89" t="b">
        <v>0</v>
      </c>
      <c r="F89" s="22" t="str">
        <f t="shared" si="6"/>
        <v/>
      </c>
      <c r="G89" s="23" t="s">
        <v>167</v>
      </c>
      <c r="H89" s="23" t="s">
        <v>178</v>
      </c>
      <c r="I89" s="23" t="s">
        <v>2</v>
      </c>
      <c r="J89" t="s">
        <v>102</v>
      </c>
      <c r="K89" s="22" t="e">
        <f t="shared" si="7"/>
        <v>#N/A</v>
      </c>
      <c r="L89" s="22" t="str">
        <f t="shared" si="8"/>
        <v/>
      </c>
      <c r="AY89" s="4"/>
    </row>
    <row r="90" spans="1:51" x14ac:dyDescent="0.25">
      <c r="A90">
        <v>2</v>
      </c>
      <c r="B90">
        <v>1</v>
      </c>
      <c r="C90">
        <v>18</v>
      </c>
      <c r="D90">
        <v>7</v>
      </c>
      <c r="E90" t="b">
        <v>0</v>
      </c>
      <c r="F90" s="22" t="str">
        <f t="shared" si="6"/>
        <v/>
      </c>
      <c r="G90" s="23" t="s">
        <v>167</v>
      </c>
      <c r="H90" s="23" t="s">
        <v>179</v>
      </c>
      <c r="I90" s="23" t="s">
        <v>2</v>
      </c>
      <c r="J90" t="s">
        <v>103</v>
      </c>
      <c r="K90" s="22" t="e">
        <f t="shared" si="7"/>
        <v>#N/A</v>
      </c>
      <c r="L90" s="22" t="str">
        <f t="shared" si="8"/>
        <v/>
      </c>
      <c r="AY90" s="4"/>
    </row>
    <row r="91" spans="1:51" x14ac:dyDescent="0.25">
      <c r="A91">
        <v>2</v>
      </c>
      <c r="B91">
        <v>1</v>
      </c>
      <c r="C91">
        <v>18</v>
      </c>
      <c r="D91">
        <v>8</v>
      </c>
      <c r="E91" t="b">
        <v>0</v>
      </c>
      <c r="F91" s="22" t="str">
        <f t="shared" si="6"/>
        <v/>
      </c>
      <c r="G91" s="23" t="s">
        <v>167</v>
      </c>
      <c r="H91" s="23" t="s">
        <v>180</v>
      </c>
      <c r="I91" s="23" t="s">
        <v>2</v>
      </c>
      <c r="J91" t="s">
        <v>7</v>
      </c>
      <c r="K91" s="22" t="e">
        <f t="shared" si="7"/>
        <v>#N/A</v>
      </c>
      <c r="L91" s="22" t="str">
        <f t="shared" si="8"/>
        <v/>
      </c>
      <c r="AY91" s="4"/>
    </row>
    <row r="92" spans="1:51" x14ac:dyDescent="0.25">
      <c r="A92">
        <v>2</v>
      </c>
      <c r="B92">
        <v>1</v>
      </c>
      <c r="C92">
        <v>18</v>
      </c>
      <c r="D92">
        <v>9</v>
      </c>
      <c r="E92" t="b">
        <v>0</v>
      </c>
      <c r="F92" s="22" t="str">
        <f t="shared" si="6"/>
        <v/>
      </c>
      <c r="G92" s="23" t="s">
        <v>167</v>
      </c>
      <c r="H92" s="23" t="s">
        <v>181</v>
      </c>
      <c r="I92" s="23" t="s">
        <v>2</v>
      </c>
      <c r="J92" t="s">
        <v>104</v>
      </c>
      <c r="K92" s="22" t="e">
        <f t="shared" si="7"/>
        <v>#N/A</v>
      </c>
      <c r="L92" s="22" t="str">
        <f t="shared" si="8"/>
        <v/>
      </c>
      <c r="AY92" s="4"/>
    </row>
    <row r="93" spans="1:51" x14ac:dyDescent="0.25">
      <c r="A93">
        <v>2</v>
      </c>
      <c r="B93">
        <v>1</v>
      </c>
      <c r="C93">
        <v>18</v>
      </c>
      <c r="D93">
        <v>10</v>
      </c>
      <c r="E93" t="b">
        <v>0</v>
      </c>
      <c r="F93" s="22" t="str">
        <f t="shared" si="6"/>
        <v/>
      </c>
      <c r="G93" s="23" t="s">
        <v>167</v>
      </c>
      <c r="H93" s="23" t="s">
        <v>182</v>
      </c>
      <c r="I93" s="23" t="s">
        <v>2</v>
      </c>
      <c r="J93" t="s">
        <v>8</v>
      </c>
      <c r="K93" s="22" t="e">
        <f t="shared" si="7"/>
        <v>#N/A</v>
      </c>
      <c r="L93" s="22" t="str">
        <f t="shared" si="8"/>
        <v/>
      </c>
      <c r="AY93" s="4"/>
    </row>
    <row r="94" spans="1:51" x14ac:dyDescent="0.25">
      <c r="A94">
        <v>2</v>
      </c>
      <c r="B94">
        <v>1</v>
      </c>
      <c r="C94">
        <v>18</v>
      </c>
      <c r="D94">
        <v>11</v>
      </c>
      <c r="E94" t="b">
        <v>0</v>
      </c>
      <c r="F94" s="22" t="str">
        <f t="shared" si="6"/>
        <v/>
      </c>
      <c r="G94" s="23" t="s">
        <v>167</v>
      </c>
      <c r="H94" s="23" t="s">
        <v>183</v>
      </c>
      <c r="I94" s="23" t="s">
        <v>2</v>
      </c>
      <c r="J94" t="s">
        <v>105</v>
      </c>
      <c r="K94" s="22" t="e">
        <f t="shared" si="7"/>
        <v>#N/A</v>
      </c>
      <c r="L94" s="22" t="str">
        <f t="shared" si="8"/>
        <v/>
      </c>
      <c r="AY94" s="4"/>
    </row>
    <row r="95" spans="1:51" x14ac:dyDescent="0.25">
      <c r="A95">
        <v>2</v>
      </c>
      <c r="B95">
        <v>1</v>
      </c>
      <c r="C95">
        <v>18</v>
      </c>
      <c r="D95">
        <v>12</v>
      </c>
      <c r="E95" t="b">
        <v>0</v>
      </c>
      <c r="F95" s="22" t="str">
        <f t="shared" si="6"/>
        <v/>
      </c>
      <c r="G95" s="23" t="s">
        <v>167</v>
      </c>
      <c r="H95" s="23" t="s">
        <v>184</v>
      </c>
      <c r="I95" s="23" t="s">
        <v>2</v>
      </c>
      <c r="J95" t="s">
        <v>106</v>
      </c>
      <c r="K95" s="22" t="e">
        <f t="shared" si="7"/>
        <v>#N/A</v>
      </c>
      <c r="L95" s="22" t="str">
        <f t="shared" si="8"/>
        <v/>
      </c>
      <c r="AY95" s="4"/>
    </row>
    <row r="96" spans="1:51" x14ac:dyDescent="0.25">
      <c r="A96">
        <v>2</v>
      </c>
      <c r="B96">
        <v>1</v>
      </c>
      <c r="C96">
        <v>18</v>
      </c>
      <c r="D96">
        <v>13</v>
      </c>
      <c r="E96" t="b">
        <v>0</v>
      </c>
      <c r="F96" s="22" t="str">
        <f t="shared" si="6"/>
        <v/>
      </c>
      <c r="G96" s="23" t="s">
        <v>167</v>
      </c>
      <c r="H96" s="23" t="s">
        <v>185</v>
      </c>
      <c r="I96" s="23" t="s">
        <v>2</v>
      </c>
      <c r="J96" t="s">
        <v>107</v>
      </c>
      <c r="K96" s="22" t="e">
        <f t="shared" si="7"/>
        <v>#N/A</v>
      </c>
      <c r="L96" s="22" t="str">
        <f t="shared" si="8"/>
        <v/>
      </c>
      <c r="AY96" s="4"/>
    </row>
    <row r="97" spans="1:51" x14ac:dyDescent="0.25">
      <c r="A97">
        <v>2</v>
      </c>
      <c r="B97">
        <v>1</v>
      </c>
      <c r="C97">
        <v>18</v>
      </c>
      <c r="D97">
        <v>14</v>
      </c>
      <c r="E97" t="b">
        <v>0</v>
      </c>
      <c r="F97" s="22" t="str">
        <f t="shared" si="6"/>
        <v/>
      </c>
      <c r="G97" s="23" t="s">
        <v>167</v>
      </c>
      <c r="H97" s="23" t="s">
        <v>186</v>
      </c>
      <c r="I97" s="23" t="s">
        <v>2</v>
      </c>
      <c r="J97" t="s">
        <v>108</v>
      </c>
      <c r="K97" s="22" t="e">
        <f t="shared" si="7"/>
        <v>#N/A</v>
      </c>
      <c r="L97" s="22" t="str">
        <f t="shared" si="8"/>
        <v/>
      </c>
      <c r="AY97" s="4"/>
    </row>
    <row r="98" spans="1:51" x14ac:dyDescent="0.25">
      <c r="A98">
        <v>2</v>
      </c>
      <c r="B98">
        <v>1</v>
      </c>
      <c r="C98">
        <v>18</v>
      </c>
      <c r="D98">
        <v>15</v>
      </c>
      <c r="E98" t="b">
        <v>0</v>
      </c>
      <c r="F98" s="22" t="str">
        <f t="shared" si="6"/>
        <v/>
      </c>
      <c r="G98" s="23" t="s">
        <v>167</v>
      </c>
      <c r="H98" s="23" t="s">
        <v>187</v>
      </c>
      <c r="I98" s="23" t="s">
        <v>2</v>
      </c>
      <c r="J98" t="s">
        <v>109</v>
      </c>
      <c r="K98" s="22" t="e">
        <f t="shared" si="7"/>
        <v>#N/A</v>
      </c>
      <c r="L98" s="22" t="str">
        <f t="shared" si="8"/>
        <v/>
      </c>
    </row>
    <row r="99" spans="1:51" x14ac:dyDescent="0.25">
      <c r="A99">
        <v>2</v>
      </c>
      <c r="B99">
        <v>1</v>
      </c>
      <c r="C99">
        <v>18</v>
      </c>
      <c r="D99">
        <v>16</v>
      </c>
      <c r="E99" t="b">
        <v>0</v>
      </c>
      <c r="F99" s="22" t="str">
        <f t="shared" si="6"/>
        <v/>
      </c>
      <c r="G99" s="23" t="s">
        <v>167</v>
      </c>
      <c r="H99" s="23" t="s">
        <v>188</v>
      </c>
      <c r="I99" s="23" t="s">
        <v>2</v>
      </c>
      <c r="J99" t="s">
        <v>110</v>
      </c>
      <c r="K99" s="22" t="e">
        <f t="shared" si="7"/>
        <v>#N/A</v>
      </c>
      <c r="L99" s="22" t="str">
        <f t="shared" si="8"/>
        <v/>
      </c>
    </row>
    <row r="100" spans="1:51" x14ac:dyDescent="0.25">
      <c r="A100">
        <v>2</v>
      </c>
      <c r="B100">
        <v>1</v>
      </c>
      <c r="C100">
        <v>18</v>
      </c>
      <c r="D100">
        <v>17</v>
      </c>
      <c r="E100" t="b">
        <v>0</v>
      </c>
      <c r="F100" s="22" t="str">
        <f t="shared" si="6"/>
        <v/>
      </c>
      <c r="G100" s="23" t="s">
        <v>167</v>
      </c>
      <c r="H100" s="23" t="s">
        <v>189</v>
      </c>
      <c r="I100" s="23" t="s">
        <v>2</v>
      </c>
      <c r="J100" t="s">
        <v>23</v>
      </c>
      <c r="K100" s="22" t="e">
        <f t="shared" si="7"/>
        <v>#N/A</v>
      </c>
      <c r="L100" s="22" t="str">
        <f t="shared" si="8"/>
        <v/>
      </c>
    </row>
    <row r="101" spans="1:51" x14ac:dyDescent="0.25">
      <c r="A101">
        <v>2</v>
      </c>
      <c r="B101">
        <v>1</v>
      </c>
      <c r="C101">
        <v>18</v>
      </c>
      <c r="D101">
        <v>18</v>
      </c>
      <c r="E101" t="b">
        <v>1</v>
      </c>
      <c r="F101" s="22" t="str">
        <f t="shared" si="6"/>
        <v/>
      </c>
      <c r="G101" s="23" t="s">
        <v>167</v>
      </c>
      <c r="H101" s="23" t="s">
        <v>190</v>
      </c>
      <c r="I101" s="23" t="s">
        <v>2</v>
      </c>
      <c r="J101" t="s">
        <v>24</v>
      </c>
      <c r="K101" s="22" t="e">
        <f t="shared" si="7"/>
        <v>#N/A</v>
      </c>
      <c r="L101" s="22" t="str">
        <f t="shared" si="8"/>
        <v/>
      </c>
    </row>
    <row r="102" spans="1:51" x14ac:dyDescent="0.25">
      <c r="A102">
        <v>2</v>
      </c>
      <c r="B102">
        <v>2</v>
      </c>
      <c r="C102">
        <v>16</v>
      </c>
      <c r="D102">
        <v>1</v>
      </c>
      <c r="E102" t="b">
        <v>0</v>
      </c>
      <c r="F102" s="22" t="str">
        <f t="shared" si="6"/>
        <v/>
      </c>
      <c r="G102" s="23" t="s">
        <v>165</v>
      </c>
      <c r="H102" s="23" t="s">
        <v>191</v>
      </c>
      <c r="I102" s="23" t="s">
        <v>9</v>
      </c>
      <c r="J102" t="s">
        <v>10</v>
      </c>
      <c r="K102" s="22" t="e">
        <f t="shared" si="7"/>
        <v>#N/A</v>
      </c>
      <c r="L102" s="22" t="str">
        <f t="shared" si="8"/>
        <v/>
      </c>
    </row>
    <row r="103" spans="1:51" x14ac:dyDescent="0.25">
      <c r="A103">
        <v>2</v>
      </c>
      <c r="B103">
        <v>2</v>
      </c>
      <c r="C103">
        <v>16</v>
      </c>
      <c r="D103">
        <v>2</v>
      </c>
      <c r="E103" t="b">
        <v>0</v>
      </c>
      <c r="F103" s="22" t="str">
        <f t="shared" si="6"/>
        <v/>
      </c>
      <c r="G103" s="23" t="s">
        <v>165</v>
      </c>
      <c r="H103" s="23" t="s">
        <v>192</v>
      </c>
      <c r="I103" s="23" t="s">
        <v>9</v>
      </c>
      <c r="J103" t="s">
        <v>11</v>
      </c>
      <c r="K103" s="22" t="e">
        <f t="shared" si="7"/>
        <v>#N/A</v>
      </c>
      <c r="L103" s="22" t="str">
        <f t="shared" si="8"/>
        <v/>
      </c>
    </row>
    <row r="104" spans="1:51" x14ac:dyDescent="0.25">
      <c r="A104">
        <v>2</v>
      </c>
      <c r="B104">
        <v>2</v>
      </c>
      <c r="C104">
        <v>16</v>
      </c>
      <c r="D104">
        <v>3</v>
      </c>
      <c r="E104" t="b">
        <v>0</v>
      </c>
      <c r="F104" s="22" t="str">
        <f t="shared" si="6"/>
        <v/>
      </c>
      <c r="G104" s="23" t="s">
        <v>165</v>
      </c>
      <c r="H104" s="23" t="s">
        <v>193</v>
      </c>
      <c r="I104" s="23" t="s">
        <v>9</v>
      </c>
      <c r="J104" t="s">
        <v>12</v>
      </c>
      <c r="K104" s="22" t="e">
        <f t="shared" si="7"/>
        <v>#N/A</v>
      </c>
      <c r="L104" s="22" t="str">
        <f t="shared" si="8"/>
        <v/>
      </c>
    </row>
    <row r="105" spans="1:51" x14ac:dyDescent="0.25">
      <c r="A105">
        <v>2</v>
      </c>
      <c r="B105">
        <v>2</v>
      </c>
      <c r="C105">
        <v>16</v>
      </c>
      <c r="D105">
        <v>4</v>
      </c>
      <c r="E105" t="b">
        <v>0</v>
      </c>
      <c r="F105" s="22" t="str">
        <f t="shared" si="6"/>
        <v/>
      </c>
      <c r="G105" s="23" t="s">
        <v>165</v>
      </c>
      <c r="H105" s="23" t="s">
        <v>194</v>
      </c>
      <c r="I105" s="23" t="s">
        <v>9</v>
      </c>
      <c r="J105" t="s">
        <v>13</v>
      </c>
      <c r="K105" s="22" t="e">
        <f t="shared" si="7"/>
        <v>#N/A</v>
      </c>
      <c r="L105" s="22" t="str">
        <f t="shared" si="8"/>
        <v/>
      </c>
    </row>
    <row r="106" spans="1:51" x14ac:dyDescent="0.25">
      <c r="A106">
        <v>2</v>
      </c>
      <c r="B106">
        <v>2</v>
      </c>
      <c r="C106">
        <v>16</v>
      </c>
      <c r="D106">
        <v>5</v>
      </c>
      <c r="E106" t="b">
        <v>0</v>
      </c>
      <c r="F106" s="22" t="str">
        <f t="shared" si="6"/>
        <v/>
      </c>
      <c r="G106" s="23" t="s">
        <v>165</v>
      </c>
      <c r="H106" s="23" t="s">
        <v>195</v>
      </c>
      <c r="I106" s="23" t="s">
        <v>9</v>
      </c>
      <c r="J106" t="s">
        <v>14</v>
      </c>
      <c r="K106" s="22" t="e">
        <f t="shared" si="7"/>
        <v>#N/A</v>
      </c>
      <c r="L106" s="22" t="str">
        <f t="shared" si="8"/>
        <v/>
      </c>
    </row>
    <row r="107" spans="1:51" x14ac:dyDescent="0.25">
      <c r="A107">
        <v>2</v>
      </c>
      <c r="B107">
        <v>2</v>
      </c>
      <c r="C107">
        <v>16</v>
      </c>
      <c r="D107">
        <v>6</v>
      </c>
      <c r="E107" t="b">
        <v>0</v>
      </c>
      <c r="F107" s="22" t="str">
        <f t="shared" si="6"/>
        <v/>
      </c>
      <c r="G107" s="23" t="s">
        <v>165</v>
      </c>
      <c r="H107" s="23" t="s">
        <v>196</v>
      </c>
      <c r="I107" s="23" t="s">
        <v>9</v>
      </c>
      <c r="J107" t="s">
        <v>15</v>
      </c>
      <c r="K107" s="22" t="e">
        <f t="shared" si="7"/>
        <v>#N/A</v>
      </c>
      <c r="L107" s="22" t="str">
        <f t="shared" si="8"/>
        <v/>
      </c>
    </row>
    <row r="108" spans="1:51" x14ac:dyDescent="0.25">
      <c r="A108">
        <v>2</v>
      </c>
      <c r="B108">
        <v>2</v>
      </c>
      <c r="C108">
        <v>16</v>
      </c>
      <c r="D108">
        <v>7</v>
      </c>
      <c r="E108" t="b">
        <v>0</v>
      </c>
      <c r="F108" s="22" t="str">
        <f t="shared" si="6"/>
        <v/>
      </c>
      <c r="G108" s="23" t="s">
        <v>165</v>
      </c>
      <c r="H108" s="23" t="s">
        <v>197</v>
      </c>
      <c r="I108" s="23" t="s">
        <v>9</v>
      </c>
      <c r="J108" t="s">
        <v>16</v>
      </c>
      <c r="K108" s="22" t="e">
        <f t="shared" si="7"/>
        <v>#N/A</v>
      </c>
      <c r="L108" s="22" t="str">
        <f t="shared" si="8"/>
        <v/>
      </c>
    </row>
    <row r="109" spans="1:51" x14ac:dyDescent="0.25">
      <c r="A109">
        <v>2</v>
      </c>
      <c r="B109">
        <v>2</v>
      </c>
      <c r="C109">
        <v>16</v>
      </c>
      <c r="D109">
        <v>8</v>
      </c>
      <c r="E109" t="b">
        <v>0</v>
      </c>
      <c r="F109" s="22" t="str">
        <f t="shared" si="6"/>
        <v/>
      </c>
      <c r="G109" s="23" t="s">
        <v>165</v>
      </c>
      <c r="H109" s="23" t="s">
        <v>198</v>
      </c>
      <c r="I109" s="23" t="s">
        <v>9</v>
      </c>
      <c r="J109" t="s">
        <v>17</v>
      </c>
      <c r="K109" s="22" t="e">
        <f t="shared" si="7"/>
        <v>#N/A</v>
      </c>
      <c r="L109" s="22" t="str">
        <f t="shared" si="8"/>
        <v/>
      </c>
    </row>
    <row r="110" spans="1:51" x14ac:dyDescent="0.25">
      <c r="A110">
        <v>2</v>
      </c>
      <c r="B110">
        <v>2</v>
      </c>
      <c r="C110">
        <v>16</v>
      </c>
      <c r="D110">
        <v>9</v>
      </c>
      <c r="E110" t="b">
        <v>0</v>
      </c>
      <c r="F110" s="22" t="str">
        <f t="shared" si="6"/>
        <v/>
      </c>
      <c r="G110" s="23" t="s">
        <v>165</v>
      </c>
      <c r="H110" s="23" t="s">
        <v>199</v>
      </c>
      <c r="I110" s="23" t="s">
        <v>9</v>
      </c>
      <c r="J110" t="s">
        <v>18</v>
      </c>
      <c r="K110" s="22" t="e">
        <f t="shared" si="7"/>
        <v>#N/A</v>
      </c>
      <c r="L110" s="22" t="str">
        <f t="shared" si="8"/>
        <v/>
      </c>
    </row>
    <row r="111" spans="1:51" x14ac:dyDescent="0.25">
      <c r="A111">
        <v>2</v>
      </c>
      <c r="B111">
        <v>2</v>
      </c>
      <c r="C111">
        <v>16</v>
      </c>
      <c r="D111">
        <v>10</v>
      </c>
      <c r="E111" t="b">
        <v>0</v>
      </c>
      <c r="F111" s="22" t="str">
        <f t="shared" si="6"/>
        <v/>
      </c>
      <c r="G111" s="23" t="s">
        <v>165</v>
      </c>
      <c r="H111" s="23" t="s">
        <v>200</v>
      </c>
      <c r="I111" s="23" t="s">
        <v>9</v>
      </c>
      <c r="J111" t="s">
        <v>19</v>
      </c>
      <c r="K111" s="22" t="e">
        <f t="shared" si="7"/>
        <v>#N/A</v>
      </c>
      <c r="L111" s="22" t="str">
        <f t="shared" si="8"/>
        <v/>
      </c>
    </row>
    <row r="112" spans="1:51" x14ac:dyDescent="0.25">
      <c r="A112">
        <v>2</v>
      </c>
      <c r="B112">
        <v>2</v>
      </c>
      <c r="C112">
        <v>16</v>
      </c>
      <c r="D112">
        <v>11</v>
      </c>
      <c r="E112" t="b">
        <v>0</v>
      </c>
      <c r="F112" s="22" t="str">
        <f t="shared" si="6"/>
        <v/>
      </c>
      <c r="G112" s="23" t="s">
        <v>165</v>
      </c>
      <c r="H112" s="23" t="s">
        <v>201</v>
      </c>
      <c r="I112" s="23" t="s">
        <v>9</v>
      </c>
      <c r="J112" t="s">
        <v>20</v>
      </c>
      <c r="K112" s="22" t="e">
        <f t="shared" si="7"/>
        <v>#N/A</v>
      </c>
      <c r="L112" s="22" t="str">
        <f t="shared" si="8"/>
        <v/>
      </c>
    </row>
    <row r="113" spans="1:12" x14ac:dyDescent="0.25">
      <c r="A113">
        <v>2</v>
      </c>
      <c r="B113">
        <v>2</v>
      </c>
      <c r="C113">
        <v>16</v>
      </c>
      <c r="D113">
        <v>12</v>
      </c>
      <c r="E113" t="b">
        <v>0</v>
      </c>
      <c r="F113" s="22" t="str">
        <f t="shared" si="6"/>
        <v/>
      </c>
      <c r="G113" s="23" t="s">
        <v>165</v>
      </c>
      <c r="H113" s="23" t="s">
        <v>202</v>
      </c>
      <c r="I113" s="23" t="s">
        <v>9</v>
      </c>
      <c r="J113" t="s">
        <v>21</v>
      </c>
      <c r="K113" s="22" t="e">
        <f t="shared" si="7"/>
        <v>#N/A</v>
      </c>
      <c r="L113" s="22" t="str">
        <f t="shared" si="8"/>
        <v/>
      </c>
    </row>
    <row r="114" spans="1:12" x14ac:dyDescent="0.25">
      <c r="A114">
        <v>2</v>
      </c>
      <c r="B114">
        <v>2</v>
      </c>
      <c r="C114">
        <v>16</v>
      </c>
      <c r="D114">
        <v>13</v>
      </c>
      <c r="E114" t="b">
        <v>0</v>
      </c>
      <c r="F114" s="22" t="str">
        <f t="shared" si="6"/>
        <v/>
      </c>
      <c r="G114" s="23" t="s">
        <v>165</v>
      </c>
      <c r="H114" s="23" t="s">
        <v>203</v>
      </c>
      <c r="I114" s="23" t="s">
        <v>9</v>
      </c>
      <c r="J114" t="s">
        <v>22</v>
      </c>
      <c r="K114" s="22" t="str">
        <f t="shared" si="7"/>
        <v/>
      </c>
      <c r="L114" s="22" t="str">
        <f t="shared" si="8"/>
        <v/>
      </c>
    </row>
    <row r="115" spans="1:12" x14ac:dyDescent="0.25">
      <c r="A115">
        <v>2</v>
      </c>
      <c r="B115">
        <v>2</v>
      </c>
      <c r="C115">
        <v>16</v>
      </c>
      <c r="D115">
        <v>14</v>
      </c>
      <c r="E115" t="b">
        <v>0</v>
      </c>
      <c r="F115" s="22" t="str">
        <f t="shared" si="6"/>
        <v/>
      </c>
      <c r="G115" s="23" t="s">
        <v>165</v>
      </c>
      <c r="H115" s="23" t="s">
        <v>204</v>
      </c>
      <c r="I115" s="23" t="s">
        <v>9</v>
      </c>
      <c r="J115" t="s">
        <v>111</v>
      </c>
      <c r="K115" s="22" t="e">
        <f t="shared" si="7"/>
        <v>#N/A</v>
      </c>
      <c r="L115" s="22" t="str">
        <f t="shared" si="8"/>
        <v/>
      </c>
    </row>
    <row r="116" spans="1:12" x14ac:dyDescent="0.25">
      <c r="A116">
        <v>2</v>
      </c>
      <c r="B116">
        <v>2</v>
      </c>
      <c r="C116">
        <v>16</v>
      </c>
      <c r="D116">
        <v>15</v>
      </c>
      <c r="E116" t="b">
        <v>0</v>
      </c>
      <c r="F116" s="22" t="str">
        <f t="shared" si="6"/>
        <v/>
      </c>
      <c r="G116" s="23" t="s">
        <v>165</v>
      </c>
      <c r="H116" s="23" t="s">
        <v>205</v>
      </c>
      <c r="I116" s="23" t="s">
        <v>9</v>
      </c>
      <c r="J116" t="s">
        <v>112</v>
      </c>
      <c r="K116" s="22" t="e">
        <f t="shared" si="7"/>
        <v>#N/A</v>
      </c>
      <c r="L116" s="22" t="str">
        <f t="shared" si="8"/>
        <v/>
      </c>
    </row>
    <row r="117" spans="1:12" x14ac:dyDescent="0.25">
      <c r="A117">
        <v>2</v>
      </c>
      <c r="B117">
        <v>2</v>
      </c>
      <c r="C117">
        <v>16</v>
      </c>
      <c r="D117">
        <v>16</v>
      </c>
      <c r="E117" t="b">
        <v>1</v>
      </c>
      <c r="F117" s="22" t="str">
        <f t="shared" si="6"/>
        <v/>
      </c>
      <c r="G117" s="23" t="s">
        <v>165</v>
      </c>
      <c r="H117" s="23" t="s">
        <v>206</v>
      </c>
      <c r="I117" s="23" t="s">
        <v>9</v>
      </c>
      <c r="J117" t="s">
        <v>113</v>
      </c>
      <c r="K117" s="22" t="e">
        <f t="shared" si="7"/>
        <v>#N/A</v>
      </c>
      <c r="L117" s="22" t="str">
        <f t="shared" si="8"/>
        <v/>
      </c>
    </row>
    <row r="118" spans="1:12" x14ac:dyDescent="0.25">
      <c r="A118">
        <v>2</v>
      </c>
      <c r="B118">
        <v>3</v>
      </c>
      <c r="C118">
        <v>17</v>
      </c>
      <c r="D118">
        <v>1</v>
      </c>
      <c r="E118" t="b">
        <v>0</v>
      </c>
      <c r="F118" s="22" t="str">
        <f t="shared" si="6"/>
        <v/>
      </c>
      <c r="G118" s="23" t="s">
        <v>168</v>
      </c>
      <c r="H118" s="23" t="s">
        <v>207</v>
      </c>
      <c r="I118" s="23" t="s">
        <v>37</v>
      </c>
      <c r="J118" t="s">
        <v>114</v>
      </c>
      <c r="K118" s="22" t="e">
        <f t="shared" si="7"/>
        <v>#N/A</v>
      </c>
      <c r="L118" s="22" t="str">
        <f t="shared" si="8"/>
        <v/>
      </c>
    </row>
    <row r="119" spans="1:12" x14ac:dyDescent="0.25">
      <c r="A119">
        <v>2</v>
      </c>
      <c r="B119">
        <v>3</v>
      </c>
      <c r="C119">
        <v>17</v>
      </c>
      <c r="D119">
        <v>2</v>
      </c>
      <c r="E119" t="b">
        <v>0</v>
      </c>
      <c r="F119" s="22" t="str">
        <f t="shared" si="6"/>
        <v/>
      </c>
      <c r="G119" s="23" t="s">
        <v>168</v>
      </c>
      <c r="H119" s="23" t="s">
        <v>208</v>
      </c>
      <c r="I119" s="23" t="s">
        <v>37</v>
      </c>
      <c r="J119" t="s">
        <v>39</v>
      </c>
      <c r="K119" s="22" t="e">
        <f t="shared" si="7"/>
        <v>#N/A</v>
      </c>
      <c r="L119" s="22" t="str">
        <f t="shared" si="8"/>
        <v/>
      </c>
    </row>
    <row r="120" spans="1:12" x14ac:dyDescent="0.25">
      <c r="A120">
        <v>2</v>
      </c>
      <c r="B120">
        <v>3</v>
      </c>
      <c r="C120">
        <v>17</v>
      </c>
      <c r="D120">
        <v>3</v>
      </c>
      <c r="E120" t="b">
        <v>0</v>
      </c>
      <c r="F120" s="22" t="str">
        <f t="shared" si="6"/>
        <v/>
      </c>
      <c r="G120" s="23" t="s">
        <v>168</v>
      </c>
      <c r="H120" s="23" t="s">
        <v>209</v>
      </c>
      <c r="I120" s="23" t="s">
        <v>37</v>
      </c>
      <c r="J120" t="s">
        <v>40</v>
      </c>
      <c r="K120" s="22" t="e">
        <f t="shared" si="7"/>
        <v>#N/A</v>
      </c>
      <c r="L120" s="22" t="str">
        <f t="shared" si="8"/>
        <v/>
      </c>
    </row>
    <row r="121" spans="1:12" x14ac:dyDescent="0.25">
      <c r="A121">
        <v>2</v>
      </c>
      <c r="B121">
        <v>3</v>
      </c>
      <c r="C121">
        <v>17</v>
      </c>
      <c r="D121">
        <v>4</v>
      </c>
      <c r="E121" t="b">
        <v>0</v>
      </c>
      <c r="F121" s="22" t="str">
        <f t="shared" si="6"/>
        <v/>
      </c>
      <c r="G121" s="23" t="s">
        <v>168</v>
      </c>
      <c r="H121" s="23" t="s">
        <v>210</v>
      </c>
      <c r="I121" s="23" t="s">
        <v>37</v>
      </c>
      <c r="J121" t="s">
        <v>41</v>
      </c>
      <c r="K121" s="22" t="str">
        <f t="shared" si="7"/>
        <v/>
      </c>
      <c r="L121" s="22" t="str">
        <f t="shared" si="8"/>
        <v/>
      </c>
    </row>
    <row r="122" spans="1:12" x14ac:dyDescent="0.25">
      <c r="A122">
        <v>2</v>
      </c>
      <c r="B122">
        <v>3</v>
      </c>
      <c r="C122">
        <v>17</v>
      </c>
      <c r="D122">
        <v>5</v>
      </c>
      <c r="E122" t="b">
        <v>0</v>
      </c>
      <c r="F122" s="22" t="str">
        <f t="shared" si="6"/>
        <v/>
      </c>
      <c r="G122" s="23" t="s">
        <v>168</v>
      </c>
      <c r="H122" s="23" t="s">
        <v>211</v>
      </c>
      <c r="I122" s="23" t="s">
        <v>37</v>
      </c>
      <c r="J122" t="s">
        <v>38</v>
      </c>
      <c r="K122" s="22" t="str">
        <f t="shared" si="7"/>
        <v/>
      </c>
      <c r="L122" s="22" t="str">
        <f t="shared" si="8"/>
        <v/>
      </c>
    </row>
    <row r="123" spans="1:12" x14ac:dyDescent="0.25">
      <c r="A123">
        <v>2</v>
      </c>
      <c r="B123">
        <v>3</v>
      </c>
      <c r="C123">
        <v>17</v>
      </c>
      <c r="D123">
        <v>6</v>
      </c>
      <c r="E123" t="b">
        <v>0</v>
      </c>
      <c r="F123" s="22" t="str">
        <f t="shared" si="6"/>
        <v/>
      </c>
      <c r="G123" s="23" t="s">
        <v>168</v>
      </c>
      <c r="H123" s="23" t="s">
        <v>212</v>
      </c>
      <c r="I123" s="23" t="s">
        <v>37</v>
      </c>
      <c r="J123" t="s">
        <v>115</v>
      </c>
      <c r="K123" s="22" t="str">
        <f t="shared" si="7"/>
        <v/>
      </c>
      <c r="L123" s="22" t="str">
        <f t="shared" si="8"/>
        <v/>
      </c>
    </row>
    <row r="124" spans="1:12" x14ac:dyDescent="0.25">
      <c r="A124">
        <v>2</v>
      </c>
      <c r="B124">
        <v>3</v>
      </c>
      <c r="C124">
        <v>17</v>
      </c>
      <c r="D124">
        <v>7</v>
      </c>
      <c r="E124" t="b">
        <v>0</v>
      </c>
      <c r="F124" s="22" t="str">
        <f t="shared" si="6"/>
        <v/>
      </c>
      <c r="G124" s="23" t="s">
        <v>168</v>
      </c>
      <c r="H124" s="23" t="s">
        <v>213</v>
      </c>
      <c r="I124" s="23" t="s">
        <v>37</v>
      </c>
      <c r="J124" t="s">
        <v>116</v>
      </c>
      <c r="K124" s="22" t="str">
        <f t="shared" si="7"/>
        <v/>
      </c>
      <c r="L124" s="22" t="str">
        <f t="shared" si="8"/>
        <v/>
      </c>
    </row>
    <row r="125" spans="1:12" x14ac:dyDescent="0.25">
      <c r="A125">
        <v>2</v>
      </c>
      <c r="B125">
        <v>3</v>
      </c>
      <c r="C125">
        <v>17</v>
      </c>
      <c r="D125">
        <v>8</v>
      </c>
      <c r="E125" t="b">
        <v>0</v>
      </c>
      <c r="F125" s="22" t="str">
        <f t="shared" si="6"/>
        <v/>
      </c>
      <c r="G125" s="23" t="s">
        <v>168</v>
      </c>
      <c r="H125" s="23" t="s">
        <v>214</v>
      </c>
      <c r="I125" s="23" t="s">
        <v>37</v>
      </c>
      <c r="J125" t="s">
        <v>126</v>
      </c>
      <c r="K125" s="22" t="e">
        <f t="shared" si="7"/>
        <v>#N/A</v>
      </c>
      <c r="L125" s="22" t="str">
        <f t="shared" si="8"/>
        <v/>
      </c>
    </row>
    <row r="126" spans="1:12" x14ac:dyDescent="0.25">
      <c r="A126">
        <v>2</v>
      </c>
      <c r="B126">
        <v>3</v>
      </c>
      <c r="C126">
        <v>17</v>
      </c>
      <c r="D126">
        <v>9</v>
      </c>
      <c r="E126" t="b">
        <v>0</v>
      </c>
      <c r="F126" s="22" t="str">
        <f t="shared" si="6"/>
        <v/>
      </c>
      <c r="G126" s="23" t="s">
        <v>168</v>
      </c>
      <c r="H126" s="23" t="s">
        <v>215</v>
      </c>
      <c r="I126" s="23" t="s">
        <v>37</v>
      </c>
      <c r="J126" t="s">
        <v>45</v>
      </c>
      <c r="K126" s="22" t="str">
        <f t="shared" si="7"/>
        <v/>
      </c>
      <c r="L126" s="22" t="str">
        <f t="shared" si="8"/>
        <v/>
      </c>
    </row>
    <row r="127" spans="1:12" x14ac:dyDescent="0.25">
      <c r="A127">
        <v>2</v>
      </c>
      <c r="B127">
        <v>3</v>
      </c>
      <c r="C127">
        <v>17</v>
      </c>
      <c r="D127">
        <v>10</v>
      </c>
      <c r="E127" t="b">
        <v>0</v>
      </c>
      <c r="F127" s="22" t="str">
        <f t="shared" si="6"/>
        <v/>
      </c>
      <c r="G127" s="23" t="s">
        <v>168</v>
      </c>
      <c r="H127" s="23" t="s">
        <v>216</v>
      </c>
      <c r="I127" s="23" t="s">
        <v>37</v>
      </c>
      <c r="J127" t="s">
        <v>117</v>
      </c>
      <c r="K127" s="22" t="e">
        <f t="shared" si="7"/>
        <v>#N/A</v>
      </c>
      <c r="L127" s="22" t="str">
        <f t="shared" si="8"/>
        <v/>
      </c>
    </row>
    <row r="128" spans="1:12" x14ac:dyDescent="0.25">
      <c r="A128">
        <v>2</v>
      </c>
      <c r="B128">
        <v>3</v>
      </c>
      <c r="C128">
        <v>17</v>
      </c>
      <c r="D128">
        <v>11</v>
      </c>
      <c r="E128" t="b">
        <v>0</v>
      </c>
      <c r="F128" s="22" t="str">
        <f t="shared" si="6"/>
        <v/>
      </c>
      <c r="G128" s="23" t="s">
        <v>168</v>
      </c>
      <c r="H128" s="23" t="s">
        <v>217</v>
      </c>
      <c r="I128" s="23" t="s">
        <v>37</v>
      </c>
      <c r="J128" t="s">
        <v>118</v>
      </c>
      <c r="K128" s="22" t="str">
        <f t="shared" si="7"/>
        <v/>
      </c>
      <c r="L128" s="22" t="str">
        <f t="shared" si="8"/>
        <v/>
      </c>
    </row>
    <row r="129" spans="1:12" x14ac:dyDescent="0.25">
      <c r="A129">
        <v>2</v>
      </c>
      <c r="B129">
        <v>3</v>
      </c>
      <c r="C129">
        <v>17</v>
      </c>
      <c r="D129">
        <v>12</v>
      </c>
      <c r="E129" t="b">
        <v>0</v>
      </c>
      <c r="F129" s="22" t="str">
        <f t="shared" si="6"/>
        <v/>
      </c>
      <c r="G129" s="23" t="s">
        <v>168</v>
      </c>
      <c r="H129" s="23" t="s">
        <v>218</v>
      </c>
      <c r="I129" s="23" t="s">
        <v>37</v>
      </c>
      <c r="J129" t="s">
        <v>119</v>
      </c>
      <c r="K129" s="22" t="e">
        <f t="shared" si="7"/>
        <v>#N/A</v>
      </c>
      <c r="L129" s="22" t="str">
        <f t="shared" si="8"/>
        <v/>
      </c>
    </row>
    <row r="130" spans="1:12" x14ac:dyDescent="0.25">
      <c r="A130">
        <v>2</v>
      </c>
      <c r="B130">
        <v>3</v>
      </c>
      <c r="C130">
        <v>17</v>
      </c>
      <c r="D130">
        <v>13</v>
      </c>
      <c r="E130" t="b">
        <v>0</v>
      </c>
      <c r="F130" s="22" t="str">
        <f t="shared" si="6"/>
        <v/>
      </c>
      <c r="G130" s="23" t="s">
        <v>168</v>
      </c>
      <c r="H130" s="23" t="s">
        <v>219</v>
      </c>
      <c r="I130" s="23" t="s">
        <v>37</v>
      </c>
      <c r="J130" t="s">
        <v>127</v>
      </c>
      <c r="K130" s="22" t="e">
        <f t="shared" si="7"/>
        <v>#N/A</v>
      </c>
      <c r="L130" s="22" t="str">
        <f t="shared" si="8"/>
        <v/>
      </c>
    </row>
    <row r="131" spans="1:12" x14ac:dyDescent="0.25">
      <c r="A131">
        <v>2</v>
      </c>
      <c r="B131">
        <v>3</v>
      </c>
      <c r="C131">
        <v>17</v>
      </c>
      <c r="D131">
        <v>14</v>
      </c>
      <c r="E131" t="b">
        <v>0</v>
      </c>
      <c r="F131" s="22" t="str">
        <f t="shared" si="6"/>
        <v/>
      </c>
      <c r="G131" s="23" t="s">
        <v>168</v>
      </c>
      <c r="H131" s="23" t="s">
        <v>220</v>
      </c>
      <c r="I131" s="23" t="s">
        <v>37</v>
      </c>
      <c r="J131" t="s">
        <v>120</v>
      </c>
      <c r="K131" s="22" t="e">
        <f t="shared" si="7"/>
        <v>#N/A</v>
      </c>
      <c r="L131" s="22" t="str">
        <f t="shared" si="8"/>
        <v/>
      </c>
    </row>
    <row r="132" spans="1:12" x14ac:dyDescent="0.25">
      <c r="A132">
        <v>2</v>
      </c>
      <c r="B132">
        <v>3</v>
      </c>
      <c r="C132">
        <v>17</v>
      </c>
      <c r="D132">
        <v>15</v>
      </c>
      <c r="E132" t="b">
        <v>0</v>
      </c>
      <c r="F132" s="22" t="str">
        <f t="shared" ref="F132:F195" si="9">VLOOKUP("Assessment #"&amp;$A132, DateMeta, MATCH("DisplDate", DateMeta_H, 0), 0)</f>
        <v/>
      </c>
      <c r="G132" s="23" t="s">
        <v>168</v>
      </c>
      <c r="H132" s="23" t="s">
        <v>221</v>
      </c>
      <c r="I132" s="23" t="s">
        <v>37</v>
      </c>
      <c r="J132" t="s">
        <v>42</v>
      </c>
      <c r="K132" s="22" t="str">
        <f t="shared" ref="K132:K195" si="10">IF(INDEX(Assess, MATCH($J132, ItemLong, 0), MATCH("Assessment #"&amp;$A132, Assess_H, 0))="", "", INDEX(Assess, MATCH($J132, ItemLong, 0), MATCH("Assessment #"&amp;$A132, Assess_H, 0)))</f>
        <v/>
      </c>
      <c r="L132" s="22" t="str">
        <f t="shared" si="8"/>
        <v/>
      </c>
    </row>
    <row r="133" spans="1:12" x14ac:dyDescent="0.25">
      <c r="A133">
        <v>2</v>
      </c>
      <c r="B133">
        <v>3</v>
      </c>
      <c r="C133">
        <v>17</v>
      </c>
      <c r="D133">
        <v>16</v>
      </c>
      <c r="E133" t="b">
        <v>0</v>
      </c>
      <c r="F133" s="22" t="str">
        <f t="shared" si="9"/>
        <v/>
      </c>
      <c r="G133" s="23" t="s">
        <v>168</v>
      </c>
      <c r="H133" s="23" t="s">
        <v>222</v>
      </c>
      <c r="I133" s="23" t="s">
        <v>37</v>
      </c>
      <c r="J133" t="s">
        <v>121</v>
      </c>
      <c r="K133" s="22" t="str">
        <f t="shared" si="10"/>
        <v/>
      </c>
      <c r="L133" s="22" t="str">
        <f t="shared" ref="L133:L196" si="11">IF(ISNUMBER(K133), IF(K133&gt;=2, 1, 0), "")</f>
        <v/>
      </c>
    </row>
    <row r="134" spans="1:12" x14ac:dyDescent="0.25">
      <c r="A134">
        <v>2</v>
      </c>
      <c r="B134">
        <v>3</v>
      </c>
      <c r="C134">
        <v>17</v>
      </c>
      <c r="D134">
        <v>17</v>
      </c>
      <c r="E134" t="b">
        <v>1</v>
      </c>
      <c r="F134" s="22" t="str">
        <f t="shared" si="9"/>
        <v/>
      </c>
      <c r="G134" s="23" t="s">
        <v>168</v>
      </c>
      <c r="H134" s="23" t="s">
        <v>223</v>
      </c>
      <c r="I134" s="23" t="s">
        <v>37</v>
      </c>
      <c r="J134" t="s">
        <v>44</v>
      </c>
      <c r="K134" s="22" t="e">
        <f t="shared" si="10"/>
        <v>#N/A</v>
      </c>
      <c r="L134" s="22" t="str">
        <f t="shared" si="11"/>
        <v/>
      </c>
    </row>
    <row r="135" spans="1:12" x14ac:dyDescent="0.25">
      <c r="A135">
        <v>2</v>
      </c>
      <c r="B135">
        <v>4</v>
      </c>
      <c r="C135">
        <v>9</v>
      </c>
      <c r="D135">
        <v>1</v>
      </c>
      <c r="E135" t="b">
        <v>0</v>
      </c>
      <c r="F135" s="22" t="str">
        <f t="shared" si="9"/>
        <v/>
      </c>
      <c r="G135" s="23" t="s">
        <v>169</v>
      </c>
      <c r="H135" s="23" t="s">
        <v>224</v>
      </c>
      <c r="I135" s="23" t="s">
        <v>25</v>
      </c>
      <c r="J135" t="s">
        <v>122</v>
      </c>
      <c r="K135" s="22" t="e">
        <f t="shared" si="10"/>
        <v>#N/A</v>
      </c>
      <c r="L135" s="22" t="str">
        <f t="shared" si="11"/>
        <v/>
      </c>
    </row>
    <row r="136" spans="1:12" x14ac:dyDescent="0.25">
      <c r="A136">
        <v>2</v>
      </c>
      <c r="B136">
        <v>4</v>
      </c>
      <c r="C136">
        <v>9</v>
      </c>
      <c r="D136">
        <v>2</v>
      </c>
      <c r="E136" t="b">
        <v>0</v>
      </c>
      <c r="F136" s="22" t="str">
        <f t="shared" si="9"/>
        <v/>
      </c>
      <c r="G136" s="23" t="s">
        <v>169</v>
      </c>
      <c r="H136" s="23" t="s">
        <v>225</v>
      </c>
      <c r="I136" s="23" t="s">
        <v>25</v>
      </c>
      <c r="J136" t="s">
        <v>26</v>
      </c>
      <c r="K136" s="22" t="e">
        <f t="shared" si="10"/>
        <v>#N/A</v>
      </c>
      <c r="L136" s="22" t="str">
        <f t="shared" si="11"/>
        <v/>
      </c>
    </row>
    <row r="137" spans="1:12" x14ac:dyDescent="0.25">
      <c r="A137">
        <v>2</v>
      </c>
      <c r="B137">
        <v>4</v>
      </c>
      <c r="C137">
        <v>9</v>
      </c>
      <c r="D137">
        <v>3</v>
      </c>
      <c r="E137" t="b">
        <v>0</v>
      </c>
      <c r="F137" s="22" t="str">
        <f t="shared" si="9"/>
        <v/>
      </c>
      <c r="G137" s="23" t="s">
        <v>169</v>
      </c>
      <c r="H137" s="23" t="s">
        <v>226</v>
      </c>
      <c r="I137" s="23" t="s">
        <v>25</v>
      </c>
      <c r="J137" t="s">
        <v>27</v>
      </c>
      <c r="K137" s="22" t="e">
        <f t="shared" si="10"/>
        <v>#N/A</v>
      </c>
      <c r="L137" s="22" t="str">
        <f t="shared" si="11"/>
        <v/>
      </c>
    </row>
    <row r="138" spans="1:12" x14ac:dyDescent="0.25">
      <c r="A138">
        <v>2</v>
      </c>
      <c r="B138">
        <v>4</v>
      </c>
      <c r="C138">
        <v>9</v>
      </c>
      <c r="D138">
        <v>4</v>
      </c>
      <c r="E138" t="b">
        <v>0</v>
      </c>
      <c r="F138" s="22" t="str">
        <f t="shared" si="9"/>
        <v/>
      </c>
      <c r="G138" s="23" t="s">
        <v>169</v>
      </c>
      <c r="H138" s="23" t="s">
        <v>227</v>
      </c>
      <c r="I138" s="23" t="s">
        <v>25</v>
      </c>
      <c r="J138" t="s">
        <v>28</v>
      </c>
      <c r="K138" s="22" t="e">
        <f t="shared" si="10"/>
        <v>#N/A</v>
      </c>
      <c r="L138" s="22" t="str">
        <f t="shared" si="11"/>
        <v/>
      </c>
    </row>
    <row r="139" spans="1:12" x14ac:dyDescent="0.25">
      <c r="A139">
        <v>2</v>
      </c>
      <c r="B139">
        <v>4</v>
      </c>
      <c r="C139">
        <v>9</v>
      </c>
      <c r="D139">
        <v>5</v>
      </c>
      <c r="E139" t="b">
        <v>0</v>
      </c>
      <c r="F139" s="22" t="str">
        <f t="shared" si="9"/>
        <v/>
      </c>
      <c r="G139" s="23" t="s">
        <v>169</v>
      </c>
      <c r="H139" s="23" t="s">
        <v>228</v>
      </c>
      <c r="I139" s="23" t="s">
        <v>25</v>
      </c>
      <c r="J139" t="s">
        <v>128</v>
      </c>
      <c r="K139" s="22" t="e">
        <f t="shared" si="10"/>
        <v>#N/A</v>
      </c>
      <c r="L139" s="22" t="str">
        <f t="shared" si="11"/>
        <v/>
      </c>
    </row>
    <row r="140" spans="1:12" x14ac:dyDescent="0.25">
      <c r="A140">
        <v>2</v>
      </c>
      <c r="B140">
        <v>4</v>
      </c>
      <c r="C140">
        <v>9</v>
      </c>
      <c r="D140">
        <v>6</v>
      </c>
      <c r="E140" t="b">
        <v>0</v>
      </c>
      <c r="F140" s="22" t="str">
        <f t="shared" si="9"/>
        <v/>
      </c>
      <c r="G140" s="23" t="s">
        <v>169</v>
      </c>
      <c r="H140" s="23" t="s">
        <v>229</v>
      </c>
      <c r="I140" s="23" t="s">
        <v>25</v>
      </c>
      <c r="J140" t="s">
        <v>29</v>
      </c>
      <c r="K140" s="22" t="e">
        <f t="shared" si="10"/>
        <v>#N/A</v>
      </c>
      <c r="L140" s="22" t="str">
        <f t="shared" si="11"/>
        <v/>
      </c>
    </row>
    <row r="141" spans="1:12" x14ac:dyDescent="0.25">
      <c r="A141">
        <v>2</v>
      </c>
      <c r="B141">
        <v>4</v>
      </c>
      <c r="C141">
        <v>9</v>
      </c>
      <c r="D141">
        <v>7</v>
      </c>
      <c r="E141" t="b">
        <v>0</v>
      </c>
      <c r="F141" s="22" t="str">
        <f t="shared" si="9"/>
        <v/>
      </c>
      <c r="G141" s="23" t="s">
        <v>169</v>
      </c>
      <c r="H141" s="23" t="s">
        <v>230</v>
      </c>
      <c r="I141" s="23" t="s">
        <v>25</v>
      </c>
      <c r="J141" t="s">
        <v>30</v>
      </c>
      <c r="K141" s="22" t="str">
        <f t="shared" si="10"/>
        <v/>
      </c>
      <c r="L141" s="22" t="str">
        <f t="shared" si="11"/>
        <v/>
      </c>
    </row>
    <row r="142" spans="1:12" x14ac:dyDescent="0.25">
      <c r="A142">
        <v>2</v>
      </c>
      <c r="B142">
        <v>4</v>
      </c>
      <c r="C142">
        <v>9</v>
      </c>
      <c r="D142">
        <v>8</v>
      </c>
      <c r="E142" t="b">
        <v>0</v>
      </c>
      <c r="F142" s="22" t="str">
        <f t="shared" si="9"/>
        <v/>
      </c>
      <c r="G142" s="23" t="s">
        <v>169</v>
      </c>
      <c r="H142" s="23" t="s">
        <v>231</v>
      </c>
      <c r="I142" s="23" t="s">
        <v>25</v>
      </c>
      <c r="J142" t="s">
        <v>31</v>
      </c>
      <c r="K142" s="22" t="e">
        <f t="shared" si="10"/>
        <v>#N/A</v>
      </c>
      <c r="L142" s="22" t="str">
        <f t="shared" si="11"/>
        <v/>
      </c>
    </row>
    <row r="143" spans="1:12" x14ac:dyDescent="0.25">
      <c r="A143">
        <v>2</v>
      </c>
      <c r="B143">
        <v>4</v>
      </c>
      <c r="C143">
        <v>9</v>
      </c>
      <c r="D143">
        <v>9</v>
      </c>
      <c r="E143" t="b">
        <v>1</v>
      </c>
      <c r="F143" s="22" t="str">
        <f t="shared" si="9"/>
        <v/>
      </c>
      <c r="G143" s="23" t="s">
        <v>169</v>
      </c>
      <c r="H143" s="23" t="s">
        <v>232</v>
      </c>
      <c r="I143" s="23" t="s">
        <v>25</v>
      </c>
      <c r="J143" t="s">
        <v>43</v>
      </c>
      <c r="K143" s="22" t="e">
        <f t="shared" si="10"/>
        <v>#N/A</v>
      </c>
      <c r="L143" s="22" t="str">
        <f t="shared" si="11"/>
        <v/>
      </c>
    </row>
    <row r="144" spans="1:12" x14ac:dyDescent="0.25">
      <c r="A144">
        <v>2</v>
      </c>
      <c r="B144">
        <v>5</v>
      </c>
      <c r="C144">
        <v>9</v>
      </c>
      <c r="D144">
        <v>1</v>
      </c>
      <c r="E144" t="b">
        <v>0</v>
      </c>
      <c r="F144" s="22" t="str">
        <f t="shared" si="9"/>
        <v/>
      </c>
      <c r="G144" s="23" t="s">
        <v>166</v>
      </c>
      <c r="H144" s="23" t="s">
        <v>233</v>
      </c>
      <c r="I144" s="23" t="s">
        <v>32</v>
      </c>
      <c r="J144" t="s">
        <v>33</v>
      </c>
      <c r="K144" s="22" t="e">
        <f t="shared" si="10"/>
        <v>#N/A</v>
      </c>
      <c r="L144" s="22" t="str">
        <f t="shared" si="11"/>
        <v/>
      </c>
    </row>
    <row r="145" spans="1:12" x14ac:dyDescent="0.25">
      <c r="A145">
        <v>2</v>
      </c>
      <c r="B145">
        <v>5</v>
      </c>
      <c r="C145">
        <v>9</v>
      </c>
      <c r="D145">
        <v>2</v>
      </c>
      <c r="E145" t="b">
        <v>0</v>
      </c>
      <c r="F145" s="22" t="str">
        <f t="shared" si="9"/>
        <v/>
      </c>
      <c r="G145" s="23" t="s">
        <v>166</v>
      </c>
      <c r="H145" s="23" t="s">
        <v>234</v>
      </c>
      <c r="I145" s="23" t="s">
        <v>32</v>
      </c>
      <c r="J145" t="s">
        <v>34</v>
      </c>
      <c r="K145" s="22" t="e">
        <f t="shared" si="10"/>
        <v>#N/A</v>
      </c>
      <c r="L145" s="22" t="str">
        <f t="shared" si="11"/>
        <v/>
      </c>
    </row>
    <row r="146" spans="1:12" x14ac:dyDescent="0.25">
      <c r="A146">
        <v>2</v>
      </c>
      <c r="B146">
        <v>5</v>
      </c>
      <c r="C146">
        <v>9</v>
      </c>
      <c r="D146">
        <v>3</v>
      </c>
      <c r="E146" t="b">
        <v>0</v>
      </c>
      <c r="F146" s="22" t="str">
        <f t="shared" si="9"/>
        <v/>
      </c>
      <c r="G146" s="23" t="s">
        <v>166</v>
      </c>
      <c r="H146" s="23" t="s">
        <v>235</v>
      </c>
      <c r="I146" s="23" t="s">
        <v>32</v>
      </c>
      <c r="J146" t="s">
        <v>35</v>
      </c>
      <c r="K146" s="22" t="e">
        <f t="shared" si="10"/>
        <v>#N/A</v>
      </c>
      <c r="L146" s="22" t="str">
        <f t="shared" si="11"/>
        <v/>
      </c>
    </row>
    <row r="147" spans="1:12" x14ac:dyDescent="0.25">
      <c r="A147">
        <v>2</v>
      </c>
      <c r="B147">
        <v>5</v>
      </c>
      <c r="C147">
        <v>9</v>
      </c>
      <c r="D147">
        <v>4</v>
      </c>
      <c r="E147" t="b">
        <v>0</v>
      </c>
      <c r="F147" s="22" t="str">
        <f t="shared" si="9"/>
        <v/>
      </c>
      <c r="G147" s="23" t="s">
        <v>166</v>
      </c>
      <c r="H147" s="23" t="s">
        <v>236</v>
      </c>
      <c r="I147" s="23" t="s">
        <v>32</v>
      </c>
      <c r="J147" t="s">
        <v>123</v>
      </c>
      <c r="K147" s="22" t="e">
        <f t="shared" si="10"/>
        <v>#N/A</v>
      </c>
      <c r="L147" s="22" t="str">
        <f t="shared" si="11"/>
        <v/>
      </c>
    </row>
    <row r="148" spans="1:12" x14ac:dyDescent="0.25">
      <c r="A148">
        <v>2</v>
      </c>
      <c r="B148">
        <v>5</v>
      </c>
      <c r="C148">
        <v>9</v>
      </c>
      <c r="D148">
        <v>5</v>
      </c>
      <c r="E148" t="b">
        <v>0</v>
      </c>
      <c r="F148" s="22" t="str">
        <f t="shared" si="9"/>
        <v/>
      </c>
      <c r="G148" s="23" t="s">
        <v>166</v>
      </c>
      <c r="H148" s="23" t="s">
        <v>237</v>
      </c>
      <c r="I148" s="23" t="s">
        <v>32</v>
      </c>
      <c r="J148" t="s">
        <v>124</v>
      </c>
      <c r="K148" s="22" t="e">
        <f t="shared" si="10"/>
        <v>#N/A</v>
      </c>
      <c r="L148" s="22" t="str">
        <f t="shared" si="11"/>
        <v/>
      </c>
    </row>
    <row r="149" spans="1:12" x14ac:dyDescent="0.25">
      <c r="A149">
        <v>2</v>
      </c>
      <c r="B149">
        <v>5</v>
      </c>
      <c r="C149">
        <v>9</v>
      </c>
      <c r="D149">
        <v>6</v>
      </c>
      <c r="E149" t="b">
        <v>0</v>
      </c>
      <c r="F149" s="22" t="str">
        <f t="shared" si="9"/>
        <v/>
      </c>
      <c r="G149" s="23" t="s">
        <v>166</v>
      </c>
      <c r="H149" s="23" t="s">
        <v>238</v>
      </c>
      <c r="I149" s="23" t="s">
        <v>32</v>
      </c>
      <c r="J149" t="s">
        <v>129</v>
      </c>
      <c r="K149" s="22" t="e">
        <f t="shared" si="10"/>
        <v>#N/A</v>
      </c>
      <c r="L149" s="22" t="str">
        <f t="shared" si="11"/>
        <v/>
      </c>
    </row>
    <row r="150" spans="1:12" x14ac:dyDescent="0.25">
      <c r="A150">
        <v>2</v>
      </c>
      <c r="B150">
        <v>5</v>
      </c>
      <c r="C150">
        <v>9</v>
      </c>
      <c r="D150">
        <v>7</v>
      </c>
      <c r="E150" t="b">
        <v>0</v>
      </c>
      <c r="F150" s="22" t="str">
        <f t="shared" si="9"/>
        <v/>
      </c>
      <c r="G150" s="23" t="s">
        <v>166</v>
      </c>
      <c r="H150" s="23" t="s">
        <v>239</v>
      </c>
      <c r="I150" s="23" t="s">
        <v>32</v>
      </c>
      <c r="J150" t="s">
        <v>125</v>
      </c>
      <c r="K150" s="22" t="e">
        <f t="shared" si="10"/>
        <v>#N/A</v>
      </c>
      <c r="L150" s="22" t="str">
        <f t="shared" si="11"/>
        <v/>
      </c>
    </row>
    <row r="151" spans="1:12" x14ac:dyDescent="0.25">
      <c r="A151">
        <v>2</v>
      </c>
      <c r="B151">
        <v>5</v>
      </c>
      <c r="C151">
        <v>9</v>
      </c>
      <c r="D151">
        <v>8</v>
      </c>
      <c r="E151" t="b">
        <v>0</v>
      </c>
      <c r="F151" s="22" t="str">
        <f t="shared" si="9"/>
        <v/>
      </c>
      <c r="G151" s="23" t="s">
        <v>166</v>
      </c>
      <c r="H151" s="23" t="s">
        <v>240</v>
      </c>
      <c r="I151" s="23" t="s">
        <v>32</v>
      </c>
      <c r="J151" t="s">
        <v>36</v>
      </c>
      <c r="K151" s="22" t="e">
        <f t="shared" si="10"/>
        <v>#N/A</v>
      </c>
      <c r="L151" s="22" t="str">
        <f t="shared" si="11"/>
        <v/>
      </c>
    </row>
    <row r="152" spans="1:12" x14ac:dyDescent="0.25">
      <c r="A152">
        <v>2</v>
      </c>
      <c r="B152">
        <v>5</v>
      </c>
      <c r="C152">
        <v>9</v>
      </c>
      <c r="D152">
        <v>9</v>
      </c>
      <c r="E152" t="b">
        <v>1</v>
      </c>
      <c r="F152" s="22" t="str">
        <f t="shared" si="9"/>
        <v/>
      </c>
      <c r="G152" s="23" t="s">
        <v>166</v>
      </c>
      <c r="H152" s="23" t="s">
        <v>241</v>
      </c>
      <c r="I152" s="23" t="s">
        <v>32</v>
      </c>
      <c r="J152" t="s">
        <v>47</v>
      </c>
      <c r="K152" s="22" t="e">
        <f t="shared" si="10"/>
        <v>#N/A</v>
      </c>
      <c r="L152" s="22" t="str">
        <f t="shared" si="11"/>
        <v/>
      </c>
    </row>
    <row r="153" spans="1:12" x14ac:dyDescent="0.25">
      <c r="A153">
        <v>2</v>
      </c>
      <c r="B153">
        <v>6</v>
      </c>
      <c r="C153">
        <v>11</v>
      </c>
      <c r="D153">
        <v>1</v>
      </c>
      <c r="E153" t="b">
        <v>0</v>
      </c>
      <c r="F153" s="22" t="str">
        <f t="shared" si="9"/>
        <v/>
      </c>
      <c r="G153" s="23" t="s">
        <v>170</v>
      </c>
      <c r="H153" s="23" t="s">
        <v>242</v>
      </c>
      <c r="I153" s="23" t="s">
        <v>149</v>
      </c>
      <c r="J153" t="s">
        <v>150</v>
      </c>
      <c r="K153" s="22" t="e">
        <f t="shared" si="10"/>
        <v>#N/A</v>
      </c>
      <c r="L153" s="22" t="str">
        <f t="shared" si="11"/>
        <v/>
      </c>
    </row>
    <row r="154" spans="1:12" x14ac:dyDescent="0.25">
      <c r="A154">
        <v>2</v>
      </c>
      <c r="B154">
        <v>6</v>
      </c>
      <c r="C154">
        <v>11</v>
      </c>
      <c r="D154">
        <v>2</v>
      </c>
      <c r="E154" t="b">
        <v>0</v>
      </c>
      <c r="F154" s="22" t="str">
        <f t="shared" si="9"/>
        <v/>
      </c>
      <c r="G154" s="23" t="s">
        <v>170</v>
      </c>
      <c r="H154" s="23" t="s">
        <v>243</v>
      </c>
      <c r="I154" s="23" t="s">
        <v>149</v>
      </c>
      <c r="J154" t="s">
        <v>151</v>
      </c>
      <c r="K154" s="22" t="e">
        <f t="shared" si="10"/>
        <v>#N/A</v>
      </c>
      <c r="L154" s="22" t="str">
        <f t="shared" si="11"/>
        <v/>
      </c>
    </row>
    <row r="155" spans="1:12" x14ac:dyDescent="0.25">
      <c r="A155">
        <v>2</v>
      </c>
      <c r="B155">
        <v>6</v>
      </c>
      <c r="C155">
        <v>11</v>
      </c>
      <c r="D155">
        <v>3</v>
      </c>
      <c r="E155" t="b">
        <v>0</v>
      </c>
      <c r="F155" s="22" t="str">
        <f t="shared" si="9"/>
        <v/>
      </c>
      <c r="G155" s="23" t="s">
        <v>170</v>
      </c>
      <c r="H155" s="23" t="s">
        <v>244</v>
      </c>
      <c r="I155" s="23" t="s">
        <v>149</v>
      </c>
      <c r="J155" t="s">
        <v>152</v>
      </c>
      <c r="K155" s="22" t="e">
        <f t="shared" si="10"/>
        <v>#N/A</v>
      </c>
      <c r="L155" s="22" t="str">
        <f t="shared" si="11"/>
        <v/>
      </c>
    </row>
    <row r="156" spans="1:12" x14ac:dyDescent="0.25">
      <c r="A156">
        <v>2</v>
      </c>
      <c r="B156">
        <v>6</v>
      </c>
      <c r="C156">
        <v>11</v>
      </c>
      <c r="D156">
        <v>4</v>
      </c>
      <c r="E156" t="b">
        <v>0</v>
      </c>
      <c r="F156" s="22" t="str">
        <f t="shared" si="9"/>
        <v/>
      </c>
      <c r="G156" s="23" t="s">
        <v>170</v>
      </c>
      <c r="H156" s="23" t="s">
        <v>245</v>
      </c>
      <c r="I156" s="23" t="s">
        <v>149</v>
      </c>
      <c r="J156" t="s">
        <v>153</v>
      </c>
      <c r="K156" s="22" t="e">
        <f t="shared" si="10"/>
        <v>#N/A</v>
      </c>
      <c r="L156" s="22" t="str">
        <f t="shared" si="11"/>
        <v/>
      </c>
    </row>
    <row r="157" spans="1:12" x14ac:dyDescent="0.25">
      <c r="A157">
        <v>2</v>
      </c>
      <c r="B157">
        <v>6</v>
      </c>
      <c r="C157">
        <v>11</v>
      </c>
      <c r="D157">
        <v>5</v>
      </c>
      <c r="E157" t="b">
        <v>0</v>
      </c>
      <c r="F157" s="22" t="str">
        <f t="shared" si="9"/>
        <v/>
      </c>
      <c r="G157" s="23" t="s">
        <v>170</v>
      </c>
      <c r="H157" s="23" t="s">
        <v>246</v>
      </c>
      <c r="I157" s="23" t="s">
        <v>149</v>
      </c>
      <c r="J157" t="s">
        <v>154</v>
      </c>
      <c r="K157" s="22" t="e">
        <f t="shared" si="10"/>
        <v>#N/A</v>
      </c>
      <c r="L157" s="22" t="str">
        <f t="shared" si="11"/>
        <v/>
      </c>
    </row>
    <row r="158" spans="1:12" x14ac:dyDescent="0.25">
      <c r="A158">
        <v>2</v>
      </c>
      <c r="B158">
        <v>6</v>
      </c>
      <c r="C158">
        <v>11</v>
      </c>
      <c r="D158">
        <v>6</v>
      </c>
      <c r="E158" t="b">
        <v>0</v>
      </c>
      <c r="F158" s="22" t="str">
        <f t="shared" si="9"/>
        <v/>
      </c>
      <c r="G158" s="23" t="s">
        <v>170</v>
      </c>
      <c r="H158" s="23" t="s">
        <v>247</v>
      </c>
      <c r="I158" s="23" t="s">
        <v>149</v>
      </c>
      <c r="J158" t="s">
        <v>155</v>
      </c>
      <c r="K158" s="22" t="e">
        <f t="shared" si="10"/>
        <v>#N/A</v>
      </c>
      <c r="L158" s="22" t="str">
        <f t="shared" si="11"/>
        <v/>
      </c>
    </row>
    <row r="159" spans="1:12" x14ac:dyDescent="0.25">
      <c r="A159">
        <v>2</v>
      </c>
      <c r="B159">
        <v>6</v>
      </c>
      <c r="C159">
        <v>11</v>
      </c>
      <c r="D159">
        <v>7</v>
      </c>
      <c r="E159" t="b">
        <v>0</v>
      </c>
      <c r="F159" s="22" t="str">
        <f t="shared" si="9"/>
        <v/>
      </c>
      <c r="G159" s="23" t="s">
        <v>170</v>
      </c>
      <c r="H159" s="23" t="s">
        <v>248</v>
      </c>
      <c r="I159" s="23" t="s">
        <v>149</v>
      </c>
      <c r="J159" t="s">
        <v>156</v>
      </c>
      <c r="K159" s="22" t="e">
        <f t="shared" si="10"/>
        <v>#N/A</v>
      </c>
      <c r="L159" s="22" t="str">
        <f t="shared" si="11"/>
        <v/>
      </c>
    </row>
    <row r="160" spans="1:12" x14ac:dyDescent="0.25">
      <c r="A160">
        <v>2</v>
      </c>
      <c r="B160">
        <v>6</v>
      </c>
      <c r="C160">
        <v>11</v>
      </c>
      <c r="D160">
        <v>8</v>
      </c>
      <c r="E160" t="b">
        <v>0</v>
      </c>
      <c r="F160" s="22" t="str">
        <f t="shared" si="9"/>
        <v/>
      </c>
      <c r="G160" s="23" t="s">
        <v>170</v>
      </c>
      <c r="H160" s="23" t="s">
        <v>249</v>
      </c>
      <c r="I160" s="23" t="s">
        <v>149</v>
      </c>
      <c r="J160" t="s">
        <v>157</v>
      </c>
      <c r="K160" s="22" t="e">
        <f t="shared" si="10"/>
        <v>#N/A</v>
      </c>
      <c r="L160" s="22" t="str">
        <f t="shared" si="11"/>
        <v/>
      </c>
    </row>
    <row r="161" spans="1:12" x14ac:dyDescent="0.25">
      <c r="A161">
        <v>2</v>
      </c>
      <c r="B161">
        <v>6</v>
      </c>
      <c r="C161">
        <v>11</v>
      </c>
      <c r="D161">
        <v>9</v>
      </c>
      <c r="E161" t="b">
        <v>0</v>
      </c>
      <c r="F161" s="22" t="str">
        <f t="shared" si="9"/>
        <v/>
      </c>
      <c r="G161" s="23" t="s">
        <v>170</v>
      </c>
      <c r="H161" s="23" t="s">
        <v>250</v>
      </c>
      <c r="I161" s="23" t="s">
        <v>149</v>
      </c>
      <c r="J161" t="s">
        <v>158</v>
      </c>
      <c r="K161" s="22" t="e">
        <f t="shared" si="10"/>
        <v>#N/A</v>
      </c>
      <c r="L161" s="22" t="str">
        <f t="shared" si="11"/>
        <v/>
      </c>
    </row>
    <row r="162" spans="1:12" x14ac:dyDescent="0.25">
      <c r="A162">
        <v>2</v>
      </c>
      <c r="B162">
        <v>6</v>
      </c>
      <c r="C162">
        <v>11</v>
      </c>
      <c r="D162">
        <v>10</v>
      </c>
      <c r="E162" t="b">
        <v>0</v>
      </c>
      <c r="F162" s="22" t="str">
        <f t="shared" si="9"/>
        <v/>
      </c>
      <c r="G162" s="23" t="s">
        <v>170</v>
      </c>
      <c r="H162" s="23" t="s">
        <v>251</v>
      </c>
      <c r="I162" s="23" t="s">
        <v>149</v>
      </c>
      <c r="J162" t="s">
        <v>159</v>
      </c>
      <c r="K162" s="22" t="e">
        <f t="shared" si="10"/>
        <v>#N/A</v>
      </c>
      <c r="L162" s="22" t="str">
        <f t="shared" si="11"/>
        <v/>
      </c>
    </row>
    <row r="163" spans="1:12" x14ac:dyDescent="0.25">
      <c r="A163">
        <v>2</v>
      </c>
      <c r="B163">
        <v>6</v>
      </c>
      <c r="C163">
        <v>11</v>
      </c>
      <c r="D163">
        <v>11</v>
      </c>
      <c r="E163" t="b">
        <v>1</v>
      </c>
      <c r="F163" s="22" t="str">
        <f t="shared" si="9"/>
        <v/>
      </c>
      <c r="G163" s="23" t="s">
        <v>170</v>
      </c>
      <c r="H163" s="23" t="s">
        <v>252</v>
      </c>
      <c r="I163" s="23" t="s">
        <v>149</v>
      </c>
      <c r="J163" t="s">
        <v>160</v>
      </c>
      <c r="K163" s="22" t="e">
        <f t="shared" si="10"/>
        <v>#N/A</v>
      </c>
      <c r="L163" s="22" t="str">
        <f t="shared" si="11"/>
        <v/>
      </c>
    </row>
    <row r="164" spans="1:12" x14ac:dyDescent="0.25">
      <c r="A164">
        <v>3</v>
      </c>
      <c r="B164">
        <v>1</v>
      </c>
      <c r="C164">
        <v>18</v>
      </c>
      <c r="D164">
        <v>1</v>
      </c>
      <c r="E164" t="b">
        <v>0</v>
      </c>
      <c r="F164" s="22" t="str">
        <f t="shared" si="9"/>
        <v/>
      </c>
      <c r="G164" s="23" t="s">
        <v>167</v>
      </c>
      <c r="H164" s="23" t="s">
        <v>253</v>
      </c>
      <c r="I164" s="23" t="s">
        <v>2</v>
      </c>
      <c r="J164" t="s">
        <v>3</v>
      </c>
      <c r="K164" s="22" t="str">
        <f t="shared" si="10"/>
        <v/>
      </c>
      <c r="L164" s="22" t="str">
        <f t="shared" si="11"/>
        <v/>
      </c>
    </row>
    <row r="165" spans="1:12" x14ac:dyDescent="0.25">
      <c r="A165">
        <v>3</v>
      </c>
      <c r="B165">
        <v>1</v>
      </c>
      <c r="C165">
        <v>18</v>
      </c>
      <c r="D165">
        <v>2</v>
      </c>
      <c r="E165" t="b">
        <v>0</v>
      </c>
      <c r="F165" s="22" t="str">
        <f t="shared" si="9"/>
        <v/>
      </c>
      <c r="G165" s="23" t="s">
        <v>167</v>
      </c>
      <c r="H165" s="23" t="s">
        <v>254</v>
      </c>
      <c r="I165" s="23" t="s">
        <v>2</v>
      </c>
      <c r="J165" t="s">
        <v>4</v>
      </c>
      <c r="K165" s="22" t="e">
        <f t="shared" si="10"/>
        <v>#N/A</v>
      </c>
      <c r="L165" s="22" t="str">
        <f t="shared" si="11"/>
        <v/>
      </c>
    </row>
    <row r="166" spans="1:12" x14ac:dyDescent="0.25">
      <c r="A166">
        <v>3</v>
      </c>
      <c r="B166">
        <v>1</v>
      </c>
      <c r="C166">
        <v>18</v>
      </c>
      <c r="D166">
        <v>3</v>
      </c>
      <c r="E166" t="b">
        <v>0</v>
      </c>
      <c r="F166" s="22" t="str">
        <f t="shared" si="9"/>
        <v/>
      </c>
      <c r="G166" s="23" t="s">
        <v>167</v>
      </c>
      <c r="H166" s="23" t="s">
        <v>175</v>
      </c>
      <c r="I166" s="23" t="s">
        <v>2</v>
      </c>
      <c r="J166" t="s">
        <v>5</v>
      </c>
      <c r="K166" s="22" t="str">
        <f t="shared" si="10"/>
        <v/>
      </c>
      <c r="L166" s="22" t="str">
        <f t="shared" si="11"/>
        <v/>
      </c>
    </row>
    <row r="167" spans="1:12" x14ac:dyDescent="0.25">
      <c r="A167">
        <v>3</v>
      </c>
      <c r="B167">
        <v>1</v>
      </c>
      <c r="C167">
        <v>18</v>
      </c>
      <c r="D167">
        <v>4</v>
      </c>
      <c r="E167" t="b">
        <v>0</v>
      </c>
      <c r="F167" s="22" t="str">
        <f t="shared" si="9"/>
        <v/>
      </c>
      <c r="G167" s="23" t="s">
        <v>167</v>
      </c>
      <c r="H167" s="23" t="s">
        <v>176</v>
      </c>
      <c r="I167" s="23" t="s">
        <v>2</v>
      </c>
      <c r="J167" t="s">
        <v>6</v>
      </c>
      <c r="K167" s="22" t="e">
        <f t="shared" si="10"/>
        <v>#N/A</v>
      </c>
      <c r="L167" s="22" t="str">
        <f t="shared" si="11"/>
        <v/>
      </c>
    </row>
    <row r="168" spans="1:12" x14ac:dyDescent="0.25">
      <c r="A168">
        <v>3</v>
      </c>
      <c r="B168">
        <v>1</v>
      </c>
      <c r="C168">
        <v>18</v>
      </c>
      <c r="D168">
        <v>5</v>
      </c>
      <c r="E168" t="b">
        <v>0</v>
      </c>
      <c r="F168" s="22" t="str">
        <f t="shared" si="9"/>
        <v/>
      </c>
      <c r="G168" s="23" t="s">
        <v>167</v>
      </c>
      <c r="H168" s="23" t="s">
        <v>177</v>
      </c>
      <c r="I168" s="23" t="s">
        <v>2</v>
      </c>
      <c r="J168" t="s">
        <v>44</v>
      </c>
      <c r="K168" s="22" t="e">
        <f t="shared" si="10"/>
        <v>#N/A</v>
      </c>
      <c r="L168" s="22" t="str">
        <f t="shared" si="11"/>
        <v/>
      </c>
    </row>
    <row r="169" spans="1:12" x14ac:dyDescent="0.25">
      <c r="A169">
        <v>3</v>
      </c>
      <c r="B169">
        <v>1</v>
      </c>
      <c r="C169">
        <v>18</v>
      </c>
      <c r="D169">
        <v>6</v>
      </c>
      <c r="E169" t="b">
        <v>0</v>
      </c>
      <c r="F169" s="22" t="str">
        <f t="shared" si="9"/>
        <v/>
      </c>
      <c r="G169" s="23" t="s">
        <v>167</v>
      </c>
      <c r="H169" s="23" t="s">
        <v>178</v>
      </c>
      <c r="I169" s="23" t="s">
        <v>2</v>
      </c>
      <c r="J169" t="s">
        <v>102</v>
      </c>
      <c r="K169" s="22" t="e">
        <f t="shared" si="10"/>
        <v>#N/A</v>
      </c>
      <c r="L169" s="22" t="str">
        <f t="shared" si="11"/>
        <v/>
      </c>
    </row>
    <row r="170" spans="1:12" x14ac:dyDescent="0.25">
      <c r="A170">
        <v>3</v>
      </c>
      <c r="B170">
        <v>1</v>
      </c>
      <c r="C170">
        <v>18</v>
      </c>
      <c r="D170">
        <v>7</v>
      </c>
      <c r="E170" t="b">
        <v>0</v>
      </c>
      <c r="F170" s="22" t="str">
        <f t="shared" si="9"/>
        <v/>
      </c>
      <c r="G170" s="23" t="s">
        <v>167</v>
      </c>
      <c r="H170" s="23" t="s">
        <v>179</v>
      </c>
      <c r="I170" s="23" t="s">
        <v>2</v>
      </c>
      <c r="J170" t="s">
        <v>103</v>
      </c>
      <c r="K170" s="22" t="e">
        <f t="shared" si="10"/>
        <v>#N/A</v>
      </c>
      <c r="L170" s="22" t="str">
        <f t="shared" si="11"/>
        <v/>
      </c>
    </row>
    <row r="171" spans="1:12" x14ac:dyDescent="0.25">
      <c r="A171">
        <v>3</v>
      </c>
      <c r="B171">
        <v>1</v>
      </c>
      <c r="C171">
        <v>18</v>
      </c>
      <c r="D171">
        <v>8</v>
      </c>
      <c r="E171" t="b">
        <v>0</v>
      </c>
      <c r="F171" s="22" t="str">
        <f t="shared" si="9"/>
        <v/>
      </c>
      <c r="G171" s="23" t="s">
        <v>167</v>
      </c>
      <c r="H171" s="23" t="s">
        <v>180</v>
      </c>
      <c r="I171" s="23" t="s">
        <v>2</v>
      </c>
      <c r="J171" t="s">
        <v>7</v>
      </c>
      <c r="K171" s="22" t="e">
        <f t="shared" si="10"/>
        <v>#N/A</v>
      </c>
      <c r="L171" s="22" t="str">
        <f t="shared" si="11"/>
        <v/>
      </c>
    </row>
    <row r="172" spans="1:12" x14ac:dyDescent="0.25">
      <c r="A172">
        <v>3</v>
      </c>
      <c r="B172">
        <v>1</v>
      </c>
      <c r="C172">
        <v>18</v>
      </c>
      <c r="D172">
        <v>9</v>
      </c>
      <c r="E172" t="b">
        <v>0</v>
      </c>
      <c r="F172" s="22" t="str">
        <f t="shared" si="9"/>
        <v/>
      </c>
      <c r="G172" s="23" t="s">
        <v>167</v>
      </c>
      <c r="H172" s="23" t="s">
        <v>181</v>
      </c>
      <c r="I172" s="23" t="s">
        <v>2</v>
      </c>
      <c r="J172" t="s">
        <v>104</v>
      </c>
      <c r="K172" s="22" t="e">
        <f t="shared" si="10"/>
        <v>#N/A</v>
      </c>
      <c r="L172" s="22" t="str">
        <f t="shared" si="11"/>
        <v/>
      </c>
    </row>
    <row r="173" spans="1:12" x14ac:dyDescent="0.25">
      <c r="A173">
        <v>3</v>
      </c>
      <c r="B173">
        <v>1</v>
      </c>
      <c r="C173">
        <v>18</v>
      </c>
      <c r="D173">
        <v>10</v>
      </c>
      <c r="E173" t="b">
        <v>0</v>
      </c>
      <c r="F173" s="22" t="str">
        <f t="shared" si="9"/>
        <v/>
      </c>
      <c r="G173" s="23" t="s">
        <v>167</v>
      </c>
      <c r="H173" s="23" t="s">
        <v>182</v>
      </c>
      <c r="I173" s="23" t="s">
        <v>2</v>
      </c>
      <c r="J173" t="s">
        <v>8</v>
      </c>
      <c r="K173" s="22" t="e">
        <f t="shared" si="10"/>
        <v>#N/A</v>
      </c>
      <c r="L173" s="22" t="str">
        <f t="shared" si="11"/>
        <v/>
      </c>
    </row>
    <row r="174" spans="1:12" x14ac:dyDescent="0.25">
      <c r="A174">
        <v>3</v>
      </c>
      <c r="B174">
        <v>1</v>
      </c>
      <c r="C174">
        <v>18</v>
      </c>
      <c r="D174">
        <v>11</v>
      </c>
      <c r="E174" t="b">
        <v>0</v>
      </c>
      <c r="F174" s="22" t="str">
        <f t="shared" si="9"/>
        <v/>
      </c>
      <c r="G174" s="23" t="s">
        <v>167</v>
      </c>
      <c r="H174" s="23" t="s">
        <v>183</v>
      </c>
      <c r="I174" s="23" t="s">
        <v>2</v>
      </c>
      <c r="J174" t="s">
        <v>105</v>
      </c>
      <c r="K174" s="22" t="e">
        <f t="shared" si="10"/>
        <v>#N/A</v>
      </c>
      <c r="L174" s="22" t="str">
        <f t="shared" si="11"/>
        <v/>
      </c>
    </row>
    <row r="175" spans="1:12" x14ac:dyDescent="0.25">
      <c r="A175">
        <v>3</v>
      </c>
      <c r="B175">
        <v>1</v>
      </c>
      <c r="C175">
        <v>18</v>
      </c>
      <c r="D175">
        <v>12</v>
      </c>
      <c r="E175" t="b">
        <v>0</v>
      </c>
      <c r="F175" s="22" t="str">
        <f t="shared" si="9"/>
        <v/>
      </c>
      <c r="G175" s="23" t="s">
        <v>167</v>
      </c>
      <c r="H175" s="23" t="s">
        <v>184</v>
      </c>
      <c r="I175" s="23" t="s">
        <v>2</v>
      </c>
      <c r="J175" t="s">
        <v>106</v>
      </c>
      <c r="K175" s="22" t="e">
        <f t="shared" si="10"/>
        <v>#N/A</v>
      </c>
      <c r="L175" s="22" t="str">
        <f t="shared" si="11"/>
        <v/>
      </c>
    </row>
    <row r="176" spans="1:12" x14ac:dyDescent="0.25">
      <c r="A176">
        <v>3</v>
      </c>
      <c r="B176">
        <v>1</v>
      </c>
      <c r="C176">
        <v>18</v>
      </c>
      <c r="D176">
        <v>13</v>
      </c>
      <c r="E176" t="b">
        <v>0</v>
      </c>
      <c r="F176" s="22" t="str">
        <f t="shared" si="9"/>
        <v/>
      </c>
      <c r="G176" s="23" t="s">
        <v>167</v>
      </c>
      <c r="H176" s="23" t="s">
        <v>185</v>
      </c>
      <c r="I176" s="23" t="s">
        <v>2</v>
      </c>
      <c r="J176" t="s">
        <v>107</v>
      </c>
      <c r="K176" s="22" t="e">
        <f t="shared" si="10"/>
        <v>#N/A</v>
      </c>
      <c r="L176" s="22" t="str">
        <f t="shared" si="11"/>
        <v/>
      </c>
    </row>
    <row r="177" spans="1:12" x14ac:dyDescent="0.25">
      <c r="A177">
        <v>3</v>
      </c>
      <c r="B177">
        <v>1</v>
      </c>
      <c r="C177">
        <v>18</v>
      </c>
      <c r="D177">
        <v>14</v>
      </c>
      <c r="E177" t="b">
        <v>0</v>
      </c>
      <c r="F177" s="22" t="str">
        <f t="shared" si="9"/>
        <v/>
      </c>
      <c r="G177" s="23" t="s">
        <v>167</v>
      </c>
      <c r="H177" s="23" t="s">
        <v>186</v>
      </c>
      <c r="I177" s="23" t="s">
        <v>2</v>
      </c>
      <c r="J177" t="s">
        <v>108</v>
      </c>
      <c r="K177" s="22" t="e">
        <f t="shared" si="10"/>
        <v>#N/A</v>
      </c>
      <c r="L177" s="22" t="str">
        <f t="shared" si="11"/>
        <v/>
      </c>
    </row>
    <row r="178" spans="1:12" x14ac:dyDescent="0.25">
      <c r="A178">
        <v>3</v>
      </c>
      <c r="B178">
        <v>1</v>
      </c>
      <c r="C178">
        <v>18</v>
      </c>
      <c r="D178">
        <v>15</v>
      </c>
      <c r="E178" t="b">
        <v>0</v>
      </c>
      <c r="F178" s="22" t="str">
        <f t="shared" si="9"/>
        <v/>
      </c>
      <c r="G178" s="23" t="s">
        <v>167</v>
      </c>
      <c r="H178" s="23" t="s">
        <v>187</v>
      </c>
      <c r="I178" s="23" t="s">
        <v>2</v>
      </c>
      <c r="J178" t="s">
        <v>109</v>
      </c>
      <c r="K178" s="22" t="e">
        <f t="shared" si="10"/>
        <v>#N/A</v>
      </c>
      <c r="L178" s="22" t="str">
        <f t="shared" si="11"/>
        <v/>
      </c>
    </row>
    <row r="179" spans="1:12" x14ac:dyDescent="0.25">
      <c r="A179">
        <v>3</v>
      </c>
      <c r="B179">
        <v>1</v>
      </c>
      <c r="C179">
        <v>18</v>
      </c>
      <c r="D179">
        <v>16</v>
      </c>
      <c r="E179" t="b">
        <v>0</v>
      </c>
      <c r="F179" s="22" t="str">
        <f t="shared" si="9"/>
        <v/>
      </c>
      <c r="G179" s="23" t="s">
        <v>167</v>
      </c>
      <c r="H179" s="23" t="s">
        <v>188</v>
      </c>
      <c r="I179" s="23" t="s">
        <v>2</v>
      </c>
      <c r="J179" t="s">
        <v>110</v>
      </c>
      <c r="K179" s="22" t="e">
        <f t="shared" si="10"/>
        <v>#N/A</v>
      </c>
      <c r="L179" s="22" t="str">
        <f t="shared" si="11"/>
        <v/>
      </c>
    </row>
    <row r="180" spans="1:12" x14ac:dyDescent="0.25">
      <c r="A180">
        <v>3</v>
      </c>
      <c r="B180">
        <v>1</v>
      </c>
      <c r="C180">
        <v>18</v>
      </c>
      <c r="D180">
        <v>17</v>
      </c>
      <c r="E180" t="b">
        <v>0</v>
      </c>
      <c r="F180" s="22" t="str">
        <f t="shared" si="9"/>
        <v/>
      </c>
      <c r="G180" s="23" t="s">
        <v>167</v>
      </c>
      <c r="H180" s="23" t="s">
        <v>189</v>
      </c>
      <c r="I180" s="23" t="s">
        <v>2</v>
      </c>
      <c r="J180" t="s">
        <v>23</v>
      </c>
      <c r="K180" s="22" t="e">
        <f t="shared" si="10"/>
        <v>#N/A</v>
      </c>
      <c r="L180" s="22" t="str">
        <f t="shared" si="11"/>
        <v/>
      </c>
    </row>
    <row r="181" spans="1:12" x14ac:dyDescent="0.25">
      <c r="A181">
        <v>3</v>
      </c>
      <c r="B181">
        <v>1</v>
      </c>
      <c r="C181">
        <v>18</v>
      </c>
      <c r="D181">
        <v>18</v>
      </c>
      <c r="E181" t="b">
        <v>1</v>
      </c>
      <c r="F181" s="22" t="str">
        <f t="shared" si="9"/>
        <v/>
      </c>
      <c r="G181" s="23" t="s">
        <v>167</v>
      </c>
      <c r="H181" s="23" t="s">
        <v>190</v>
      </c>
      <c r="I181" s="23" t="s">
        <v>2</v>
      </c>
      <c r="J181" t="s">
        <v>24</v>
      </c>
      <c r="K181" s="22" t="e">
        <f t="shared" si="10"/>
        <v>#N/A</v>
      </c>
      <c r="L181" s="22" t="str">
        <f t="shared" si="11"/>
        <v/>
      </c>
    </row>
    <row r="182" spans="1:12" x14ac:dyDescent="0.25">
      <c r="A182">
        <v>3</v>
      </c>
      <c r="B182">
        <v>2</v>
      </c>
      <c r="C182">
        <v>16</v>
      </c>
      <c r="D182">
        <v>1</v>
      </c>
      <c r="E182" t="b">
        <v>0</v>
      </c>
      <c r="F182" s="22" t="str">
        <f t="shared" si="9"/>
        <v/>
      </c>
      <c r="G182" s="23" t="s">
        <v>165</v>
      </c>
      <c r="H182" s="23" t="s">
        <v>191</v>
      </c>
      <c r="I182" s="23" t="s">
        <v>9</v>
      </c>
      <c r="J182" t="s">
        <v>10</v>
      </c>
      <c r="K182" s="22" t="e">
        <f t="shared" si="10"/>
        <v>#N/A</v>
      </c>
      <c r="L182" s="22" t="str">
        <f t="shared" si="11"/>
        <v/>
      </c>
    </row>
    <row r="183" spans="1:12" x14ac:dyDescent="0.25">
      <c r="A183">
        <v>3</v>
      </c>
      <c r="B183">
        <v>2</v>
      </c>
      <c r="C183">
        <v>16</v>
      </c>
      <c r="D183">
        <v>2</v>
      </c>
      <c r="E183" t="b">
        <v>0</v>
      </c>
      <c r="F183" s="22" t="str">
        <f t="shared" si="9"/>
        <v/>
      </c>
      <c r="G183" s="23" t="s">
        <v>165</v>
      </c>
      <c r="H183" s="23" t="s">
        <v>192</v>
      </c>
      <c r="I183" s="23" t="s">
        <v>9</v>
      </c>
      <c r="J183" t="s">
        <v>11</v>
      </c>
      <c r="K183" s="22" t="e">
        <f t="shared" si="10"/>
        <v>#N/A</v>
      </c>
      <c r="L183" s="22" t="str">
        <f t="shared" si="11"/>
        <v/>
      </c>
    </row>
    <row r="184" spans="1:12" x14ac:dyDescent="0.25">
      <c r="A184">
        <v>3</v>
      </c>
      <c r="B184">
        <v>2</v>
      </c>
      <c r="C184">
        <v>16</v>
      </c>
      <c r="D184">
        <v>3</v>
      </c>
      <c r="E184" t="b">
        <v>0</v>
      </c>
      <c r="F184" s="22" t="str">
        <f t="shared" si="9"/>
        <v/>
      </c>
      <c r="G184" s="23" t="s">
        <v>165</v>
      </c>
      <c r="H184" s="23" t="s">
        <v>193</v>
      </c>
      <c r="I184" s="23" t="s">
        <v>9</v>
      </c>
      <c r="J184" t="s">
        <v>12</v>
      </c>
      <c r="K184" s="22" t="e">
        <f t="shared" si="10"/>
        <v>#N/A</v>
      </c>
      <c r="L184" s="22" t="str">
        <f t="shared" si="11"/>
        <v/>
      </c>
    </row>
    <row r="185" spans="1:12" x14ac:dyDescent="0.25">
      <c r="A185">
        <v>3</v>
      </c>
      <c r="B185">
        <v>2</v>
      </c>
      <c r="C185">
        <v>16</v>
      </c>
      <c r="D185">
        <v>4</v>
      </c>
      <c r="E185" t="b">
        <v>0</v>
      </c>
      <c r="F185" s="22" t="str">
        <f t="shared" si="9"/>
        <v/>
      </c>
      <c r="G185" s="23" t="s">
        <v>165</v>
      </c>
      <c r="H185" s="23" t="s">
        <v>194</v>
      </c>
      <c r="I185" s="23" t="s">
        <v>9</v>
      </c>
      <c r="J185" t="s">
        <v>13</v>
      </c>
      <c r="K185" s="22" t="e">
        <f t="shared" si="10"/>
        <v>#N/A</v>
      </c>
      <c r="L185" s="22" t="str">
        <f t="shared" si="11"/>
        <v/>
      </c>
    </row>
    <row r="186" spans="1:12" x14ac:dyDescent="0.25">
      <c r="A186">
        <v>3</v>
      </c>
      <c r="B186">
        <v>2</v>
      </c>
      <c r="C186">
        <v>16</v>
      </c>
      <c r="D186">
        <v>5</v>
      </c>
      <c r="E186" t="b">
        <v>0</v>
      </c>
      <c r="F186" s="22" t="str">
        <f t="shared" si="9"/>
        <v/>
      </c>
      <c r="G186" s="23" t="s">
        <v>165</v>
      </c>
      <c r="H186" s="23" t="s">
        <v>195</v>
      </c>
      <c r="I186" s="23" t="s">
        <v>9</v>
      </c>
      <c r="J186" t="s">
        <v>14</v>
      </c>
      <c r="K186" s="22" t="e">
        <f t="shared" si="10"/>
        <v>#N/A</v>
      </c>
      <c r="L186" s="22" t="str">
        <f t="shared" si="11"/>
        <v/>
      </c>
    </row>
    <row r="187" spans="1:12" x14ac:dyDescent="0.25">
      <c r="A187">
        <v>3</v>
      </c>
      <c r="B187">
        <v>2</v>
      </c>
      <c r="C187">
        <v>16</v>
      </c>
      <c r="D187">
        <v>6</v>
      </c>
      <c r="E187" t="b">
        <v>0</v>
      </c>
      <c r="F187" s="22" t="str">
        <f t="shared" si="9"/>
        <v/>
      </c>
      <c r="G187" s="23" t="s">
        <v>165</v>
      </c>
      <c r="H187" s="23" t="s">
        <v>196</v>
      </c>
      <c r="I187" s="23" t="s">
        <v>9</v>
      </c>
      <c r="J187" t="s">
        <v>15</v>
      </c>
      <c r="K187" s="22" t="e">
        <f t="shared" si="10"/>
        <v>#N/A</v>
      </c>
      <c r="L187" s="22" t="str">
        <f t="shared" si="11"/>
        <v/>
      </c>
    </row>
    <row r="188" spans="1:12" x14ac:dyDescent="0.25">
      <c r="A188">
        <v>3</v>
      </c>
      <c r="B188">
        <v>2</v>
      </c>
      <c r="C188">
        <v>16</v>
      </c>
      <c r="D188">
        <v>7</v>
      </c>
      <c r="E188" t="b">
        <v>0</v>
      </c>
      <c r="F188" s="22" t="str">
        <f t="shared" si="9"/>
        <v/>
      </c>
      <c r="G188" s="23" t="s">
        <v>165</v>
      </c>
      <c r="H188" s="23" t="s">
        <v>197</v>
      </c>
      <c r="I188" s="23" t="s">
        <v>9</v>
      </c>
      <c r="J188" t="s">
        <v>16</v>
      </c>
      <c r="K188" s="22" t="e">
        <f t="shared" si="10"/>
        <v>#N/A</v>
      </c>
      <c r="L188" s="22" t="str">
        <f t="shared" si="11"/>
        <v/>
      </c>
    </row>
    <row r="189" spans="1:12" x14ac:dyDescent="0.25">
      <c r="A189">
        <v>3</v>
      </c>
      <c r="B189">
        <v>2</v>
      </c>
      <c r="C189">
        <v>16</v>
      </c>
      <c r="D189">
        <v>8</v>
      </c>
      <c r="E189" t="b">
        <v>0</v>
      </c>
      <c r="F189" s="22" t="str">
        <f t="shared" si="9"/>
        <v/>
      </c>
      <c r="G189" s="23" t="s">
        <v>165</v>
      </c>
      <c r="H189" s="23" t="s">
        <v>198</v>
      </c>
      <c r="I189" s="23" t="s">
        <v>9</v>
      </c>
      <c r="J189" t="s">
        <v>17</v>
      </c>
      <c r="K189" s="22" t="e">
        <f t="shared" si="10"/>
        <v>#N/A</v>
      </c>
      <c r="L189" s="22" t="str">
        <f t="shared" si="11"/>
        <v/>
      </c>
    </row>
    <row r="190" spans="1:12" x14ac:dyDescent="0.25">
      <c r="A190">
        <v>3</v>
      </c>
      <c r="B190">
        <v>2</v>
      </c>
      <c r="C190">
        <v>16</v>
      </c>
      <c r="D190">
        <v>9</v>
      </c>
      <c r="E190" t="b">
        <v>0</v>
      </c>
      <c r="F190" s="22" t="str">
        <f t="shared" si="9"/>
        <v/>
      </c>
      <c r="G190" s="23" t="s">
        <v>165</v>
      </c>
      <c r="H190" s="23" t="s">
        <v>199</v>
      </c>
      <c r="I190" s="23" t="s">
        <v>9</v>
      </c>
      <c r="J190" t="s">
        <v>18</v>
      </c>
      <c r="K190" s="22" t="e">
        <f t="shared" si="10"/>
        <v>#N/A</v>
      </c>
      <c r="L190" s="22" t="str">
        <f t="shared" si="11"/>
        <v/>
      </c>
    </row>
    <row r="191" spans="1:12" x14ac:dyDescent="0.25">
      <c r="A191">
        <v>3</v>
      </c>
      <c r="B191">
        <v>2</v>
      </c>
      <c r="C191">
        <v>16</v>
      </c>
      <c r="D191">
        <v>10</v>
      </c>
      <c r="E191" t="b">
        <v>0</v>
      </c>
      <c r="F191" s="22" t="str">
        <f t="shared" si="9"/>
        <v/>
      </c>
      <c r="G191" s="23" t="s">
        <v>165</v>
      </c>
      <c r="H191" s="23" t="s">
        <v>200</v>
      </c>
      <c r="I191" s="23" t="s">
        <v>9</v>
      </c>
      <c r="J191" t="s">
        <v>19</v>
      </c>
      <c r="K191" s="22" t="e">
        <f t="shared" si="10"/>
        <v>#N/A</v>
      </c>
      <c r="L191" s="22" t="str">
        <f t="shared" si="11"/>
        <v/>
      </c>
    </row>
    <row r="192" spans="1:12" x14ac:dyDescent="0.25">
      <c r="A192">
        <v>3</v>
      </c>
      <c r="B192">
        <v>2</v>
      </c>
      <c r="C192">
        <v>16</v>
      </c>
      <c r="D192">
        <v>11</v>
      </c>
      <c r="E192" t="b">
        <v>0</v>
      </c>
      <c r="F192" s="22" t="str">
        <f t="shared" si="9"/>
        <v/>
      </c>
      <c r="G192" s="23" t="s">
        <v>165</v>
      </c>
      <c r="H192" s="23" t="s">
        <v>201</v>
      </c>
      <c r="I192" s="23" t="s">
        <v>9</v>
      </c>
      <c r="J192" t="s">
        <v>20</v>
      </c>
      <c r="K192" s="22" t="e">
        <f t="shared" si="10"/>
        <v>#N/A</v>
      </c>
      <c r="L192" s="22" t="str">
        <f t="shared" si="11"/>
        <v/>
      </c>
    </row>
    <row r="193" spans="1:12" x14ac:dyDescent="0.25">
      <c r="A193">
        <v>3</v>
      </c>
      <c r="B193">
        <v>2</v>
      </c>
      <c r="C193">
        <v>16</v>
      </c>
      <c r="D193">
        <v>12</v>
      </c>
      <c r="E193" t="b">
        <v>0</v>
      </c>
      <c r="F193" s="22" t="str">
        <f t="shared" si="9"/>
        <v/>
      </c>
      <c r="G193" s="23" t="s">
        <v>165</v>
      </c>
      <c r="H193" s="23" t="s">
        <v>202</v>
      </c>
      <c r="I193" s="23" t="s">
        <v>9</v>
      </c>
      <c r="J193" t="s">
        <v>21</v>
      </c>
      <c r="K193" s="22" t="e">
        <f t="shared" si="10"/>
        <v>#N/A</v>
      </c>
      <c r="L193" s="22" t="str">
        <f t="shared" si="11"/>
        <v/>
      </c>
    </row>
    <row r="194" spans="1:12" x14ac:dyDescent="0.25">
      <c r="A194">
        <v>3</v>
      </c>
      <c r="B194">
        <v>2</v>
      </c>
      <c r="C194">
        <v>16</v>
      </c>
      <c r="D194">
        <v>13</v>
      </c>
      <c r="E194" t="b">
        <v>0</v>
      </c>
      <c r="F194" s="22" t="str">
        <f t="shared" si="9"/>
        <v/>
      </c>
      <c r="G194" s="23" t="s">
        <v>165</v>
      </c>
      <c r="H194" s="23" t="s">
        <v>203</v>
      </c>
      <c r="I194" s="23" t="s">
        <v>9</v>
      </c>
      <c r="J194" t="s">
        <v>22</v>
      </c>
      <c r="K194" s="22" t="str">
        <f t="shared" si="10"/>
        <v/>
      </c>
      <c r="L194" s="22" t="str">
        <f t="shared" si="11"/>
        <v/>
      </c>
    </row>
    <row r="195" spans="1:12" x14ac:dyDescent="0.25">
      <c r="A195">
        <v>3</v>
      </c>
      <c r="B195">
        <v>2</v>
      </c>
      <c r="C195">
        <v>16</v>
      </c>
      <c r="D195">
        <v>14</v>
      </c>
      <c r="E195" t="b">
        <v>0</v>
      </c>
      <c r="F195" s="22" t="str">
        <f t="shared" si="9"/>
        <v/>
      </c>
      <c r="G195" s="23" t="s">
        <v>165</v>
      </c>
      <c r="H195" s="23" t="s">
        <v>204</v>
      </c>
      <c r="I195" s="23" t="s">
        <v>9</v>
      </c>
      <c r="J195" t="s">
        <v>111</v>
      </c>
      <c r="K195" s="22" t="e">
        <f t="shared" si="10"/>
        <v>#N/A</v>
      </c>
      <c r="L195" s="22" t="str">
        <f t="shared" si="11"/>
        <v/>
      </c>
    </row>
    <row r="196" spans="1:12" x14ac:dyDescent="0.25">
      <c r="A196">
        <v>3</v>
      </c>
      <c r="B196">
        <v>2</v>
      </c>
      <c r="C196">
        <v>16</v>
      </c>
      <c r="D196">
        <v>15</v>
      </c>
      <c r="E196" t="b">
        <v>0</v>
      </c>
      <c r="F196" s="22" t="str">
        <f t="shared" ref="F196:F259" si="12">VLOOKUP("Assessment #"&amp;$A196, DateMeta, MATCH("DisplDate", DateMeta_H, 0), 0)</f>
        <v/>
      </c>
      <c r="G196" s="23" t="s">
        <v>165</v>
      </c>
      <c r="H196" s="23" t="s">
        <v>205</v>
      </c>
      <c r="I196" s="23" t="s">
        <v>9</v>
      </c>
      <c r="J196" t="s">
        <v>112</v>
      </c>
      <c r="K196" s="22" t="e">
        <f t="shared" ref="K196:K259" si="13">IF(INDEX(Assess, MATCH($J196, ItemLong, 0), MATCH("Assessment #"&amp;$A196, Assess_H, 0))="", "", INDEX(Assess, MATCH($J196, ItemLong, 0), MATCH("Assessment #"&amp;$A196, Assess_H, 0)))</f>
        <v>#N/A</v>
      </c>
      <c r="L196" s="22" t="str">
        <f t="shared" si="11"/>
        <v/>
      </c>
    </row>
    <row r="197" spans="1:12" x14ac:dyDescent="0.25">
      <c r="A197">
        <v>3</v>
      </c>
      <c r="B197">
        <v>2</v>
      </c>
      <c r="C197">
        <v>16</v>
      </c>
      <c r="D197">
        <v>16</v>
      </c>
      <c r="E197" t="b">
        <v>1</v>
      </c>
      <c r="F197" s="22" t="str">
        <f t="shared" si="12"/>
        <v/>
      </c>
      <c r="G197" s="23" t="s">
        <v>165</v>
      </c>
      <c r="H197" s="23" t="s">
        <v>206</v>
      </c>
      <c r="I197" s="23" t="s">
        <v>9</v>
      </c>
      <c r="J197" t="s">
        <v>113</v>
      </c>
      <c r="K197" s="22" t="e">
        <f t="shared" si="13"/>
        <v>#N/A</v>
      </c>
      <c r="L197" s="22" t="str">
        <f t="shared" ref="L197:L260" si="14">IF(ISNUMBER(K197), IF(K197&gt;=2, 1, 0), "")</f>
        <v/>
      </c>
    </row>
    <row r="198" spans="1:12" x14ac:dyDescent="0.25">
      <c r="A198">
        <v>3</v>
      </c>
      <c r="B198">
        <v>3</v>
      </c>
      <c r="C198">
        <v>17</v>
      </c>
      <c r="D198">
        <v>1</v>
      </c>
      <c r="E198" t="b">
        <v>0</v>
      </c>
      <c r="F198" s="22" t="str">
        <f t="shared" si="12"/>
        <v/>
      </c>
      <c r="G198" s="23" t="s">
        <v>168</v>
      </c>
      <c r="H198" s="23" t="s">
        <v>207</v>
      </c>
      <c r="I198" s="23" t="s">
        <v>37</v>
      </c>
      <c r="J198" t="s">
        <v>114</v>
      </c>
      <c r="K198" s="22" t="e">
        <f t="shared" si="13"/>
        <v>#N/A</v>
      </c>
      <c r="L198" s="22" t="str">
        <f t="shared" si="14"/>
        <v/>
      </c>
    </row>
    <row r="199" spans="1:12" x14ac:dyDescent="0.25">
      <c r="A199">
        <v>3</v>
      </c>
      <c r="B199">
        <v>3</v>
      </c>
      <c r="C199">
        <v>17</v>
      </c>
      <c r="D199">
        <v>2</v>
      </c>
      <c r="E199" t="b">
        <v>0</v>
      </c>
      <c r="F199" s="22" t="str">
        <f t="shared" si="12"/>
        <v/>
      </c>
      <c r="G199" s="23" t="s">
        <v>168</v>
      </c>
      <c r="H199" s="23" t="s">
        <v>208</v>
      </c>
      <c r="I199" s="23" t="s">
        <v>37</v>
      </c>
      <c r="J199" t="s">
        <v>39</v>
      </c>
      <c r="K199" s="22" t="e">
        <f t="shared" si="13"/>
        <v>#N/A</v>
      </c>
      <c r="L199" s="22" t="str">
        <f t="shared" si="14"/>
        <v/>
      </c>
    </row>
    <row r="200" spans="1:12" x14ac:dyDescent="0.25">
      <c r="A200">
        <v>3</v>
      </c>
      <c r="B200">
        <v>3</v>
      </c>
      <c r="C200">
        <v>17</v>
      </c>
      <c r="D200">
        <v>3</v>
      </c>
      <c r="E200" t="b">
        <v>0</v>
      </c>
      <c r="F200" s="22" t="str">
        <f t="shared" si="12"/>
        <v/>
      </c>
      <c r="G200" s="23" t="s">
        <v>168</v>
      </c>
      <c r="H200" s="23" t="s">
        <v>209</v>
      </c>
      <c r="I200" s="23" t="s">
        <v>37</v>
      </c>
      <c r="J200" t="s">
        <v>40</v>
      </c>
      <c r="K200" s="22" t="e">
        <f t="shared" si="13"/>
        <v>#N/A</v>
      </c>
      <c r="L200" s="22" t="str">
        <f t="shared" si="14"/>
        <v/>
      </c>
    </row>
    <row r="201" spans="1:12" x14ac:dyDescent="0.25">
      <c r="A201">
        <v>3</v>
      </c>
      <c r="B201">
        <v>3</v>
      </c>
      <c r="C201">
        <v>17</v>
      </c>
      <c r="D201">
        <v>4</v>
      </c>
      <c r="E201" t="b">
        <v>0</v>
      </c>
      <c r="F201" s="22" t="str">
        <f t="shared" si="12"/>
        <v/>
      </c>
      <c r="G201" s="23" t="s">
        <v>168</v>
      </c>
      <c r="H201" s="23" t="s">
        <v>210</v>
      </c>
      <c r="I201" s="23" t="s">
        <v>37</v>
      </c>
      <c r="J201" t="s">
        <v>41</v>
      </c>
      <c r="K201" s="22" t="str">
        <f t="shared" si="13"/>
        <v/>
      </c>
      <c r="L201" s="22" t="str">
        <f t="shared" si="14"/>
        <v/>
      </c>
    </row>
    <row r="202" spans="1:12" x14ac:dyDescent="0.25">
      <c r="A202">
        <v>3</v>
      </c>
      <c r="B202">
        <v>3</v>
      </c>
      <c r="C202">
        <v>17</v>
      </c>
      <c r="D202">
        <v>5</v>
      </c>
      <c r="E202" t="b">
        <v>0</v>
      </c>
      <c r="F202" s="22" t="str">
        <f t="shared" si="12"/>
        <v/>
      </c>
      <c r="G202" s="23" t="s">
        <v>168</v>
      </c>
      <c r="H202" s="23" t="s">
        <v>211</v>
      </c>
      <c r="I202" s="23" t="s">
        <v>37</v>
      </c>
      <c r="J202" t="s">
        <v>38</v>
      </c>
      <c r="K202" s="22" t="str">
        <f t="shared" si="13"/>
        <v/>
      </c>
      <c r="L202" s="22" t="str">
        <f t="shared" si="14"/>
        <v/>
      </c>
    </row>
    <row r="203" spans="1:12" x14ac:dyDescent="0.25">
      <c r="A203">
        <v>3</v>
      </c>
      <c r="B203">
        <v>3</v>
      </c>
      <c r="C203">
        <v>17</v>
      </c>
      <c r="D203">
        <v>6</v>
      </c>
      <c r="E203" t="b">
        <v>0</v>
      </c>
      <c r="F203" s="22" t="str">
        <f t="shared" si="12"/>
        <v/>
      </c>
      <c r="G203" s="23" t="s">
        <v>168</v>
      </c>
      <c r="H203" s="23" t="s">
        <v>212</v>
      </c>
      <c r="I203" s="23" t="s">
        <v>37</v>
      </c>
      <c r="J203" t="s">
        <v>115</v>
      </c>
      <c r="K203" s="22" t="str">
        <f t="shared" si="13"/>
        <v/>
      </c>
      <c r="L203" s="22" t="str">
        <f t="shared" si="14"/>
        <v/>
      </c>
    </row>
    <row r="204" spans="1:12" x14ac:dyDescent="0.25">
      <c r="A204">
        <v>3</v>
      </c>
      <c r="B204">
        <v>3</v>
      </c>
      <c r="C204">
        <v>17</v>
      </c>
      <c r="D204">
        <v>7</v>
      </c>
      <c r="E204" t="b">
        <v>0</v>
      </c>
      <c r="F204" s="22" t="str">
        <f t="shared" si="12"/>
        <v/>
      </c>
      <c r="G204" s="23" t="s">
        <v>168</v>
      </c>
      <c r="H204" s="23" t="s">
        <v>213</v>
      </c>
      <c r="I204" s="23" t="s">
        <v>37</v>
      </c>
      <c r="J204" t="s">
        <v>116</v>
      </c>
      <c r="K204" s="22" t="str">
        <f t="shared" si="13"/>
        <v/>
      </c>
      <c r="L204" s="22" t="str">
        <f t="shared" si="14"/>
        <v/>
      </c>
    </row>
    <row r="205" spans="1:12" x14ac:dyDescent="0.25">
      <c r="A205">
        <v>3</v>
      </c>
      <c r="B205">
        <v>3</v>
      </c>
      <c r="C205">
        <v>17</v>
      </c>
      <c r="D205">
        <v>8</v>
      </c>
      <c r="E205" t="b">
        <v>0</v>
      </c>
      <c r="F205" s="22" t="str">
        <f t="shared" si="12"/>
        <v/>
      </c>
      <c r="G205" s="23" t="s">
        <v>168</v>
      </c>
      <c r="H205" s="23" t="s">
        <v>214</v>
      </c>
      <c r="I205" s="23" t="s">
        <v>37</v>
      </c>
      <c r="J205" t="s">
        <v>126</v>
      </c>
      <c r="K205" s="22" t="e">
        <f t="shared" si="13"/>
        <v>#N/A</v>
      </c>
      <c r="L205" s="22" t="str">
        <f t="shared" si="14"/>
        <v/>
      </c>
    </row>
    <row r="206" spans="1:12" x14ac:dyDescent="0.25">
      <c r="A206">
        <v>3</v>
      </c>
      <c r="B206">
        <v>3</v>
      </c>
      <c r="C206">
        <v>17</v>
      </c>
      <c r="D206">
        <v>9</v>
      </c>
      <c r="E206" t="b">
        <v>0</v>
      </c>
      <c r="F206" s="22" t="str">
        <f t="shared" si="12"/>
        <v/>
      </c>
      <c r="G206" s="23" t="s">
        <v>168</v>
      </c>
      <c r="H206" s="23" t="s">
        <v>215</v>
      </c>
      <c r="I206" s="23" t="s">
        <v>37</v>
      </c>
      <c r="J206" t="s">
        <v>45</v>
      </c>
      <c r="K206" s="22" t="str">
        <f t="shared" si="13"/>
        <v/>
      </c>
      <c r="L206" s="22" t="str">
        <f t="shared" si="14"/>
        <v/>
      </c>
    </row>
    <row r="207" spans="1:12" x14ac:dyDescent="0.25">
      <c r="A207">
        <v>3</v>
      </c>
      <c r="B207">
        <v>3</v>
      </c>
      <c r="C207">
        <v>17</v>
      </c>
      <c r="D207">
        <v>10</v>
      </c>
      <c r="E207" t="b">
        <v>0</v>
      </c>
      <c r="F207" s="22" t="str">
        <f t="shared" si="12"/>
        <v/>
      </c>
      <c r="G207" s="23" t="s">
        <v>168</v>
      </c>
      <c r="H207" s="23" t="s">
        <v>216</v>
      </c>
      <c r="I207" s="23" t="s">
        <v>37</v>
      </c>
      <c r="J207" t="s">
        <v>117</v>
      </c>
      <c r="K207" s="22" t="e">
        <f t="shared" si="13"/>
        <v>#N/A</v>
      </c>
      <c r="L207" s="22" t="str">
        <f t="shared" si="14"/>
        <v/>
      </c>
    </row>
    <row r="208" spans="1:12" x14ac:dyDescent="0.25">
      <c r="A208">
        <v>3</v>
      </c>
      <c r="B208">
        <v>3</v>
      </c>
      <c r="C208">
        <v>17</v>
      </c>
      <c r="D208">
        <v>11</v>
      </c>
      <c r="E208" t="b">
        <v>0</v>
      </c>
      <c r="F208" s="22" t="str">
        <f t="shared" si="12"/>
        <v/>
      </c>
      <c r="G208" s="23" t="s">
        <v>168</v>
      </c>
      <c r="H208" s="23" t="s">
        <v>217</v>
      </c>
      <c r="I208" s="23" t="s">
        <v>37</v>
      </c>
      <c r="J208" t="s">
        <v>118</v>
      </c>
      <c r="K208" s="22" t="str">
        <f t="shared" si="13"/>
        <v/>
      </c>
      <c r="L208" s="22" t="str">
        <f t="shared" si="14"/>
        <v/>
      </c>
    </row>
    <row r="209" spans="1:12" x14ac:dyDescent="0.25">
      <c r="A209">
        <v>3</v>
      </c>
      <c r="B209">
        <v>3</v>
      </c>
      <c r="C209">
        <v>17</v>
      </c>
      <c r="D209">
        <v>12</v>
      </c>
      <c r="E209" t="b">
        <v>0</v>
      </c>
      <c r="F209" s="22" t="str">
        <f t="shared" si="12"/>
        <v/>
      </c>
      <c r="G209" s="23" t="s">
        <v>168</v>
      </c>
      <c r="H209" s="23" t="s">
        <v>218</v>
      </c>
      <c r="I209" s="23" t="s">
        <v>37</v>
      </c>
      <c r="J209" t="s">
        <v>119</v>
      </c>
      <c r="K209" s="22" t="e">
        <f t="shared" si="13"/>
        <v>#N/A</v>
      </c>
      <c r="L209" s="22" t="str">
        <f t="shared" si="14"/>
        <v/>
      </c>
    </row>
    <row r="210" spans="1:12" x14ac:dyDescent="0.25">
      <c r="A210">
        <v>3</v>
      </c>
      <c r="B210">
        <v>3</v>
      </c>
      <c r="C210">
        <v>17</v>
      </c>
      <c r="D210">
        <v>13</v>
      </c>
      <c r="E210" t="b">
        <v>0</v>
      </c>
      <c r="F210" s="22" t="str">
        <f t="shared" si="12"/>
        <v/>
      </c>
      <c r="G210" s="23" t="s">
        <v>168</v>
      </c>
      <c r="H210" s="23" t="s">
        <v>219</v>
      </c>
      <c r="I210" s="23" t="s">
        <v>37</v>
      </c>
      <c r="J210" t="s">
        <v>127</v>
      </c>
      <c r="K210" s="22" t="e">
        <f t="shared" si="13"/>
        <v>#N/A</v>
      </c>
      <c r="L210" s="22" t="str">
        <f t="shared" si="14"/>
        <v/>
      </c>
    </row>
    <row r="211" spans="1:12" x14ac:dyDescent="0.25">
      <c r="A211">
        <v>3</v>
      </c>
      <c r="B211">
        <v>3</v>
      </c>
      <c r="C211">
        <v>17</v>
      </c>
      <c r="D211">
        <v>14</v>
      </c>
      <c r="E211" t="b">
        <v>0</v>
      </c>
      <c r="F211" s="22" t="str">
        <f t="shared" si="12"/>
        <v/>
      </c>
      <c r="G211" s="23" t="s">
        <v>168</v>
      </c>
      <c r="H211" s="23" t="s">
        <v>220</v>
      </c>
      <c r="I211" s="23" t="s">
        <v>37</v>
      </c>
      <c r="J211" t="s">
        <v>120</v>
      </c>
      <c r="K211" s="22" t="e">
        <f t="shared" si="13"/>
        <v>#N/A</v>
      </c>
      <c r="L211" s="22" t="str">
        <f t="shared" si="14"/>
        <v/>
      </c>
    </row>
    <row r="212" spans="1:12" x14ac:dyDescent="0.25">
      <c r="A212">
        <v>3</v>
      </c>
      <c r="B212">
        <v>3</v>
      </c>
      <c r="C212">
        <v>17</v>
      </c>
      <c r="D212">
        <v>15</v>
      </c>
      <c r="E212" t="b">
        <v>0</v>
      </c>
      <c r="F212" s="22" t="str">
        <f t="shared" si="12"/>
        <v/>
      </c>
      <c r="G212" s="23" t="s">
        <v>168</v>
      </c>
      <c r="H212" s="23" t="s">
        <v>221</v>
      </c>
      <c r="I212" s="23" t="s">
        <v>37</v>
      </c>
      <c r="J212" t="s">
        <v>42</v>
      </c>
      <c r="K212" s="22" t="str">
        <f t="shared" si="13"/>
        <v/>
      </c>
      <c r="L212" s="22" t="str">
        <f t="shared" si="14"/>
        <v/>
      </c>
    </row>
    <row r="213" spans="1:12" x14ac:dyDescent="0.25">
      <c r="A213">
        <v>3</v>
      </c>
      <c r="B213">
        <v>3</v>
      </c>
      <c r="C213">
        <v>17</v>
      </c>
      <c r="D213">
        <v>16</v>
      </c>
      <c r="E213" t="b">
        <v>0</v>
      </c>
      <c r="F213" s="22" t="str">
        <f t="shared" si="12"/>
        <v/>
      </c>
      <c r="G213" s="23" t="s">
        <v>168</v>
      </c>
      <c r="H213" s="23" t="s">
        <v>222</v>
      </c>
      <c r="I213" s="23" t="s">
        <v>37</v>
      </c>
      <c r="J213" t="s">
        <v>121</v>
      </c>
      <c r="K213" s="22" t="str">
        <f t="shared" si="13"/>
        <v/>
      </c>
      <c r="L213" s="22" t="str">
        <f t="shared" si="14"/>
        <v/>
      </c>
    </row>
    <row r="214" spans="1:12" x14ac:dyDescent="0.25">
      <c r="A214">
        <v>3</v>
      </c>
      <c r="B214">
        <v>3</v>
      </c>
      <c r="C214">
        <v>17</v>
      </c>
      <c r="D214">
        <v>17</v>
      </c>
      <c r="E214" t="b">
        <v>1</v>
      </c>
      <c r="F214" s="22" t="str">
        <f t="shared" si="12"/>
        <v/>
      </c>
      <c r="G214" s="23" t="s">
        <v>168</v>
      </c>
      <c r="H214" s="23" t="s">
        <v>223</v>
      </c>
      <c r="I214" s="23" t="s">
        <v>37</v>
      </c>
      <c r="J214" t="s">
        <v>44</v>
      </c>
      <c r="K214" s="22" t="e">
        <f t="shared" si="13"/>
        <v>#N/A</v>
      </c>
      <c r="L214" s="22" t="str">
        <f t="shared" si="14"/>
        <v/>
      </c>
    </row>
    <row r="215" spans="1:12" x14ac:dyDescent="0.25">
      <c r="A215">
        <v>3</v>
      </c>
      <c r="B215">
        <v>4</v>
      </c>
      <c r="C215">
        <v>9</v>
      </c>
      <c r="D215">
        <v>1</v>
      </c>
      <c r="E215" t="b">
        <v>0</v>
      </c>
      <c r="F215" s="22" t="str">
        <f t="shared" si="12"/>
        <v/>
      </c>
      <c r="G215" s="23" t="s">
        <v>169</v>
      </c>
      <c r="H215" s="23" t="s">
        <v>224</v>
      </c>
      <c r="I215" s="23" t="s">
        <v>25</v>
      </c>
      <c r="J215" t="s">
        <v>122</v>
      </c>
      <c r="K215" s="22" t="e">
        <f t="shared" si="13"/>
        <v>#N/A</v>
      </c>
      <c r="L215" s="22" t="str">
        <f t="shared" si="14"/>
        <v/>
      </c>
    </row>
    <row r="216" spans="1:12" x14ac:dyDescent="0.25">
      <c r="A216">
        <v>3</v>
      </c>
      <c r="B216">
        <v>4</v>
      </c>
      <c r="C216">
        <v>9</v>
      </c>
      <c r="D216">
        <v>2</v>
      </c>
      <c r="E216" t="b">
        <v>0</v>
      </c>
      <c r="F216" s="22" t="str">
        <f t="shared" si="12"/>
        <v/>
      </c>
      <c r="G216" s="23" t="s">
        <v>169</v>
      </c>
      <c r="H216" s="23" t="s">
        <v>225</v>
      </c>
      <c r="I216" s="23" t="s">
        <v>25</v>
      </c>
      <c r="J216" t="s">
        <v>26</v>
      </c>
      <c r="K216" s="22" t="e">
        <f t="shared" si="13"/>
        <v>#N/A</v>
      </c>
      <c r="L216" s="22" t="str">
        <f t="shared" si="14"/>
        <v/>
      </c>
    </row>
    <row r="217" spans="1:12" x14ac:dyDescent="0.25">
      <c r="A217">
        <v>3</v>
      </c>
      <c r="B217">
        <v>4</v>
      </c>
      <c r="C217">
        <v>9</v>
      </c>
      <c r="D217">
        <v>3</v>
      </c>
      <c r="E217" t="b">
        <v>0</v>
      </c>
      <c r="F217" s="22" t="str">
        <f t="shared" si="12"/>
        <v/>
      </c>
      <c r="G217" s="23" t="s">
        <v>169</v>
      </c>
      <c r="H217" s="23" t="s">
        <v>226</v>
      </c>
      <c r="I217" s="23" t="s">
        <v>25</v>
      </c>
      <c r="J217" t="s">
        <v>27</v>
      </c>
      <c r="K217" s="22" t="e">
        <f t="shared" si="13"/>
        <v>#N/A</v>
      </c>
      <c r="L217" s="22" t="str">
        <f t="shared" si="14"/>
        <v/>
      </c>
    </row>
    <row r="218" spans="1:12" x14ac:dyDescent="0.25">
      <c r="A218">
        <v>3</v>
      </c>
      <c r="B218">
        <v>4</v>
      </c>
      <c r="C218">
        <v>9</v>
      </c>
      <c r="D218">
        <v>4</v>
      </c>
      <c r="E218" t="b">
        <v>0</v>
      </c>
      <c r="F218" s="22" t="str">
        <f t="shared" si="12"/>
        <v/>
      </c>
      <c r="G218" s="23" t="s">
        <v>169</v>
      </c>
      <c r="H218" s="23" t="s">
        <v>227</v>
      </c>
      <c r="I218" s="23" t="s">
        <v>25</v>
      </c>
      <c r="J218" t="s">
        <v>28</v>
      </c>
      <c r="K218" s="22" t="e">
        <f t="shared" si="13"/>
        <v>#N/A</v>
      </c>
      <c r="L218" s="22" t="str">
        <f t="shared" si="14"/>
        <v/>
      </c>
    </row>
    <row r="219" spans="1:12" x14ac:dyDescent="0.25">
      <c r="A219">
        <v>3</v>
      </c>
      <c r="B219">
        <v>4</v>
      </c>
      <c r="C219">
        <v>9</v>
      </c>
      <c r="D219">
        <v>5</v>
      </c>
      <c r="E219" t="b">
        <v>0</v>
      </c>
      <c r="F219" s="22" t="str">
        <f t="shared" si="12"/>
        <v/>
      </c>
      <c r="G219" s="23" t="s">
        <v>169</v>
      </c>
      <c r="H219" s="23" t="s">
        <v>228</v>
      </c>
      <c r="I219" s="23" t="s">
        <v>25</v>
      </c>
      <c r="J219" t="s">
        <v>128</v>
      </c>
      <c r="K219" s="22" t="e">
        <f t="shared" si="13"/>
        <v>#N/A</v>
      </c>
      <c r="L219" s="22" t="str">
        <f t="shared" si="14"/>
        <v/>
      </c>
    </row>
    <row r="220" spans="1:12" x14ac:dyDescent="0.25">
      <c r="A220">
        <v>3</v>
      </c>
      <c r="B220">
        <v>4</v>
      </c>
      <c r="C220">
        <v>9</v>
      </c>
      <c r="D220">
        <v>6</v>
      </c>
      <c r="E220" t="b">
        <v>0</v>
      </c>
      <c r="F220" s="22" t="str">
        <f t="shared" si="12"/>
        <v/>
      </c>
      <c r="G220" s="23" t="s">
        <v>169</v>
      </c>
      <c r="H220" s="23" t="s">
        <v>229</v>
      </c>
      <c r="I220" s="23" t="s">
        <v>25</v>
      </c>
      <c r="J220" t="s">
        <v>29</v>
      </c>
      <c r="K220" s="22" t="e">
        <f t="shared" si="13"/>
        <v>#N/A</v>
      </c>
      <c r="L220" s="22" t="str">
        <f t="shared" si="14"/>
        <v/>
      </c>
    </row>
    <row r="221" spans="1:12" x14ac:dyDescent="0.25">
      <c r="A221">
        <v>3</v>
      </c>
      <c r="B221">
        <v>4</v>
      </c>
      <c r="C221">
        <v>9</v>
      </c>
      <c r="D221">
        <v>7</v>
      </c>
      <c r="E221" t="b">
        <v>0</v>
      </c>
      <c r="F221" s="22" t="str">
        <f t="shared" si="12"/>
        <v/>
      </c>
      <c r="G221" s="23" t="s">
        <v>169</v>
      </c>
      <c r="H221" s="23" t="s">
        <v>230</v>
      </c>
      <c r="I221" s="23" t="s">
        <v>25</v>
      </c>
      <c r="J221" t="s">
        <v>30</v>
      </c>
      <c r="K221" s="22" t="str">
        <f t="shared" si="13"/>
        <v/>
      </c>
      <c r="L221" s="22" t="str">
        <f t="shared" si="14"/>
        <v/>
      </c>
    </row>
    <row r="222" spans="1:12" x14ac:dyDescent="0.25">
      <c r="A222">
        <v>3</v>
      </c>
      <c r="B222">
        <v>4</v>
      </c>
      <c r="C222">
        <v>9</v>
      </c>
      <c r="D222">
        <v>8</v>
      </c>
      <c r="E222" t="b">
        <v>0</v>
      </c>
      <c r="F222" s="22" t="str">
        <f t="shared" si="12"/>
        <v/>
      </c>
      <c r="G222" s="23" t="s">
        <v>169</v>
      </c>
      <c r="H222" s="23" t="s">
        <v>231</v>
      </c>
      <c r="I222" s="23" t="s">
        <v>25</v>
      </c>
      <c r="J222" t="s">
        <v>31</v>
      </c>
      <c r="K222" s="22" t="e">
        <f t="shared" si="13"/>
        <v>#N/A</v>
      </c>
      <c r="L222" s="22" t="str">
        <f t="shared" si="14"/>
        <v/>
      </c>
    </row>
    <row r="223" spans="1:12" x14ac:dyDescent="0.25">
      <c r="A223">
        <v>3</v>
      </c>
      <c r="B223">
        <v>4</v>
      </c>
      <c r="C223">
        <v>9</v>
      </c>
      <c r="D223">
        <v>9</v>
      </c>
      <c r="E223" t="b">
        <v>1</v>
      </c>
      <c r="F223" s="22" t="str">
        <f t="shared" si="12"/>
        <v/>
      </c>
      <c r="G223" s="23" t="s">
        <v>169</v>
      </c>
      <c r="H223" s="23" t="s">
        <v>232</v>
      </c>
      <c r="I223" s="23" t="s">
        <v>25</v>
      </c>
      <c r="J223" t="s">
        <v>43</v>
      </c>
      <c r="K223" s="22" t="e">
        <f t="shared" si="13"/>
        <v>#N/A</v>
      </c>
      <c r="L223" s="22" t="str">
        <f t="shared" si="14"/>
        <v/>
      </c>
    </row>
    <row r="224" spans="1:12" x14ac:dyDescent="0.25">
      <c r="A224">
        <v>3</v>
      </c>
      <c r="B224">
        <v>5</v>
      </c>
      <c r="C224">
        <v>9</v>
      </c>
      <c r="D224">
        <v>1</v>
      </c>
      <c r="E224" t="b">
        <v>0</v>
      </c>
      <c r="F224" s="22" t="str">
        <f t="shared" si="12"/>
        <v/>
      </c>
      <c r="G224" s="23" t="s">
        <v>166</v>
      </c>
      <c r="H224" s="23" t="s">
        <v>233</v>
      </c>
      <c r="I224" s="23" t="s">
        <v>32</v>
      </c>
      <c r="J224" t="s">
        <v>33</v>
      </c>
      <c r="K224" s="22" t="e">
        <f t="shared" si="13"/>
        <v>#N/A</v>
      </c>
      <c r="L224" s="22" t="str">
        <f t="shared" si="14"/>
        <v/>
      </c>
    </row>
    <row r="225" spans="1:12" x14ac:dyDescent="0.25">
      <c r="A225">
        <v>3</v>
      </c>
      <c r="B225">
        <v>5</v>
      </c>
      <c r="C225">
        <v>9</v>
      </c>
      <c r="D225">
        <v>2</v>
      </c>
      <c r="E225" t="b">
        <v>0</v>
      </c>
      <c r="F225" s="22" t="str">
        <f t="shared" si="12"/>
        <v/>
      </c>
      <c r="G225" s="23" t="s">
        <v>166</v>
      </c>
      <c r="H225" s="23" t="s">
        <v>234</v>
      </c>
      <c r="I225" s="23" t="s">
        <v>32</v>
      </c>
      <c r="J225" t="s">
        <v>34</v>
      </c>
      <c r="K225" s="22" t="e">
        <f t="shared" si="13"/>
        <v>#N/A</v>
      </c>
      <c r="L225" s="22" t="str">
        <f t="shared" si="14"/>
        <v/>
      </c>
    </row>
    <row r="226" spans="1:12" x14ac:dyDescent="0.25">
      <c r="A226">
        <v>3</v>
      </c>
      <c r="B226">
        <v>5</v>
      </c>
      <c r="C226">
        <v>9</v>
      </c>
      <c r="D226">
        <v>3</v>
      </c>
      <c r="E226" t="b">
        <v>0</v>
      </c>
      <c r="F226" s="22" t="str">
        <f t="shared" si="12"/>
        <v/>
      </c>
      <c r="G226" s="23" t="s">
        <v>166</v>
      </c>
      <c r="H226" s="23" t="s">
        <v>235</v>
      </c>
      <c r="I226" s="23" t="s">
        <v>32</v>
      </c>
      <c r="J226" t="s">
        <v>35</v>
      </c>
      <c r="K226" s="22" t="e">
        <f t="shared" si="13"/>
        <v>#N/A</v>
      </c>
      <c r="L226" s="22" t="str">
        <f t="shared" si="14"/>
        <v/>
      </c>
    </row>
    <row r="227" spans="1:12" x14ac:dyDescent="0.25">
      <c r="A227">
        <v>3</v>
      </c>
      <c r="B227">
        <v>5</v>
      </c>
      <c r="C227">
        <v>9</v>
      </c>
      <c r="D227">
        <v>4</v>
      </c>
      <c r="E227" t="b">
        <v>0</v>
      </c>
      <c r="F227" s="22" t="str">
        <f t="shared" si="12"/>
        <v/>
      </c>
      <c r="G227" s="23" t="s">
        <v>166</v>
      </c>
      <c r="H227" s="23" t="s">
        <v>236</v>
      </c>
      <c r="I227" s="23" t="s">
        <v>32</v>
      </c>
      <c r="J227" t="s">
        <v>123</v>
      </c>
      <c r="K227" s="22" t="e">
        <f t="shared" si="13"/>
        <v>#N/A</v>
      </c>
      <c r="L227" s="22" t="str">
        <f t="shared" si="14"/>
        <v/>
      </c>
    </row>
    <row r="228" spans="1:12" x14ac:dyDescent="0.25">
      <c r="A228">
        <v>3</v>
      </c>
      <c r="B228">
        <v>5</v>
      </c>
      <c r="C228">
        <v>9</v>
      </c>
      <c r="D228">
        <v>5</v>
      </c>
      <c r="E228" t="b">
        <v>0</v>
      </c>
      <c r="F228" s="22" t="str">
        <f t="shared" si="12"/>
        <v/>
      </c>
      <c r="G228" s="23" t="s">
        <v>166</v>
      </c>
      <c r="H228" s="23" t="s">
        <v>237</v>
      </c>
      <c r="I228" s="23" t="s">
        <v>32</v>
      </c>
      <c r="J228" t="s">
        <v>124</v>
      </c>
      <c r="K228" s="22" t="e">
        <f t="shared" si="13"/>
        <v>#N/A</v>
      </c>
      <c r="L228" s="22" t="str">
        <f t="shared" si="14"/>
        <v/>
      </c>
    </row>
    <row r="229" spans="1:12" x14ac:dyDescent="0.25">
      <c r="A229">
        <v>3</v>
      </c>
      <c r="B229">
        <v>5</v>
      </c>
      <c r="C229">
        <v>9</v>
      </c>
      <c r="D229">
        <v>6</v>
      </c>
      <c r="E229" t="b">
        <v>0</v>
      </c>
      <c r="F229" s="22" t="str">
        <f t="shared" si="12"/>
        <v/>
      </c>
      <c r="G229" s="23" t="s">
        <v>166</v>
      </c>
      <c r="H229" s="23" t="s">
        <v>238</v>
      </c>
      <c r="I229" s="23" t="s">
        <v>32</v>
      </c>
      <c r="J229" t="s">
        <v>129</v>
      </c>
      <c r="K229" s="22" t="e">
        <f t="shared" si="13"/>
        <v>#N/A</v>
      </c>
      <c r="L229" s="22" t="str">
        <f t="shared" si="14"/>
        <v/>
      </c>
    </row>
    <row r="230" spans="1:12" x14ac:dyDescent="0.25">
      <c r="A230">
        <v>3</v>
      </c>
      <c r="B230">
        <v>5</v>
      </c>
      <c r="C230">
        <v>9</v>
      </c>
      <c r="D230">
        <v>7</v>
      </c>
      <c r="E230" t="b">
        <v>0</v>
      </c>
      <c r="F230" s="22" t="str">
        <f t="shared" si="12"/>
        <v/>
      </c>
      <c r="G230" s="23" t="s">
        <v>166</v>
      </c>
      <c r="H230" s="23" t="s">
        <v>239</v>
      </c>
      <c r="I230" s="23" t="s">
        <v>32</v>
      </c>
      <c r="J230" t="s">
        <v>125</v>
      </c>
      <c r="K230" s="22" t="e">
        <f t="shared" si="13"/>
        <v>#N/A</v>
      </c>
      <c r="L230" s="22" t="str">
        <f t="shared" si="14"/>
        <v/>
      </c>
    </row>
    <row r="231" spans="1:12" x14ac:dyDescent="0.25">
      <c r="A231">
        <v>3</v>
      </c>
      <c r="B231">
        <v>5</v>
      </c>
      <c r="C231">
        <v>9</v>
      </c>
      <c r="D231">
        <v>8</v>
      </c>
      <c r="E231" t="b">
        <v>0</v>
      </c>
      <c r="F231" s="22" t="str">
        <f t="shared" si="12"/>
        <v/>
      </c>
      <c r="G231" s="23" t="s">
        <v>166</v>
      </c>
      <c r="H231" s="23" t="s">
        <v>240</v>
      </c>
      <c r="I231" s="23" t="s">
        <v>32</v>
      </c>
      <c r="J231" t="s">
        <v>36</v>
      </c>
      <c r="K231" s="22" t="e">
        <f t="shared" si="13"/>
        <v>#N/A</v>
      </c>
      <c r="L231" s="22" t="str">
        <f t="shared" si="14"/>
        <v/>
      </c>
    </row>
    <row r="232" spans="1:12" x14ac:dyDescent="0.25">
      <c r="A232">
        <v>3</v>
      </c>
      <c r="B232">
        <v>5</v>
      </c>
      <c r="C232">
        <v>9</v>
      </c>
      <c r="D232">
        <v>9</v>
      </c>
      <c r="E232" t="b">
        <v>1</v>
      </c>
      <c r="F232" s="22" t="str">
        <f t="shared" si="12"/>
        <v/>
      </c>
      <c r="G232" s="23" t="s">
        <v>166</v>
      </c>
      <c r="H232" s="23" t="s">
        <v>241</v>
      </c>
      <c r="I232" s="23" t="s">
        <v>32</v>
      </c>
      <c r="J232" t="s">
        <v>47</v>
      </c>
      <c r="K232" s="22" t="e">
        <f t="shared" si="13"/>
        <v>#N/A</v>
      </c>
      <c r="L232" s="22" t="str">
        <f t="shared" si="14"/>
        <v/>
      </c>
    </row>
    <row r="233" spans="1:12" x14ac:dyDescent="0.25">
      <c r="A233">
        <v>3</v>
      </c>
      <c r="B233">
        <v>6</v>
      </c>
      <c r="C233">
        <v>11</v>
      </c>
      <c r="D233">
        <v>1</v>
      </c>
      <c r="E233" t="b">
        <v>0</v>
      </c>
      <c r="F233" s="22" t="str">
        <f t="shared" si="12"/>
        <v/>
      </c>
      <c r="G233" s="23" t="s">
        <v>170</v>
      </c>
      <c r="H233" s="23" t="s">
        <v>242</v>
      </c>
      <c r="I233" s="23" t="s">
        <v>149</v>
      </c>
      <c r="J233" t="s">
        <v>150</v>
      </c>
      <c r="K233" s="22" t="e">
        <f t="shared" si="13"/>
        <v>#N/A</v>
      </c>
      <c r="L233" s="22" t="str">
        <f t="shared" si="14"/>
        <v/>
      </c>
    </row>
    <row r="234" spans="1:12" x14ac:dyDescent="0.25">
      <c r="A234">
        <v>3</v>
      </c>
      <c r="B234">
        <v>6</v>
      </c>
      <c r="C234">
        <v>11</v>
      </c>
      <c r="D234">
        <v>2</v>
      </c>
      <c r="E234" t="b">
        <v>0</v>
      </c>
      <c r="F234" s="22" t="str">
        <f t="shared" si="12"/>
        <v/>
      </c>
      <c r="G234" s="23" t="s">
        <v>170</v>
      </c>
      <c r="H234" s="23" t="s">
        <v>243</v>
      </c>
      <c r="I234" s="23" t="s">
        <v>149</v>
      </c>
      <c r="J234" t="s">
        <v>151</v>
      </c>
      <c r="K234" s="22" t="e">
        <f t="shared" si="13"/>
        <v>#N/A</v>
      </c>
      <c r="L234" s="22" t="str">
        <f t="shared" si="14"/>
        <v/>
      </c>
    </row>
    <row r="235" spans="1:12" x14ac:dyDescent="0.25">
      <c r="A235">
        <v>3</v>
      </c>
      <c r="B235">
        <v>6</v>
      </c>
      <c r="C235">
        <v>11</v>
      </c>
      <c r="D235">
        <v>3</v>
      </c>
      <c r="E235" t="b">
        <v>0</v>
      </c>
      <c r="F235" s="22" t="str">
        <f t="shared" si="12"/>
        <v/>
      </c>
      <c r="G235" s="23" t="s">
        <v>170</v>
      </c>
      <c r="H235" s="23" t="s">
        <v>244</v>
      </c>
      <c r="I235" s="23" t="s">
        <v>149</v>
      </c>
      <c r="J235" t="s">
        <v>152</v>
      </c>
      <c r="K235" s="22" t="e">
        <f t="shared" si="13"/>
        <v>#N/A</v>
      </c>
      <c r="L235" s="22" t="str">
        <f t="shared" si="14"/>
        <v/>
      </c>
    </row>
    <row r="236" spans="1:12" x14ac:dyDescent="0.25">
      <c r="A236">
        <v>3</v>
      </c>
      <c r="B236">
        <v>6</v>
      </c>
      <c r="C236">
        <v>11</v>
      </c>
      <c r="D236">
        <v>4</v>
      </c>
      <c r="E236" t="b">
        <v>0</v>
      </c>
      <c r="F236" s="22" t="str">
        <f t="shared" si="12"/>
        <v/>
      </c>
      <c r="G236" s="23" t="s">
        <v>170</v>
      </c>
      <c r="H236" s="23" t="s">
        <v>245</v>
      </c>
      <c r="I236" s="23" t="s">
        <v>149</v>
      </c>
      <c r="J236" t="s">
        <v>153</v>
      </c>
      <c r="K236" s="22" t="e">
        <f t="shared" si="13"/>
        <v>#N/A</v>
      </c>
      <c r="L236" s="22" t="str">
        <f t="shared" si="14"/>
        <v/>
      </c>
    </row>
    <row r="237" spans="1:12" x14ac:dyDescent="0.25">
      <c r="A237">
        <v>3</v>
      </c>
      <c r="B237">
        <v>6</v>
      </c>
      <c r="C237">
        <v>11</v>
      </c>
      <c r="D237">
        <v>5</v>
      </c>
      <c r="E237" t="b">
        <v>0</v>
      </c>
      <c r="F237" s="22" t="str">
        <f t="shared" si="12"/>
        <v/>
      </c>
      <c r="G237" s="23" t="s">
        <v>170</v>
      </c>
      <c r="H237" s="23" t="s">
        <v>246</v>
      </c>
      <c r="I237" s="23" t="s">
        <v>149</v>
      </c>
      <c r="J237" t="s">
        <v>154</v>
      </c>
      <c r="K237" s="22" t="e">
        <f t="shared" si="13"/>
        <v>#N/A</v>
      </c>
      <c r="L237" s="22" t="str">
        <f t="shared" si="14"/>
        <v/>
      </c>
    </row>
    <row r="238" spans="1:12" x14ac:dyDescent="0.25">
      <c r="A238">
        <v>3</v>
      </c>
      <c r="B238">
        <v>6</v>
      </c>
      <c r="C238">
        <v>11</v>
      </c>
      <c r="D238">
        <v>6</v>
      </c>
      <c r="E238" t="b">
        <v>0</v>
      </c>
      <c r="F238" s="22" t="str">
        <f t="shared" si="12"/>
        <v/>
      </c>
      <c r="G238" s="23" t="s">
        <v>170</v>
      </c>
      <c r="H238" s="23" t="s">
        <v>247</v>
      </c>
      <c r="I238" s="23" t="s">
        <v>149</v>
      </c>
      <c r="J238" t="s">
        <v>155</v>
      </c>
      <c r="K238" s="22" t="e">
        <f t="shared" si="13"/>
        <v>#N/A</v>
      </c>
      <c r="L238" s="22" t="str">
        <f t="shared" si="14"/>
        <v/>
      </c>
    </row>
    <row r="239" spans="1:12" x14ac:dyDescent="0.25">
      <c r="A239">
        <v>3</v>
      </c>
      <c r="B239">
        <v>6</v>
      </c>
      <c r="C239">
        <v>11</v>
      </c>
      <c r="D239">
        <v>7</v>
      </c>
      <c r="E239" t="b">
        <v>0</v>
      </c>
      <c r="F239" s="22" t="str">
        <f t="shared" si="12"/>
        <v/>
      </c>
      <c r="G239" s="23" t="s">
        <v>170</v>
      </c>
      <c r="H239" s="23" t="s">
        <v>248</v>
      </c>
      <c r="I239" s="23" t="s">
        <v>149</v>
      </c>
      <c r="J239" t="s">
        <v>156</v>
      </c>
      <c r="K239" s="22" t="e">
        <f t="shared" si="13"/>
        <v>#N/A</v>
      </c>
      <c r="L239" s="22" t="str">
        <f t="shared" si="14"/>
        <v/>
      </c>
    </row>
    <row r="240" spans="1:12" x14ac:dyDescent="0.25">
      <c r="A240">
        <v>3</v>
      </c>
      <c r="B240">
        <v>6</v>
      </c>
      <c r="C240">
        <v>11</v>
      </c>
      <c r="D240">
        <v>8</v>
      </c>
      <c r="E240" t="b">
        <v>0</v>
      </c>
      <c r="F240" s="22" t="str">
        <f t="shared" si="12"/>
        <v/>
      </c>
      <c r="G240" s="23" t="s">
        <v>170</v>
      </c>
      <c r="H240" s="23" t="s">
        <v>249</v>
      </c>
      <c r="I240" s="23" t="s">
        <v>149</v>
      </c>
      <c r="J240" t="s">
        <v>157</v>
      </c>
      <c r="K240" s="22" t="e">
        <f t="shared" si="13"/>
        <v>#N/A</v>
      </c>
      <c r="L240" s="22" t="str">
        <f t="shared" si="14"/>
        <v/>
      </c>
    </row>
    <row r="241" spans="1:12" x14ac:dyDescent="0.25">
      <c r="A241">
        <v>3</v>
      </c>
      <c r="B241">
        <v>6</v>
      </c>
      <c r="C241">
        <v>11</v>
      </c>
      <c r="D241">
        <v>9</v>
      </c>
      <c r="E241" t="b">
        <v>0</v>
      </c>
      <c r="F241" s="22" t="str">
        <f t="shared" si="12"/>
        <v/>
      </c>
      <c r="G241" s="23" t="s">
        <v>170</v>
      </c>
      <c r="H241" s="23" t="s">
        <v>250</v>
      </c>
      <c r="I241" s="23" t="s">
        <v>149</v>
      </c>
      <c r="J241" t="s">
        <v>158</v>
      </c>
      <c r="K241" s="22" t="e">
        <f t="shared" si="13"/>
        <v>#N/A</v>
      </c>
      <c r="L241" s="22" t="str">
        <f t="shared" si="14"/>
        <v/>
      </c>
    </row>
    <row r="242" spans="1:12" x14ac:dyDescent="0.25">
      <c r="A242">
        <v>3</v>
      </c>
      <c r="B242">
        <v>6</v>
      </c>
      <c r="C242">
        <v>11</v>
      </c>
      <c r="D242">
        <v>10</v>
      </c>
      <c r="E242" t="b">
        <v>0</v>
      </c>
      <c r="F242" s="22" t="str">
        <f t="shared" si="12"/>
        <v/>
      </c>
      <c r="G242" s="23" t="s">
        <v>170</v>
      </c>
      <c r="H242" s="23" t="s">
        <v>251</v>
      </c>
      <c r="I242" s="23" t="s">
        <v>149</v>
      </c>
      <c r="J242" t="s">
        <v>159</v>
      </c>
      <c r="K242" s="22" t="e">
        <f t="shared" si="13"/>
        <v>#N/A</v>
      </c>
      <c r="L242" s="22" t="str">
        <f t="shared" si="14"/>
        <v/>
      </c>
    </row>
    <row r="243" spans="1:12" x14ac:dyDescent="0.25">
      <c r="A243">
        <v>3</v>
      </c>
      <c r="B243">
        <v>6</v>
      </c>
      <c r="C243">
        <v>11</v>
      </c>
      <c r="D243">
        <v>11</v>
      </c>
      <c r="E243" t="b">
        <v>1</v>
      </c>
      <c r="F243" s="22" t="str">
        <f t="shared" si="12"/>
        <v/>
      </c>
      <c r="G243" s="23" t="s">
        <v>170</v>
      </c>
      <c r="H243" s="23" t="s">
        <v>252</v>
      </c>
      <c r="I243" s="23" t="s">
        <v>149</v>
      </c>
      <c r="J243" t="s">
        <v>160</v>
      </c>
      <c r="K243" s="22" t="e">
        <f t="shared" si="13"/>
        <v>#N/A</v>
      </c>
      <c r="L243" s="22" t="str">
        <f t="shared" si="14"/>
        <v/>
      </c>
    </row>
    <row r="244" spans="1:12" x14ac:dyDescent="0.25">
      <c r="A244">
        <v>4</v>
      </c>
      <c r="B244">
        <v>1</v>
      </c>
      <c r="C244">
        <v>18</v>
      </c>
      <c r="D244">
        <v>1</v>
      </c>
      <c r="E244" t="b">
        <v>0</v>
      </c>
      <c r="F244" s="22" t="str">
        <f t="shared" si="12"/>
        <v/>
      </c>
      <c r="G244" s="23" t="s">
        <v>167</v>
      </c>
      <c r="H244" s="23" t="s">
        <v>253</v>
      </c>
      <c r="I244" s="23" t="s">
        <v>2</v>
      </c>
      <c r="J244" t="s">
        <v>3</v>
      </c>
      <c r="K244" s="22" t="e">
        <f t="shared" si="13"/>
        <v>#N/A</v>
      </c>
      <c r="L244" s="22" t="str">
        <f t="shared" si="14"/>
        <v/>
      </c>
    </row>
    <row r="245" spans="1:12" x14ac:dyDescent="0.25">
      <c r="A245">
        <v>4</v>
      </c>
      <c r="B245">
        <v>1</v>
      </c>
      <c r="C245">
        <v>18</v>
      </c>
      <c r="D245">
        <v>2</v>
      </c>
      <c r="E245" t="b">
        <v>0</v>
      </c>
      <c r="F245" s="22" t="str">
        <f t="shared" si="12"/>
        <v/>
      </c>
      <c r="G245" s="23" t="s">
        <v>167</v>
      </c>
      <c r="H245" s="23" t="s">
        <v>254</v>
      </c>
      <c r="I245" s="23" t="s">
        <v>2</v>
      </c>
      <c r="J245" t="s">
        <v>4</v>
      </c>
      <c r="K245" s="22" t="e">
        <f t="shared" si="13"/>
        <v>#N/A</v>
      </c>
      <c r="L245" s="22" t="str">
        <f t="shared" si="14"/>
        <v/>
      </c>
    </row>
    <row r="246" spans="1:12" x14ac:dyDescent="0.25">
      <c r="A246">
        <v>4</v>
      </c>
      <c r="B246">
        <v>1</v>
      </c>
      <c r="C246">
        <v>18</v>
      </c>
      <c r="D246">
        <v>3</v>
      </c>
      <c r="E246" t="b">
        <v>0</v>
      </c>
      <c r="F246" s="22" t="str">
        <f t="shared" si="12"/>
        <v/>
      </c>
      <c r="G246" s="23" t="s">
        <v>167</v>
      </c>
      <c r="H246" s="23" t="s">
        <v>175</v>
      </c>
      <c r="I246" s="23" t="s">
        <v>2</v>
      </c>
      <c r="J246" t="s">
        <v>5</v>
      </c>
      <c r="K246" s="22" t="e">
        <f t="shared" si="13"/>
        <v>#N/A</v>
      </c>
      <c r="L246" s="22" t="str">
        <f t="shared" si="14"/>
        <v/>
      </c>
    </row>
    <row r="247" spans="1:12" x14ac:dyDescent="0.25">
      <c r="A247">
        <v>4</v>
      </c>
      <c r="B247">
        <v>1</v>
      </c>
      <c r="C247">
        <v>18</v>
      </c>
      <c r="D247">
        <v>4</v>
      </c>
      <c r="E247" t="b">
        <v>0</v>
      </c>
      <c r="F247" s="22" t="str">
        <f t="shared" si="12"/>
        <v/>
      </c>
      <c r="G247" s="23" t="s">
        <v>167</v>
      </c>
      <c r="H247" s="23" t="s">
        <v>176</v>
      </c>
      <c r="I247" s="23" t="s">
        <v>2</v>
      </c>
      <c r="J247" t="s">
        <v>6</v>
      </c>
      <c r="K247" s="22" t="e">
        <f t="shared" si="13"/>
        <v>#N/A</v>
      </c>
      <c r="L247" s="22" t="str">
        <f t="shared" si="14"/>
        <v/>
      </c>
    </row>
    <row r="248" spans="1:12" x14ac:dyDescent="0.25">
      <c r="A248">
        <v>4</v>
      </c>
      <c r="B248">
        <v>1</v>
      </c>
      <c r="C248">
        <v>18</v>
      </c>
      <c r="D248">
        <v>5</v>
      </c>
      <c r="E248" t="b">
        <v>0</v>
      </c>
      <c r="F248" s="22" t="str">
        <f t="shared" si="12"/>
        <v/>
      </c>
      <c r="G248" s="23" t="s">
        <v>167</v>
      </c>
      <c r="H248" s="23" t="s">
        <v>177</v>
      </c>
      <c r="I248" s="23" t="s">
        <v>2</v>
      </c>
      <c r="J248" t="s">
        <v>44</v>
      </c>
      <c r="K248" s="22" t="e">
        <f t="shared" si="13"/>
        <v>#N/A</v>
      </c>
      <c r="L248" s="22" t="str">
        <f t="shared" si="14"/>
        <v/>
      </c>
    </row>
    <row r="249" spans="1:12" x14ac:dyDescent="0.25">
      <c r="A249">
        <v>4</v>
      </c>
      <c r="B249">
        <v>1</v>
      </c>
      <c r="C249">
        <v>18</v>
      </c>
      <c r="D249">
        <v>6</v>
      </c>
      <c r="E249" t="b">
        <v>0</v>
      </c>
      <c r="F249" s="22" t="str">
        <f t="shared" si="12"/>
        <v/>
      </c>
      <c r="G249" s="23" t="s">
        <v>167</v>
      </c>
      <c r="H249" s="23" t="s">
        <v>178</v>
      </c>
      <c r="I249" s="23" t="s">
        <v>2</v>
      </c>
      <c r="J249" t="s">
        <v>102</v>
      </c>
      <c r="K249" s="22" t="e">
        <f t="shared" si="13"/>
        <v>#N/A</v>
      </c>
      <c r="L249" s="22" t="str">
        <f t="shared" si="14"/>
        <v/>
      </c>
    </row>
    <row r="250" spans="1:12" x14ac:dyDescent="0.25">
      <c r="A250">
        <v>4</v>
      </c>
      <c r="B250">
        <v>1</v>
      </c>
      <c r="C250">
        <v>18</v>
      </c>
      <c r="D250">
        <v>7</v>
      </c>
      <c r="E250" t="b">
        <v>0</v>
      </c>
      <c r="F250" s="22" t="str">
        <f t="shared" si="12"/>
        <v/>
      </c>
      <c r="G250" s="23" t="s">
        <v>167</v>
      </c>
      <c r="H250" s="23" t="s">
        <v>179</v>
      </c>
      <c r="I250" s="23" t="s">
        <v>2</v>
      </c>
      <c r="J250" t="s">
        <v>103</v>
      </c>
      <c r="K250" s="22" t="e">
        <f t="shared" si="13"/>
        <v>#N/A</v>
      </c>
      <c r="L250" s="22" t="str">
        <f t="shared" si="14"/>
        <v/>
      </c>
    </row>
    <row r="251" spans="1:12" x14ac:dyDescent="0.25">
      <c r="A251">
        <v>4</v>
      </c>
      <c r="B251">
        <v>1</v>
      </c>
      <c r="C251">
        <v>18</v>
      </c>
      <c r="D251">
        <v>8</v>
      </c>
      <c r="E251" t="b">
        <v>0</v>
      </c>
      <c r="F251" s="22" t="str">
        <f t="shared" si="12"/>
        <v/>
      </c>
      <c r="G251" s="23" t="s">
        <v>167</v>
      </c>
      <c r="H251" s="23" t="s">
        <v>180</v>
      </c>
      <c r="I251" s="23" t="s">
        <v>2</v>
      </c>
      <c r="J251" t="s">
        <v>7</v>
      </c>
      <c r="K251" s="22" t="e">
        <f t="shared" si="13"/>
        <v>#N/A</v>
      </c>
      <c r="L251" s="22" t="str">
        <f t="shared" si="14"/>
        <v/>
      </c>
    </row>
    <row r="252" spans="1:12" x14ac:dyDescent="0.25">
      <c r="A252">
        <v>4</v>
      </c>
      <c r="B252">
        <v>1</v>
      </c>
      <c r="C252">
        <v>18</v>
      </c>
      <c r="D252">
        <v>9</v>
      </c>
      <c r="E252" t="b">
        <v>0</v>
      </c>
      <c r="F252" s="22" t="str">
        <f t="shared" si="12"/>
        <v/>
      </c>
      <c r="G252" s="23" t="s">
        <v>167</v>
      </c>
      <c r="H252" s="23" t="s">
        <v>181</v>
      </c>
      <c r="I252" s="23" t="s">
        <v>2</v>
      </c>
      <c r="J252" t="s">
        <v>104</v>
      </c>
      <c r="K252" s="22" t="e">
        <f t="shared" si="13"/>
        <v>#N/A</v>
      </c>
      <c r="L252" s="22" t="str">
        <f t="shared" si="14"/>
        <v/>
      </c>
    </row>
    <row r="253" spans="1:12" x14ac:dyDescent="0.25">
      <c r="A253">
        <v>4</v>
      </c>
      <c r="B253">
        <v>1</v>
      </c>
      <c r="C253">
        <v>18</v>
      </c>
      <c r="D253">
        <v>10</v>
      </c>
      <c r="E253" t="b">
        <v>0</v>
      </c>
      <c r="F253" s="22" t="str">
        <f t="shared" si="12"/>
        <v/>
      </c>
      <c r="G253" s="23" t="s">
        <v>167</v>
      </c>
      <c r="H253" s="23" t="s">
        <v>182</v>
      </c>
      <c r="I253" s="23" t="s">
        <v>2</v>
      </c>
      <c r="J253" t="s">
        <v>8</v>
      </c>
      <c r="K253" s="22" t="e">
        <f t="shared" si="13"/>
        <v>#N/A</v>
      </c>
      <c r="L253" s="22" t="str">
        <f t="shared" si="14"/>
        <v/>
      </c>
    </row>
    <row r="254" spans="1:12" x14ac:dyDescent="0.25">
      <c r="A254">
        <v>4</v>
      </c>
      <c r="B254">
        <v>1</v>
      </c>
      <c r="C254">
        <v>18</v>
      </c>
      <c r="D254">
        <v>11</v>
      </c>
      <c r="E254" t="b">
        <v>0</v>
      </c>
      <c r="F254" s="22" t="str">
        <f t="shared" si="12"/>
        <v/>
      </c>
      <c r="G254" s="23" t="s">
        <v>167</v>
      </c>
      <c r="H254" s="23" t="s">
        <v>183</v>
      </c>
      <c r="I254" s="23" t="s">
        <v>2</v>
      </c>
      <c r="J254" t="s">
        <v>105</v>
      </c>
      <c r="K254" s="22" t="e">
        <f t="shared" si="13"/>
        <v>#N/A</v>
      </c>
      <c r="L254" s="22" t="str">
        <f t="shared" si="14"/>
        <v/>
      </c>
    </row>
    <row r="255" spans="1:12" x14ac:dyDescent="0.25">
      <c r="A255">
        <v>4</v>
      </c>
      <c r="B255">
        <v>1</v>
      </c>
      <c r="C255">
        <v>18</v>
      </c>
      <c r="D255">
        <v>12</v>
      </c>
      <c r="E255" t="b">
        <v>0</v>
      </c>
      <c r="F255" s="22" t="str">
        <f t="shared" si="12"/>
        <v/>
      </c>
      <c r="G255" s="23" t="s">
        <v>167</v>
      </c>
      <c r="H255" s="23" t="s">
        <v>184</v>
      </c>
      <c r="I255" s="23" t="s">
        <v>2</v>
      </c>
      <c r="J255" t="s">
        <v>106</v>
      </c>
      <c r="K255" s="22" t="e">
        <f t="shared" si="13"/>
        <v>#N/A</v>
      </c>
      <c r="L255" s="22" t="str">
        <f t="shared" si="14"/>
        <v/>
      </c>
    </row>
    <row r="256" spans="1:12" x14ac:dyDescent="0.25">
      <c r="A256">
        <v>4</v>
      </c>
      <c r="B256">
        <v>1</v>
      </c>
      <c r="C256">
        <v>18</v>
      </c>
      <c r="D256">
        <v>13</v>
      </c>
      <c r="E256" t="b">
        <v>0</v>
      </c>
      <c r="F256" s="22" t="str">
        <f t="shared" si="12"/>
        <v/>
      </c>
      <c r="G256" s="23" t="s">
        <v>167</v>
      </c>
      <c r="H256" s="23" t="s">
        <v>185</v>
      </c>
      <c r="I256" s="23" t="s">
        <v>2</v>
      </c>
      <c r="J256" t="s">
        <v>107</v>
      </c>
      <c r="K256" s="22" t="e">
        <f t="shared" si="13"/>
        <v>#N/A</v>
      </c>
      <c r="L256" s="22" t="str">
        <f t="shared" si="14"/>
        <v/>
      </c>
    </row>
    <row r="257" spans="1:12" x14ac:dyDescent="0.25">
      <c r="A257">
        <v>4</v>
      </c>
      <c r="B257">
        <v>1</v>
      </c>
      <c r="C257">
        <v>18</v>
      </c>
      <c r="D257">
        <v>14</v>
      </c>
      <c r="E257" t="b">
        <v>0</v>
      </c>
      <c r="F257" s="22" t="str">
        <f t="shared" si="12"/>
        <v/>
      </c>
      <c r="G257" s="23" t="s">
        <v>167</v>
      </c>
      <c r="H257" s="23" t="s">
        <v>186</v>
      </c>
      <c r="I257" s="23" t="s">
        <v>2</v>
      </c>
      <c r="J257" t="s">
        <v>108</v>
      </c>
      <c r="K257" s="22" t="e">
        <f t="shared" si="13"/>
        <v>#N/A</v>
      </c>
      <c r="L257" s="22" t="str">
        <f t="shared" si="14"/>
        <v/>
      </c>
    </row>
    <row r="258" spans="1:12" x14ac:dyDescent="0.25">
      <c r="A258">
        <v>4</v>
      </c>
      <c r="B258">
        <v>1</v>
      </c>
      <c r="C258">
        <v>18</v>
      </c>
      <c r="D258">
        <v>15</v>
      </c>
      <c r="E258" t="b">
        <v>0</v>
      </c>
      <c r="F258" s="22" t="str">
        <f t="shared" si="12"/>
        <v/>
      </c>
      <c r="G258" s="23" t="s">
        <v>167</v>
      </c>
      <c r="H258" s="23" t="s">
        <v>187</v>
      </c>
      <c r="I258" s="23" t="s">
        <v>2</v>
      </c>
      <c r="J258" t="s">
        <v>109</v>
      </c>
      <c r="K258" s="22" t="e">
        <f t="shared" si="13"/>
        <v>#N/A</v>
      </c>
      <c r="L258" s="22" t="str">
        <f t="shared" si="14"/>
        <v/>
      </c>
    </row>
    <row r="259" spans="1:12" x14ac:dyDescent="0.25">
      <c r="A259">
        <v>4</v>
      </c>
      <c r="B259">
        <v>1</v>
      </c>
      <c r="C259">
        <v>18</v>
      </c>
      <c r="D259">
        <v>16</v>
      </c>
      <c r="E259" t="b">
        <v>0</v>
      </c>
      <c r="F259" s="22" t="str">
        <f t="shared" si="12"/>
        <v/>
      </c>
      <c r="G259" s="23" t="s">
        <v>167</v>
      </c>
      <c r="H259" s="23" t="s">
        <v>188</v>
      </c>
      <c r="I259" s="23" t="s">
        <v>2</v>
      </c>
      <c r="J259" t="s">
        <v>110</v>
      </c>
      <c r="K259" s="22" t="e">
        <f t="shared" si="13"/>
        <v>#N/A</v>
      </c>
      <c r="L259" s="22" t="str">
        <f t="shared" si="14"/>
        <v/>
      </c>
    </row>
    <row r="260" spans="1:12" x14ac:dyDescent="0.25">
      <c r="A260">
        <v>4</v>
      </c>
      <c r="B260">
        <v>1</v>
      </c>
      <c r="C260">
        <v>18</v>
      </c>
      <c r="D260">
        <v>17</v>
      </c>
      <c r="E260" t="b">
        <v>0</v>
      </c>
      <c r="F260" s="22" t="str">
        <f t="shared" ref="F260:F323" si="15">VLOOKUP("Assessment #"&amp;$A260, DateMeta, MATCH("DisplDate", DateMeta_H, 0), 0)</f>
        <v/>
      </c>
      <c r="G260" s="23" t="s">
        <v>167</v>
      </c>
      <c r="H260" s="23" t="s">
        <v>189</v>
      </c>
      <c r="I260" s="23" t="s">
        <v>2</v>
      </c>
      <c r="J260" t="s">
        <v>23</v>
      </c>
      <c r="K260" s="22" t="e">
        <f t="shared" ref="K260:K323" si="16">IF(INDEX(Assess, MATCH($J260, ItemLong, 0), MATCH("Assessment #"&amp;$A260, Assess_H, 0))="", "", INDEX(Assess, MATCH($J260, ItemLong, 0), MATCH("Assessment #"&amp;$A260, Assess_H, 0)))</f>
        <v>#N/A</v>
      </c>
      <c r="L260" s="22" t="str">
        <f t="shared" si="14"/>
        <v/>
      </c>
    </row>
    <row r="261" spans="1:12" x14ac:dyDescent="0.25">
      <c r="A261">
        <v>4</v>
      </c>
      <c r="B261">
        <v>1</v>
      </c>
      <c r="C261">
        <v>18</v>
      </c>
      <c r="D261">
        <v>18</v>
      </c>
      <c r="E261" t="b">
        <v>1</v>
      </c>
      <c r="F261" s="22" t="str">
        <f t="shared" si="15"/>
        <v/>
      </c>
      <c r="G261" s="23" t="s">
        <v>167</v>
      </c>
      <c r="H261" s="23" t="s">
        <v>190</v>
      </c>
      <c r="I261" s="23" t="s">
        <v>2</v>
      </c>
      <c r="J261" t="s">
        <v>24</v>
      </c>
      <c r="K261" s="22" t="e">
        <f t="shared" si="16"/>
        <v>#N/A</v>
      </c>
      <c r="L261" s="22" t="str">
        <f t="shared" ref="L261:L324" si="17">IF(ISNUMBER(K261), IF(K261&gt;=2, 1, 0), "")</f>
        <v/>
      </c>
    </row>
    <row r="262" spans="1:12" x14ac:dyDescent="0.25">
      <c r="A262">
        <v>4</v>
      </c>
      <c r="B262">
        <v>2</v>
      </c>
      <c r="C262">
        <v>16</v>
      </c>
      <c r="D262">
        <v>1</v>
      </c>
      <c r="E262" t="b">
        <v>0</v>
      </c>
      <c r="F262" s="22" t="str">
        <f t="shared" si="15"/>
        <v/>
      </c>
      <c r="G262" s="23" t="s">
        <v>165</v>
      </c>
      <c r="H262" s="23" t="s">
        <v>191</v>
      </c>
      <c r="I262" s="23" t="s">
        <v>9</v>
      </c>
      <c r="J262" t="s">
        <v>10</v>
      </c>
      <c r="K262" s="22" t="e">
        <f t="shared" si="16"/>
        <v>#N/A</v>
      </c>
      <c r="L262" s="22" t="str">
        <f t="shared" si="17"/>
        <v/>
      </c>
    </row>
    <row r="263" spans="1:12" x14ac:dyDescent="0.25">
      <c r="A263">
        <v>4</v>
      </c>
      <c r="B263">
        <v>2</v>
      </c>
      <c r="C263">
        <v>16</v>
      </c>
      <c r="D263">
        <v>2</v>
      </c>
      <c r="E263" t="b">
        <v>0</v>
      </c>
      <c r="F263" s="22" t="str">
        <f t="shared" si="15"/>
        <v/>
      </c>
      <c r="G263" s="23" t="s">
        <v>165</v>
      </c>
      <c r="H263" s="23" t="s">
        <v>192</v>
      </c>
      <c r="I263" s="23" t="s">
        <v>9</v>
      </c>
      <c r="J263" t="s">
        <v>11</v>
      </c>
      <c r="K263" s="22" t="e">
        <f t="shared" si="16"/>
        <v>#N/A</v>
      </c>
      <c r="L263" s="22" t="str">
        <f t="shared" si="17"/>
        <v/>
      </c>
    </row>
    <row r="264" spans="1:12" x14ac:dyDescent="0.25">
      <c r="A264">
        <v>4</v>
      </c>
      <c r="B264">
        <v>2</v>
      </c>
      <c r="C264">
        <v>16</v>
      </c>
      <c r="D264">
        <v>3</v>
      </c>
      <c r="E264" t="b">
        <v>0</v>
      </c>
      <c r="F264" s="22" t="str">
        <f t="shared" si="15"/>
        <v/>
      </c>
      <c r="G264" s="23" t="s">
        <v>165</v>
      </c>
      <c r="H264" s="23" t="s">
        <v>193</v>
      </c>
      <c r="I264" s="23" t="s">
        <v>9</v>
      </c>
      <c r="J264" t="s">
        <v>12</v>
      </c>
      <c r="K264" s="22" t="e">
        <f t="shared" si="16"/>
        <v>#N/A</v>
      </c>
      <c r="L264" s="22" t="str">
        <f t="shared" si="17"/>
        <v/>
      </c>
    </row>
    <row r="265" spans="1:12" x14ac:dyDescent="0.25">
      <c r="A265">
        <v>4</v>
      </c>
      <c r="B265">
        <v>2</v>
      </c>
      <c r="C265">
        <v>16</v>
      </c>
      <c r="D265">
        <v>4</v>
      </c>
      <c r="E265" t="b">
        <v>0</v>
      </c>
      <c r="F265" s="22" t="str">
        <f t="shared" si="15"/>
        <v/>
      </c>
      <c r="G265" s="23" t="s">
        <v>165</v>
      </c>
      <c r="H265" s="23" t="s">
        <v>194</v>
      </c>
      <c r="I265" s="23" t="s">
        <v>9</v>
      </c>
      <c r="J265" t="s">
        <v>13</v>
      </c>
      <c r="K265" s="22" t="e">
        <f t="shared" si="16"/>
        <v>#N/A</v>
      </c>
      <c r="L265" s="22" t="str">
        <f t="shared" si="17"/>
        <v/>
      </c>
    </row>
    <row r="266" spans="1:12" x14ac:dyDescent="0.25">
      <c r="A266">
        <v>4</v>
      </c>
      <c r="B266">
        <v>2</v>
      </c>
      <c r="C266">
        <v>16</v>
      </c>
      <c r="D266">
        <v>5</v>
      </c>
      <c r="E266" t="b">
        <v>0</v>
      </c>
      <c r="F266" s="22" t="str">
        <f t="shared" si="15"/>
        <v/>
      </c>
      <c r="G266" s="23" t="s">
        <v>165</v>
      </c>
      <c r="H266" s="23" t="s">
        <v>195</v>
      </c>
      <c r="I266" s="23" t="s">
        <v>9</v>
      </c>
      <c r="J266" t="s">
        <v>14</v>
      </c>
      <c r="K266" s="22" t="e">
        <f t="shared" si="16"/>
        <v>#N/A</v>
      </c>
      <c r="L266" s="22" t="str">
        <f t="shared" si="17"/>
        <v/>
      </c>
    </row>
    <row r="267" spans="1:12" x14ac:dyDescent="0.25">
      <c r="A267">
        <v>4</v>
      </c>
      <c r="B267">
        <v>2</v>
      </c>
      <c r="C267">
        <v>16</v>
      </c>
      <c r="D267">
        <v>6</v>
      </c>
      <c r="E267" t="b">
        <v>0</v>
      </c>
      <c r="F267" s="22" t="str">
        <f t="shared" si="15"/>
        <v/>
      </c>
      <c r="G267" s="23" t="s">
        <v>165</v>
      </c>
      <c r="H267" s="23" t="s">
        <v>196</v>
      </c>
      <c r="I267" s="23" t="s">
        <v>9</v>
      </c>
      <c r="J267" t="s">
        <v>15</v>
      </c>
      <c r="K267" s="22" t="e">
        <f t="shared" si="16"/>
        <v>#N/A</v>
      </c>
      <c r="L267" s="22" t="str">
        <f t="shared" si="17"/>
        <v/>
      </c>
    </row>
    <row r="268" spans="1:12" x14ac:dyDescent="0.25">
      <c r="A268">
        <v>4</v>
      </c>
      <c r="B268">
        <v>2</v>
      </c>
      <c r="C268">
        <v>16</v>
      </c>
      <c r="D268">
        <v>7</v>
      </c>
      <c r="E268" t="b">
        <v>0</v>
      </c>
      <c r="F268" s="22" t="str">
        <f t="shared" si="15"/>
        <v/>
      </c>
      <c r="G268" s="23" t="s">
        <v>165</v>
      </c>
      <c r="H268" s="23" t="s">
        <v>197</v>
      </c>
      <c r="I268" s="23" t="s">
        <v>9</v>
      </c>
      <c r="J268" t="s">
        <v>16</v>
      </c>
      <c r="K268" s="22" t="e">
        <f t="shared" si="16"/>
        <v>#N/A</v>
      </c>
      <c r="L268" s="22" t="str">
        <f t="shared" si="17"/>
        <v/>
      </c>
    </row>
    <row r="269" spans="1:12" x14ac:dyDescent="0.25">
      <c r="A269">
        <v>4</v>
      </c>
      <c r="B269">
        <v>2</v>
      </c>
      <c r="C269">
        <v>16</v>
      </c>
      <c r="D269">
        <v>8</v>
      </c>
      <c r="E269" t="b">
        <v>0</v>
      </c>
      <c r="F269" s="22" t="str">
        <f t="shared" si="15"/>
        <v/>
      </c>
      <c r="G269" s="23" t="s">
        <v>165</v>
      </c>
      <c r="H269" s="23" t="s">
        <v>198</v>
      </c>
      <c r="I269" s="23" t="s">
        <v>9</v>
      </c>
      <c r="J269" t="s">
        <v>17</v>
      </c>
      <c r="K269" s="22" t="e">
        <f t="shared" si="16"/>
        <v>#N/A</v>
      </c>
      <c r="L269" s="22" t="str">
        <f t="shared" si="17"/>
        <v/>
      </c>
    </row>
    <row r="270" spans="1:12" x14ac:dyDescent="0.25">
      <c r="A270">
        <v>4</v>
      </c>
      <c r="B270">
        <v>2</v>
      </c>
      <c r="C270">
        <v>16</v>
      </c>
      <c r="D270">
        <v>9</v>
      </c>
      <c r="E270" t="b">
        <v>0</v>
      </c>
      <c r="F270" s="22" t="str">
        <f t="shared" si="15"/>
        <v/>
      </c>
      <c r="G270" s="23" t="s">
        <v>165</v>
      </c>
      <c r="H270" s="23" t="s">
        <v>199</v>
      </c>
      <c r="I270" s="23" t="s">
        <v>9</v>
      </c>
      <c r="J270" t="s">
        <v>18</v>
      </c>
      <c r="K270" s="22" t="e">
        <f t="shared" si="16"/>
        <v>#N/A</v>
      </c>
      <c r="L270" s="22" t="str">
        <f t="shared" si="17"/>
        <v/>
      </c>
    </row>
    <row r="271" spans="1:12" x14ac:dyDescent="0.25">
      <c r="A271">
        <v>4</v>
      </c>
      <c r="B271">
        <v>2</v>
      </c>
      <c r="C271">
        <v>16</v>
      </c>
      <c r="D271">
        <v>10</v>
      </c>
      <c r="E271" t="b">
        <v>0</v>
      </c>
      <c r="F271" s="22" t="str">
        <f t="shared" si="15"/>
        <v/>
      </c>
      <c r="G271" s="23" t="s">
        <v>165</v>
      </c>
      <c r="H271" s="23" t="s">
        <v>200</v>
      </c>
      <c r="I271" s="23" t="s">
        <v>9</v>
      </c>
      <c r="J271" t="s">
        <v>19</v>
      </c>
      <c r="K271" s="22" t="e">
        <f t="shared" si="16"/>
        <v>#N/A</v>
      </c>
      <c r="L271" s="22" t="str">
        <f t="shared" si="17"/>
        <v/>
      </c>
    </row>
    <row r="272" spans="1:12" x14ac:dyDescent="0.25">
      <c r="A272">
        <v>4</v>
      </c>
      <c r="B272">
        <v>2</v>
      </c>
      <c r="C272">
        <v>16</v>
      </c>
      <c r="D272">
        <v>11</v>
      </c>
      <c r="E272" t="b">
        <v>0</v>
      </c>
      <c r="F272" s="22" t="str">
        <f t="shared" si="15"/>
        <v/>
      </c>
      <c r="G272" s="23" t="s">
        <v>165</v>
      </c>
      <c r="H272" s="23" t="s">
        <v>201</v>
      </c>
      <c r="I272" s="23" t="s">
        <v>9</v>
      </c>
      <c r="J272" t="s">
        <v>20</v>
      </c>
      <c r="K272" s="22" t="e">
        <f t="shared" si="16"/>
        <v>#N/A</v>
      </c>
      <c r="L272" s="22" t="str">
        <f t="shared" si="17"/>
        <v/>
      </c>
    </row>
    <row r="273" spans="1:12" x14ac:dyDescent="0.25">
      <c r="A273">
        <v>4</v>
      </c>
      <c r="B273">
        <v>2</v>
      </c>
      <c r="C273">
        <v>16</v>
      </c>
      <c r="D273">
        <v>12</v>
      </c>
      <c r="E273" t="b">
        <v>0</v>
      </c>
      <c r="F273" s="22" t="str">
        <f t="shared" si="15"/>
        <v/>
      </c>
      <c r="G273" s="23" t="s">
        <v>165</v>
      </c>
      <c r="H273" s="23" t="s">
        <v>202</v>
      </c>
      <c r="I273" s="23" t="s">
        <v>9</v>
      </c>
      <c r="J273" t="s">
        <v>21</v>
      </c>
      <c r="K273" s="22" t="e">
        <f t="shared" si="16"/>
        <v>#N/A</v>
      </c>
      <c r="L273" s="22" t="str">
        <f t="shared" si="17"/>
        <v/>
      </c>
    </row>
    <row r="274" spans="1:12" x14ac:dyDescent="0.25">
      <c r="A274">
        <v>4</v>
      </c>
      <c r="B274">
        <v>2</v>
      </c>
      <c r="C274">
        <v>16</v>
      </c>
      <c r="D274">
        <v>13</v>
      </c>
      <c r="E274" t="b">
        <v>0</v>
      </c>
      <c r="F274" s="22" t="str">
        <f t="shared" si="15"/>
        <v/>
      </c>
      <c r="G274" s="23" t="s">
        <v>165</v>
      </c>
      <c r="H274" s="23" t="s">
        <v>203</v>
      </c>
      <c r="I274" s="23" t="s">
        <v>9</v>
      </c>
      <c r="J274" t="s">
        <v>22</v>
      </c>
      <c r="K274" s="22" t="e">
        <f t="shared" si="16"/>
        <v>#N/A</v>
      </c>
      <c r="L274" s="22" t="str">
        <f t="shared" si="17"/>
        <v/>
      </c>
    </row>
    <row r="275" spans="1:12" x14ac:dyDescent="0.25">
      <c r="A275">
        <v>4</v>
      </c>
      <c r="B275">
        <v>2</v>
      </c>
      <c r="C275">
        <v>16</v>
      </c>
      <c r="D275">
        <v>14</v>
      </c>
      <c r="E275" t="b">
        <v>0</v>
      </c>
      <c r="F275" s="22" t="str">
        <f t="shared" si="15"/>
        <v/>
      </c>
      <c r="G275" s="23" t="s">
        <v>165</v>
      </c>
      <c r="H275" s="23" t="s">
        <v>204</v>
      </c>
      <c r="I275" s="23" t="s">
        <v>9</v>
      </c>
      <c r="J275" t="s">
        <v>111</v>
      </c>
      <c r="K275" s="22" t="e">
        <f t="shared" si="16"/>
        <v>#N/A</v>
      </c>
      <c r="L275" s="22" t="str">
        <f t="shared" si="17"/>
        <v/>
      </c>
    </row>
    <row r="276" spans="1:12" x14ac:dyDescent="0.25">
      <c r="A276">
        <v>4</v>
      </c>
      <c r="B276">
        <v>2</v>
      </c>
      <c r="C276">
        <v>16</v>
      </c>
      <c r="D276">
        <v>15</v>
      </c>
      <c r="E276" t="b">
        <v>0</v>
      </c>
      <c r="F276" s="22" t="str">
        <f t="shared" si="15"/>
        <v/>
      </c>
      <c r="G276" s="23" t="s">
        <v>165</v>
      </c>
      <c r="H276" s="23" t="s">
        <v>205</v>
      </c>
      <c r="I276" s="23" t="s">
        <v>9</v>
      </c>
      <c r="J276" t="s">
        <v>112</v>
      </c>
      <c r="K276" s="22" t="e">
        <f t="shared" si="16"/>
        <v>#N/A</v>
      </c>
      <c r="L276" s="22" t="str">
        <f t="shared" si="17"/>
        <v/>
      </c>
    </row>
    <row r="277" spans="1:12" x14ac:dyDescent="0.25">
      <c r="A277">
        <v>4</v>
      </c>
      <c r="B277">
        <v>2</v>
      </c>
      <c r="C277">
        <v>16</v>
      </c>
      <c r="D277">
        <v>16</v>
      </c>
      <c r="E277" t="b">
        <v>1</v>
      </c>
      <c r="F277" s="22" t="str">
        <f t="shared" si="15"/>
        <v/>
      </c>
      <c r="G277" s="23" t="s">
        <v>165</v>
      </c>
      <c r="H277" s="23" t="s">
        <v>206</v>
      </c>
      <c r="I277" s="23" t="s">
        <v>9</v>
      </c>
      <c r="J277" t="s">
        <v>113</v>
      </c>
      <c r="K277" s="22" t="e">
        <f t="shared" si="16"/>
        <v>#N/A</v>
      </c>
      <c r="L277" s="22" t="str">
        <f t="shared" si="17"/>
        <v/>
      </c>
    </row>
    <row r="278" spans="1:12" x14ac:dyDescent="0.25">
      <c r="A278">
        <v>4</v>
      </c>
      <c r="B278">
        <v>3</v>
      </c>
      <c r="C278">
        <v>17</v>
      </c>
      <c r="D278">
        <v>1</v>
      </c>
      <c r="E278" t="b">
        <v>0</v>
      </c>
      <c r="F278" s="22" t="str">
        <f t="shared" si="15"/>
        <v/>
      </c>
      <c r="G278" s="23" t="s">
        <v>168</v>
      </c>
      <c r="H278" s="23" t="s">
        <v>207</v>
      </c>
      <c r="I278" s="23" t="s">
        <v>37</v>
      </c>
      <c r="J278" t="s">
        <v>114</v>
      </c>
      <c r="K278" s="22" t="e">
        <f t="shared" si="16"/>
        <v>#N/A</v>
      </c>
      <c r="L278" s="22" t="str">
        <f t="shared" si="17"/>
        <v/>
      </c>
    </row>
    <row r="279" spans="1:12" x14ac:dyDescent="0.25">
      <c r="A279">
        <v>4</v>
      </c>
      <c r="B279">
        <v>3</v>
      </c>
      <c r="C279">
        <v>17</v>
      </c>
      <c r="D279">
        <v>2</v>
      </c>
      <c r="E279" t="b">
        <v>0</v>
      </c>
      <c r="F279" s="22" t="str">
        <f t="shared" si="15"/>
        <v/>
      </c>
      <c r="G279" s="23" t="s">
        <v>168</v>
      </c>
      <c r="H279" s="23" t="s">
        <v>208</v>
      </c>
      <c r="I279" s="23" t="s">
        <v>37</v>
      </c>
      <c r="J279" t="s">
        <v>39</v>
      </c>
      <c r="K279" s="22" t="e">
        <f t="shared" si="16"/>
        <v>#N/A</v>
      </c>
      <c r="L279" s="22" t="str">
        <f t="shared" si="17"/>
        <v/>
      </c>
    </row>
    <row r="280" spans="1:12" x14ac:dyDescent="0.25">
      <c r="A280">
        <v>4</v>
      </c>
      <c r="B280">
        <v>3</v>
      </c>
      <c r="C280">
        <v>17</v>
      </c>
      <c r="D280">
        <v>3</v>
      </c>
      <c r="E280" t="b">
        <v>0</v>
      </c>
      <c r="F280" s="22" t="str">
        <f t="shared" si="15"/>
        <v/>
      </c>
      <c r="G280" s="23" t="s">
        <v>168</v>
      </c>
      <c r="H280" s="23" t="s">
        <v>209</v>
      </c>
      <c r="I280" s="23" t="s">
        <v>37</v>
      </c>
      <c r="J280" t="s">
        <v>40</v>
      </c>
      <c r="K280" s="22" t="e">
        <f t="shared" si="16"/>
        <v>#N/A</v>
      </c>
      <c r="L280" s="22" t="str">
        <f t="shared" si="17"/>
        <v/>
      </c>
    </row>
    <row r="281" spans="1:12" x14ac:dyDescent="0.25">
      <c r="A281">
        <v>4</v>
      </c>
      <c r="B281">
        <v>3</v>
      </c>
      <c r="C281">
        <v>17</v>
      </c>
      <c r="D281">
        <v>4</v>
      </c>
      <c r="E281" t="b">
        <v>0</v>
      </c>
      <c r="F281" s="22" t="str">
        <f t="shared" si="15"/>
        <v/>
      </c>
      <c r="G281" s="23" t="s">
        <v>168</v>
      </c>
      <c r="H281" s="23" t="s">
        <v>210</v>
      </c>
      <c r="I281" s="23" t="s">
        <v>37</v>
      </c>
      <c r="J281" t="s">
        <v>41</v>
      </c>
      <c r="K281" s="22" t="e">
        <f t="shared" si="16"/>
        <v>#N/A</v>
      </c>
      <c r="L281" s="22" t="str">
        <f t="shared" si="17"/>
        <v/>
      </c>
    </row>
    <row r="282" spans="1:12" x14ac:dyDescent="0.25">
      <c r="A282">
        <v>4</v>
      </c>
      <c r="B282">
        <v>3</v>
      </c>
      <c r="C282">
        <v>17</v>
      </c>
      <c r="D282">
        <v>5</v>
      </c>
      <c r="E282" t="b">
        <v>0</v>
      </c>
      <c r="F282" s="22" t="str">
        <f t="shared" si="15"/>
        <v/>
      </c>
      <c r="G282" s="23" t="s">
        <v>168</v>
      </c>
      <c r="H282" s="23" t="s">
        <v>211</v>
      </c>
      <c r="I282" s="23" t="s">
        <v>37</v>
      </c>
      <c r="J282" t="s">
        <v>38</v>
      </c>
      <c r="K282" s="22" t="e">
        <f t="shared" si="16"/>
        <v>#N/A</v>
      </c>
      <c r="L282" s="22" t="str">
        <f t="shared" si="17"/>
        <v/>
      </c>
    </row>
    <row r="283" spans="1:12" x14ac:dyDescent="0.25">
      <c r="A283">
        <v>4</v>
      </c>
      <c r="B283">
        <v>3</v>
      </c>
      <c r="C283">
        <v>17</v>
      </c>
      <c r="D283">
        <v>6</v>
      </c>
      <c r="E283" t="b">
        <v>0</v>
      </c>
      <c r="F283" s="22" t="str">
        <f t="shared" si="15"/>
        <v/>
      </c>
      <c r="G283" s="23" t="s">
        <v>168</v>
      </c>
      <c r="H283" s="23" t="s">
        <v>212</v>
      </c>
      <c r="I283" s="23" t="s">
        <v>37</v>
      </c>
      <c r="J283" t="s">
        <v>115</v>
      </c>
      <c r="K283" s="22" t="e">
        <f t="shared" si="16"/>
        <v>#N/A</v>
      </c>
      <c r="L283" s="22" t="str">
        <f t="shared" si="17"/>
        <v/>
      </c>
    </row>
    <row r="284" spans="1:12" x14ac:dyDescent="0.25">
      <c r="A284">
        <v>4</v>
      </c>
      <c r="B284">
        <v>3</v>
      </c>
      <c r="C284">
        <v>17</v>
      </c>
      <c r="D284">
        <v>7</v>
      </c>
      <c r="E284" t="b">
        <v>0</v>
      </c>
      <c r="F284" s="22" t="str">
        <f t="shared" si="15"/>
        <v/>
      </c>
      <c r="G284" s="23" t="s">
        <v>168</v>
      </c>
      <c r="H284" s="23" t="s">
        <v>213</v>
      </c>
      <c r="I284" s="23" t="s">
        <v>37</v>
      </c>
      <c r="J284" t="s">
        <v>116</v>
      </c>
      <c r="K284" s="22" t="e">
        <f t="shared" si="16"/>
        <v>#N/A</v>
      </c>
      <c r="L284" s="22" t="str">
        <f t="shared" si="17"/>
        <v/>
      </c>
    </row>
    <row r="285" spans="1:12" x14ac:dyDescent="0.25">
      <c r="A285">
        <v>4</v>
      </c>
      <c r="B285">
        <v>3</v>
      </c>
      <c r="C285">
        <v>17</v>
      </c>
      <c r="D285">
        <v>8</v>
      </c>
      <c r="E285" t="b">
        <v>0</v>
      </c>
      <c r="F285" s="22" t="str">
        <f t="shared" si="15"/>
        <v/>
      </c>
      <c r="G285" s="23" t="s">
        <v>168</v>
      </c>
      <c r="H285" s="23" t="s">
        <v>214</v>
      </c>
      <c r="I285" s="23" t="s">
        <v>37</v>
      </c>
      <c r="J285" t="s">
        <v>126</v>
      </c>
      <c r="K285" s="22" t="e">
        <f t="shared" si="16"/>
        <v>#N/A</v>
      </c>
      <c r="L285" s="22" t="str">
        <f t="shared" si="17"/>
        <v/>
      </c>
    </row>
    <row r="286" spans="1:12" x14ac:dyDescent="0.25">
      <c r="A286">
        <v>4</v>
      </c>
      <c r="B286">
        <v>3</v>
      </c>
      <c r="C286">
        <v>17</v>
      </c>
      <c r="D286">
        <v>9</v>
      </c>
      <c r="E286" t="b">
        <v>0</v>
      </c>
      <c r="F286" s="22" t="str">
        <f t="shared" si="15"/>
        <v/>
      </c>
      <c r="G286" s="23" t="s">
        <v>168</v>
      </c>
      <c r="H286" s="23" t="s">
        <v>215</v>
      </c>
      <c r="I286" s="23" t="s">
        <v>37</v>
      </c>
      <c r="J286" t="s">
        <v>45</v>
      </c>
      <c r="K286" s="22" t="e">
        <f t="shared" si="16"/>
        <v>#N/A</v>
      </c>
      <c r="L286" s="22" t="str">
        <f t="shared" si="17"/>
        <v/>
      </c>
    </row>
    <row r="287" spans="1:12" x14ac:dyDescent="0.25">
      <c r="A287">
        <v>4</v>
      </c>
      <c r="B287">
        <v>3</v>
      </c>
      <c r="C287">
        <v>17</v>
      </c>
      <c r="D287">
        <v>10</v>
      </c>
      <c r="E287" t="b">
        <v>0</v>
      </c>
      <c r="F287" s="22" t="str">
        <f t="shared" si="15"/>
        <v/>
      </c>
      <c r="G287" s="23" t="s">
        <v>168</v>
      </c>
      <c r="H287" s="23" t="s">
        <v>216</v>
      </c>
      <c r="I287" s="23" t="s">
        <v>37</v>
      </c>
      <c r="J287" t="s">
        <v>117</v>
      </c>
      <c r="K287" s="22" t="e">
        <f t="shared" si="16"/>
        <v>#N/A</v>
      </c>
      <c r="L287" s="22" t="str">
        <f t="shared" si="17"/>
        <v/>
      </c>
    </row>
    <row r="288" spans="1:12" x14ac:dyDescent="0.25">
      <c r="A288">
        <v>4</v>
      </c>
      <c r="B288">
        <v>3</v>
      </c>
      <c r="C288">
        <v>17</v>
      </c>
      <c r="D288">
        <v>11</v>
      </c>
      <c r="E288" t="b">
        <v>0</v>
      </c>
      <c r="F288" s="22" t="str">
        <f t="shared" si="15"/>
        <v/>
      </c>
      <c r="G288" s="23" t="s">
        <v>168</v>
      </c>
      <c r="H288" s="23" t="s">
        <v>217</v>
      </c>
      <c r="I288" s="23" t="s">
        <v>37</v>
      </c>
      <c r="J288" t="s">
        <v>118</v>
      </c>
      <c r="K288" s="22" t="e">
        <f t="shared" si="16"/>
        <v>#N/A</v>
      </c>
      <c r="L288" s="22" t="str">
        <f t="shared" si="17"/>
        <v/>
      </c>
    </row>
    <row r="289" spans="1:12" x14ac:dyDescent="0.25">
      <c r="A289">
        <v>4</v>
      </c>
      <c r="B289">
        <v>3</v>
      </c>
      <c r="C289">
        <v>17</v>
      </c>
      <c r="D289">
        <v>12</v>
      </c>
      <c r="E289" t="b">
        <v>0</v>
      </c>
      <c r="F289" s="22" t="str">
        <f t="shared" si="15"/>
        <v/>
      </c>
      <c r="G289" s="23" t="s">
        <v>168</v>
      </c>
      <c r="H289" s="23" t="s">
        <v>218</v>
      </c>
      <c r="I289" s="23" t="s">
        <v>37</v>
      </c>
      <c r="J289" t="s">
        <v>119</v>
      </c>
      <c r="K289" s="22" t="e">
        <f t="shared" si="16"/>
        <v>#N/A</v>
      </c>
      <c r="L289" s="22" t="str">
        <f t="shared" si="17"/>
        <v/>
      </c>
    </row>
    <row r="290" spans="1:12" x14ac:dyDescent="0.25">
      <c r="A290">
        <v>4</v>
      </c>
      <c r="B290">
        <v>3</v>
      </c>
      <c r="C290">
        <v>17</v>
      </c>
      <c r="D290">
        <v>13</v>
      </c>
      <c r="E290" t="b">
        <v>0</v>
      </c>
      <c r="F290" s="22" t="str">
        <f t="shared" si="15"/>
        <v/>
      </c>
      <c r="G290" s="23" t="s">
        <v>168</v>
      </c>
      <c r="H290" s="23" t="s">
        <v>219</v>
      </c>
      <c r="I290" s="23" t="s">
        <v>37</v>
      </c>
      <c r="J290" t="s">
        <v>127</v>
      </c>
      <c r="K290" s="22" t="e">
        <f t="shared" si="16"/>
        <v>#N/A</v>
      </c>
      <c r="L290" s="22" t="str">
        <f t="shared" si="17"/>
        <v/>
      </c>
    </row>
    <row r="291" spans="1:12" x14ac:dyDescent="0.25">
      <c r="A291">
        <v>4</v>
      </c>
      <c r="B291">
        <v>3</v>
      </c>
      <c r="C291">
        <v>17</v>
      </c>
      <c r="D291">
        <v>14</v>
      </c>
      <c r="E291" t="b">
        <v>0</v>
      </c>
      <c r="F291" s="22" t="str">
        <f t="shared" si="15"/>
        <v/>
      </c>
      <c r="G291" s="23" t="s">
        <v>168</v>
      </c>
      <c r="H291" s="23" t="s">
        <v>220</v>
      </c>
      <c r="I291" s="23" t="s">
        <v>37</v>
      </c>
      <c r="J291" t="s">
        <v>120</v>
      </c>
      <c r="K291" s="22" t="e">
        <f t="shared" si="16"/>
        <v>#N/A</v>
      </c>
      <c r="L291" s="22" t="str">
        <f t="shared" si="17"/>
        <v/>
      </c>
    </row>
    <row r="292" spans="1:12" x14ac:dyDescent="0.25">
      <c r="A292">
        <v>4</v>
      </c>
      <c r="B292">
        <v>3</v>
      </c>
      <c r="C292">
        <v>17</v>
      </c>
      <c r="D292">
        <v>15</v>
      </c>
      <c r="E292" t="b">
        <v>0</v>
      </c>
      <c r="F292" s="22" t="str">
        <f t="shared" si="15"/>
        <v/>
      </c>
      <c r="G292" s="23" t="s">
        <v>168</v>
      </c>
      <c r="H292" s="23" t="s">
        <v>221</v>
      </c>
      <c r="I292" s="23" t="s">
        <v>37</v>
      </c>
      <c r="J292" t="s">
        <v>42</v>
      </c>
      <c r="K292" s="22" t="e">
        <f t="shared" si="16"/>
        <v>#N/A</v>
      </c>
      <c r="L292" s="22" t="str">
        <f t="shared" si="17"/>
        <v/>
      </c>
    </row>
    <row r="293" spans="1:12" x14ac:dyDescent="0.25">
      <c r="A293">
        <v>4</v>
      </c>
      <c r="B293">
        <v>3</v>
      </c>
      <c r="C293">
        <v>17</v>
      </c>
      <c r="D293">
        <v>16</v>
      </c>
      <c r="E293" t="b">
        <v>0</v>
      </c>
      <c r="F293" s="22" t="str">
        <f t="shared" si="15"/>
        <v/>
      </c>
      <c r="G293" s="23" t="s">
        <v>168</v>
      </c>
      <c r="H293" s="23" t="s">
        <v>222</v>
      </c>
      <c r="I293" s="23" t="s">
        <v>37</v>
      </c>
      <c r="J293" t="s">
        <v>121</v>
      </c>
      <c r="K293" s="22" t="e">
        <f t="shared" si="16"/>
        <v>#N/A</v>
      </c>
      <c r="L293" s="22" t="str">
        <f t="shared" si="17"/>
        <v/>
      </c>
    </row>
    <row r="294" spans="1:12" x14ac:dyDescent="0.25">
      <c r="A294">
        <v>4</v>
      </c>
      <c r="B294">
        <v>3</v>
      </c>
      <c r="C294">
        <v>17</v>
      </c>
      <c r="D294">
        <v>17</v>
      </c>
      <c r="E294" t="b">
        <v>1</v>
      </c>
      <c r="F294" s="22" t="str">
        <f t="shared" si="15"/>
        <v/>
      </c>
      <c r="G294" s="23" t="s">
        <v>168</v>
      </c>
      <c r="H294" s="23" t="s">
        <v>223</v>
      </c>
      <c r="I294" s="23" t="s">
        <v>37</v>
      </c>
      <c r="J294" t="s">
        <v>44</v>
      </c>
      <c r="K294" s="22" t="e">
        <f t="shared" si="16"/>
        <v>#N/A</v>
      </c>
      <c r="L294" s="22" t="str">
        <f t="shared" si="17"/>
        <v/>
      </c>
    </row>
    <row r="295" spans="1:12" x14ac:dyDescent="0.25">
      <c r="A295">
        <v>4</v>
      </c>
      <c r="B295">
        <v>4</v>
      </c>
      <c r="C295">
        <v>9</v>
      </c>
      <c r="D295">
        <v>1</v>
      </c>
      <c r="E295" t="b">
        <v>0</v>
      </c>
      <c r="F295" s="22" t="str">
        <f t="shared" si="15"/>
        <v/>
      </c>
      <c r="G295" s="23" t="s">
        <v>169</v>
      </c>
      <c r="H295" s="23" t="s">
        <v>224</v>
      </c>
      <c r="I295" s="23" t="s">
        <v>25</v>
      </c>
      <c r="J295" t="s">
        <v>122</v>
      </c>
      <c r="K295" s="22" t="e">
        <f t="shared" si="16"/>
        <v>#N/A</v>
      </c>
      <c r="L295" s="22" t="str">
        <f t="shared" si="17"/>
        <v/>
      </c>
    </row>
    <row r="296" spans="1:12" x14ac:dyDescent="0.25">
      <c r="A296">
        <v>4</v>
      </c>
      <c r="B296">
        <v>4</v>
      </c>
      <c r="C296">
        <v>9</v>
      </c>
      <c r="D296">
        <v>2</v>
      </c>
      <c r="E296" t="b">
        <v>0</v>
      </c>
      <c r="F296" s="22" t="str">
        <f t="shared" si="15"/>
        <v/>
      </c>
      <c r="G296" s="23" t="s">
        <v>169</v>
      </c>
      <c r="H296" s="23" t="s">
        <v>225</v>
      </c>
      <c r="I296" s="23" t="s">
        <v>25</v>
      </c>
      <c r="J296" t="s">
        <v>26</v>
      </c>
      <c r="K296" s="22" t="e">
        <f t="shared" si="16"/>
        <v>#N/A</v>
      </c>
      <c r="L296" s="22" t="str">
        <f t="shared" si="17"/>
        <v/>
      </c>
    </row>
    <row r="297" spans="1:12" x14ac:dyDescent="0.25">
      <c r="A297">
        <v>4</v>
      </c>
      <c r="B297">
        <v>4</v>
      </c>
      <c r="C297">
        <v>9</v>
      </c>
      <c r="D297">
        <v>3</v>
      </c>
      <c r="E297" t="b">
        <v>0</v>
      </c>
      <c r="F297" s="22" t="str">
        <f t="shared" si="15"/>
        <v/>
      </c>
      <c r="G297" s="23" t="s">
        <v>169</v>
      </c>
      <c r="H297" s="23" t="s">
        <v>226</v>
      </c>
      <c r="I297" s="23" t="s">
        <v>25</v>
      </c>
      <c r="J297" t="s">
        <v>27</v>
      </c>
      <c r="K297" s="22" t="e">
        <f t="shared" si="16"/>
        <v>#N/A</v>
      </c>
      <c r="L297" s="22" t="str">
        <f t="shared" si="17"/>
        <v/>
      </c>
    </row>
    <row r="298" spans="1:12" x14ac:dyDescent="0.25">
      <c r="A298">
        <v>4</v>
      </c>
      <c r="B298">
        <v>4</v>
      </c>
      <c r="C298">
        <v>9</v>
      </c>
      <c r="D298">
        <v>4</v>
      </c>
      <c r="E298" t="b">
        <v>0</v>
      </c>
      <c r="F298" s="22" t="str">
        <f t="shared" si="15"/>
        <v/>
      </c>
      <c r="G298" s="23" t="s">
        <v>169</v>
      </c>
      <c r="H298" s="23" t="s">
        <v>227</v>
      </c>
      <c r="I298" s="23" t="s">
        <v>25</v>
      </c>
      <c r="J298" t="s">
        <v>28</v>
      </c>
      <c r="K298" s="22" t="e">
        <f t="shared" si="16"/>
        <v>#N/A</v>
      </c>
      <c r="L298" s="22" t="str">
        <f t="shared" si="17"/>
        <v/>
      </c>
    </row>
    <row r="299" spans="1:12" x14ac:dyDescent="0.25">
      <c r="A299">
        <v>4</v>
      </c>
      <c r="B299">
        <v>4</v>
      </c>
      <c r="C299">
        <v>9</v>
      </c>
      <c r="D299">
        <v>5</v>
      </c>
      <c r="E299" t="b">
        <v>0</v>
      </c>
      <c r="F299" s="22" t="str">
        <f t="shared" si="15"/>
        <v/>
      </c>
      <c r="G299" s="23" t="s">
        <v>169</v>
      </c>
      <c r="H299" s="23" t="s">
        <v>228</v>
      </c>
      <c r="I299" s="23" t="s">
        <v>25</v>
      </c>
      <c r="J299" t="s">
        <v>128</v>
      </c>
      <c r="K299" s="22" t="e">
        <f t="shared" si="16"/>
        <v>#N/A</v>
      </c>
      <c r="L299" s="22" t="str">
        <f t="shared" si="17"/>
        <v/>
      </c>
    </row>
    <row r="300" spans="1:12" x14ac:dyDescent="0.25">
      <c r="A300">
        <v>4</v>
      </c>
      <c r="B300">
        <v>4</v>
      </c>
      <c r="C300">
        <v>9</v>
      </c>
      <c r="D300">
        <v>6</v>
      </c>
      <c r="E300" t="b">
        <v>0</v>
      </c>
      <c r="F300" s="22" t="str">
        <f t="shared" si="15"/>
        <v/>
      </c>
      <c r="G300" s="23" t="s">
        <v>169</v>
      </c>
      <c r="H300" s="23" t="s">
        <v>229</v>
      </c>
      <c r="I300" s="23" t="s">
        <v>25</v>
      </c>
      <c r="J300" t="s">
        <v>29</v>
      </c>
      <c r="K300" s="22" t="e">
        <f t="shared" si="16"/>
        <v>#N/A</v>
      </c>
      <c r="L300" s="22" t="str">
        <f t="shared" si="17"/>
        <v/>
      </c>
    </row>
    <row r="301" spans="1:12" x14ac:dyDescent="0.25">
      <c r="A301">
        <v>4</v>
      </c>
      <c r="B301">
        <v>4</v>
      </c>
      <c r="C301">
        <v>9</v>
      </c>
      <c r="D301">
        <v>7</v>
      </c>
      <c r="E301" t="b">
        <v>0</v>
      </c>
      <c r="F301" s="22" t="str">
        <f t="shared" si="15"/>
        <v/>
      </c>
      <c r="G301" s="23" t="s">
        <v>169</v>
      </c>
      <c r="H301" s="23" t="s">
        <v>230</v>
      </c>
      <c r="I301" s="23" t="s">
        <v>25</v>
      </c>
      <c r="J301" t="s">
        <v>30</v>
      </c>
      <c r="K301" s="22" t="e">
        <f t="shared" si="16"/>
        <v>#N/A</v>
      </c>
      <c r="L301" s="22" t="str">
        <f t="shared" si="17"/>
        <v/>
      </c>
    </row>
    <row r="302" spans="1:12" x14ac:dyDescent="0.25">
      <c r="A302">
        <v>4</v>
      </c>
      <c r="B302">
        <v>4</v>
      </c>
      <c r="C302">
        <v>9</v>
      </c>
      <c r="D302">
        <v>8</v>
      </c>
      <c r="E302" t="b">
        <v>0</v>
      </c>
      <c r="F302" s="22" t="str">
        <f t="shared" si="15"/>
        <v/>
      </c>
      <c r="G302" s="23" t="s">
        <v>169</v>
      </c>
      <c r="H302" s="23" t="s">
        <v>231</v>
      </c>
      <c r="I302" s="23" t="s">
        <v>25</v>
      </c>
      <c r="J302" t="s">
        <v>31</v>
      </c>
      <c r="K302" s="22" t="e">
        <f t="shared" si="16"/>
        <v>#N/A</v>
      </c>
      <c r="L302" s="22" t="str">
        <f t="shared" si="17"/>
        <v/>
      </c>
    </row>
    <row r="303" spans="1:12" x14ac:dyDescent="0.25">
      <c r="A303">
        <v>4</v>
      </c>
      <c r="B303">
        <v>4</v>
      </c>
      <c r="C303">
        <v>9</v>
      </c>
      <c r="D303">
        <v>9</v>
      </c>
      <c r="E303" t="b">
        <v>1</v>
      </c>
      <c r="F303" s="22" t="str">
        <f t="shared" si="15"/>
        <v/>
      </c>
      <c r="G303" s="23" t="s">
        <v>169</v>
      </c>
      <c r="H303" s="23" t="s">
        <v>232</v>
      </c>
      <c r="I303" s="23" t="s">
        <v>25</v>
      </c>
      <c r="J303" t="s">
        <v>43</v>
      </c>
      <c r="K303" s="22" t="e">
        <f t="shared" si="16"/>
        <v>#N/A</v>
      </c>
      <c r="L303" s="22" t="str">
        <f t="shared" si="17"/>
        <v/>
      </c>
    </row>
    <row r="304" spans="1:12" x14ac:dyDescent="0.25">
      <c r="A304">
        <v>4</v>
      </c>
      <c r="B304">
        <v>5</v>
      </c>
      <c r="C304">
        <v>9</v>
      </c>
      <c r="D304">
        <v>1</v>
      </c>
      <c r="E304" t="b">
        <v>0</v>
      </c>
      <c r="F304" s="22" t="str">
        <f t="shared" si="15"/>
        <v/>
      </c>
      <c r="G304" s="23" t="s">
        <v>166</v>
      </c>
      <c r="H304" s="23" t="s">
        <v>233</v>
      </c>
      <c r="I304" s="23" t="s">
        <v>32</v>
      </c>
      <c r="J304" t="s">
        <v>33</v>
      </c>
      <c r="K304" s="22" t="e">
        <f t="shared" si="16"/>
        <v>#N/A</v>
      </c>
      <c r="L304" s="22" t="str">
        <f t="shared" si="17"/>
        <v/>
      </c>
    </row>
    <row r="305" spans="1:12" x14ac:dyDescent="0.25">
      <c r="A305">
        <v>4</v>
      </c>
      <c r="B305">
        <v>5</v>
      </c>
      <c r="C305">
        <v>9</v>
      </c>
      <c r="D305">
        <v>2</v>
      </c>
      <c r="E305" t="b">
        <v>0</v>
      </c>
      <c r="F305" s="22" t="str">
        <f t="shared" si="15"/>
        <v/>
      </c>
      <c r="G305" s="23" t="s">
        <v>166</v>
      </c>
      <c r="H305" s="23" t="s">
        <v>234</v>
      </c>
      <c r="I305" s="23" t="s">
        <v>32</v>
      </c>
      <c r="J305" t="s">
        <v>34</v>
      </c>
      <c r="K305" s="22" t="e">
        <f t="shared" si="16"/>
        <v>#N/A</v>
      </c>
      <c r="L305" s="22" t="str">
        <f t="shared" si="17"/>
        <v/>
      </c>
    </row>
    <row r="306" spans="1:12" x14ac:dyDescent="0.25">
      <c r="A306">
        <v>4</v>
      </c>
      <c r="B306">
        <v>5</v>
      </c>
      <c r="C306">
        <v>9</v>
      </c>
      <c r="D306">
        <v>3</v>
      </c>
      <c r="E306" t="b">
        <v>0</v>
      </c>
      <c r="F306" s="22" t="str">
        <f t="shared" si="15"/>
        <v/>
      </c>
      <c r="G306" s="23" t="s">
        <v>166</v>
      </c>
      <c r="H306" s="23" t="s">
        <v>235</v>
      </c>
      <c r="I306" s="23" t="s">
        <v>32</v>
      </c>
      <c r="J306" t="s">
        <v>35</v>
      </c>
      <c r="K306" s="22" t="e">
        <f t="shared" si="16"/>
        <v>#N/A</v>
      </c>
      <c r="L306" s="22" t="str">
        <f t="shared" si="17"/>
        <v/>
      </c>
    </row>
    <row r="307" spans="1:12" x14ac:dyDescent="0.25">
      <c r="A307">
        <v>4</v>
      </c>
      <c r="B307">
        <v>5</v>
      </c>
      <c r="C307">
        <v>9</v>
      </c>
      <c r="D307">
        <v>4</v>
      </c>
      <c r="E307" t="b">
        <v>0</v>
      </c>
      <c r="F307" s="22" t="str">
        <f t="shared" si="15"/>
        <v/>
      </c>
      <c r="G307" s="23" t="s">
        <v>166</v>
      </c>
      <c r="H307" s="23" t="s">
        <v>236</v>
      </c>
      <c r="I307" s="23" t="s">
        <v>32</v>
      </c>
      <c r="J307" t="s">
        <v>123</v>
      </c>
      <c r="K307" s="22" t="e">
        <f t="shared" si="16"/>
        <v>#N/A</v>
      </c>
      <c r="L307" s="22" t="str">
        <f t="shared" si="17"/>
        <v/>
      </c>
    </row>
    <row r="308" spans="1:12" x14ac:dyDescent="0.25">
      <c r="A308">
        <v>4</v>
      </c>
      <c r="B308">
        <v>5</v>
      </c>
      <c r="C308">
        <v>9</v>
      </c>
      <c r="D308">
        <v>5</v>
      </c>
      <c r="E308" t="b">
        <v>0</v>
      </c>
      <c r="F308" s="22" t="str">
        <f t="shared" si="15"/>
        <v/>
      </c>
      <c r="G308" s="23" t="s">
        <v>166</v>
      </c>
      <c r="H308" s="23" t="s">
        <v>237</v>
      </c>
      <c r="I308" s="23" t="s">
        <v>32</v>
      </c>
      <c r="J308" t="s">
        <v>124</v>
      </c>
      <c r="K308" s="22" t="e">
        <f t="shared" si="16"/>
        <v>#N/A</v>
      </c>
      <c r="L308" s="22" t="str">
        <f t="shared" si="17"/>
        <v/>
      </c>
    </row>
    <row r="309" spans="1:12" x14ac:dyDescent="0.25">
      <c r="A309">
        <v>4</v>
      </c>
      <c r="B309">
        <v>5</v>
      </c>
      <c r="C309">
        <v>9</v>
      </c>
      <c r="D309">
        <v>6</v>
      </c>
      <c r="E309" t="b">
        <v>0</v>
      </c>
      <c r="F309" s="22" t="str">
        <f t="shared" si="15"/>
        <v/>
      </c>
      <c r="G309" s="23" t="s">
        <v>166</v>
      </c>
      <c r="H309" s="23" t="s">
        <v>238</v>
      </c>
      <c r="I309" s="23" t="s">
        <v>32</v>
      </c>
      <c r="J309" t="s">
        <v>129</v>
      </c>
      <c r="K309" s="22" t="e">
        <f t="shared" si="16"/>
        <v>#N/A</v>
      </c>
      <c r="L309" s="22" t="str">
        <f t="shared" si="17"/>
        <v/>
      </c>
    </row>
    <row r="310" spans="1:12" x14ac:dyDescent="0.25">
      <c r="A310">
        <v>4</v>
      </c>
      <c r="B310">
        <v>5</v>
      </c>
      <c r="C310">
        <v>9</v>
      </c>
      <c r="D310">
        <v>7</v>
      </c>
      <c r="E310" t="b">
        <v>0</v>
      </c>
      <c r="F310" s="22" t="str">
        <f t="shared" si="15"/>
        <v/>
      </c>
      <c r="G310" s="23" t="s">
        <v>166</v>
      </c>
      <c r="H310" s="23" t="s">
        <v>239</v>
      </c>
      <c r="I310" s="23" t="s">
        <v>32</v>
      </c>
      <c r="J310" t="s">
        <v>125</v>
      </c>
      <c r="K310" s="22" t="e">
        <f t="shared" si="16"/>
        <v>#N/A</v>
      </c>
      <c r="L310" s="22" t="str">
        <f t="shared" si="17"/>
        <v/>
      </c>
    </row>
    <row r="311" spans="1:12" x14ac:dyDescent="0.25">
      <c r="A311">
        <v>4</v>
      </c>
      <c r="B311">
        <v>5</v>
      </c>
      <c r="C311">
        <v>9</v>
      </c>
      <c r="D311">
        <v>8</v>
      </c>
      <c r="E311" t="b">
        <v>0</v>
      </c>
      <c r="F311" s="22" t="str">
        <f t="shared" si="15"/>
        <v/>
      </c>
      <c r="G311" s="23" t="s">
        <v>166</v>
      </c>
      <c r="H311" s="23" t="s">
        <v>240</v>
      </c>
      <c r="I311" s="23" t="s">
        <v>32</v>
      </c>
      <c r="J311" t="s">
        <v>36</v>
      </c>
      <c r="K311" s="22" t="e">
        <f t="shared" si="16"/>
        <v>#N/A</v>
      </c>
      <c r="L311" s="22" t="str">
        <f t="shared" si="17"/>
        <v/>
      </c>
    </row>
    <row r="312" spans="1:12" x14ac:dyDescent="0.25">
      <c r="A312">
        <v>4</v>
      </c>
      <c r="B312">
        <v>5</v>
      </c>
      <c r="C312">
        <v>9</v>
      </c>
      <c r="D312">
        <v>9</v>
      </c>
      <c r="E312" t="b">
        <v>1</v>
      </c>
      <c r="F312" s="22" t="str">
        <f t="shared" si="15"/>
        <v/>
      </c>
      <c r="G312" s="23" t="s">
        <v>166</v>
      </c>
      <c r="H312" s="23" t="s">
        <v>241</v>
      </c>
      <c r="I312" s="23" t="s">
        <v>32</v>
      </c>
      <c r="J312" t="s">
        <v>47</v>
      </c>
      <c r="K312" s="22" t="e">
        <f t="shared" si="16"/>
        <v>#N/A</v>
      </c>
      <c r="L312" s="22" t="str">
        <f t="shared" si="17"/>
        <v/>
      </c>
    </row>
    <row r="313" spans="1:12" x14ac:dyDescent="0.25">
      <c r="A313">
        <v>4</v>
      </c>
      <c r="B313">
        <v>6</v>
      </c>
      <c r="C313">
        <v>11</v>
      </c>
      <c r="D313">
        <v>1</v>
      </c>
      <c r="E313" t="b">
        <v>0</v>
      </c>
      <c r="F313" s="22" t="str">
        <f t="shared" si="15"/>
        <v/>
      </c>
      <c r="G313" s="23" t="s">
        <v>170</v>
      </c>
      <c r="H313" s="23" t="s">
        <v>242</v>
      </c>
      <c r="I313" s="23" t="s">
        <v>149</v>
      </c>
      <c r="J313" t="s">
        <v>150</v>
      </c>
      <c r="K313" s="22" t="e">
        <f t="shared" si="16"/>
        <v>#N/A</v>
      </c>
      <c r="L313" s="22" t="str">
        <f t="shared" si="17"/>
        <v/>
      </c>
    </row>
    <row r="314" spans="1:12" x14ac:dyDescent="0.25">
      <c r="A314">
        <v>4</v>
      </c>
      <c r="B314">
        <v>6</v>
      </c>
      <c r="C314">
        <v>11</v>
      </c>
      <c r="D314">
        <v>2</v>
      </c>
      <c r="E314" t="b">
        <v>0</v>
      </c>
      <c r="F314" s="22" t="str">
        <f t="shared" si="15"/>
        <v/>
      </c>
      <c r="G314" s="23" t="s">
        <v>170</v>
      </c>
      <c r="H314" s="23" t="s">
        <v>243</v>
      </c>
      <c r="I314" s="23" t="s">
        <v>149</v>
      </c>
      <c r="J314" t="s">
        <v>151</v>
      </c>
      <c r="K314" s="22" t="e">
        <f t="shared" si="16"/>
        <v>#N/A</v>
      </c>
      <c r="L314" s="22" t="str">
        <f t="shared" si="17"/>
        <v/>
      </c>
    </row>
    <row r="315" spans="1:12" x14ac:dyDescent="0.25">
      <c r="A315">
        <v>4</v>
      </c>
      <c r="B315">
        <v>6</v>
      </c>
      <c r="C315">
        <v>11</v>
      </c>
      <c r="D315">
        <v>3</v>
      </c>
      <c r="E315" t="b">
        <v>0</v>
      </c>
      <c r="F315" s="22" t="str">
        <f t="shared" si="15"/>
        <v/>
      </c>
      <c r="G315" s="23" t="s">
        <v>170</v>
      </c>
      <c r="H315" s="23" t="s">
        <v>244</v>
      </c>
      <c r="I315" s="23" t="s">
        <v>149</v>
      </c>
      <c r="J315" t="s">
        <v>152</v>
      </c>
      <c r="K315" s="22" t="e">
        <f t="shared" si="16"/>
        <v>#N/A</v>
      </c>
      <c r="L315" s="22" t="str">
        <f t="shared" si="17"/>
        <v/>
      </c>
    </row>
    <row r="316" spans="1:12" x14ac:dyDescent="0.25">
      <c r="A316">
        <v>4</v>
      </c>
      <c r="B316">
        <v>6</v>
      </c>
      <c r="C316">
        <v>11</v>
      </c>
      <c r="D316">
        <v>4</v>
      </c>
      <c r="E316" t="b">
        <v>0</v>
      </c>
      <c r="F316" s="22" t="str">
        <f t="shared" si="15"/>
        <v/>
      </c>
      <c r="G316" s="23" t="s">
        <v>170</v>
      </c>
      <c r="H316" s="23" t="s">
        <v>245</v>
      </c>
      <c r="I316" s="23" t="s">
        <v>149</v>
      </c>
      <c r="J316" t="s">
        <v>153</v>
      </c>
      <c r="K316" s="22" t="e">
        <f t="shared" si="16"/>
        <v>#N/A</v>
      </c>
      <c r="L316" s="22" t="str">
        <f t="shared" si="17"/>
        <v/>
      </c>
    </row>
    <row r="317" spans="1:12" x14ac:dyDescent="0.25">
      <c r="A317">
        <v>4</v>
      </c>
      <c r="B317">
        <v>6</v>
      </c>
      <c r="C317">
        <v>11</v>
      </c>
      <c r="D317">
        <v>5</v>
      </c>
      <c r="E317" t="b">
        <v>0</v>
      </c>
      <c r="F317" s="22" t="str">
        <f t="shared" si="15"/>
        <v/>
      </c>
      <c r="G317" s="23" t="s">
        <v>170</v>
      </c>
      <c r="H317" s="23" t="s">
        <v>246</v>
      </c>
      <c r="I317" s="23" t="s">
        <v>149</v>
      </c>
      <c r="J317" t="s">
        <v>154</v>
      </c>
      <c r="K317" s="22" t="e">
        <f t="shared" si="16"/>
        <v>#N/A</v>
      </c>
      <c r="L317" s="22" t="str">
        <f t="shared" si="17"/>
        <v/>
      </c>
    </row>
    <row r="318" spans="1:12" x14ac:dyDescent="0.25">
      <c r="A318">
        <v>4</v>
      </c>
      <c r="B318">
        <v>6</v>
      </c>
      <c r="C318">
        <v>11</v>
      </c>
      <c r="D318">
        <v>6</v>
      </c>
      <c r="E318" t="b">
        <v>0</v>
      </c>
      <c r="F318" s="22" t="str">
        <f t="shared" si="15"/>
        <v/>
      </c>
      <c r="G318" s="23" t="s">
        <v>170</v>
      </c>
      <c r="H318" s="23" t="s">
        <v>247</v>
      </c>
      <c r="I318" s="23" t="s">
        <v>149</v>
      </c>
      <c r="J318" t="s">
        <v>155</v>
      </c>
      <c r="K318" s="22" t="e">
        <f t="shared" si="16"/>
        <v>#N/A</v>
      </c>
      <c r="L318" s="22" t="str">
        <f t="shared" si="17"/>
        <v/>
      </c>
    </row>
    <row r="319" spans="1:12" x14ac:dyDescent="0.25">
      <c r="A319">
        <v>4</v>
      </c>
      <c r="B319">
        <v>6</v>
      </c>
      <c r="C319">
        <v>11</v>
      </c>
      <c r="D319">
        <v>7</v>
      </c>
      <c r="E319" t="b">
        <v>0</v>
      </c>
      <c r="F319" s="22" t="str">
        <f t="shared" si="15"/>
        <v/>
      </c>
      <c r="G319" s="23" t="s">
        <v>170</v>
      </c>
      <c r="H319" s="23" t="s">
        <v>248</v>
      </c>
      <c r="I319" s="23" t="s">
        <v>149</v>
      </c>
      <c r="J319" t="s">
        <v>156</v>
      </c>
      <c r="K319" s="22" t="e">
        <f t="shared" si="16"/>
        <v>#N/A</v>
      </c>
      <c r="L319" s="22" t="str">
        <f t="shared" si="17"/>
        <v/>
      </c>
    </row>
    <row r="320" spans="1:12" x14ac:dyDescent="0.25">
      <c r="A320">
        <v>4</v>
      </c>
      <c r="B320">
        <v>6</v>
      </c>
      <c r="C320">
        <v>11</v>
      </c>
      <c r="D320">
        <v>8</v>
      </c>
      <c r="E320" t="b">
        <v>0</v>
      </c>
      <c r="F320" s="22" t="str">
        <f t="shared" si="15"/>
        <v/>
      </c>
      <c r="G320" s="23" t="s">
        <v>170</v>
      </c>
      <c r="H320" s="23" t="s">
        <v>249</v>
      </c>
      <c r="I320" s="23" t="s">
        <v>149</v>
      </c>
      <c r="J320" t="s">
        <v>157</v>
      </c>
      <c r="K320" s="22" t="e">
        <f t="shared" si="16"/>
        <v>#N/A</v>
      </c>
      <c r="L320" s="22" t="str">
        <f t="shared" si="17"/>
        <v/>
      </c>
    </row>
    <row r="321" spans="1:12" x14ac:dyDescent="0.25">
      <c r="A321">
        <v>4</v>
      </c>
      <c r="B321">
        <v>6</v>
      </c>
      <c r="C321">
        <v>11</v>
      </c>
      <c r="D321">
        <v>9</v>
      </c>
      <c r="E321" t="b">
        <v>0</v>
      </c>
      <c r="F321" s="22" t="str">
        <f t="shared" si="15"/>
        <v/>
      </c>
      <c r="G321" s="23" t="s">
        <v>170</v>
      </c>
      <c r="H321" s="23" t="s">
        <v>250</v>
      </c>
      <c r="I321" s="23" t="s">
        <v>149</v>
      </c>
      <c r="J321" t="s">
        <v>158</v>
      </c>
      <c r="K321" s="22" t="e">
        <f t="shared" si="16"/>
        <v>#N/A</v>
      </c>
      <c r="L321" s="22" t="str">
        <f t="shared" si="17"/>
        <v/>
      </c>
    </row>
    <row r="322" spans="1:12" x14ac:dyDescent="0.25">
      <c r="A322">
        <v>4</v>
      </c>
      <c r="B322">
        <v>6</v>
      </c>
      <c r="C322">
        <v>11</v>
      </c>
      <c r="D322">
        <v>10</v>
      </c>
      <c r="E322" t="b">
        <v>0</v>
      </c>
      <c r="F322" s="22" t="str">
        <f t="shared" si="15"/>
        <v/>
      </c>
      <c r="G322" s="23" t="s">
        <v>170</v>
      </c>
      <c r="H322" s="23" t="s">
        <v>251</v>
      </c>
      <c r="I322" s="23" t="s">
        <v>149</v>
      </c>
      <c r="J322" t="s">
        <v>159</v>
      </c>
      <c r="K322" s="22" t="e">
        <f t="shared" si="16"/>
        <v>#N/A</v>
      </c>
      <c r="L322" s="22" t="str">
        <f t="shared" si="17"/>
        <v/>
      </c>
    </row>
    <row r="323" spans="1:12" x14ac:dyDescent="0.25">
      <c r="A323">
        <v>4</v>
      </c>
      <c r="B323">
        <v>6</v>
      </c>
      <c r="C323">
        <v>11</v>
      </c>
      <c r="D323">
        <v>11</v>
      </c>
      <c r="E323" t="b">
        <v>1</v>
      </c>
      <c r="F323" s="22" t="str">
        <f t="shared" si="15"/>
        <v/>
      </c>
      <c r="G323" s="23" t="s">
        <v>170</v>
      </c>
      <c r="H323" s="23" t="s">
        <v>252</v>
      </c>
      <c r="I323" s="23" t="s">
        <v>149</v>
      </c>
      <c r="J323" t="s">
        <v>160</v>
      </c>
      <c r="K323" s="22" t="e">
        <f t="shared" si="16"/>
        <v>#N/A</v>
      </c>
      <c r="L323" s="22" t="str">
        <f t="shared" si="17"/>
        <v/>
      </c>
    </row>
    <row r="324" spans="1:12" x14ac:dyDescent="0.25">
      <c r="A324">
        <v>5</v>
      </c>
      <c r="B324">
        <v>1</v>
      </c>
      <c r="C324">
        <v>18</v>
      </c>
      <c r="D324">
        <v>1</v>
      </c>
      <c r="E324" t="b">
        <v>0</v>
      </c>
      <c r="F324" s="22" t="str">
        <f t="shared" ref="F324:F387" si="18">VLOOKUP("Assessment #"&amp;$A324, DateMeta, MATCH("DisplDate", DateMeta_H, 0), 0)</f>
        <v/>
      </c>
      <c r="G324" s="23" t="s">
        <v>167</v>
      </c>
      <c r="H324" s="23" t="s">
        <v>253</v>
      </c>
      <c r="I324" s="23" t="s">
        <v>2</v>
      </c>
      <c r="J324" t="s">
        <v>3</v>
      </c>
      <c r="K324" s="22" t="e">
        <f t="shared" ref="K324:K387" si="19">IF(INDEX(Assess, MATCH($J324, ItemLong, 0), MATCH("Assessment #"&amp;$A324, Assess_H, 0))="", "", INDEX(Assess, MATCH($J324, ItemLong, 0), MATCH("Assessment #"&amp;$A324, Assess_H, 0)))</f>
        <v>#N/A</v>
      </c>
      <c r="L324" s="22" t="str">
        <f t="shared" si="17"/>
        <v/>
      </c>
    </row>
    <row r="325" spans="1:12" x14ac:dyDescent="0.25">
      <c r="A325">
        <v>5</v>
      </c>
      <c r="B325">
        <v>1</v>
      </c>
      <c r="C325">
        <v>18</v>
      </c>
      <c r="D325">
        <v>2</v>
      </c>
      <c r="E325" t="b">
        <v>0</v>
      </c>
      <c r="F325" s="22" t="str">
        <f t="shared" si="18"/>
        <v/>
      </c>
      <c r="G325" s="23" t="s">
        <v>167</v>
      </c>
      <c r="H325" s="23" t="s">
        <v>254</v>
      </c>
      <c r="I325" s="23" t="s">
        <v>2</v>
      </c>
      <c r="J325" t="s">
        <v>4</v>
      </c>
      <c r="K325" s="22" t="e">
        <f t="shared" si="19"/>
        <v>#N/A</v>
      </c>
      <c r="L325" s="22" t="str">
        <f t="shared" ref="L325:L388" si="20">IF(ISNUMBER(K325), IF(K325&gt;=2, 1, 0), "")</f>
        <v/>
      </c>
    </row>
    <row r="326" spans="1:12" x14ac:dyDescent="0.25">
      <c r="A326">
        <v>5</v>
      </c>
      <c r="B326">
        <v>1</v>
      </c>
      <c r="C326">
        <v>18</v>
      </c>
      <c r="D326">
        <v>3</v>
      </c>
      <c r="E326" t="b">
        <v>0</v>
      </c>
      <c r="F326" s="22" t="str">
        <f t="shared" si="18"/>
        <v/>
      </c>
      <c r="G326" s="23" t="s">
        <v>167</v>
      </c>
      <c r="H326" s="23" t="s">
        <v>175</v>
      </c>
      <c r="I326" s="23" t="s">
        <v>2</v>
      </c>
      <c r="J326" t="s">
        <v>5</v>
      </c>
      <c r="K326" s="22" t="e">
        <f t="shared" si="19"/>
        <v>#N/A</v>
      </c>
      <c r="L326" s="22" t="str">
        <f t="shared" si="20"/>
        <v/>
      </c>
    </row>
    <row r="327" spans="1:12" x14ac:dyDescent="0.25">
      <c r="A327">
        <v>5</v>
      </c>
      <c r="B327">
        <v>1</v>
      </c>
      <c r="C327">
        <v>18</v>
      </c>
      <c r="D327">
        <v>4</v>
      </c>
      <c r="E327" t="b">
        <v>0</v>
      </c>
      <c r="F327" s="22" t="str">
        <f t="shared" si="18"/>
        <v/>
      </c>
      <c r="G327" s="23" t="s">
        <v>167</v>
      </c>
      <c r="H327" s="23" t="s">
        <v>176</v>
      </c>
      <c r="I327" s="23" t="s">
        <v>2</v>
      </c>
      <c r="J327" t="s">
        <v>6</v>
      </c>
      <c r="K327" s="22" t="e">
        <f t="shared" si="19"/>
        <v>#N/A</v>
      </c>
      <c r="L327" s="22" t="str">
        <f t="shared" si="20"/>
        <v/>
      </c>
    </row>
    <row r="328" spans="1:12" x14ac:dyDescent="0.25">
      <c r="A328">
        <v>5</v>
      </c>
      <c r="B328">
        <v>1</v>
      </c>
      <c r="C328">
        <v>18</v>
      </c>
      <c r="D328">
        <v>5</v>
      </c>
      <c r="E328" t="b">
        <v>0</v>
      </c>
      <c r="F328" s="22" t="str">
        <f t="shared" si="18"/>
        <v/>
      </c>
      <c r="G328" s="23" t="s">
        <v>167</v>
      </c>
      <c r="H328" s="23" t="s">
        <v>177</v>
      </c>
      <c r="I328" s="23" t="s">
        <v>2</v>
      </c>
      <c r="J328" t="s">
        <v>44</v>
      </c>
      <c r="K328" s="22" t="e">
        <f t="shared" si="19"/>
        <v>#N/A</v>
      </c>
      <c r="L328" s="22" t="str">
        <f t="shared" si="20"/>
        <v/>
      </c>
    </row>
    <row r="329" spans="1:12" x14ac:dyDescent="0.25">
      <c r="A329">
        <v>5</v>
      </c>
      <c r="B329">
        <v>1</v>
      </c>
      <c r="C329">
        <v>18</v>
      </c>
      <c r="D329">
        <v>6</v>
      </c>
      <c r="E329" t="b">
        <v>0</v>
      </c>
      <c r="F329" s="22" t="str">
        <f t="shared" si="18"/>
        <v/>
      </c>
      <c r="G329" s="23" t="s">
        <v>167</v>
      </c>
      <c r="H329" s="23" t="s">
        <v>178</v>
      </c>
      <c r="I329" s="23" t="s">
        <v>2</v>
      </c>
      <c r="J329" t="s">
        <v>102</v>
      </c>
      <c r="K329" s="22" t="e">
        <f t="shared" si="19"/>
        <v>#N/A</v>
      </c>
      <c r="L329" s="22" t="str">
        <f t="shared" si="20"/>
        <v/>
      </c>
    </row>
    <row r="330" spans="1:12" x14ac:dyDescent="0.25">
      <c r="A330">
        <v>5</v>
      </c>
      <c r="B330">
        <v>1</v>
      </c>
      <c r="C330">
        <v>18</v>
      </c>
      <c r="D330">
        <v>7</v>
      </c>
      <c r="E330" t="b">
        <v>0</v>
      </c>
      <c r="F330" s="22" t="str">
        <f t="shared" si="18"/>
        <v/>
      </c>
      <c r="G330" s="23" t="s">
        <v>167</v>
      </c>
      <c r="H330" s="23" t="s">
        <v>179</v>
      </c>
      <c r="I330" s="23" t="s">
        <v>2</v>
      </c>
      <c r="J330" t="s">
        <v>103</v>
      </c>
      <c r="K330" s="22" t="e">
        <f t="shared" si="19"/>
        <v>#N/A</v>
      </c>
      <c r="L330" s="22" t="str">
        <f t="shared" si="20"/>
        <v/>
      </c>
    </row>
    <row r="331" spans="1:12" x14ac:dyDescent="0.25">
      <c r="A331">
        <v>5</v>
      </c>
      <c r="B331">
        <v>1</v>
      </c>
      <c r="C331">
        <v>18</v>
      </c>
      <c r="D331">
        <v>8</v>
      </c>
      <c r="E331" t="b">
        <v>0</v>
      </c>
      <c r="F331" s="22" t="str">
        <f t="shared" si="18"/>
        <v/>
      </c>
      <c r="G331" s="23" t="s">
        <v>167</v>
      </c>
      <c r="H331" s="23" t="s">
        <v>180</v>
      </c>
      <c r="I331" s="23" t="s">
        <v>2</v>
      </c>
      <c r="J331" t="s">
        <v>7</v>
      </c>
      <c r="K331" s="22" t="e">
        <f t="shared" si="19"/>
        <v>#N/A</v>
      </c>
      <c r="L331" s="22" t="str">
        <f t="shared" si="20"/>
        <v/>
      </c>
    </row>
    <row r="332" spans="1:12" x14ac:dyDescent="0.25">
      <c r="A332">
        <v>5</v>
      </c>
      <c r="B332">
        <v>1</v>
      </c>
      <c r="C332">
        <v>18</v>
      </c>
      <c r="D332">
        <v>9</v>
      </c>
      <c r="E332" t="b">
        <v>0</v>
      </c>
      <c r="F332" s="22" t="str">
        <f t="shared" si="18"/>
        <v/>
      </c>
      <c r="G332" s="23" t="s">
        <v>167</v>
      </c>
      <c r="H332" s="23" t="s">
        <v>181</v>
      </c>
      <c r="I332" s="23" t="s">
        <v>2</v>
      </c>
      <c r="J332" t="s">
        <v>104</v>
      </c>
      <c r="K332" s="22" t="e">
        <f t="shared" si="19"/>
        <v>#N/A</v>
      </c>
      <c r="L332" s="22" t="str">
        <f t="shared" si="20"/>
        <v/>
      </c>
    </row>
    <row r="333" spans="1:12" x14ac:dyDescent="0.25">
      <c r="A333">
        <v>5</v>
      </c>
      <c r="B333">
        <v>1</v>
      </c>
      <c r="C333">
        <v>18</v>
      </c>
      <c r="D333">
        <v>10</v>
      </c>
      <c r="E333" t="b">
        <v>0</v>
      </c>
      <c r="F333" s="22" t="str">
        <f t="shared" si="18"/>
        <v/>
      </c>
      <c r="G333" s="23" t="s">
        <v>167</v>
      </c>
      <c r="H333" s="23" t="s">
        <v>182</v>
      </c>
      <c r="I333" s="23" t="s">
        <v>2</v>
      </c>
      <c r="J333" t="s">
        <v>8</v>
      </c>
      <c r="K333" s="22" t="e">
        <f t="shared" si="19"/>
        <v>#N/A</v>
      </c>
      <c r="L333" s="22" t="str">
        <f t="shared" si="20"/>
        <v/>
      </c>
    </row>
    <row r="334" spans="1:12" x14ac:dyDescent="0.25">
      <c r="A334">
        <v>5</v>
      </c>
      <c r="B334">
        <v>1</v>
      </c>
      <c r="C334">
        <v>18</v>
      </c>
      <c r="D334">
        <v>11</v>
      </c>
      <c r="E334" t="b">
        <v>0</v>
      </c>
      <c r="F334" s="22" t="str">
        <f t="shared" si="18"/>
        <v/>
      </c>
      <c r="G334" s="23" t="s">
        <v>167</v>
      </c>
      <c r="H334" s="23" t="s">
        <v>183</v>
      </c>
      <c r="I334" s="23" t="s">
        <v>2</v>
      </c>
      <c r="J334" t="s">
        <v>105</v>
      </c>
      <c r="K334" s="22" t="e">
        <f t="shared" si="19"/>
        <v>#N/A</v>
      </c>
      <c r="L334" s="22" t="str">
        <f t="shared" si="20"/>
        <v/>
      </c>
    </row>
    <row r="335" spans="1:12" x14ac:dyDescent="0.25">
      <c r="A335">
        <v>5</v>
      </c>
      <c r="B335">
        <v>1</v>
      </c>
      <c r="C335">
        <v>18</v>
      </c>
      <c r="D335">
        <v>12</v>
      </c>
      <c r="E335" t="b">
        <v>0</v>
      </c>
      <c r="F335" s="22" t="str">
        <f t="shared" si="18"/>
        <v/>
      </c>
      <c r="G335" s="23" t="s">
        <v>167</v>
      </c>
      <c r="H335" s="23" t="s">
        <v>184</v>
      </c>
      <c r="I335" s="23" t="s">
        <v>2</v>
      </c>
      <c r="J335" t="s">
        <v>106</v>
      </c>
      <c r="K335" s="22" t="e">
        <f t="shared" si="19"/>
        <v>#N/A</v>
      </c>
      <c r="L335" s="22" t="str">
        <f t="shared" si="20"/>
        <v/>
      </c>
    </row>
    <row r="336" spans="1:12" x14ac:dyDescent="0.25">
      <c r="A336">
        <v>5</v>
      </c>
      <c r="B336">
        <v>1</v>
      </c>
      <c r="C336">
        <v>18</v>
      </c>
      <c r="D336">
        <v>13</v>
      </c>
      <c r="E336" t="b">
        <v>0</v>
      </c>
      <c r="F336" s="22" t="str">
        <f t="shared" si="18"/>
        <v/>
      </c>
      <c r="G336" s="23" t="s">
        <v>167</v>
      </c>
      <c r="H336" s="23" t="s">
        <v>185</v>
      </c>
      <c r="I336" s="23" t="s">
        <v>2</v>
      </c>
      <c r="J336" t="s">
        <v>107</v>
      </c>
      <c r="K336" s="22" t="e">
        <f t="shared" si="19"/>
        <v>#N/A</v>
      </c>
      <c r="L336" s="22" t="str">
        <f t="shared" si="20"/>
        <v/>
      </c>
    </row>
    <row r="337" spans="1:12" x14ac:dyDescent="0.25">
      <c r="A337">
        <v>5</v>
      </c>
      <c r="B337">
        <v>1</v>
      </c>
      <c r="C337">
        <v>18</v>
      </c>
      <c r="D337">
        <v>14</v>
      </c>
      <c r="E337" t="b">
        <v>0</v>
      </c>
      <c r="F337" s="22" t="str">
        <f t="shared" si="18"/>
        <v/>
      </c>
      <c r="G337" s="23" t="s">
        <v>167</v>
      </c>
      <c r="H337" s="23" t="s">
        <v>186</v>
      </c>
      <c r="I337" s="23" t="s">
        <v>2</v>
      </c>
      <c r="J337" t="s">
        <v>108</v>
      </c>
      <c r="K337" s="22" t="e">
        <f t="shared" si="19"/>
        <v>#N/A</v>
      </c>
      <c r="L337" s="22" t="str">
        <f t="shared" si="20"/>
        <v/>
      </c>
    </row>
    <row r="338" spans="1:12" x14ac:dyDescent="0.25">
      <c r="A338">
        <v>5</v>
      </c>
      <c r="B338">
        <v>1</v>
      </c>
      <c r="C338">
        <v>18</v>
      </c>
      <c r="D338">
        <v>15</v>
      </c>
      <c r="E338" t="b">
        <v>0</v>
      </c>
      <c r="F338" s="22" t="str">
        <f t="shared" si="18"/>
        <v/>
      </c>
      <c r="G338" s="23" t="s">
        <v>167</v>
      </c>
      <c r="H338" s="23" t="s">
        <v>187</v>
      </c>
      <c r="I338" s="23" t="s">
        <v>2</v>
      </c>
      <c r="J338" t="s">
        <v>109</v>
      </c>
      <c r="K338" s="22" t="e">
        <f t="shared" si="19"/>
        <v>#N/A</v>
      </c>
      <c r="L338" s="22" t="str">
        <f t="shared" si="20"/>
        <v/>
      </c>
    </row>
    <row r="339" spans="1:12" x14ac:dyDescent="0.25">
      <c r="A339">
        <v>5</v>
      </c>
      <c r="B339">
        <v>1</v>
      </c>
      <c r="C339">
        <v>18</v>
      </c>
      <c r="D339">
        <v>16</v>
      </c>
      <c r="E339" t="b">
        <v>0</v>
      </c>
      <c r="F339" s="22" t="str">
        <f t="shared" si="18"/>
        <v/>
      </c>
      <c r="G339" s="23" t="s">
        <v>167</v>
      </c>
      <c r="H339" s="23" t="s">
        <v>188</v>
      </c>
      <c r="I339" s="23" t="s">
        <v>2</v>
      </c>
      <c r="J339" t="s">
        <v>110</v>
      </c>
      <c r="K339" s="22" t="e">
        <f t="shared" si="19"/>
        <v>#N/A</v>
      </c>
      <c r="L339" s="22" t="str">
        <f t="shared" si="20"/>
        <v/>
      </c>
    </row>
    <row r="340" spans="1:12" x14ac:dyDescent="0.25">
      <c r="A340">
        <v>5</v>
      </c>
      <c r="B340">
        <v>1</v>
      </c>
      <c r="C340">
        <v>18</v>
      </c>
      <c r="D340">
        <v>17</v>
      </c>
      <c r="E340" t="b">
        <v>0</v>
      </c>
      <c r="F340" s="22" t="str">
        <f t="shared" si="18"/>
        <v/>
      </c>
      <c r="G340" s="23" t="s">
        <v>167</v>
      </c>
      <c r="H340" s="23" t="s">
        <v>189</v>
      </c>
      <c r="I340" s="23" t="s">
        <v>2</v>
      </c>
      <c r="J340" t="s">
        <v>23</v>
      </c>
      <c r="K340" s="22" t="e">
        <f t="shared" si="19"/>
        <v>#N/A</v>
      </c>
      <c r="L340" s="22" t="str">
        <f t="shared" si="20"/>
        <v/>
      </c>
    </row>
    <row r="341" spans="1:12" x14ac:dyDescent="0.25">
      <c r="A341">
        <v>5</v>
      </c>
      <c r="B341">
        <v>1</v>
      </c>
      <c r="C341">
        <v>18</v>
      </c>
      <c r="D341">
        <v>18</v>
      </c>
      <c r="E341" t="b">
        <v>1</v>
      </c>
      <c r="F341" s="22" t="str">
        <f t="shared" si="18"/>
        <v/>
      </c>
      <c r="G341" s="23" t="s">
        <v>167</v>
      </c>
      <c r="H341" s="23" t="s">
        <v>190</v>
      </c>
      <c r="I341" s="23" t="s">
        <v>2</v>
      </c>
      <c r="J341" t="s">
        <v>24</v>
      </c>
      <c r="K341" s="22" t="e">
        <f t="shared" si="19"/>
        <v>#N/A</v>
      </c>
      <c r="L341" s="22" t="str">
        <f t="shared" si="20"/>
        <v/>
      </c>
    </row>
    <row r="342" spans="1:12" x14ac:dyDescent="0.25">
      <c r="A342">
        <v>5</v>
      </c>
      <c r="B342">
        <v>2</v>
      </c>
      <c r="C342">
        <v>16</v>
      </c>
      <c r="D342">
        <v>1</v>
      </c>
      <c r="E342" t="b">
        <v>0</v>
      </c>
      <c r="F342" s="22" t="str">
        <f t="shared" si="18"/>
        <v/>
      </c>
      <c r="G342" s="23" t="s">
        <v>165</v>
      </c>
      <c r="H342" s="23" t="s">
        <v>191</v>
      </c>
      <c r="I342" s="23" t="s">
        <v>9</v>
      </c>
      <c r="J342" t="s">
        <v>10</v>
      </c>
      <c r="K342" s="22" t="e">
        <f t="shared" si="19"/>
        <v>#N/A</v>
      </c>
      <c r="L342" s="22" t="str">
        <f t="shared" si="20"/>
        <v/>
      </c>
    </row>
    <row r="343" spans="1:12" x14ac:dyDescent="0.25">
      <c r="A343">
        <v>5</v>
      </c>
      <c r="B343">
        <v>2</v>
      </c>
      <c r="C343">
        <v>16</v>
      </c>
      <c r="D343">
        <v>2</v>
      </c>
      <c r="E343" t="b">
        <v>0</v>
      </c>
      <c r="F343" s="22" t="str">
        <f t="shared" si="18"/>
        <v/>
      </c>
      <c r="G343" s="23" t="s">
        <v>165</v>
      </c>
      <c r="H343" s="23" t="s">
        <v>192</v>
      </c>
      <c r="I343" s="23" t="s">
        <v>9</v>
      </c>
      <c r="J343" t="s">
        <v>11</v>
      </c>
      <c r="K343" s="22" t="e">
        <f t="shared" si="19"/>
        <v>#N/A</v>
      </c>
      <c r="L343" s="22" t="str">
        <f t="shared" si="20"/>
        <v/>
      </c>
    </row>
    <row r="344" spans="1:12" x14ac:dyDescent="0.25">
      <c r="A344">
        <v>5</v>
      </c>
      <c r="B344">
        <v>2</v>
      </c>
      <c r="C344">
        <v>16</v>
      </c>
      <c r="D344">
        <v>3</v>
      </c>
      <c r="E344" t="b">
        <v>0</v>
      </c>
      <c r="F344" s="22" t="str">
        <f t="shared" si="18"/>
        <v/>
      </c>
      <c r="G344" s="23" t="s">
        <v>165</v>
      </c>
      <c r="H344" s="23" t="s">
        <v>193</v>
      </c>
      <c r="I344" s="23" t="s">
        <v>9</v>
      </c>
      <c r="J344" t="s">
        <v>12</v>
      </c>
      <c r="K344" s="22" t="e">
        <f t="shared" si="19"/>
        <v>#N/A</v>
      </c>
      <c r="L344" s="22" t="str">
        <f t="shared" si="20"/>
        <v/>
      </c>
    </row>
    <row r="345" spans="1:12" x14ac:dyDescent="0.25">
      <c r="A345">
        <v>5</v>
      </c>
      <c r="B345">
        <v>2</v>
      </c>
      <c r="C345">
        <v>16</v>
      </c>
      <c r="D345">
        <v>4</v>
      </c>
      <c r="E345" t="b">
        <v>0</v>
      </c>
      <c r="F345" s="22" t="str">
        <f t="shared" si="18"/>
        <v/>
      </c>
      <c r="G345" s="23" t="s">
        <v>165</v>
      </c>
      <c r="H345" s="23" t="s">
        <v>194</v>
      </c>
      <c r="I345" s="23" t="s">
        <v>9</v>
      </c>
      <c r="J345" t="s">
        <v>13</v>
      </c>
      <c r="K345" s="22" t="e">
        <f t="shared" si="19"/>
        <v>#N/A</v>
      </c>
      <c r="L345" s="22" t="str">
        <f t="shared" si="20"/>
        <v/>
      </c>
    </row>
    <row r="346" spans="1:12" x14ac:dyDescent="0.25">
      <c r="A346">
        <v>5</v>
      </c>
      <c r="B346">
        <v>2</v>
      </c>
      <c r="C346">
        <v>16</v>
      </c>
      <c r="D346">
        <v>5</v>
      </c>
      <c r="E346" t="b">
        <v>0</v>
      </c>
      <c r="F346" s="22" t="str">
        <f t="shared" si="18"/>
        <v/>
      </c>
      <c r="G346" s="23" t="s">
        <v>165</v>
      </c>
      <c r="H346" s="23" t="s">
        <v>195</v>
      </c>
      <c r="I346" s="23" t="s">
        <v>9</v>
      </c>
      <c r="J346" t="s">
        <v>14</v>
      </c>
      <c r="K346" s="22" t="e">
        <f t="shared" si="19"/>
        <v>#N/A</v>
      </c>
      <c r="L346" s="22" t="str">
        <f t="shared" si="20"/>
        <v/>
      </c>
    </row>
    <row r="347" spans="1:12" x14ac:dyDescent="0.25">
      <c r="A347">
        <v>5</v>
      </c>
      <c r="B347">
        <v>2</v>
      </c>
      <c r="C347">
        <v>16</v>
      </c>
      <c r="D347">
        <v>6</v>
      </c>
      <c r="E347" t="b">
        <v>0</v>
      </c>
      <c r="F347" s="22" t="str">
        <f t="shared" si="18"/>
        <v/>
      </c>
      <c r="G347" s="23" t="s">
        <v>165</v>
      </c>
      <c r="H347" s="23" t="s">
        <v>196</v>
      </c>
      <c r="I347" s="23" t="s">
        <v>9</v>
      </c>
      <c r="J347" t="s">
        <v>15</v>
      </c>
      <c r="K347" s="22" t="e">
        <f t="shared" si="19"/>
        <v>#N/A</v>
      </c>
      <c r="L347" s="22" t="str">
        <f t="shared" si="20"/>
        <v/>
      </c>
    </row>
    <row r="348" spans="1:12" x14ac:dyDescent="0.25">
      <c r="A348">
        <v>5</v>
      </c>
      <c r="B348">
        <v>2</v>
      </c>
      <c r="C348">
        <v>16</v>
      </c>
      <c r="D348">
        <v>7</v>
      </c>
      <c r="E348" t="b">
        <v>0</v>
      </c>
      <c r="F348" s="22" t="str">
        <f t="shared" si="18"/>
        <v/>
      </c>
      <c r="G348" s="23" t="s">
        <v>165</v>
      </c>
      <c r="H348" s="23" t="s">
        <v>197</v>
      </c>
      <c r="I348" s="23" t="s">
        <v>9</v>
      </c>
      <c r="J348" t="s">
        <v>16</v>
      </c>
      <c r="K348" s="22" t="e">
        <f t="shared" si="19"/>
        <v>#N/A</v>
      </c>
      <c r="L348" s="22" t="str">
        <f t="shared" si="20"/>
        <v/>
      </c>
    </row>
    <row r="349" spans="1:12" x14ac:dyDescent="0.25">
      <c r="A349">
        <v>5</v>
      </c>
      <c r="B349">
        <v>2</v>
      </c>
      <c r="C349">
        <v>16</v>
      </c>
      <c r="D349">
        <v>8</v>
      </c>
      <c r="E349" t="b">
        <v>0</v>
      </c>
      <c r="F349" s="22" t="str">
        <f t="shared" si="18"/>
        <v/>
      </c>
      <c r="G349" s="23" t="s">
        <v>165</v>
      </c>
      <c r="H349" s="23" t="s">
        <v>198</v>
      </c>
      <c r="I349" s="23" t="s">
        <v>9</v>
      </c>
      <c r="J349" t="s">
        <v>17</v>
      </c>
      <c r="K349" s="22" t="e">
        <f t="shared" si="19"/>
        <v>#N/A</v>
      </c>
      <c r="L349" s="22" t="str">
        <f t="shared" si="20"/>
        <v/>
      </c>
    </row>
    <row r="350" spans="1:12" x14ac:dyDescent="0.25">
      <c r="A350">
        <v>5</v>
      </c>
      <c r="B350">
        <v>2</v>
      </c>
      <c r="C350">
        <v>16</v>
      </c>
      <c r="D350">
        <v>9</v>
      </c>
      <c r="E350" t="b">
        <v>0</v>
      </c>
      <c r="F350" s="22" t="str">
        <f t="shared" si="18"/>
        <v/>
      </c>
      <c r="G350" s="23" t="s">
        <v>165</v>
      </c>
      <c r="H350" s="23" t="s">
        <v>199</v>
      </c>
      <c r="I350" s="23" t="s">
        <v>9</v>
      </c>
      <c r="J350" t="s">
        <v>18</v>
      </c>
      <c r="K350" s="22" t="e">
        <f t="shared" si="19"/>
        <v>#N/A</v>
      </c>
      <c r="L350" s="22" t="str">
        <f t="shared" si="20"/>
        <v/>
      </c>
    </row>
    <row r="351" spans="1:12" x14ac:dyDescent="0.25">
      <c r="A351">
        <v>5</v>
      </c>
      <c r="B351">
        <v>2</v>
      </c>
      <c r="C351">
        <v>16</v>
      </c>
      <c r="D351">
        <v>10</v>
      </c>
      <c r="E351" t="b">
        <v>0</v>
      </c>
      <c r="F351" s="22" t="str">
        <f t="shared" si="18"/>
        <v/>
      </c>
      <c r="G351" s="23" t="s">
        <v>165</v>
      </c>
      <c r="H351" s="23" t="s">
        <v>200</v>
      </c>
      <c r="I351" s="23" t="s">
        <v>9</v>
      </c>
      <c r="J351" t="s">
        <v>19</v>
      </c>
      <c r="K351" s="22" t="e">
        <f t="shared" si="19"/>
        <v>#N/A</v>
      </c>
      <c r="L351" s="22" t="str">
        <f t="shared" si="20"/>
        <v/>
      </c>
    </row>
    <row r="352" spans="1:12" x14ac:dyDescent="0.25">
      <c r="A352">
        <v>5</v>
      </c>
      <c r="B352">
        <v>2</v>
      </c>
      <c r="C352">
        <v>16</v>
      </c>
      <c r="D352">
        <v>11</v>
      </c>
      <c r="E352" t="b">
        <v>0</v>
      </c>
      <c r="F352" s="22" t="str">
        <f t="shared" si="18"/>
        <v/>
      </c>
      <c r="G352" s="23" t="s">
        <v>165</v>
      </c>
      <c r="H352" s="23" t="s">
        <v>201</v>
      </c>
      <c r="I352" s="23" t="s">
        <v>9</v>
      </c>
      <c r="J352" t="s">
        <v>20</v>
      </c>
      <c r="K352" s="22" t="e">
        <f t="shared" si="19"/>
        <v>#N/A</v>
      </c>
      <c r="L352" s="22" t="str">
        <f t="shared" si="20"/>
        <v/>
      </c>
    </row>
    <row r="353" spans="1:12" x14ac:dyDescent="0.25">
      <c r="A353">
        <v>5</v>
      </c>
      <c r="B353">
        <v>2</v>
      </c>
      <c r="C353">
        <v>16</v>
      </c>
      <c r="D353">
        <v>12</v>
      </c>
      <c r="E353" t="b">
        <v>0</v>
      </c>
      <c r="F353" s="22" t="str">
        <f t="shared" si="18"/>
        <v/>
      </c>
      <c r="G353" s="23" t="s">
        <v>165</v>
      </c>
      <c r="H353" s="23" t="s">
        <v>202</v>
      </c>
      <c r="I353" s="23" t="s">
        <v>9</v>
      </c>
      <c r="J353" t="s">
        <v>21</v>
      </c>
      <c r="K353" s="22" t="e">
        <f t="shared" si="19"/>
        <v>#N/A</v>
      </c>
      <c r="L353" s="22" t="str">
        <f t="shared" si="20"/>
        <v/>
      </c>
    </row>
    <row r="354" spans="1:12" x14ac:dyDescent="0.25">
      <c r="A354">
        <v>5</v>
      </c>
      <c r="B354">
        <v>2</v>
      </c>
      <c r="C354">
        <v>16</v>
      </c>
      <c r="D354">
        <v>13</v>
      </c>
      <c r="E354" t="b">
        <v>0</v>
      </c>
      <c r="F354" s="22" t="str">
        <f t="shared" si="18"/>
        <v/>
      </c>
      <c r="G354" s="23" t="s">
        <v>165</v>
      </c>
      <c r="H354" s="23" t="s">
        <v>203</v>
      </c>
      <c r="I354" s="23" t="s">
        <v>9</v>
      </c>
      <c r="J354" t="s">
        <v>22</v>
      </c>
      <c r="K354" s="22" t="e">
        <f t="shared" si="19"/>
        <v>#N/A</v>
      </c>
      <c r="L354" s="22" t="str">
        <f t="shared" si="20"/>
        <v/>
      </c>
    </row>
    <row r="355" spans="1:12" x14ac:dyDescent="0.25">
      <c r="A355">
        <v>5</v>
      </c>
      <c r="B355">
        <v>2</v>
      </c>
      <c r="C355">
        <v>16</v>
      </c>
      <c r="D355">
        <v>14</v>
      </c>
      <c r="E355" t="b">
        <v>0</v>
      </c>
      <c r="F355" s="22" t="str">
        <f t="shared" si="18"/>
        <v/>
      </c>
      <c r="G355" s="23" t="s">
        <v>165</v>
      </c>
      <c r="H355" s="23" t="s">
        <v>204</v>
      </c>
      <c r="I355" s="23" t="s">
        <v>9</v>
      </c>
      <c r="J355" t="s">
        <v>111</v>
      </c>
      <c r="K355" s="22" t="e">
        <f t="shared" si="19"/>
        <v>#N/A</v>
      </c>
      <c r="L355" s="22" t="str">
        <f t="shared" si="20"/>
        <v/>
      </c>
    </row>
    <row r="356" spans="1:12" x14ac:dyDescent="0.25">
      <c r="A356">
        <v>5</v>
      </c>
      <c r="B356">
        <v>2</v>
      </c>
      <c r="C356">
        <v>16</v>
      </c>
      <c r="D356">
        <v>15</v>
      </c>
      <c r="E356" t="b">
        <v>0</v>
      </c>
      <c r="F356" s="22" t="str">
        <f t="shared" si="18"/>
        <v/>
      </c>
      <c r="G356" s="23" t="s">
        <v>165</v>
      </c>
      <c r="H356" s="23" t="s">
        <v>205</v>
      </c>
      <c r="I356" s="23" t="s">
        <v>9</v>
      </c>
      <c r="J356" t="s">
        <v>112</v>
      </c>
      <c r="K356" s="22" t="e">
        <f t="shared" si="19"/>
        <v>#N/A</v>
      </c>
      <c r="L356" s="22" t="str">
        <f t="shared" si="20"/>
        <v/>
      </c>
    </row>
    <row r="357" spans="1:12" x14ac:dyDescent="0.25">
      <c r="A357">
        <v>5</v>
      </c>
      <c r="B357">
        <v>2</v>
      </c>
      <c r="C357">
        <v>16</v>
      </c>
      <c r="D357">
        <v>16</v>
      </c>
      <c r="E357" t="b">
        <v>1</v>
      </c>
      <c r="F357" s="22" t="str">
        <f t="shared" si="18"/>
        <v/>
      </c>
      <c r="G357" s="23" t="s">
        <v>165</v>
      </c>
      <c r="H357" s="23" t="s">
        <v>206</v>
      </c>
      <c r="I357" s="23" t="s">
        <v>9</v>
      </c>
      <c r="J357" t="s">
        <v>113</v>
      </c>
      <c r="K357" s="22" t="e">
        <f t="shared" si="19"/>
        <v>#N/A</v>
      </c>
      <c r="L357" s="22" t="str">
        <f t="shared" si="20"/>
        <v/>
      </c>
    </row>
    <row r="358" spans="1:12" x14ac:dyDescent="0.25">
      <c r="A358">
        <v>5</v>
      </c>
      <c r="B358">
        <v>3</v>
      </c>
      <c r="C358">
        <v>17</v>
      </c>
      <c r="D358">
        <v>1</v>
      </c>
      <c r="E358" t="b">
        <v>0</v>
      </c>
      <c r="F358" s="22" t="str">
        <f t="shared" si="18"/>
        <v/>
      </c>
      <c r="G358" s="23" t="s">
        <v>168</v>
      </c>
      <c r="H358" s="23" t="s">
        <v>207</v>
      </c>
      <c r="I358" s="23" t="s">
        <v>37</v>
      </c>
      <c r="J358" t="s">
        <v>114</v>
      </c>
      <c r="K358" s="22" t="e">
        <f t="shared" si="19"/>
        <v>#N/A</v>
      </c>
      <c r="L358" s="22" t="str">
        <f t="shared" si="20"/>
        <v/>
      </c>
    </row>
    <row r="359" spans="1:12" x14ac:dyDescent="0.25">
      <c r="A359">
        <v>5</v>
      </c>
      <c r="B359">
        <v>3</v>
      </c>
      <c r="C359">
        <v>17</v>
      </c>
      <c r="D359">
        <v>2</v>
      </c>
      <c r="E359" t="b">
        <v>0</v>
      </c>
      <c r="F359" s="22" t="str">
        <f t="shared" si="18"/>
        <v/>
      </c>
      <c r="G359" s="23" t="s">
        <v>168</v>
      </c>
      <c r="H359" s="23" t="s">
        <v>208</v>
      </c>
      <c r="I359" s="23" t="s">
        <v>37</v>
      </c>
      <c r="J359" t="s">
        <v>39</v>
      </c>
      <c r="K359" s="22" t="e">
        <f t="shared" si="19"/>
        <v>#N/A</v>
      </c>
      <c r="L359" s="22" t="str">
        <f t="shared" si="20"/>
        <v/>
      </c>
    </row>
    <row r="360" spans="1:12" x14ac:dyDescent="0.25">
      <c r="A360">
        <v>5</v>
      </c>
      <c r="B360">
        <v>3</v>
      </c>
      <c r="C360">
        <v>17</v>
      </c>
      <c r="D360">
        <v>3</v>
      </c>
      <c r="E360" t="b">
        <v>0</v>
      </c>
      <c r="F360" s="22" t="str">
        <f t="shared" si="18"/>
        <v/>
      </c>
      <c r="G360" s="23" t="s">
        <v>168</v>
      </c>
      <c r="H360" s="23" t="s">
        <v>209</v>
      </c>
      <c r="I360" s="23" t="s">
        <v>37</v>
      </c>
      <c r="J360" t="s">
        <v>40</v>
      </c>
      <c r="K360" s="22" t="e">
        <f t="shared" si="19"/>
        <v>#N/A</v>
      </c>
      <c r="L360" s="22" t="str">
        <f t="shared" si="20"/>
        <v/>
      </c>
    </row>
    <row r="361" spans="1:12" x14ac:dyDescent="0.25">
      <c r="A361">
        <v>5</v>
      </c>
      <c r="B361">
        <v>3</v>
      </c>
      <c r="C361">
        <v>17</v>
      </c>
      <c r="D361">
        <v>4</v>
      </c>
      <c r="E361" t="b">
        <v>0</v>
      </c>
      <c r="F361" s="22" t="str">
        <f t="shared" si="18"/>
        <v/>
      </c>
      <c r="G361" s="23" t="s">
        <v>168</v>
      </c>
      <c r="H361" s="23" t="s">
        <v>210</v>
      </c>
      <c r="I361" s="23" t="s">
        <v>37</v>
      </c>
      <c r="J361" t="s">
        <v>41</v>
      </c>
      <c r="K361" s="22" t="e">
        <f t="shared" si="19"/>
        <v>#N/A</v>
      </c>
      <c r="L361" s="22" t="str">
        <f t="shared" si="20"/>
        <v/>
      </c>
    </row>
    <row r="362" spans="1:12" x14ac:dyDescent="0.25">
      <c r="A362">
        <v>5</v>
      </c>
      <c r="B362">
        <v>3</v>
      </c>
      <c r="C362">
        <v>17</v>
      </c>
      <c r="D362">
        <v>5</v>
      </c>
      <c r="E362" t="b">
        <v>0</v>
      </c>
      <c r="F362" s="22" t="str">
        <f t="shared" si="18"/>
        <v/>
      </c>
      <c r="G362" s="23" t="s">
        <v>168</v>
      </c>
      <c r="H362" s="23" t="s">
        <v>211</v>
      </c>
      <c r="I362" s="23" t="s">
        <v>37</v>
      </c>
      <c r="J362" t="s">
        <v>38</v>
      </c>
      <c r="K362" s="22" t="e">
        <f t="shared" si="19"/>
        <v>#N/A</v>
      </c>
      <c r="L362" s="22" t="str">
        <f t="shared" si="20"/>
        <v/>
      </c>
    </row>
    <row r="363" spans="1:12" x14ac:dyDescent="0.25">
      <c r="A363">
        <v>5</v>
      </c>
      <c r="B363">
        <v>3</v>
      </c>
      <c r="C363">
        <v>17</v>
      </c>
      <c r="D363">
        <v>6</v>
      </c>
      <c r="E363" t="b">
        <v>0</v>
      </c>
      <c r="F363" s="22" t="str">
        <f t="shared" si="18"/>
        <v/>
      </c>
      <c r="G363" s="23" t="s">
        <v>168</v>
      </c>
      <c r="H363" s="23" t="s">
        <v>212</v>
      </c>
      <c r="I363" s="23" t="s">
        <v>37</v>
      </c>
      <c r="J363" t="s">
        <v>115</v>
      </c>
      <c r="K363" s="22" t="e">
        <f t="shared" si="19"/>
        <v>#N/A</v>
      </c>
      <c r="L363" s="22" t="str">
        <f t="shared" si="20"/>
        <v/>
      </c>
    </row>
    <row r="364" spans="1:12" x14ac:dyDescent="0.25">
      <c r="A364">
        <v>5</v>
      </c>
      <c r="B364">
        <v>3</v>
      </c>
      <c r="C364">
        <v>17</v>
      </c>
      <c r="D364">
        <v>7</v>
      </c>
      <c r="E364" t="b">
        <v>0</v>
      </c>
      <c r="F364" s="22" t="str">
        <f t="shared" si="18"/>
        <v/>
      </c>
      <c r="G364" s="23" t="s">
        <v>168</v>
      </c>
      <c r="H364" s="23" t="s">
        <v>213</v>
      </c>
      <c r="I364" s="23" t="s">
        <v>37</v>
      </c>
      <c r="J364" t="s">
        <v>116</v>
      </c>
      <c r="K364" s="22" t="e">
        <f t="shared" si="19"/>
        <v>#N/A</v>
      </c>
      <c r="L364" s="22" t="str">
        <f t="shared" si="20"/>
        <v/>
      </c>
    </row>
    <row r="365" spans="1:12" x14ac:dyDescent="0.25">
      <c r="A365">
        <v>5</v>
      </c>
      <c r="B365">
        <v>3</v>
      </c>
      <c r="C365">
        <v>17</v>
      </c>
      <c r="D365">
        <v>8</v>
      </c>
      <c r="E365" t="b">
        <v>0</v>
      </c>
      <c r="F365" s="22" t="str">
        <f t="shared" si="18"/>
        <v/>
      </c>
      <c r="G365" s="23" t="s">
        <v>168</v>
      </c>
      <c r="H365" s="23" t="s">
        <v>214</v>
      </c>
      <c r="I365" s="23" t="s">
        <v>37</v>
      </c>
      <c r="J365" t="s">
        <v>126</v>
      </c>
      <c r="K365" s="22" t="e">
        <f t="shared" si="19"/>
        <v>#N/A</v>
      </c>
      <c r="L365" s="22" t="str">
        <f t="shared" si="20"/>
        <v/>
      </c>
    </row>
    <row r="366" spans="1:12" x14ac:dyDescent="0.25">
      <c r="A366">
        <v>5</v>
      </c>
      <c r="B366">
        <v>3</v>
      </c>
      <c r="C366">
        <v>17</v>
      </c>
      <c r="D366">
        <v>9</v>
      </c>
      <c r="E366" t="b">
        <v>0</v>
      </c>
      <c r="F366" s="22" t="str">
        <f t="shared" si="18"/>
        <v/>
      </c>
      <c r="G366" s="23" t="s">
        <v>168</v>
      </c>
      <c r="H366" s="23" t="s">
        <v>215</v>
      </c>
      <c r="I366" s="23" t="s">
        <v>37</v>
      </c>
      <c r="J366" t="s">
        <v>45</v>
      </c>
      <c r="K366" s="22" t="e">
        <f t="shared" si="19"/>
        <v>#N/A</v>
      </c>
      <c r="L366" s="22" t="str">
        <f t="shared" si="20"/>
        <v/>
      </c>
    </row>
    <row r="367" spans="1:12" x14ac:dyDescent="0.25">
      <c r="A367">
        <v>5</v>
      </c>
      <c r="B367">
        <v>3</v>
      </c>
      <c r="C367">
        <v>17</v>
      </c>
      <c r="D367">
        <v>10</v>
      </c>
      <c r="E367" t="b">
        <v>0</v>
      </c>
      <c r="F367" s="22" t="str">
        <f t="shared" si="18"/>
        <v/>
      </c>
      <c r="G367" s="23" t="s">
        <v>168</v>
      </c>
      <c r="H367" s="23" t="s">
        <v>216</v>
      </c>
      <c r="I367" s="23" t="s">
        <v>37</v>
      </c>
      <c r="J367" t="s">
        <v>117</v>
      </c>
      <c r="K367" s="22" t="e">
        <f t="shared" si="19"/>
        <v>#N/A</v>
      </c>
      <c r="L367" s="22" t="str">
        <f t="shared" si="20"/>
        <v/>
      </c>
    </row>
    <row r="368" spans="1:12" x14ac:dyDescent="0.25">
      <c r="A368">
        <v>5</v>
      </c>
      <c r="B368">
        <v>3</v>
      </c>
      <c r="C368">
        <v>17</v>
      </c>
      <c r="D368">
        <v>11</v>
      </c>
      <c r="E368" t="b">
        <v>0</v>
      </c>
      <c r="F368" s="22" t="str">
        <f t="shared" si="18"/>
        <v/>
      </c>
      <c r="G368" s="23" t="s">
        <v>168</v>
      </c>
      <c r="H368" s="23" t="s">
        <v>217</v>
      </c>
      <c r="I368" s="23" t="s">
        <v>37</v>
      </c>
      <c r="J368" t="s">
        <v>118</v>
      </c>
      <c r="K368" s="22" t="e">
        <f t="shared" si="19"/>
        <v>#N/A</v>
      </c>
      <c r="L368" s="22" t="str">
        <f t="shared" si="20"/>
        <v/>
      </c>
    </row>
    <row r="369" spans="1:12" x14ac:dyDescent="0.25">
      <c r="A369">
        <v>5</v>
      </c>
      <c r="B369">
        <v>3</v>
      </c>
      <c r="C369">
        <v>17</v>
      </c>
      <c r="D369">
        <v>12</v>
      </c>
      <c r="E369" t="b">
        <v>0</v>
      </c>
      <c r="F369" s="22" t="str">
        <f t="shared" si="18"/>
        <v/>
      </c>
      <c r="G369" s="23" t="s">
        <v>168</v>
      </c>
      <c r="H369" s="23" t="s">
        <v>218</v>
      </c>
      <c r="I369" s="23" t="s">
        <v>37</v>
      </c>
      <c r="J369" t="s">
        <v>119</v>
      </c>
      <c r="K369" s="22" t="e">
        <f t="shared" si="19"/>
        <v>#N/A</v>
      </c>
      <c r="L369" s="22" t="str">
        <f t="shared" si="20"/>
        <v/>
      </c>
    </row>
    <row r="370" spans="1:12" x14ac:dyDescent="0.25">
      <c r="A370">
        <v>5</v>
      </c>
      <c r="B370">
        <v>3</v>
      </c>
      <c r="C370">
        <v>17</v>
      </c>
      <c r="D370">
        <v>13</v>
      </c>
      <c r="E370" t="b">
        <v>0</v>
      </c>
      <c r="F370" s="22" t="str">
        <f t="shared" si="18"/>
        <v/>
      </c>
      <c r="G370" s="23" t="s">
        <v>168</v>
      </c>
      <c r="H370" s="23" t="s">
        <v>219</v>
      </c>
      <c r="I370" s="23" t="s">
        <v>37</v>
      </c>
      <c r="J370" t="s">
        <v>127</v>
      </c>
      <c r="K370" s="22" t="e">
        <f t="shared" si="19"/>
        <v>#N/A</v>
      </c>
      <c r="L370" s="22" t="str">
        <f t="shared" si="20"/>
        <v/>
      </c>
    </row>
    <row r="371" spans="1:12" x14ac:dyDescent="0.25">
      <c r="A371">
        <v>5</v>
      </c>
      <c r="B371">
        <v>3</v>
      </c>
      <c r="C371">
        <v>17</v>
      </c>
      <c r="D371">
        <v>14</v>
      </c>
      <c r="E371" t="b">
        <v>0</v>
      </c>
      <c r="F371" s="22" t="str">
        <f t="shared" si="18"/>
        <v/>
      </c>
      <c r="G371" s="23" t="s">
        <v>168</v>
      </c>
      <c r="H371" s="23" t="s">
        <v>220</v>
      </c>
      <c r="I371" s="23" t="s">
        <v>37</v>
      </c>
      <c r="J371" t="s">
        <v>120</v>
      </c>
      <c r="K371" s="22" t="e">
        <f t="shared" si="19"/>
        <v>#N/A</v>
      </c>
      <c r="L371" s="22" t="str">
        <f t="shared" si="20"/>
        <v/>
      </c>
    </row>
    <row r="372" spans="1:12" x14ac:dyDescent="0.25">
      <c r="A372">
        <v>5</v>
      </c>
      <c r="B372">
        <v>3</v>
      </c>
      <c r="C372">
        <v>17</v>
      </c>
      <c r="D372">
        <v>15</v>
      </c>
      <c r="E372" t="b">
        <v>0</v>
      </c>
      <c r="F372" s="22" t="str">
        <f t="shared" si="18"/>
        <v/>
      </c>
      <c r="G372" s="23" t="s">
        <v>168</v>
      </c>
      <c r="H372" s="23" t="s">
        <v>221</v>
      </c>
      <c r="I372" s="23" t="s">
        <v>37</v>
      </c>
      <c r="J372" t="s">
        <v>42</v>
      </c>
      <c r="K372" s="22" t="e">
        <f t="shared" si="19"/>
        <v>#N/A</v>
      </c>
      <c r="L372" s="22" t="str">
        <f t="shared" si="20"/>
        <v/>
      </c>
    </row>
    <row r="373" spans="1:12" x14ac:dyDescent="0.25">
      <c r="A373">
        <v>5</v>
      </c>
      <c r="B373">
        <v>3</v>
      </c>
      <c r="C373">
        <v>17</v>
      </c>
      <c r="D373">
        <v>16</v>
      </c>
      <c r="E373" t="b">
        <v>0</v>
      </c>
      <c r="F373" s="22" t="str">
        <f t="shared" si="18"/>
        <v/>
      </c>
      <c r="G373" s="23" t="s">
        <v>168</v>
      </c>
      <c r="H373" s="23" t="s">
        <v>222</v>
      </c>
      <c r="I373" s="23" t="s">
        <v>37</v>
      </c>
      <c r="J373" t="s">
        <v>121</v>
      </c>
      <c r="K373" s="22" t="e">
        <f t="shared" si="19"/>
        <v>#N/A</v>
      </c>
      <c r="L373" s="22" t="str">
        <f t="shared" si="20"/>
        <v/>
      </c>
    </row>
    <row r="374" spans="1:12" x14ac:dyDescent="0.25">
      <c r="A374">
        <v>5</v>
      </c>
      <c r="B374">
        <v>3</v>
      </c>
      <c r="C374">
        <v>17</v>
      </c>
      <c r="D374">
        <v>17</v>
      </c>
      <c r="E374" t="b">
        <v>1</v>
      </c>
      <c r="F374" s="22" t="str">
        <f t="shared" si="18"/>
        <v/>
      </c>
      <c r="G374" s="23" t="s">
        <v>168</v>
      </c>
      <c r="H374" s="23" t="s">
        <v>223</v>
      </c>
      <c r="I374" s="23" t="s">
        <v>37</v>
      </c>
      <c r="J374" t="s">
        <v>44</v>
      </c>
      <c r="K374" s="22" t="e">
        <f t="shared" si="19"/>
        <v>#N/A</v>
      </c>
      <c r="L374" s="22" t="str">
        <f t="shared" si="20"/>
        <v/>
      </c>
    </row>
    <row r="375" spans="1:12" x14ac:dyDescent="0.25">
      <c r="A375">
        <v>5</v>
      </c>
      <c r="B375">
        <v>4</v>
      </c>
      <c r="C375">
        <v>9</v>
      </c>
      <c r="D375">
        <v>1</v>
      </c>
      <c r="E375" t="b">
        <v>0</v>
      </c>
      <c r="F375" s="22" t="str">
        <f t="shared" si="18"/>
        <v/>
      </c>
      <c r="G375" s="23" t="s">
        <v>169</v>
      </c>
      <c r="H375" s="23" t="s">
        <v>224</v>
      </c>
      <c r="I375" s="23" t="s">
        <v>25</v>
      </c>
      <c r="J375" t="s">
        <v>122</v>
      </c>
      <c r="K375" s="22" t="e">
        <f t="shared" si="19"/>
        <v>#N/A</v>
      </c>
      <c r="L375" s="22" t="str">
        <f t="shared" si="20"/>
        <v/>
      </c>
    </row>
    <row r="376" spans="1:12" x14ac:dyDescent="0.25">
      <c r="A376">
        <v>5</v>
      </c>
      <c r="B376">
        <v>4</v>
      </c>
      <c r="C376">
        <v>9</v>
      </c>
      <c r="D376">
        <v>2</v>
      </c>
      <c r="E376" t="b">
        <v>0</v>
      </c>
      <c r="F376" s="22" t="str">
        <f t="shared" si="18"/>
        <v/>
      </c>
      <c r="G376" s="23" t="s">
        <v>169</v>
      </c>
      <c r="H376" s="23" t="s">
        <v>225</v>
      </c>
      <c r="I376" s="23" t="s">
        <v>25</v>
      </c>
      <c r="J376" t="s">
        <v>26</v>
      </c>
      <c r="K376" s="22" t="e">
        <f t="shared" si="19"/>
        <v>#N/A</v>
      </c>
      <c r="L376" s="22" t="str">
        <f t="shared" si="20"/>
        <v/>
      </c>
    </row>
    <row r="377" spans="1:12" x14ac:dyDescent="0.25">
      <c r="A377">
        <v>5</v>
      </c>
      <c r="B377">
        <v>4</v>
      </c>
      <c r="C377">
        <v>9</v>
      </c>
      <c r="D377">
        <v>3</v>
      </c>
      <c r="E377" t="b">
        <v>0</v>
      </c>
      <c r="F377" s="22" t="str">
        <f t="shared" si="18"/>
        <v/>
      </c>
      <c r="G377" s="23" t="s">
        <v>169</v>
      </c>
      <c r="H377" s="23" t="s">
        <v>226</v>
      </c>
      <c r="I377" s="23" t="s">
        <v>25</v>
      </c>
      <c r="J377" t="s">
        <v>27</v>
      </c>
      <c r="K377" s="22" t="e">
        <f t="shared" si="19"/>
        <v>#N/A</v>
      </c>
      <c r="L377" s="22" t="str">
        <f t="shared" si="20"/>
        <v/>
      </c>
    </row>
    <row r="378" spans="1:12" x14ac:dyDescent="0.25">
      <c r="A378">
        <v>5</v>
      </c>
      <c r="B378">
        <v>4</v>
      </c>
      <c r="C378">
        <v>9</v>
      </c>
      <c r="D378">
        <v>4</v>
      </c>
      <c r="E378" t="b">
        <v>0</v>
      </c>
      <c r="F378" s="22" t="str">
        <f t="shared" si="18"/>
        <v/>
      </c>
      <c r="G378" s="23" t="s">
        <v>169</v>
      </c>
      <c r="H378" s="23" t="s">
        <v>227</v>
      </c>
      <c r="I378" s="23" t="s">
        <v>25</v>
      </c>
      <c r="J378" t="s">
        <v>28</v>
      </c>
      <c r="K378" s="22" t="e">
        <f t="shared" si="19"/>
        <v>#N/A</v>
      </c>
      <c r="L378" s="22" t="str">
        <f t="shared" si="20"/>
        <v/>
      </c>
    </row>
    <row r="379" spans="1:12" x14ac:dyDescent="0.25">
      <c r="A379">
        <v>5</v>
      </c>
      <c r="B379">
        <v>4</v>
      </c>
      <c r="C379">
        <v>9</v>
      </c>
      <c r="D379">
        <v>5</v>
      </c>
      <c r="E379" t="b">
        <v>0</v>
      </c>
      <c r="F379" s="22" t="str">
        <f t="shared" si="18"/>
        <v/>
      </c>
      <c r="G379" s="23" t="s">
        <v>169</v>
      </c>
      <c r="H379" s="23" t="s">
        <v>228</v>
      </c>
      <c r="I379" s="23" t="s">
        <v>25</v>
      </c>
      <c r="J379" t="s">
        <v>128</v>
      </c>
      <c r="K379" s="22" t="e">
        <f t="shared" si="19"/>
        <v>#N/A</v>
      </c>
      <c r="L379" s="22" t="str">
        <f t="shared" si="20"/>
        <v/>
      </c>
    </row>
    <row r="380" spans="1:12" x14ac:dyDescent="0.25">
      <c r="A380">
        <v>5</v>
      </c>
      <c r="B380">
        <v>4</v>
      </c>
      <c r="C380">
        <v>9</v>
      </c>
      <c r="D380">
        <v>6</v>
      </c>
      <c r="E380" t="b">
        <v>0</v>
      </c>
      <c r="F380" s="22" t="str">
        <f t="shared" si="18"/>
        <v/>
      </c>
      <c r="G380" s="23" t="s">
        <v>169</v>
      </c>
      <c r="H380" s="23" t="s">
        <v>229</v>
      </c>
      <c r="I380" s="23" t="s">
        <v>25</v>
      </c>
      <c r="J380" t="s">
        <v>29</v>
      </c>
      <c r="K380" s="22" t="e">
        <f t="shared" si="19"/>
        <v>#N/A</v>
      </c>
      <c r="L380" s="22" t="str">
        <f t="shared" si="20"/>
        <v/>
      </c>
    </row>
    <row r="381" spans="1:12" x14ac:dyDescent="0.25">
      <c r="A381">
        <v>5</v>
      </c>
      <c r="B381">
        <v>4</v>
      </c>
      <c r="C381">
        <v>9</v>
      </c>
      <c r="D381">
        <v>7</v>
      </c>
      <c r="E381" t="b">
        <v>0</v>
      </c>
      <c r="F381" s="22" t="str">
        <f t="shared" si="18"/>
        <v/>
      </c>
      <c r="G381" s="23" t="s">
        <v>169</v>
      </c>
      <c r="H381" s="23" t="s">
        <v>230</v>
      </c>
      <c r="I381" s="23" t="s">
        <v>25</v>
      </c>
      <c r="J381" t="s">
        <v>30</v>
      </c>
      <c r="K381" s="22" t="e">
        <f t="shared" si="19"/>
        <v>#N/A</v>
      </c>
      <c r="L381" s="22" t="str">
        <f t="shared" si="20"/>
        <v/>
      </c>
    </row>
    <row r="382" spans="1:12" x14ac:dyDescent="0.25">
      <c r="A382">
        <v>5</v>
      </c>
      <c r="B382">
        <v>4</v>
      </c>
      <c r="C382">
        <v>9</v>
      </c>
      <c r="D382">
        <v>8</v>
      </c>
      <c r="E382" t="b">
        <v>0</v>
      </c>
      <c r="F382" s="22" t="str">
        <f t="shared" si="18"/>
        <v/>
      </c>
      <c r="G382" s="23" t="s">
        <v>169</v>
      </c>
      <c r="H382" s="23" t="s">
        <v>231</v>
      </c>
      <c r="I382" s="23" t="s">
        <v>25</v>
      </c>
      <c r="J382" t="s">
        <v>31</v>
      </c>
      <c r="K382" s="22" t="e">
        <f t="shared" si="19"/>
        <v>#N/A</v>
      </c>
      <c r="L382" s="22" t="str">
        <f t="shared" si="20"/>
        <v/>
      </c>
    </row>
    <row r="383" spans="1:12" x14ac:dyDescent="0.25">
      <c r="A383">
        <v>5</v>
      </c>
      <c r="B383">
        <v>4</v>
      </c>
      <c r="C383">
        <v>9</v>
      </c>
      <c r="D383">
        <v>9</v>
      </c>
      <c r="E383" t="b">
        <v>1</v>
      </c>
      <c r="F383" s="22" t="str">
        <f t="shared" si="18"/>
        <v/>
      </c>
      <c r="G383" s="23" t="s">
        <v>169</v>
      </c>
      <c r="H383" s="23" t="s">
        <v>232</v>
      </c>
      <c r="I383" s="23" t="s">
        <v>25</v>
      </c>
      <c r="J383" t="s">
        <v>43</v>
      </c>
      <c r="K383" s="22" t="e">
        <f t="shared" si="19"/>
        <v>#N/A</v>
      </c>
      <c r="L383" s="22" t="str">
        <f t="shared" si="20"/>
        <v/>
      </c>
    </row>
    <row r="384" spans="1:12" x14ac:dyDescent="0.25">
      <c r="A384">
        <v>5</v>
      </c>
      <c r="B384">
        <v>5</v>
      </c>
      <c r="C384">
        <v>9</v>
      </c>
      <c r="D384">
        <v>1</v>
      </c>
      <c r="E384" t="b">
        <v>0</v>
      </c>
      <c r="F384" s="22" t="str">
        <f t="shared" si="18"/>
        <v/>
      </c>
      <c r="G384" s="23" t="s">
        <v>166</v>
      </c>
      <c r="H384" s="23" t="s">
        <v>233</v>
      </c>
      <c r="I384" s="23" t="s">
        <v>32</v>
      </c>
      <c r="J384" t="s">
        <v>33</v>
      </c>
      <c r="K384" s="22" t="e">
        <f t="shared" si="19"/>
        <v>#N/A</v>
      </c>
      <c r="L384" s="22" t="str">
        <f t="shared" si="20"/>
        <v/>
      </c>
    </row>
    <row r="385" spans="1:12" x14ac:dyDescent="0.25">
      <c r="A385">
        <v>5</v>
      </c>
      <c r="B385">
        <v>5</v>
      </c>
      <c r="C385">
        <v>9</v>
      </c>
      <c r="D385">
        <v>2</v>
      </c>
      <c r="E385" t="b">
        <v>0</v>
      </c>
      <c r="F385" s="22" t="str">
        <f t="shared" si="18"/>
        <v/>
      </c>
      <c r="G385" s="23" t="s">
        <v>166</v>
      </c>
      <c r="H385" s="23" t="s">
        <v>234</v>
      </c>
      <c r="I385" s="23" t="s">
        <v>32</v>
      </c>
      <c r="J385" t="s">
        <v>34</v>
      </c>
      <c r="K385" s="22" t="e">
        <f t="shared" si="19"/>
        <v>#N/A</v>
      </c>
      <c r="L385" s="22" t="str">
        <f t="shared" si="20"/>
        <v/>
      </c>
    </row>
    <row r="386" spans="1:12" x14ac:dyDescent="0.25">
      <c r="A386">
        <v>5</v>
      </c>
      <c r="B386">
        <v>5</v>
      </c>
      <c r="C386">
        <v>9</v>
      </c>
      <c r="D386">
        <v>3</v>
      </c>
      <c r="E386" t="b">
        <v>0</v>
      </c>
      <c r="F386" s="22" t="str">
        <f t="shared" si="18"/>
        <v/>
      </c>
      <c r="G386" s="23" t="s">
        <v>166</v>
      </c>
      <c r="H386" s="23" t="s">
        <v>235</v>
      </c>
      <c r="I386" s="23" t="s">
        <v>32</v>
      </c>
      <c r="J386" t="s">
        <v>35</v>
      </c>
      <c r="K386" s="22" t="e">
        <f t="shared" si="19"/>
        <v>#N/A</v>
      </c>
      <c r="L386" s="22" t="str">
        <f t="shared" si="20"/>
        <v/>
      </c>
    </row>
    <row r="387" spans="1:12" x14ac:dyDescent="0.25">
      <c r="A387">
        <v>5</v>
      </c>
      <c r="B387">
        <v>5</v>
      </c>
      <c r="C387">
        <v>9</v>
      </c>
      <c r="D387">
        <v>4</v>
      </c>
      <c r="E387" t="b">
        <v>0</v>
      </c>
      <c r="F387" s="22" t="str">
        <f t="shared" si="18"/>
        <v/>
      </c>
      <c r="G387" s="23" t="s">
        <v>166</v>
      </c>
      <c r="H387" s="23" t="s">
        <v>236</v>
      </c>
      <c r="I387" s="23" t="s">
        <v>32</v>
      </c>
      <c r="J387" t="s">
        <v>123</v>
      </c>
      <c r="K387" s="22" t="e">
        <f t="shared" si="19"/>
        <v>#N/A</v>
      </c>
      <c r="L387" s="22" t="str">
        <f t="shared" si="20"/>
        <v/>
      </c>
    </row>
    <row r="388" spans="1:12" x14ac:dyDescent="0.25">
      <c r="A388">
        <v>5</v>
      </c>
      <c r="B388">
        <v>5</v>
      </c>
      <c r="C388">
        <v>9</v>
      </c>
      <c r="D388">
        <v>5</v>
      </c>
      <c r="E388" t="b">
        <v>0</v>
      </c>
      <c r="F388" s="22" t="str">
        <f t="shared" ref="F388:F451" si="21">VLOOKUP("Assessment #"&amp;$A388, DateMeta, MATCH("DisplDate", DateMeta_H, 0), 0)</f>
        <v/>
      </c>
      <c r="G388" s="23" t="s">
        <v>166</v>
      </c>
      <c r="H388" s="23" t="s">
        <v>237</v>
      </c>
      <c r="I388" s="23" t="s">
        <v>32</v>
      </c>
      <c r="J388" t="s">
        <v>124</v>
      </c>
      <c r="K388" s="22" t="e">
        <f t="shared" ref="K388:K451" si="22">IF(INDEX(Assess, MATCH($J388, ItemLong, 0), MATCH("Assessment #"&amp;$A388, Assess_H, 0))="", "", INDEX(Assess, MATCH($J388, ItemLong, 0), MATCH("Assessment #"&amp;$A388, Assess_H, 0)))</f>
        <v>#N/A</v>
      </c>
      <c r="L388" s="22" t="str">
        <f t="shared" si="20"/>
        <v/>
      </c>
    </row>
    <row r="389" spans="1:12" x14ac:dyDescent="0.25">
      <c r="A389">
        <v>5</v>
      </c>
      <c r="B389">
        <v>5</v>
      </c>
      <c r="C389">
        <v>9</v>
      </c>
      <c r="D389">
        <v>6</v>
      </c>
      <c r="E389" t="b">
        <v>0</v>
      </c>
      <c r="F389" s="22" t="str">
        <f t="shared" si="21"/>
        <v/>
      </c>
      <c r="G389" s="23" t="s">
        <v>166</v>
      </c>
      <c r="H389" s="23" t="s">
        <v>238</v>
      </c>
      <c r="I389" s="23" t="s">
        <v>32</v>
      </c>
      <c r="J389" t="s">
        <v>129</v>
      </c>
      <c r="K389" s="22" t="e">
        <f t="shared" si="22"/>
        <v>#N/A</v>
      </c>
      <c r="L389" s="22" t="str">
        <f t="shared" ref="L389:L452" si="23">IF(ISNUMBER(K389), IF(K389&gt;=2, 1, 0), "")</f>
        <v/>
      </c>
    </row>
    <row r="390" spans="1:12" x14ac:dyDescent="0.25">
      <c r="A390">
        <v>5</v>
      </c>
      <c r="B390">
        <v>5</v>
      </c>
      <c r="C390">
        <v>9</v>
      </c>
      <c r="D390">
        <v>7</v>
      </c>
      <c r="E390" t="b">
        <v>0</v>
      </c>
      <c r="F390" s="22" t="str">
        <f t="shared" si="21"/>
        <v/>
      </c>
      <c r="G390" s="23" t="s">
        <v>166</v>
      </c>
      <c r="H390" s="23" t="s">
        <v>239</v>
      </c>
      <c r="I390" s="23" t="s">
        <v>32</v>
      </c>
      <c r="J390" t="s">
        <v>125</v>
      </c>
      <c r="K390" s="22" t="e">
        <f t="shared" si="22"/>
        <v>#N/A</v>
      </c>
      <c r="L390" s="22" t="str">
        <f t="shared" si="23"/>
        <v/>
      </c>
    </row>
    <row r="391" spans="1:12" x14ac:dyDescent="0.25">
      <c r="A391">
        <v>5</v>
      </c>
      <c r="B391">
        <v>5</v>
      </c>
      <c r="C391">
        <v>9</v>
      </c>
      <c r="D391">
        <v>8</v>
      </c>
      <c r="E391" t="b">
        <v>0</v>
      </c>
      <c r="F391" s="22" t="str">
        <f t="shared" si="21"/>
        <v/>
      </c>
      <c r="G391" s="23" t="s">
        <v>166</v>
      </c>
      <c r="H391" s="23" t="s">
        <v>240</v>
      </c>
      <c r="I391" s="23" t="s">
        <v>32</v>
      </c>
      <c r="J391" t="s">
        <v>36</v>
      </c>
      <c r="K391" s="22" t="e">
        <f t="shared" si="22"/>
        <v>#N/A</v>
      </c>
      <c r="L391" s="22" t="str">
        <f t="shared" si="23"/>
        <v/>
      </c>
    </row>
    <row r="392" spans="1:12" x14ac:dyDescent="0.25">
      <c r="A392">
        <v>5</v>
      </c>
      <c r="B392">
        <v>5</v>
      </c>
      <c r="C392">
        <v>9</v>
      </c>
      <c r="D392">
        <v>9</v>
      </c>
      <c r="E392" t="b">
        <v>1</v>
      </c>
      <c r="F392" s="22" t="str">
        <f t="shared" si="21"/>
        <v/>
      </c>
      <c r="G392" s="23" t="s">
        <v>166</v>
      </c>
      <c r="H392" s="23" t="s">
        <v>241</v>
      </c>
      <c r="I392" s="23" t="s">
        <v>32</v>
      </c>
      <c r="J392" t="s">
        <v>47</v>
      </c>
      <c r="K392" s="22" t="e">
        <f t="shared" si="22"/>
        <v>#N/A</v>
      </c>
      <c r="L392" s="22" t="str">
        <f t="shared" si="23"/>
        <v/>
      </c>
    </row>
    <row r="393" spans="1:12" x14ac:dyDescent="0.25">
      <c r="A393">
        <v>5</v>
      </c>
      <c r="B393">
        <v>6</v>
      </c>
      <c r="C393">
        <v>11</v>
      </c>
      <c r="D393">
        <v>1</v>
      </c>
      <c r="E393" t="b">
        <v>0</v>
      </c>
      <c r="F393" s="22" t="str">
        <f t="shared" si="21"/>
        <v/>
      </c>
      <c r="G393" s="23" t="s">
        <v>170</v>
      </c>
      <c r="H393" s="23" t="s">
        <v>242</v>
      </c>
      <c r="I393" s="23" t="s">
        <v>149</v>
      </c>
      <c r="J393" t="s">
        <v>150</v>
      </c>
      <c r="K393" s="22" t="e">
        <f t="shared" si="22"/>
        <v>#N/A</v>
      </c>
      <c r="L393" s="22" t="str">
        <f t="shared" si="23"/>
        <v/>
      </c>
    </row>
    <row r="394" spans="1:12" x14ac:dyDescent="0.25">
      <c r="A394">
        <v>5</v>
      </c>
      <c r="B394">
        <v>6</v>
      </c>
      <c r="C394">
        <v>11</v>
      </c>
      <c r="D394">
        <v>2</v>
      </c>
      <c r="E394" t="b">
        <v>0</v>
      </c>
      <c r="F394" s="22" t="str">
        <f t="shared" si="21"/>
        <v/>
      </c>
      <c r="G394" s="23" t="s">
        <v>170</v>
      </c>
      <c r="H394" s="23" t="s">
        <v>243</v>
      </c>
      <c r="I394" s="23" t="s">
        <v>149</v>
      </c>
      <c r="J394" t="s">
        <v>151</v>
      </c>
      <c r="K394" s="22" t="e">
        <f t="shared" si="22"/>
        <v>#N/A</v>
      </c>
      <c r="L394" s="22" t="str">
        <f t="shared" si="23"/>
        <v/>
      </c>
    </row>
    <row r="395" spans="1:12" x14ac:dyDescent="0.25">
      <c r="A395">
        <v>5</v>
      </c>
      <c r="B395">
        <v>6</v>
      </c>
      <c r="C395">
        <v>11</v>
      </c>
      <c r="D395">
        <v>3</v>
      </c>
      <c r="E395" t="b">
        <v>0</v>
      </c>
      <c r="F395" s="22" t="str">
        <f t="shared" si="21"/>
        <v/>
      </c>
      <c r="G395" s="23" t="s">
        <v>170</v>
      </c>
      <c r="H395" s="23" t="s">
        <v>244</v>
      </c>
      <c r="I395" s="23" t="s">
        <v>149</v>
      </c>
      <c r="J395" t="s">
        <v>152</v>
      </c>
      <c r="K395" s="22" t="e">
        <f t="shared" si="22"/>
        <v>#N/A</v>
      </c>
      <c r="L395" s="22" t="str">
        <f t="shared" si="23"/>
        <v/>
      </c>
    </row>
    <row r="396" spans="1:12" x14ac:dyDescent="0.25">
      <c r="A396">
        <v>5</v>
      </c>
      <c r="B396">
        <v>6</v>
      </c>
      <c r="C396">
        <v>11</v>
      </c>
      <c r="D396">
        <v>4</v>
      </c>
      <c r="E396" t="b">
        <v>0</v>
      </c>
      <c r="F396" s="22" t="str">
        <f t="shared" si="21"/>
        <v/>
      </c>
      <c r="G396" s="23" t="s">
        <v>170</v>
      </c>
      <c r="H396" s="23" t="s">
        <v>245</v>
      </c>
      <c r="I396" s="23" t="s">
        <v>149</v>
      </c>
      <c r="J396" t="s">
        <v>153</v>
      </c>
      <c r="K396" s="22" t="e">
        <f t="shared" si="22"/>
        <v>#N/A</v>
      </c>
      <c r="L396" s="22" t="str">
        <f t="shared" si="23"/>
        <v/>
      </c>
    </row>
    <row r="397" spans="1:12" x14ac:dyDescent="0.25">
      <c r="A397">
        <v>5</v>
      </c>
      <c r="B397">
        <v>6</v>
      </c>
      <c r="C397">
        <v>11</v>
      </c>
      <c r="D397">
        <v>5</v>
      </c>
      <c r="E397" t="b">
        <v>0</v>
      </c>
      <c r="F397" s="22" t="str">
        <f t="shared" si="21"/>
        <v/>
      </c>
      <c r="G397" s="23" t="s">
        <v>170</v>
      </c>
      <c r="H397" s="23" t="s">
        <v>246</v>
      </c>
      <c r="I397" s="23" t="s">
        <v>149</v>
      </c>
      <c r="J397" t="s">
        <v>154</v>
      </c>
      <c r="K397" s="22" t="e">
        <f t="shared" si="22"/>
        <v>#N/A</v>
      </c>
      <c r="L397" s="22" t="str">
        <f t="shared" si="23"/>
        <v/>
      </c>
    </row>
    <row r="398" spans="1:12" x14ac:dyDescent="0.25">
      <c r="A398">
        <v>5</v>
      </c>
      <c r="B398">
        <v>6</v>
      </c>
      <c r="C398">
        <v>11</v>
      </c>
      <c r="D398">
        <v>6</v>
      </c>
      <c r="E398" t="b">
        <v>0</v>
      </c>
      <c r="F398" s="22" t="str">
        <f t="shared" si="21"/>
        <v/>
      </c>
      <c r="G398" s="23" t="s">
        <v>170</v>
      </c>
      <c r="H398" s="23" t="s">
        <v>247</v>
      </c>
      <c r="I398" s="23" t="s">
        <v>149</v>
      </c>
      <c r="J398" t="s">
        <v>155</v>
      </c>
      <c r="K398" s="22" t="e">
        <f t="shared" si="22"/>
        <v>#N/A</v>
      </c>
      <c r="L398" s="22" t="str">
        <f t="shared" si="23"/>
        <v/>
      </c>
    </row>
    <row r="399" spans="1:12" x14ac:dyDescent="0.25">
      <c r="A399">
        <v>5</v>
      </c>
      <c r="B399">
        <v>6</v>
      </c>
      <c r="C399">
        <v>11</v>
      </c>
      <c r="D399">
        <v>7</v>
      </c>
      <c r="E399" t="b">
        <v>0</v>
      </c>
      <c r="F399" s="22" t="str">
        <f t="shared" si="21"/>
        <v/>
      </c>
      <c r="G399" s="23" t="s">
        <v>170</v>
      </c>
      <c r="H399" s="23" t="s">
        <v>248</v>
      </c>
      <c r="I399" s="23" t="s">
        <v>149</v>
      </c>
      <c r="J399" t="s">
        <v>156</v>
      </c>
      <c r="K399" s="22" t="e">
        <f t="shared" si="22"/>
        <v>#N/A</v>
      </c>
      <c r="L399" s="22" t="str">
        <f t="shared" si="23"/>
        <v/>
      </c>
    </row>
    <row r="400" spans="1:12" x14ac:dyDescent="0.25">
      <c r="A400">
        <v>5</v>
      </c>
      <c r="B400">
        <v>6</v>
      </c>
      <c r="C400">
        <v>11</v>
      </c>
      <c r="D400">
        <v>8</v>
      </c>
      <c r="E400" t="b">
        <v>0</v>
      </c>
      <c r="F400" s="22" t="str">
        <f t="shared" si="21"/>
        <v/>
      </c>
      <c r="G400" s="23" t="s">
        <v>170</v>
      </c>
      <c r="H400" s="23" t="s">
        <v>249</v>
      </c>
      <c r="I400" s="23" t="s">
        <v>149</v>
      </c>
      <c r="J400" t="s">
        <v>157</v>
      </c>
      <c r="K400" s="22" t="e">
        <f t="shared" si="22"/>
        <v>#N/A</v>
      </c>
      <c r="L400" s="22" t="str">
        <f t="shared" si="23"/>
        <v/>
      </c>
    </row>
    <row r="401" spans="1:12" x14ac:dyDescent="0.25">
      <c r="A401">
        <v>5</v>
      </c>
      <c r="B401">
        <v>6</v>
      </c>
      <c r="C401">
        <v>11</v>
      </c>
      <c r="D401">
        <v>9</v>
      </c>
      <c r="E401" t="b">
        <v>0</v>
      </c>
      <c r="F401" s="22" t="str">
        <f t="shared" si="21"/>
        <v/>
      </c>
      <c r="G401" s="23" t="s">
        <v>170</v>
      </c>
      <c r="H401" s="23" t="s">
        <v>250</v>
      </c>
      <c r="I401" s="23" t="s">
        <v>149</v>
      </c>
      <c r="J401" t="s">
        <v>158</v>
      </c>
      <c r="K401" s="22" t="e">
        <f t="shared" si="22"/>
        <v>#N/A</v>
      </c>
      <c r="L401" s="22" t="str">
        <f t="shared" si="23"/>
        <v/>
      </c>
    </row>
    <row r="402" spans="1:12" x14ac:dyDescent="0.25">
      <c r="A402">
        <v>5</v>
      </c>
      <c r="B402">
        <v>6</v>
      </c>
      <c r="C402">
        <v>11</v>
      </c>
      <c r="D402">
        <v>10</v>
      </c>
      <c r="E402" t="b">
        <v>0</v>
      </c>
      <c r="F402" s="22" t="str">
        <f t="shared" si="21"/>
        <v/>
      </c>
      <c r="G402" s="23" t="s">
        <v>170</v>
      </c>
      <c r="H402" s="23" t="s">
        <v>251</v>
      </c>
      <c r="I402" s="23" t="s">
        <v>149</v>
      </c>
      <c r="J402" t="s">
        <v>159</v>
      </c>
      <c r="K402" s="22" t="e">
        <f t="shared" si="22"/>
        <v>#N/A</v>
      </c>
      <c r="L402" s="22" t="str">
        <f t="shared" si="23"/>
        <v/>
      </c>
    </row>
    <row r="403" spans="1:12" x14ac:dyDescent="0.25">
      <c r="A403">
        <v>5</v>
      </c>
      <c r="B403">
        <v>6</v>
      </c>
      <c r="C403">
        <v>11</v>
      </c>
      <c r="D403">
        <v>11</v>
      </c>
      <c r="E403" t="b">
        <v>1</v>
      </c>
      <c r="F403" s="22" t="str">
        <f t="shared" si="21"/>
        <v/>
      </c>
      <c r="G403" s="23" t="s">
        <v>170</v>
      </c>
      <c r="H403" s="23" t="s">
        <v>252</v>
      </c>
      <c r="I403" s="23" t="s">
        <v>149</v>
      </c>
      <c r="J403" t="s">
        <v>160</v>
      </c>
      <c r="K403" s="22" t="e">
        <f t="shared" si="22"/>
        <v>#N/A</v>
      </c>
      <c r="L403" s="22" t="str">
        <f t="shared" si="23"/>
        <v/>
      </c>
    </row>
    <row r="404" spans="1:12" x14ac:dyDescent="0.25">
      <c r="A404">
        <v>6</v>
      </c>
      <c r="B404">
        <v>1</v>
      </c>
      <c r="C404">
        <v>18</v>
      </c>
      <c r="D404">
        <v>1</v>
      </c>
      <c r="E404" t="b">
        <v>0</v>
      </c>
      <c r="F404" s="22" t="str">
        <f t="shared" si="21"/>
        <v/>
      </c>
      <c r="G404" s="23" t="s">
        <v>167</v>
      </c>
      <c r="H404" s="23" t="s">
        <v>253</v>
      </c>
      <c r="I404" s="23" t="s">
        <v>2</v>
      </c>
      <c r="J404" t="s">
        <v>3</v>
      </c>
      <c r="K404" s="22" t="e">
        <f t="shared" si="22"/>
        <v>#N/A</v>
      </c>
      <c r="L404" s="22" t="str">
        <f t="shared" si="23"/>
        <v/>
      </c>
    </row>
    <row r="405" spans="1:12" x14ac:dyDescent="0.25">
      <c r="A405">
        <v>6</v>
      </c>
      <c r="B405">
        <v>1</v>
      </c>
      <c r="C405">
        <v>18</v>
      </c>
      <c r="D405">
        <v>2</v>
      </c>
      <c r="E405" t="b">
        <v>0</v>
      </c>
      <c r="F405" s="22" t="str">
        <f t="shared" si="21"/>
        <v/>
      </c>
      <c r="G405" s="23" t="s">
        <v>167</v>
      </c>
      <c r="H405" s="23" t="s">
        <v>254</v>
      </c>
      <c r="I405" s="23" t="s">
        <v>2</v>
      </c>
      <c r="J405" t="s">
        <v>4</v>
      </c>
      <c r="K405" s="22" t="e">
        <f t="shared" si="22"/>
        <v>#N/A</v>
      </c>
      <c r="L405" s="22" t="str">
        <f t="shared" si="23"/>
        <v/>
      </c>
    </row>
    <row r="406" spans="1:12" x14ac:dyDescent="0.25">
      <c r="A406">
        <v>6</v>
      </c>
      <c r="B406">
        <v>1</v>
      </c>
      <c r="C406">
        <v>18</v>
      </c>
      <c r="D406">
        <v>3</v>
      </c>
      <c r="E406" t="b">
        <v>0</v>
      </c>
      <c r="F406" s="22" t="str">
        <f t="shared" si="21"/>
        <v/>
      </c>
      <c r="G406" s="23" t="s">
        <v>167</v>
      </c>
      <c r="H406" s="23" t="s">
        <v>175</v>
      </c>
      <c r="I406" s="23" t="s">
        <v>2</v>
      </c>
      <c r="J406" t="s">
        <v>5</v>
      </c>
      <c r="K406" s="22" t="e">
        <f t="shared" si="22"/>
        <v>#N/A</v>
      </c>
      <c r="L406" s="22" t="str">
        <f t="shared" si="23"/>
        <v/>
      </c>
    </row>
    <row r="407" spans="1:12" x14ac:dyDescent="0.25">
      <c r="A407">
        <v>6</v>
      </c>
      <c r="B407">
        <v>1</v>
      </c>
      <c r="C407">
        <v>18</v>
      </c>
      <c r="D407">
        <v>4</v>
      </c>
      <c r="E407" t="b">
        <v>0</v>
      </c>
      <c r="F407" s="22" t="str">
        <f t="shared" si="21"/>
        <v/>
      </c>
      <c r="G407" s="23" t="s">
        <v>167</v>
      </c>
      <c r="H407" s="23" t="s">
        <v>176</v>
      </c>
      <c r="I407" s="23" t="s">
        <v>2</v>
      </c>
      <c r="J407" t="s">
        <v>6</v>
      </c>
      <c r="K407" s="22" t="e">
        <f t="shared" si="22"/>
        <v>#N/A</v>
      </c>
      <c r="L407" s="22" t="str">
        <f t="shared" si="23"/>
        <v/>
      </c>
    </row>
    <row r="408" spans="1:12" x14ac:dyDescent="0.25">
      <c r="A408">
        <v>6</v>
      </c>
      <c r="B408">
        <v>1</v>
      </c>
      <c r="C408">
        <v>18</v>
      </c>
      <c r="D408">
        <v>5</v>
      </c>
      <c r="E408" t="b">
        <v>0</v>
      </c>
      <c r="F408" s="22" t="str">
        <f t="shared" si="21"/>
        <v/>
      </c>
      <c r="G408" s="23" t="s">
        <v>167</v>
      </c>
      <c r="H408" s="23" t="s">
        <v>177</v>
      </c>
      <c r="I408" s="23" t="s">
        <v>2</v>
      </c>
      <c r="J408" t="s">
        <v>44</v>
      </c>
      <c r="K408" s="22" t="e">
        <f t="shared" si="22"/>
        <v>#N/A</v>
      </c>
      <c r="L408" s="22" t="str">
        <f t="shared" si="23"/>
        <v/>
      </c>
    </row>
    <row r="409" spans="1:12" x14ac:dyDescent="0.25">
      <c r="A409">
        <v>6</v>
      </c>
      <c r="B409">
        <v>1</v>
      </c>
      <c r="C409">
        <v>18</v>
      </c>
      <c r="D409">
        <v>6</v>
      </c>
      <c r="E409" t="b">
        <v>0</v>
      </c>
      <c r="F409" s="22" t="str">
        <f t="shared" si="21"/>
        <v/>
      </c>
      <c r="G409" s="23" t="s">
        <v>167</v>
      </c>
      <c r="H409" s="23" t="s">
        <v>178</v>
      </c>
      <c r="I409" s="23" t="s">
        <v>2</v>
      </c>
      <c r="J409" t="s">
        <v>102</v>
      </c>
      <c r="K409" s="22" t="e">
        <f t="shared" si="22"/>
        <v>#N/A</v>
      </c>
      <c r="L409" s="22" t="str">
        <f t="shared" si="23"/>
        <v/>
      </c>
    </row>
    <row r="410" spans="1:12" x14ac:dyDescent="0.25">
      <c r="A410">
        <v>6</v>
      </c>
      <c r="B410">
        <v>1</v>
      </c>
      <c r="C410">
        <v>18</v>
      </c>
      <c r="D410">
        <v>7</v>
      </c>
      <c r="E410" t="b">
        <v>0</v>
      </c>
      <c r="F410" s="22" t="str">
        <f t="shared" si="21"/>
        <v/>
      </c>
      <c r="G410" s="23" t="s">
        <v>167</v>
      </c>
      <c r="H410" s="23" t="s">
        <v>179</v>
      </c>
      <c r="I410" s="23" t="s">
        <v>2</v>
      </c>
      <c r="J410" t="s">
        <v>103</v>
      </c>
      <c r="K410" s="22" t="e">
        <f t="shared" si="22"/>
        <v>#N/A</v>
      </c>
      <c r="L410" s="22" t="str">
        <f t="shared" si="23"/>
        <v/>
      </c>
    </row>
    <row r="411" spans="1:12" x14ac:dyDescent="0.25">
      <c r="A411">
        <v>6</v>
      </c>
      <c r="B411">
        <v>1</v>
      </c>
      <c r="C411">
        <v>18</v>
      </c>
      <c r="D411">
        <v>8</v>
      </c>
      <c r="E411" t="b">
        <v>0</v>
      </c>
      <c r="F411" s="22" t="str">
        <f t="shared" si="21"/>
        <v/>
      </c>
      <c r="G411" s="23" t="s">
        <v>167</v>
      </c>
      <c r="H411" s="23" t="s">
        <v>180</v>
      </c>
      <c r="I411" s="23" t="s">
        <v>2</v>
      </c>
      <c r="J411" t="s">
        <v>7</v>
      </c>
      <c r="K411" s="22" t="e">
        <f t="shared" si="22"/>
        <v>#N/A</v>
      </c>
      <c r="L411" s="22" t="str">
        <f t="shared" si="23"/>
        <v/>
      </c>
    </row>
    <row r="412" spans="1:12" x14ac:dyDescent="0.25">
      <c r="A412">
        <v>6</v>
      </c>
      <c r="B412">
        <v>1</v>
      </c>
      <c r="C412">
        <v>18</v>
      </c>
      <c r="D412">
        <v>9</v>
      </c>
      <c r="E412" t="b">
        <v>0</v>
      </c>
      <c r="F412" s="22" t="str">
        <f t="shared" si="21"/>
        <v/>
      </c>
      <c r="G412" s="23" t="s">
        <v>167</v>
      </c>
      <c r="H412" s="23" t="s">
        <v>181</v>
      </c>
      <c r="I412" s="23" t="s">
        <v>2</v>
      </c>
      <c r="J412" t="s">
        <v>104</v>
      </c>
      <c r="K412" s="22" t="e">
        <f t="shared" si="22"/>
        <v>#N/A</v>
      </c>
      <c r="L412" s="22" t="str">
        <f t="shared" si="23"/>
        <v/>
      </c>
    </row>
    <row r="413" spans="1:12" x14ac:dyDescent="0.25">
      <c r="A413">
        <v>6</v>
      </c>
      <c r="B413">
        <v>1</v>
      </c>
      <c r="C413">
        <v>18</v>
      </c>
      <c r="D413">
        <v>10</v>
      </c>
      <c r="E413" t="b">
        <v>0</v>
      </c>
      <c r="F413" s="22" t="str">
        <f t="shared" si="21"/>
        <v/>
      </c>
      <c r="G413" s="23" t="s">
        <v>167</v>
      </c>
      <c r="H413" s="23" t="s">
        <v>182</v>
      </c>
      <c r="I413" s="23" t="s">
        <v>2</v>
      </c>
      <c r="J413" t="s">
        <v>8</v>
      </c>
      <c r="K413" s="22" t="e">
        <f t="shared" si="22"/>
        <v>#N/A</v>
      </c>
      <c r="L413" s="22" t="str">
        <f t="shared" si="23"/>
        <v/>
      </c>
    </row>
    <row r="414" spans="1:12" x14ac:dyDescent="0.25">
      <c r="A414">
        <v>6</v>
      </c>
      <c r="B414">
        <v>1</v>
      </c>
      <c r="C414">
        <v>18</v>
      </c>
      <c r="D414">
        <v>11</v>
      </c>
      <c r="E414" t="b">
        <v>0</v>
      </c>
      <c r="F414" s="22" t="str">
        <f t="shared" si="21"/>
        <v/>
      </c>
      <c r="G414" s="23" t="s">
        <v>167</v>
      </c>
      <c r="H414" s="23" t="s">
        <v>183</v>
      </c>
      <c r="I414" s="23" t="s">
        <v>2</v>
      </c>
      <c r="J414" t="s">
        <v>105</v>
      </c>
      <c r="K414" s="22" t="e">
        <f t="shared" si="22"/>
        <v>#N/A</v>
      </c>
      <c r="L414" s="22" t="str">
        <f t="shared" si="23"/>
        <v/>
      </c>
    </row>
    <row r="415" spans="1:12" x14ac:dyDescent="0.25">
      <c r="A415">
        <v>6</v>
      </c>
      <c r="B415">
        <v>1</v>
      </c>
      <c r="C415">
        <v>18</v>
      </c>
      <c r="D415">
        <v>12</v>
      </c>
      <c r="E415" t="b">
        <v>0</v>
      </c>
      <c r="F415" s="22" t="str">
        <f t="shared" si="21"/>
        <v/>
      </c>
      <c r="G415" s="23" t="s">
        <v>167</v>
      </c>
      <c r="H415" s="23" t="s">
        <v>184</v>
      </c>
      <c r="I415" s="23" t="s">
        <v>2</v>
      </c>
      <c r="J415" t="s">
        <v>106</v>
      </c>
      <c r="K415" s="22" t="e">
        <f t="shared" si="22"/>
        <v>#N/A</v>
      </c>
      <c r="L415" s="22" t="str">
        <f t="shared" si="23"/>
        <v/>
      </c>
    </row>
    <row r="416" spans="1:12" x14ac:dyDescent="0.25">
      <c r="A416">
        <v>6</v>
      </c>
      <c r="B416">
        <v>1</v>
      </c>
      <c r="C416">
        <v>18</v>
      </c>
      <c r="D416">
        <v>13</v>
      </c>
      <c r="E416" t="b">
        <v>0</v>
      </c>
      <c r="F416" s="22" t="str">
        <f t="shared" si="21"/>
        <v/>
      </c>
      <c r="G416" s="23" t="s">
        <v>167</v>
      </c>
      <c r="H416" s="23" t="s">
        <v>185</v>
      </c>
      <c r="I416" s="23" t="s">
        <v>2</v>
      </c>
      <c r="J416" t="s">
        <v>107</v>
      </c>
      <c r="K416" s="22" t="e">
        <f t="shared" si="22"/>
        <v>#N/A</v>
      </c>
      <c r="L416" s="22" t="str">
        <f t="shared" si="23"/>
        <v/>
      </c>
    </row>
    <row r="417" spans="1:12" x14ac:dyDescent="0.25">
      <c r="A417">
        <v>6</v>
      </c>
      <c r="B417">
        <v>1</v>
      </c>
      <c r="C417">
        <v>18</v>
      </c>
      <c r="D417">
        <v>14</v>
      </c>
      <c r="E417" t="b">
        <v>0</v>
      </c>
      <c r="F417" s="22" t="str">
        <f t="shared" si="21"/>
        <v/>
      </c>
      <c r="G417" s="23" t="s">
        <v>167</v>
      </c>
      <c r="H417" s="23" t="s">
        <v>186</v>
      </c>
      <c r="I417" s="23" t="s">
        <v>2</v>
      </c>
      <c r="J417" t="s">
        <v>108</v>
      </c>
      <c r="K417" s="22" t="e">
        <f t="shared" si="22"/>
        <v>#N/A</v>
      </c>
      <c r="L417" s="22" t="str">
        <f t="shared" si="23"/>
        <v/>
      </c>
    </row>
    <row r="418" spans="1:12" x14ac:dyDescent="0.25">
      <c r="A418">
        <v>6</v>
      </c>
      <c r="B418">
        <v>1</v>
      </c>
      <c r="C418">
        <v>18</v>
      </c>
      <c r="D418">
        <v>15</v>
      </c>
      <c r="E418" t="b">
        <v>0</v>
      </c>
      <c r="F418" s="22" t="str">
        <f t="shared" si="21"/>
        <v/>
      </c>
      <c r="G418" s="23" t="s">
        <v>167</v>
      </c>
      <c r="H418" s="23" t="s">
        <v>187</v>
      </c>
      <c r="I418" s="23" t="s">
        <v>2</v>
      </c>
      <c r="J418" t="s">
        <v>109</v>
      </c>
      <c r="K418" s="22" t="e">
        <f t="shared" si="22"/>
        <v>#N/A</v>
      </c>
      <c r="L418" s="22" t="str">
        <f t="shared" si="23"/>
        <v/>
      </c>
    </row>
    <row r="419" spans="1:12" x14ac:dyDescent="0.25">
      <c r="A419">
        <v>6</v>
      </c>
      <c r="B419">
        <v>1</v>
      </c>
      <c r="C419">
        <v>18</v>
      </c>
      <c r="D419">
        <v>16</v>
      </c>
      <c r="E419" t="b">
        <v>0</v>
      </c>
      <c r="F419" s="22" t="str">
        <f t="shared" si="21"/>
        <v/>
      </c>
      <c r="G419" s="23" t="s">
        <v>167</v>
      </c>
      <c r="H419" s="23" t="s">
        <v>188</v>
      </c>
      <c r="I419" s="23" t="s">
        <v>2</v>
      </c>
      <c r="J419" t="s">
        <v>110</v>
      </c>
      <c r="K419" s="22" t="e">
        <f t="shared" si="22"/>
        <v>#N/A</v>
      </c>
      <c r="L419" s="22" t="str">
        <f t="shared" si="23"/>
        <v/>
      </c>
    </row>
    <row r="420" spans="1:12" x14ac:dyDescent="0.25">
      <c r="A420">
        <v>6</v>
      </c>
      <c r="B420">
        <v>1</v>
      </c>
      <c r="C420">
        <v>18</v>
      </c>
      <c r="D420">
        <v>17</v>
      </c>
      <c r="E420" t="b">
        <v>0</v>
      </c>
      <c r="F420" s="22" t="str">
        <f t="shared" si="21"/>
        <v/>
      </c>
      <c r="G420" s="23" t="s">
        <v>167</v>
      </c>
      <c r="H420" s="23" t="s">
        <v>189</v>
      </c>
      <c r="I420" s="23" t="s">
        <v>2</v>
      </c>
      <c r="J420" t="s">
        <v>23</v>
      </c>
      <c r="K420" s="22" t="e">
        <f t="shared" si="22"/>
        <v>#N/A</v>
      </c>
      <c r="L420" s="22" t="str">
        <f t="shared" si="23"/>
        <v/>
      </c>
    </row>
    <row r="421" spans="1:12" x14ac:dyDescent="0.25">
      <c r="A421">
        <v>6</v>
      </c>
      <c r="B421">
        <v>1</v>
      </c>
      <c r="C421">
        <v>18</v>
      </c>
      <c r="D421">
        <v>18</v>
      </c>
      <c r="E421" t="b">
        <v>1</v>
      </c>
      <c r="F421" s="22" t="str">
        <f t="shared" si="21"/>
        <v/>
      </c>
      <c r="G421" s="23" t="s">
        <v>167</v>
      </c>
      <c r="H421" s="23" t="s">
        <v>190</v>
      </c>
      <c r="I421" s="23" t="s">
        <v>2</v>
      </c>
      <c r="J421" t="s">
        <v>24</v>
      </c>
      <c r="K421" s="22" t="e">
        <f t="shared" si="22"/>
        <v>#N/A</v>
      </c>
      <c r="L421" s="22" t="str">
        <f t="shared" si="23"/>
        <v/>
      </c>
    </row>
    <row r="422" spans="1:12" x14ac:dyDescent="0.25">
      <c r="A422">
        <v>6</v>
      </c>
      <c r="B422">
        <v>2</v>
      </c>
      <c r="C422">
        <v>16</v>
      </c>
      <c r="D422">
        <v>1</v>
      </c>
      <c r="E422" t="b">
        <v>0</v>
      </c>
      <c r="F422" s="22" t="str">
        <f t="shared" si="21"/>
        <v/>
      </c>
      <c r="G422" s="23" t="s">
        <v>165</v>
      </c>
      <c r="H422" s="23" t="s">
        <v>191</v>
      </c>
      <c r="I422" s="23" t="s">
        <v>9</v>
      </c>
      <c r="J422" t="s">
        <v>10</v>
      </c>
      <c r="K422" s="22" t="e">
        <f t="shared" si="22"/>
        <v>#N/A</v>
      </c>
      <c r="L422" s="22" t="str">
        <f t="shared" si="23"/>
        <v/>
      </c>
    </row>
    <row r="423" spans="1:12" x14ac:dyDescent="0.25">
      <c r="A423">
        <v>6</v>
      </c>
      <c r="B423">
        <v>2</v>
      </c>
      <c r="C423">
        <v>16</v>
      </c>
      <c r="D423">
        <v>2</v>
      </c>
      <c r="E423" t="b">
        <v>0</v>
      </c>
      <c r="F423" s="22" t="str">
        <f t="shared" si="21"/>
        <v/>
      </c>
      <c r="G423" s="23" t="s">
        <v>165</v>
      </c>
      <c r="H423" s="23" t="s">
        <v>192</v>
      </c>
      <c r="I423" s="23" t="s">
        <v>9</v>
      </c>
      <c r="J423" t="s">
        <v>11</v>
      </c>
      <c r="K423" s="22" t="e">
        <f t="shared" si="22"/>
        <v>#N/A</v>
      </c>
      <c r="L423" s="22" t="str">
        <f t="shared" si="23"/>
        <v/>
      </c>
    </row>
    <row r="424" spans="1:12" x14ac:dyDescent="0.25">
      <c r="A424">
        <v>6</v>
      </c>
      <c r="B424">
        <v>2</v>
      </c>
      <c r="C424">
        <v>16</v>
      </c>
      <c r="D424">
        <v>3</v>
      </c>
      <c r="E424" t="b">
        <v>0</v>
      </c>
      <c r="F424" s="22" t="str">
        <f t="shared" si="21"/>
        <v/>
      </c>
      <c r="G424" s="23" t="s">
        <v>165</v>
      </c>
      <c r="H424" s="23" t="s">
        <v>193</v>
      </c>
      <c r="I424" s="23" t="s">
        <v>9</v>
      </c>
      <c r="J424" t="s">
        <v>12</v>
      </c>
      <c r="K424" s="22" t="e">
        <f t="shared" si="22"/>
        <v>#N/A</v>
      </c>
      <c r="L424" s="22" t="str">
        <f t="shared" si="23"/>
        <v/>
      </c>
    </row>
    <row r="425" spans="1:12" x14ac:dyDescent="0.25">
      <c r="A425">
        <v>6</v>
      </c>
      <c r="B425">
        <v>2</v>
      </c>
      <c r="C425">
        <v>16</v>
      </c>
      <c r="D425">
        <v>4</v>
      </c>
      <c r="E425" t="b">
        <v>0</v>
      </c>
      <c r="F425" s="22" t="str">
        <f t="shared" si="21"/>
        <v/>
      </c>
      <c r="G425" s="23" t="s">
        <v>165</v>
      </c>
      <c r="H425" s="23" t="s">
        <v>194</v>
      </c>
      <c r="I425" s="23" t="s">
        <v>9</v>
      </c>
      <c r="J425" t="s">
        <v>13</v>
      </c>
      <c r="K425" s="22" t="e">
        <f t="shared" si="22"/>
        <v>#N/A</v>
      </c>
      <c r="L425" s="22" t="str">
        <f t="shared" si="23"/>
        <v/>
      </c>
    </row>
    <row r="426" spans="1:12" x14ac:dyDescent="0.25">
      <c r="A426">
        <v>6</v>
      </c>
      <c r="B426">
        <v>2</v>
      </c>
      <c r="C426">
        <v>16</v>
      </c>
      <c r="D426">
        <v>5</v>
      </c>
      <c r="E426" t="b">
        <v>0</v>
      </c>
      <c r="F426" s="22" t="str">
        <f t="shared" si="21"/>
        <v/>
      </c>
      <c r="G426" s="23" t="s">
        <v>165</v>
      </c>
      <c r="H426" s="23" t="s">
        <v>195</v>
      </c>
      <c r="I426" s="23" t="s">
        <v>9</v>
      </c>
      <c r="J426" t="s">
        <v>14</v>
      </c>
      <c r="K426" s="22" t="e">
        <f t="shared" si="22"/>
        <v>#N/A</v>
      </c>
      <c r="L426" s="22" t="str">
        <f t="shared" si="23"/>
        <v/>
      </c>
    </row>
    <row r="427" spans="1:12" x14ac:dyDescent="0.25">
      <c r="A427">
        <v>6</v>
      </c>
      <c r="B427">
        <v>2</v>
      </c>
      <c r="C427">
        <v>16</v>
      </c>
      <c r="D427">
        <v>6</v>
      </c>
      <c r="E427" t="b">
        <v>0</v>
      </c>
      <c r="F427" s="22" t="str">
        <f t="shared" si="21"/>
        <v/>
      </c>
      <c r="G427" s="23" t="s">
        <v>165</v>
      </c>
      <c r="H427" s="23" t="s">
        <v>196</v>
      </c>
      <c r="I427" s="23" t="s">
        <v>9</v>
      </c>
      <c r="J427" t="s">
        <v>15</v>
      </c>
      <c r="K427" s="22" t="e">
        <f t="shared" si="22"/>
        <v>#N/A</v>
      </c>
      <c r="L427" s="22" t="str">
        <f t="shared" si="23"/>
        <v/>
      </c>
    </row>
    <row r="428" spans="1:12" x14ac:dyDescent="0.25">
      <c r="A428">
        <v>6</v>
      </c>
      <c r="B428">
        <v>2</v>
      </c>
      <c r="C428">
        <v>16</v>
      </c>
      <c r="D428">
        <v>7</v>
      </c>
      <c r="E428" t="b">
        <v>0</v>
      </c>
      <c r="F428" s="22" t="str">
        <f t="shared" si="21"/>
        <v/>
      </c>
      <c r="G428" s="23" t="s">
        <v>165</v>
      </c>
      <c r="H428" s="23" t="s">
        <v>197</v>
      </c>
      <c r="I428" s="23" t="s">
        <v>9</v>
      </c>
      <c r="J428" t="s">
        <v>16</v>
      </c>
      <c r="K428" s="22" t="e">
        <f t="shared" si="22"/>
        <v>#N/A</v>
      </c>
      <c r="L428" s="22" t="str">
        <f t="shared" si="23"/>
        <v/>
      </c>
    </row>
    <row r="429" spans="1:12" x14ac:dyDescent="0.25">
      <c r="A429">
        <v>6</v>
      </c>
      <c r="B429">
        <v>2</v>
      </c>
      <c r="C429">
        <v>16</v>
      </c>
      <c r="D429">
        <v>8</v>
      </c>
      <c r="E429" t="b">
        <v>0</v>
      </c>
      <c r="F429" s="22" t="str">
        <f t="shared" si="21"/>
        <v/>
      </c>
      <c r="G429" s="23" t="s">
        <v>165</v>
      </c>
      <c r="H429" s="23" t="s">
        <v>198</v>
      </c>
      <c r="I429" s="23" t="s">
        <v>9</v>
      </c>
      <c r="J429" t="s">
        <v>17</v>
      </c>
      <c r="K429" s="22" t="e">
        <f t="shared" si="22"/>
        <v>#N/A</v>
      </c>
      <c r="L429" s="22" t="str">
        <f t="shared" si="23"/>
        <v/>
      </c>
    </row>
    <row r="430" spans="1:12" x14ac:dyDescent="0.25">
      <c r="A430">
        <v>6</v>
      </c>
      <c r="B430">
        <v>2</v>
      </c>
      <c r="C430">
        <v>16</v>
      </c>
      <c r="D430">
        <v>9</v>
      </c>
      <c r="E430" t="b">
        <v>0</v>
      </c>
      <c r="F430" s="22" t="str">
        <f t="shared" si="21"/>
        <v/>
      </c>
      <c r="G430" s="23" t="s">
        <v>165</v>
      </c>
      <c r="H430" s="23" t="s">
        <v>199</v>
      </c>
      <c r="I430" s="23" t="s">
        <v>9</v>
      </c>
      <c r="J430" t="s">
        <v>18</v>
      </c>
      <c r="K430" s="22" t="e">
        <f t="shared" si="22"/>
        <v>#N/A</v>
      </c>
      <c r="L430" s="22" t="str">
        <f t="shared" si="23"/>
        <v/>
      </c>
    </row>
    <row r="431" spans="1:12" x14ac:dyDescent="0.25">
      <c r="A431">
        <v>6</v>
      </c>
      <c r="B431">
        <v>2</v>
      </c>
      <c r="C431">
        <v>16</v>
      </c>
      <c r="D431">
        <v>10</v>
      </c>
      <c r="E431" t="b">
        <v>0</v>
      </c>
      <c r="F431" s="22" t="str">
        <f t="shared" si="21"/>
        <v/>
      </c>
      <c r="G431" s="23" t="s">
        <v>165</v>
      </c>
      <c r="H431" s="23" t="s">
        <v>200</v>
      </c>
      <c r="I431" s="23" t="s">
        <v>9</v>
      </c>
      <c r="J431" t="s">
        <v>19</v>
      </c>
      <c r="K431" s="22" t="e">
        <f t="shared" si="22"/>
        <v>#N/A</v>
      </c>
      <c r="L431" s="22" t="str">
        <f t="shared" si="23"/>
        <v/>
      </c>
    </row>
    <row r="432" spans="1:12" x14ac:dyDescent="0.25">
      <c r="A432">
        <v>6</v>
      </c>
      <c r="B432">
        <v>2</v>
      </c>
      <c r="C432">
        <v>16</v>
      </c>
      <c r="D432">
        <v>11</v>
      </c>
      <c r="E432" t="b">
        <v>0</v>
      </c>
      <c r="F432" s="22" t="str">
        <f t="shared" si="21"/>
        <v/>
      </c>
      <c r="G432" s="23" t="s">
        <v>165</v>
      </c>
      <c r="H432" s="23" t="s">
        <v>201</v>
      </c>
      <c r="I432" s="23" t="s">
        <v>9</v>
      </c>
      <c r="J432" t="s">
        <v>20</v>
      </c>
      <c r="K432" s="22" t="e">
        <f t="shared" si="22"/>
        <v>#N/A</v>
      </c>
      <c r="L432" s="22" t="str">
        <f t="shared" si="23"/>
        <v/>
      </c>
    </row>
    <row r="433" spans="1:12" x14ac:dyDescent="0.25">
      <c r="A433">
        <v>6</v>
      </c>
      <c r="B433">
        <v>2</v>
      </c>
      <c r="C433">
        <v>16</v>
      </c>
      <c r="D433">
        <v>12</v>
      </c>
      <c r="E433" t="b">
        <v>0</v>
      </c>
      <c r="F433" s="22" t="str">
        <f t="shared" si="21"/>
        <v/>
      </c>
      <c r="G433" s="23" t="s">
        <v>165</v>
      </c>
      <c r="H433" s="23" t="s">
        <v>202</v>
      </c>
      <c r="I433" s="23" t="s">
        <v>9</v>
      </c>
      <c r="J433" t="s">
        <v>21</v>
      </c>
      <c r="K433" s="22" t="e">
        <f t="shared" si="22"/>
        <v>#N/A</v>
      </c>
      <c r="L433" s="22" t="str">
        <f t="shared" si="23"/>
        <v/>
      </c>
    </row>
    <row r="434" spans="1:12" x14ac:dyDescent="0.25">
      <c r="A434">
        <v>6</v>
      </c>
      <c r="B434">
        <v>2</v>
      </c>
      <c r="C434">
        <v>16</v>
      </c>
      <c r="D434">
        <v>13</v>
      </c>
      <c r="E434" t="b">
        <v>0</v>
      </c>
      <c r="F434" s="22" t="str">
        <f t="shared" si="21"/>
        <v/>
      </c>
      <c r="G434" s="23" t="s">
        <v>165</v>
      </c>
      <c r="H434" s="23" t="s">
        <v>203</v>
      </c>
      <c r="I434" s="23" t="s">
        <v>9</v>
      </c>
      <c r="J434" t="s">
        <v>22</v>
      </c>
      <c r="K434" s="22" t="e">
        <f t="shared" si="22"/>
        <v>#N/A</v>
      </c>
      <c r="L434" s="22" t="str">
        <f t="shared" si="23"/>
        <v/>
      </c>
    </row>
    <row r="435" spans="1:12" x14ac:dyDescent="0.25">
      <c r="A435">
        <v>6</v>
      </c>
      <c r="B435">
        <v>2</v>
      </c>
      <c r="C435">
        <v>16</v>
      </c>
      <c r="D435">
        <v>14</v>
      </c>
      <c r="E435" t="b">
        <v>0</v>
      </c>
      <c r="F435" s="22" t="str">
        <f t="shared" si="21"/>
        <v/>
      </c>
      <c r="G435" s="23" t="s">
        <v>165</v>
      </c>
      <c r="H435" s="23" t="s">
        <v>204</v>
      </c>
      <c r="I435" s="23" t="s">
        <v>9</v>
      </c>
      <c r="J435" t="s">
        <v>111</v>
      </c>
      <c r="K435" s="22" t="e">
        <f t="shared" si="22"/>
        <v>#N/A</v>
      </c>
      <c r="L435" s="22" t="str">
        <f t="shared" si="23"/>
        <v/>
      </c>
    </row>
    <row r="436" spans="1:12" x14ac:dyDescent="0.25">
      <c r="A436">
        <v>6</v>
      </c>
      <c r="B436">
        <v>2</v>
      </c>
      <c r="C436">
        <v>16</v>
      </c>
      <c r="D436">
        <v>15</v>
      </c>
      <c r="E436" t="b">
        <v>0</v>
      </c>
      <c r="F436" s="22" t="str">
        <f t="shared" si="21"/>
        <v/>
      </c>
      <c r="G436" s="23" t="s">
        <v>165</v>
      </c>
      <c r="H436" s="23" t="s">
        <v>205</v>
      </c>
      <c r="I436" s="23" t="s">
        <v>9</v>
      </c>
      <c r="J436" t="s">
        <v>112</v>
      </c>
      <c r="K436" s="22" t="e">
        <f t="shared" si="22"/>
        <v>#N/A</v>
      </c>
      <c r="L436" s="22" t="str">
        <f t="shared" si="23"/>
        <v/>
      </c>
    </row>
    <row r="437" spans="1:12" x14ac:dyDescent="0.25">
      <c r="A437">
        <v>6</v>
      </c>
      <c r="B437">
        <v>2</v>
      </c>
      <c r="C437">
        <v>16</v>
      </c>
      <c r="D437">
        <v>16</v>
      </c>
      <c r="E437" t="b">
        <v>1</v>
      </c>
      <c r="F437" s="22" t="str">
        <f t="shared" si="21"/>
        <v/>
      </c>
      <c r="G437" s="23" t="s">
        <v>165</v>
      </c>
      <c r="H437" s="23" t="s">
        <v>206</v>
      </c>
      <c r="I437" s="23" t="s">
        <v>9</v>
      </c>
      <c r="J437" t="s">
        <v>113</v>
      </c>
      <c r="K437" s="22" t="e">
        <f t="shared" si="22"/>
        <v>#N/A</v>
      </c>
      <c r="L437" s="22" t="str">
        <f t="shared" si="23"/>
        <v/>
      </c>
    </row>
    <row r="438" spans="1:12" x14ac:dyDescent="0.25">
      <c r="A438">
        <v>6</v>
      </c>
      <c r="B438">
        <v>3</v>
      </c>
      <c r="C438">
        <v>17</v>
      </c>
      <c r="D438">
        <v>1</v>
      </c>
      <c r="E438" t="b">
        <v>0</v>
      </c>
      <c r="F438" s="22" t="str">
        <f t="shared" si="21"/>
        <v/>
      </c>
      <c r="G438" s="23" t="s">
        <v>168</v>
      </c>
      <c r="H438" s="23" t="s">
        <v>207</v>
      </c>
      <c r="I438" s="23" t="s">
        <v>37</v>
      </c>
      <c r="J438" t="s">
        <v>114</v>
      </c>
      <c r="K438" s="22" t="e">
        <f t="shared" si="22"/>
        <v>#N/A</v>
      </c>
      <c r="L438" s="22" t="str">
        <f t="shared" si="23"/>
        <v/>
      </c>
    </row>
    <row r="439" spans="1:12" x14ac:dyDescent="0.25">
      <c r="A439">
        <v>6</v>
      </c>
      <c r="B439">
        <v>3</v>
      </c>
      <c r="C439">
        <v>17</v>
      </c>
      <c r="D439">
        <v>2</v>
      </c>
      <c r="E439" t="b">
        <v>0</v>
      </c>
      <c r="F439" s="22" t="str">
        <f t="shared" si="21"/>
        <v/>
      </c>
      <c r="G439" s="23" t="s">
        <v>168</v>
      </c>
      <c r="H439" s="23" t="s">
        <v>208</v>
      </c>
      <c r="I439" s="23" t="s">
        <v>37</v>
      </c>
      <c r="J439" t="s">
        <v>39</v>
      </c>
      <c r="K439" s="22" t="e">
        <f t="shared" si="22"/>
        <v>#N/A</v>
      </c>
      <c r="L439" s="22" t="str">
        <f t="shared" si="23"/>
        <v/>
      </c>
    </row>
    <row r="440" spans="1:12" x14ac:dyDescent="0.25">
      <c r="A440">
        <v>6</v>
      </c>
      <c r="B440">
        <v>3</v>
      </c>
      <c r="C440">
        <v>17</v>
      </c>
      <c r="D440">
        <v>3</v>
      </c>
      <c r="E440" t="b">
        <v>0</v>
      </c>
      <c r="F440" s="22" t="str">
        <f t="shared" si="21"/>
        <v/>
      </c>
      <c r="G440" s="23" t="s">
        <v>168</v>
      </c>
      <c r="H440" s="23" t="s">
        <v>209</v>
      </c>
      <c r="I440" s="23" t="s">
        <v>37</v>
      </c>
      <c r="J440" t="s">
        <v>40</v>
      </c>
      <c r="K440" s="22" t="e">
        <f t="shared" si="22"/>
        <v>#N/A</v>
      </c>
      <c r="L440" s="22" t="str">
        <f t="shared" si="23"/>
        <v/>
      </c>
    </row>
    <row r="441" spans="1:12" x14ac:dyDescent="0.25">
      <c r="A441">
        <v>6</v>
      </c>
      <c r="B441">
        <v>3</v>
      </c>
      <c r="C441">
        <v>17</v>
      </c>
      <c r="D441">
        <v>4</v>
      </c>
      <c r="E441" t="b">
        <v>0</v>
      </c>
      <c r="F441" s="22" t="str">
        <f t="shared" si="21"/>
        <v/>
      </c>
      <c r="G441" s="23" t="s">
        <v>168</v>
      </c>
      <c r="H441" s="23" t="s">
        <v>210</v>
      </c>
      <c r="I441" s="23" t="s">
        <v>37</v>
      </c>
      <c r="J441" t="s">
        <v>41</v>
      </c>
      <c r="K441" s="22" t="e">
        <f t="shared" si="22"/>
        <v>#N/A</v>
      </c>
      <c r="L441" s="22" t="str">
        <f t="shared" si="23"/>
        <v/>
      </c>
    </row>
    <row r="442" spans="1:12" x14ac:dyDescent="0.25">
      <c r="A442">
        <v>6</v>
      </c>
      <c r="B442">
        <v>3</v>
      </c>
      <c r="C442">
        <v>17</v>
      </c>
      <c r="D442">
        <v>5</v>
      </c>
      <c r="E442" t="b">
        <v>0</v>
      </c>
      <c r="F442" s="22" t="str">
        <f t="shared" si="21"/>
        <v/>
      </c>
      <c r="G442" s="23" t="s">
        <v>168</v>
      </c>
      <c r="H442" s="23" t="s">
        <v>211</v>
      </c>
      <c r="I442" s="23" t="s">
        <v>37</v>
      </c>
      <c r="J442" t="s">
        <v>38</v>
      </c>
      <c r="K442" s="22" t="e">
        <f t="shared" si="22"/>
        <v>#N/A</v>
      </c>
      <c r="L442" s="22" t="str">
        <f t="shared" si="23"/>
        <v/>
      </c>
    </row>
    <row r="443" spans="1:12" x14ac:dyDescent="0.25">
      <c r="A443">
        <v>6</v>
      </c>
      <c r="B443">
        <v>3</v>
      </c>
      <c r="C443">
        <v>17</v>
      </c>
      <c r="D443">
        <v>6</v>
      </c>
      <c r="E443" t="b">
        <v>0</v>
      </c>
      <c r="F443" s="22" t="str">
        <f t="shared" si="21"/>
        <v/>
      </c>
      <c r="G443" s="23" t="s">
        <v>168</v>
      </c>
      <c r="H443" s="23" t="s">
        <v>212</v>
      </c>
      <c r="I443" s="23" t="s">
        <v>37</v>
      </c>
      <c r="J443" t="s">
        <v>115</v>
      </c>
      <c r="K443" s="22" t="e">
        <f t="shared" si="22"/>
        <v>#N/A</v>
      </c>
      <c r="L443" s="22" t="str">
        <f t="shared" si="23"/>
        <v/>
      </c>
    </row>
    <row r="444" spans="1:12" x14ac:dyDescent="0.25">
      <c r="A444">
        <v>6</v>
      </c>
      <c r="B444">
        <v>3</v>
      </c>
      <c r="C444">
        <v>17</v>
      </c>
      <c r="D444">
        <v>7</v>
      </c>
      <c r="E444" t="b">
        <v>0</v>
      </c>
      <c r="F444" s="22" t="str">
        <f t="shared" si="21"/>
        <v/>
      </c>
      <c r="G444" s="23" t="s">
        <v>168</v>
      </c>
      <c r="H444" s="23" t="s">
        <v>213</v>
      </c>
      <c r="I444" s="23" t="s">
        <v>37</v>
      </c>
      <c r="J444" t="s">
        <v>116</v>
      </c>
      <c r="K444" s="22" t="e">
        <f t="shared" si="22"/>
        <v>#N/A</v>
      </c>
      <c r="L444" s="22" t="str">
        <f t="shared" si="23"/>
        <v/>
      </c>
    </row>
    <row r="445" spans="1:12" x14ac:dyDescent="0.25">
      <c r="A445">
        <v>6</v>
      </c>
      <c r="B445">
        <v>3</v>
      </c>
      <c r="C445">
        <v>17</v>
      </c>
      <c r="D445">
        <v>8</v>
      </c>
      <c r="E445" t="b">
        <v>0</v>
      </c>
      <c r="F445" s="22" t="str">
        <f t="shared" si="21"/>
        <v/>
      </c>
      <c r="G445" s="23" t="s">
        <v>168</v>
      </c>
      <c r="H445" s="23" t="s">
        <v>214</v>
      </c>
      <c r="I445" s="23" t="s">
        <v>37</v>
      </c>
      <c r="J445" t="s">
        <v>126</v>
      </c>
      <c r="K445" s="22" t="e">
        <f t="shared" si="22"/>
        <v>#N/A</v>
      </c>
      <c r="L445" s="22" t="str">
        <f t="shared" si="23"/>
        <v/>
      </c>
    </row>
    <row r="446" spans="1:12" x14ac:dyDescent="0.25">
      <c r="A446">
        <v>6</v>
      </c>
      <c r="B446">
        <v>3</v>
      </c>
      <c r="C446">
        <v>17</v>
      </c>
      <c r="D446">
        <v>9</v>
      </c>
      <c r="E446" t="b">
        <v>0</v>
      </c>
      <c r="F446" s="22" t="str">
        <f t="shared" si="21"/>
        <v/>
      </c>
      <c r="G446" s="23" t="s">
        <v>168</v>
      </c>
      <c r="H446" s="23" t="s">
        <v>215</v>
      </c>
      <c r="I446" s="23" t="s">
        <v>37</v>
      </c>
      <c r="J446" t="s">
        <v>45</v>
      </c>
      <c r="K446" s="22" t="e">
        <f t="shared" si="22"/>
        <v>#N/A</v>
      </c>
      <c r="L446" s="22" t="str">
        <f t="shared" si="23"/>
        <v/>
      </c>
    </row>
    <row r="447" spans="1:12" x14ac:dyDescent="0.25">
      <c r="A447">
        <v>6</v>
      </c>
      <c r="B447">
        <v>3</v>
      </c>
      <c r="C447">
        <v>17</v>
      </c>
      <c r="D447">
        <v>10</v>
      </c>
      <c r="E447" t="b">
        <v>0</v>
      </c>
      <c r="F447" s="22" t="str">
        <f t="shared" si="21"/>
        <v/>
      </c>
      <c r="G447" s="23" t="s">
        <v>168</v>
      </c>
      <c r="H447" s="23" t="s">
        <v>216</v>
      </c>
      <c r="I447" s="23" t="s">
        <v>37</v>
      </c>
      <c r="J447" t="s">
        <v>117</v>
      </c>
      <c r="K447" s="22" t="e">
        <f t="shared" si="22"/>
        <v>#N/A</v>
      </c>
      <c r="L447" s="22" t="str">
        <f t="shared" si="23"/>
        <v/>
      </c>
    </row>
    <row r="448" spans="1:12" x14ac:dyDescent="0.25">
      <c r="A448">
        <v>6</v>
      </c>
      <c r="B448">
        <v>3</v>
      </c>
      <c r="C448">
        <v>17</v>
      </c>
      <c r="D448">
        <v>11</v>
      </c>
      <c r="E448" t="b">
        <v>0</v>
      </c>
      <c r="F448" s="22" t="str">
        <f t="shared" si="21"/>
        <v/>
      </c>
      <c r="G448" s="23" t="s">
        <v>168</v>
      </c>
      <c r="H448" s="23" t="s">
        <v>217</v>
      </c>
      <c r="I448" s="23" t="s">
        <v>37</v>
      </c>
      <c r="J448" t="s">
        <v>118</v>
      </c>
      <c r="K448" s="22" t="e">
        <f t="shared" si="22"/>
        <v>#N/A</v>
      </c>
      <c r="L448" s="22" t="str">
        <f t="shared" si="23"/>
        <v/>
      </c>
    </row>
    <row r="449" spans="1:12" x14ac:dyDescent="0.25">
      <c r="A449">
        <v>6</v>
      </c>
      <c r="B449">
        <v>3</v>
      </c>
      <c r="C449">
        <v>17</v>
      </c>
      <c r="D449">
        <v>12</v>
      </c>
      <c r="E449" t="b">
        <v>0</v>
      </c>
      <c r="F449" s="22" t="str">
        <f t="shared" si="21"/>
        <v/>
      </c>
      <c r="G449" s="23" t="s">
        <v>168</v>
      </c>
      <c r="H449" s="23" t="s">
        <v>218</v>
      </c>
      <c r="I449" s="23" t="s">
        <v>37</v>
      </c>
      <c r="J449" t="s">
        <v>119</v>
      </c>
      <c r="K449" s="22" t="e">
        <f t="shared" si="22"/>
        <v>#N/A</v>
      </c>
      <c r="L449" s="22" t="str">
        <f t="shared" si="23"/>
        <v/>
      </c>
    </row>
    <row r="450" spans="1:12" x14ac:dyDescent="0.25">
      <c r="A450">
        <v>6</v>
      </c>
      <c r="B450">
        <v>3</v>
      </c>
      <c r="C450">
        <v>17</v>
      </c>
      <c r="D450">
        <v>13</v>
      </c>
      <c r="E450" t="b">
        <v>0</v>
      </c>
      <c r="F450" s="22" t="str">
        <f t="shared" si="21"/>
        <v/>
      </c>
      <c r="G450" s="23" t="s">
        <v>168</v>
      </c>
      <c r="H450" s="23" t="s">
        <v>219</v>
      </c>
      <c r="I450" s="23" t="s">
        <v>37</v>
      </c>
      <c r="J450" t="s">
        <v>127</v>
      </c>
      <c r="K450" s="22" t="e">
        <f t="shared" si="22"/>
        <v>#N/A</v>
      </c>
      <c r="L450" s="22" t="str">
        <f t="shared" si="23"/>
        <v/>
      </c>
    </row>
    <row r="451" spans="1:12" x14ac:dyDescent="0.25">
      <c r="A451">
        <v>6</v>
      </c>
      <c r="B451">
        <v>3</v>
      </c>
      <c r="C451">
        <v>17</v>
      </c>
      <c r="D451">
        <v>14</v>
      </c>
      <c r="E451" t="b">
        <v>0</v>
      </c>
      <c r="F451" s="22" t="str">
        <f t="shared" si="21"/>
        <v/>
      </c>
      <c r="G451" s="23" t="s">
        <v>168</v>
      </c>
      <c r="H451" s="23" t="s">
        <v>220</v>
      </c>
      <c r="I451" s="23" t="s">
        <v>37</v>
      </c>
      <c r="J451" t="s">
        <v>120</v>
      </c>
      <c r="K451" s="22" t="e">
        <f t="shared" si="22"/>
        <v>#N/A</v>
      </c>
      <c r="L451" s="22" t="str">
        <f t="shared" si="23"/>
        <v/>
      </c>
    </row>
    <row r="452" spans="1:12" x14ac:dyDescent="0.25">
      <c r="A452">
        <v>6</v>
      </c>
      <c r="B452">
        <v>3</v>
      </c>
      <c r="C452">
        <v>17</v>
      </c>
      <c r="D452">
        <v>15</v>
      </c>
      <c r="E452" t="b">
        <v>0</v>
      </c>
      <c r="F452" s="22" t="str">
        <f t="shared" ref="F452:F515" si="24">VLOOKUP("Assessment #"&amp;$A452, DateMeta, MATCH("DisplDate", DateMeta_H, 0), 0)</f>
        <v/>
      </c>
      <c r="G452" s="23" t="s">
        <v>168</v>
      </c>
      <c r="H452" s="23" t="s">
        <v>221</v>
      </c>
      <c r="I452" s="23" t="s">
        <v>37</v>
      </c>
      <c r="J452" t="s">
        <v>42</v>
      </c>
      <c r="K452" s="22" t="e">
        <f t="shared" ref="K452:K515" si="25">IF(INDEX(Assess, MATCH($J452, ItemLong, 0), MATCH("Assessment #"&amp;$A452, Assess_H, 0))="", "", INDEX(Assess, MATCH($J452, ItemLong, 0), MATCH("Assessment #"&amp;$A452, Assess_H, 0)))</f>
        <v>#N/A</v>
      </c>
      <c r="L452" s="22" t="str">
        <f t="shared" si="23"/>
        <v/>
      </c>
    </row>
    <row r="453" spans="1:12" x14ac:dyDescent="0.25">
      <c r="A453">
        <v>6</v>
      </c>
      <c r="B453">
        <v>3</v>
      </c>
      <c r="C453">
        <v>17</v>
      </c>
      <c r="D453">
        <v>16</v>
      </c>
      <c r="E453" t="b">
        <v>0</v>
      </c>
      <c r="F453" s="22" t="str">
        <f t="shared" si="24"/>
        <v/>
      </c>
      <c r="G453" s="23" t="s">
        <v>168</v>
      </c>
      <c r="H453" s="23" t="s">
        <v>222</v>
      </c>
      <c r="I453" s="23" t="s">
        <v>37</v>
      </c>
      <c r="J453" t="s">
        <v>121</v>
      </c>
      <c r="K453" s="22" t="e">
        <f t="shared" si="25"/>
        <v>#N/A</v>
      </c>
      <c r="L453" s="22" t="str">
        <f t="shared" ref="L453:L516" si="26">IF(ISNUMBER(K453), IF(K453&gt;=2, 1, 0), "")</f>
        <v/>
      </c>
    </row>
    <row r="454" spans="1:12" x14ac:dyDescent="0.25">
      <c r="A454">
        <v>6</v>
      </c>
      <c r="B454">
        <v>3</v>
      </c>
      <c r="C454">
        <v>17</v>
      </c>
      <c r="D454">
        <v>17</v>
      </c>
      <c r="E454" t="b">
        <v>1</v>
      </c>
      <c r="F454" s="22" t="str">
        <f t="shared" si="24"/>
        <v/>
      </c>
      <c r="G454" s="23" t="s">
        <v>168</v>
      </c>
      <c r="H454" s="23" t="s">
        <v>223</v>
      </c>
      <c r="I454" s="23" t="s">
        <v>37</v>
      </c>
      <c r="J454" t="s">
        <v>44</v>
      </c>
      <c r="K454" s="22" t="e">
        <f t="shared" si="25"/>
        <v>#N/A</v>
      </c>
      <c r="L454" s="22" t="str">
        <f t="shared" si="26"/>
        <v/>
      </c>
    </row>
    <row r="455" spans="1:12" x14ac:dyDescent="0.25">
      <c r="A455">
        <v>6</v>
      </c>
      <c r="B455">
        <v>4</v>
      </c>
      <c r="C455">
        <v>9</v>
      </c>
      <c r="D455">
        <v>1</v>
      </c>
      <c r="E455" t="b">
        <v>0</v>
      </c>
      <c r="F455" s="22" t="str">
        <f t="shared" si="24"/>
        <v/>
      </c>
      <c r="G455" s="23" t="s">
        <v>169</v>
      </c>
      <c r="H455" s="23" t="s">
        <v>224</v>
      </c>
      <c r="I455" s="23" t="s">
        <v>25</v>
      </c>
      <c r="J455" t="s">
        <v>122</v>
      </c>
      <c r="K455" s="22" t="e">
        <f t="shared" si="25"/>
        <v>#N/A</v>
      </c>
      <c r="L455" s="22" t="str">
        <f t="shared" si="26"/>
        <v/>
      </c>
    </row>
    <row r="456" spans="1:12" x14ac:dyDescent="0.25">
      <c r="A456">
        <v>6</v>
      </c>
      <c r="B456">
        <v>4</v>
      </c>
      <c r="C456">
        <v>9</v>
      </c>
      <c r="D456">
        <v>2</v>
      </c>
      <c r="E456" t="b">
        <v>0</v>
      </c>
      <c r="F456" s="22" t="str">
        <f t="shared" si="24"/>
        <v/>
      </c>
      <c r="G456" s="23" t="s">
        <v>169</v>
      </c>
      <c r="H456" s="23" t="s">
        <v>225</v>
      </c>
      <c r="I456" s="23" t="s">
        <v>25</v>
      </c>
      <c r="J456" t="s">
        <v>26</v>
      </c>
      <c r="K456" s="22" t="e">
        <f t="shared" si="25"/>
        <v>#N/A</v>
      </c>
      <c r="L456" s="22" t="str">
        <f t="shared" si="26"/>
        <v/>
      </c>
    </row>
    <row r="457" spans="1:12" x14ac:dyDescent="0.25">
      <c r="A457">
        <v>6</v>
      </c>
      <c r="B457">
        <v>4</v>
      </c>
      <c r="C457">
        <v>9</v>
      </c>
      <c r="D457">
        <v>3</v>
      </c>
      <c r="E457" t="b">
        <v>0</v>
      </c>
      <c r="F457" s="22" t="str">
        <f t="shared" si="24"/>
        <v/>
      </c>
      <c r="G457" s="23" t="s">
        <v>169</v>
      </c>
      <c r="H457" s="23" t="s">
        <v>226</v>
      </c>
      <c r="I457" s="23" t="s">
        <v>25</v>
      </c>
      <c r="J457" t="s">
        <v>27</v>
      </c>
      <c r="K457" s="22" t="e">
        <f t="shared" si="25"/>
        <v>#N/A</v>
      </c>
      <c r="L457" s="22" t="str">
        <f t="shared" si="26"/>
        <v/>
      </c>
    </row>
    <row r="458" spans="1:12" x14ac:dyDescent="0.25">
      <c r="A458">
        <v>6</v>
      </c>
      <c r="B458">
        <v>4</v>
      </c>
      <c r="C458">
        <v>9</v>
      </c>
      <c r="D458">
        <v>4</v>
      </c>
      <c r="E458" t="b">
        <v>0</v>
      </c>
      <c r="F458" s="22" t="str">
        <f t="shared" si="24"/>
        <v/>
      </c>
      <c r="G458" s="23" t="s">
        <v>169</v>
      </c>
      <c r="H458" s="23" t="s">
        <v>227</v>
      </c>
      <c r="I458" s="23" t="s">
        <v>25</v>
      </c>
      <c r="J458" t="s">
        <v>28</v>
      </c>
      <c r="K458" s="22" t="e">
        <f t="shared" si="25"/>
        <v>#N/A</v>
      </c>
      <c r="L458" s="22" t="str">
        <f t="shared" si="26"/>
        <v/>
      </c>
    </row>
    <row r="459" spans="1:12" x14ac:dyDescent="0.25">
      <c r="A459">
        <v>6</v>
      </c>
      <c r="B459">
        <v>4</v>
      </c>
      <c r="C459">
        <v>9</v>
      </c>
      <c r="D459">
        <v>5</v>
      </c>
      <c r="E459" t="b">
        <v>0</v>
      </c>
      <c r="F459" s="22" t="str">
        <f t="shared" si="24"/>
        <v/>
      </c>
      <c r="G459" s="23" t="s">
        <v>169</v>
      </c>
      <c r="H459" s="23" t="s">
        <v>228</v>
      </c>
      <c r="I459" s="23" t="s">
        <v>25</v>
      </c>
      <c r="J459" t="s">
        <v>128</v>
      </c>
      <c r="K459" s="22" t="e">
        <f t="shared" si="25"/>
        <v>#N/A</v>
      </c>
      <c r="L459" s="22" t="str">
        <f t="shared" si="26"/>
        <v/>
      </c>
    </row>
    <row r="460" spans="1:12" x14ac:dyDescent="0.25">
      <c r="A460">
        <v>6</v>
      </c>
      <c r="B460">
        <v>4</v>
      </c>
      <c r="C460">
        <v>9</v>
      </c>
      <c r="D460">
        <v>6</v>
      </c>
      <c r="E460" t="b">
        <v>0</v>
      </c>
      <c r="F460" s="22" t="str">
        <f t="shared" si="24"/>
        <v/>
      </c>
      <c r="G460" s="23" t="s">
        <v>169</v>
      </c>
      <c r="H460" s="23" t="s">
        <v>229</v>
      </c>
      <c r="I460" s="23" t="s">
        <v>25</v>
      </c>
      <c r="J460" t="s">
        <v>29</v>
      </c>
      <c r="K460" s="22" t="e">
        <f t="shared" si="25"/>
        <v>#N/A</v>
      </c>
      <c r="L460" s="22" t="str">
        <f t="shared" si="26"/>
        <v/>
      </c>
    </row>
    <row r="461" spans="1:12" x14ac:dyDescent="0.25">
      <c r="A461">
        <v>6</v>
      </c>
      <c r="B461">
        <v>4</v>
      </c>
      <c r="C461">
        <v>9</v>
      </c>
      <c r="D461">
        <v>7</v>
      </c>
      <c r="E461" t="b">
        <v>0</v>
      </c>
      <c r="F461" s="22" t="str">
        <f t="shared" si="24"/>
        <v/>
      </c>
      <c r="G461" s="23" t="s">
        <v>169</v>
      </c>
      <c r="H461" s="23" t="s">
        <v>230</v>
      </c>
      <c r="I461" s="23" t="s">
        <v>25</v>
      </c>
      <c r="J461" t="s">
        <v>30</v>
      </c>
      <c r="K461" s="22" t="e">
        <f t="shared" si="25"/>
        <v>#N/A</v>
      </c>
      <c r="L461" s="22" t="str">
        <f t="shared" si="26"/>
        <v/>
      </c>
    </row>
    <row r="462" spans="1:12" x14ac:dyDescent="0.25">
      <c r="A462">
        <v>6</v>
      </c>
      <c r="B462">
        <v>4</v>
      </c>
      <c r="C462">
        <v>9</v>
      </c>
      <c r="D462">
        <v>8</v>
      </c>
      <c r="E462" t="b">
        <v>0</v>
      </c>
      <c r="F462" s="22" t="str">
        <f t="shared" si="24"/>
        <v/>
      </c>
      <c r="G462" s="23" t="s">
        <v>169</v>
      </c>
      <c r="H462" s="23" t="s">
        <v>231</v>
      </c>
      <c r="I462" s="23" t="s">
        <v>25</v>
      </c>
      <c r="J462" t="s">
        <v>31</v>
      </c>
      <c r="K462" s="22" t="e">
        <f t="shared" si="25"/>
        <v>#N/A</v>
      </c>
      <c r="L462" s="22" t="str">
        <f t="shared" si="26"/>
        <v/>
      </c>
    </row>
    <row r="463" spans="1:12" x14ac:dyDescent="0.25">
      <c r="A463">
        <v>6</v>
      </c>
      <c r="B463">
        <v>4</v>
      </c>
      <c r="C463">
        <v>9</v>
      </c>
      <c r="D463">
        <v>9</v>
      </c>
      <c r="E463" t="b">
        <v>1</v>
      </c>
      <c r="F463" s="22" t="str">
        <f t="shared" si="24"/>
        <v/>
      </c>
      <c r="G463" s="23" t="s">
        <v>169</v>
      </c>
      <c r="H463" s="23" t="s">
        <v>232</v>
      </c>
      <c r="I463" s="23" t="s">
        <v>25</v>
      </c>
      <c r="J463" t="s">
        <v>43</v>
      </c>
      <c r="K463" s="22" t="e">
        <f t="shared" si="25"/>
        <v>#N/A</v>
      </c>
      <c r="L463" s="22" t="str">
        <f t="shared" si="26"/>
        <v/>
      </c>
    </row>
    <row r="464" spans="1:12" x14ac:dyDescent="0.25">
      <c r="A464">
        <v>6</v>
      </c>
      <c r="B464">
        <v>5</v>
      </c>
      <c r="C464">
        <v>9</v>
      </c>
      <c r="D464">
        <v>1</v>
      </c>
      <c r="E464" t="b">
        <v>0</v>
      </c>
      <c r="F464" s="22" t="str">
        <f t="shared" si="24"/>
        <v/>
      </c>
      <c r="G464" s="23" t="s">
        <v>166</v>
      </c>
      <c r="H464" s="23" t="s">
        <v>233</v>
      </c>
      <c r="I464" s="23" t="s">
        <v>32</v>
      </c>
      <c r="J464" t="s">
        <v>33</v>
      </c>
      <c r="K464" s="22" t="e">
        <f t="shared" si="25"/>
        <v>#N/A</v>
      </c>
      <c r="L464" s="22" t="str">
        <f t="shared" si="26"/>
        <v/>
      </c>
    </row>
    <row r="465" spans="1:12" x14ac:dyDescent="0.25">
      <c r="A465">
        <v>6</v>
      </c>
      <c r="B465">
        <v>5</v>
      </c>
      <c r="C465">
        <v>9</v>
      </c>
      <c r="D465">
        <v>2</v>
      </c>
      <c r="E465" t="b">
        <v>0</v>
      </c>
      <c r="F465" s="22" t="str">
        <f t="shared" si="24"/>
        <v/>
      </c>
      <c r="G465" s="23" t="s">
        <v>166</v>
      </c>
      <c r="H465" s="23" t="s">
        <v>234</v>
      </c>
      <c r="I465" s="23" t="s">
        <v>32</v>
      </c>
      <c r="J465" t="s">
        <v>34</v>
      </c>
      <c r="K465" s="22" t="e">
        <f t="shared" si="25"/>
        <v>#N/A</v>
      </c>
      <c r="L465" s="22" t="str">
        <f t="shared" si="26"/>
        <v/>
      </c>
    </row>
    <row r="466" spans="1:12" x14ac:dyDescent="0.25">
      <c r="A466">
        <v>6</v>
      </c>
      <c r="B466">
        <v>5</v>
      </c>
      <c r="C466">
        <v>9</v>
      </c>
      <c r="D466">
        <v>3</v>
      </c>
      <c r="E466" t="b">
        <v>0</v>
      </c>
      <c r="F466" s="22" t="str">
        <f t="shared" si="24"/>
        <v/>
      </c>
      <c r="G466" s="23" t="s">
        <v>166</v>
      </c>
      <c r="H466" s="23" t="s">
        <v>235</v>
      </c>
      <c r="I466" s="23" t="s">
        <v>32</v>
      </c>
      <c r="J466" t="s">
        <v>35</v>
      </c>
      <c r="K466" s="22" t="e">
        <f t="shared" si="25"/>
        <v>#N/A</v>
      </c>
      <c r="L466" s="22" t="str">
        <f t="shared" si="26"/>
        <v/>
      </c>
    </row>
    <row r="467" spans="1:12" x14ac:dyDescent="0.25">
      <c r="A467">
        <v>6</v>
      </c>
      <c r="B467">
        <v>5</v>
      </c>
      <c r="C467">
        <v>9</v>
      </c>
      <c r="D467">
        <v>4</v>
      </c>
      <c r="E467" t="b">
        <v>0</v>
      </c>
      <c r="F467" s="22" t="str">
        <f t="shared" si="24"/>
        <v/>
      </c>
      <c r="G467" s="23" t="s">
        <v>166</v>
      </c>
      <c r="H467" s="23" t="s">
        <v>236</v>
      </c>
      <c r="I467" s="23" t="s">
        <v>32</v>
      </c>
      <c r="J467" t="s">
        <v>123</v>
      </c>
      <c r="K467" s="22" t="e">
        <f t="shared" si="25"/>
        <v>#N/A</v>
      </c>
      <c r="L467" s="22" t="str">
        <f t="shared" si="26"/>
        <v/>
      </c>
    </row>
    <row r="468" spans="1:12" x14ac:dyDescent="0.25">
      <c r="A468">
        <v>6</v>
      </c>
      <c r="B468">
        <v>5</v>
      </c>
      <c r="C468">
        <v>9</v>
      </c>
      <c r="D468">
        <v>5</v>
      </c>
      <c r="E468" t="b">
        <v>0</v>
      </c>
      <c r="F468" s="22" t="str">
        <f t="shared" si="24"/>
        <v/>
      </c>
      <c r="G468" s="23" t="s">
        <v>166</v>
      </c>
      <c r="H468" s="23" t="s">
        <v>237</v>
      </c>
      <c r="I468" s="23" t="s">
        <v>32</v>
      </c>
      <c r="J468" t="s">
        <v>124</v>
      </c>
      <c r="K468" s="22" t="e">
        <f t="shared" si="25"/>
        <v>#N/A</v>
      </c>
      <c r="L468" s="22" t="str">
        <f t="shared" si="26"/>
        <v/>
      </c>
    </row>
    <row r="469" spans="1:12" x14ac:dyDescent="0.25">
      <c r="A469">
        <v>6</v>
      </c>
      <c r="B469">
        <v>5</v>
      </c>
      <c r="C469">
        <v>9</v>
      </c>
      <c r="D469">
        <v>6</v>
      </c>
      <c r="E469" t="b">
        <v>0</v>
      </c>
      <c r="F469" s="22" t="str">
        <f t="shared" si="24"/>
        <v/>
      </c>
      <c r="G469" s="23" t="s">
        <v>166</v>
      </c>
      <c r="H469" s="23" t="s">
        <v>238</v>
      </c>
      <c r="I469" s="23" t="s">
        <v>32</v>
      </c>
      <c r="J469" t="s">
        <v>129</v>
      </c>
      <c r="K469" s="22" t="e">
        <f t="shared" si="25"/>
        <v>#N/A</v>
      </c>
      <c r="L469" s="22" t="str">
        <f t="shared" si="26"/>
        <v/>
      </c>
    </row>
    <row r="470" spans="1:12" x14ac:dyDescent="0.25">
      <c r="A470">
        <v>6</v>
      </c>
      <c r="B470">
        <v>5</v>
      </c>
      <c r="C470">
        <v>9</v>
      </c>
      <c r="D470">
        <v>7</v>
      </c>
      <c r="E470" t="b">
        <v>0</v>
      </c>
      <c r="F470" s="22" t="str">
        <f t="shared" si="24"/>
        <v/>
      </c>
      <c r="G470" s="23" t="s">
        <v>166</v>
      </c>
      <c r="H470" s="23" t="s">
        <v>239</v>
      </c>
      <c r="I470" s="23" t="s">
        <v>32</v>
      </c>
      <c r="J470" t="s">
        <v>125</v>
      </c>
      <c r="K470" s="22" t="e">
        <f t="shared" si="25"/>
        <v>#N/A</v>
      </c>
      <c r="L470" s="22" t="str">
        <f t="shared" si="26"/>
        <v/>
      </c>
    </row>
    <row r="471" spans="1:12" x14ac:dyDescent="0.25">
      <c r="A471">
        <v>6</v>
      </c>
      <c r="B471">
        <v>5</v>
      </c>
      <c r="C471">
        <v>9</v>
      </c>
      <c r="D471">
        <v>8</v>
      </c>
      <c r="E471" t="b">
        <v>0</v>
      </c>
      <c r="F471" s="22" t="str">
        <f t="shared" si="24"/>
        <v/>
      </c>
      <c r="G471" s="23" t="s">
        <v>166</v>
      </c>
      <c r="H471" s="23" t="s">
        <v>240</v>
      </c>
      <c r="I471" s="23" t="s">
        <v>32</v>
      </c>
      <c r="J471" t="s">
        <v>36</v>
      </c>
      <c r="K471" s="22" t="e">
        <f t="shared" si="25"/>
        <v>#N/A</v>
      </c>
      <c r="L471" s="22" t="str">
        <f t="shared" si="26"/>
        <v/>
      </c>
    </row>
    <row r="472" spans="1:12" x14ac:dyDescent="0.25">
      <c r="A472">
        <v>6</v>
      </c>
      <c r="B472">
        <v>5</v>
      </c>
      <c r="C472">
        <v>9</v>
      </c>
      <c r="D472">
        <v>9</v>
      </c>
      <c r="E472" t="b">
        <v>1</v>
      </c>
      <c r="F472" s="22" t="str">
        <f t="shared" si="24"/>
        <v/>
      </c>
      <c r="G472" s="23" t="s">
        <v>166</v>
      </c>
      <c r="H472" s="23" t="s">
        <v>241</v>
      </c>
      <c r="I472" s="23" t="s">
        <v>32</v>
      </c>
      <c r="J472" t="s">
        <v>47</v>
      </c>
      <c r="K472" s="22" t="e">
        <f t="shared" si="25"/>
        <v>#N/A</v>
      </c>
      <c r="L472" s="22" t="str">
        <f t="shared" si="26"/>
        <v/>
      </c>
    </row>
    <row r="473" spans="1:12" x14ac:dyDescent="0.25">
      <c r="A473">
        <v>6</v>
      </c>
      <c r="B473">
        <v>6</v>
      </c>
      <c r="C473">
        <v>11</v>
      </c>
      <c r="D473">
        <v>1</v>
      </c>
      <c r="E473" t="b">
        <v>0</v>
      </c>
      <c r="F473" s="22" t="str">
        <f t="shared" si="24"/>
        <v/>
      </c>
      <c r="G473" s="23" t="s">
        <v>170</v>
      </c>
      <c r="H473" s="23" t="s">
        <v>242</v>
      </c>
      <c r="I473" s="23" t="s">
        <v>149</v>
      </c>
      <c r="J473" t="s">
        <v>150</v>
      </c>
      <c r="K473" s="22" t="e">
        <f t="shared" si="25"/>
        <v>#N/A</v>
      </c>
      <c r="L473" s="22" t="str">
        <f t="shared" si="26"/>
        <v/>
      </c>
    </row>
    <row r="474" spans="1:12" x14ac:dyDescent="0.25">
      <c r="A474">
        <v>6</v>
      </c>
      <c r="B474">
        <v>6</v>
      </c>
      <c r="C474">
        <v>11</v>
      </c>
      <c r="D474">
        <v>2</v>
      </c>
      <c r="E474" t="b">
        <v>0</v>
      </c>
      <c r="F474" s="22" t="str">
        <f t="shared" si="24"/>
        <v/>
      </c>
      <c r="G474" s="23" t="s">
        <v>170</v>
      </c>
      <c r="H474" s="23" t="s">
        <v>243</v>
      </c>
      <c r="I474" s="23" t="s">
        <v>149</v>
      </c>
      <c r="J474" t="s">
        <v>151</v>
      </c>
      <c r="K474" s="22" t="e">
        <f t="shared" si="25"/>
        <v>#N/A</v>
      </c>
      <c r="L474" s="22" t="str">
        <f t="shared" si="26"/>
        <v/>
      </c>
    </row>
    <row r="475" spans="1:12" x14ac:dyDescent="0.25">
      <c r="A475">
        <v>6</v>
      </c>
      <c r="B475">
        <v>6</v>
      </c>
      <c r="C475">
        <v>11</v>
      </c>
      <c r="D475">
        <v>3</v>
      </c>
      <c r="E475" t="b">
        <v>0</v>
      </c>
      <c r="F475" s="22" t="str">
        <f t="shared" si="24"/>
        <v/>
      </c>
      <c r="G475" s="23" t="s">
        <v>170</v>
      </c>
      <c r="H475" s="23" t="s">
        <v>244</v>
      </c>
      <c r="I475" s="23" t="s">
        <v>149</v>
      </c>
      <c r="J475" t="s">
        <v>152</v>
      </c>
      <c r="K475" s="22" t="e">
        <f t="shared" si="25"/>
        <v>#N/A</v>
      </c>
      <c r="L475" s="22" t="str">
        <f t="shared" si="26"/>
        <v/>
      </c>
    </row>
    <row r="476" spans="1:12" x14ac:dyDescent="0.25">
      <c r="A476">
        <v>6</v>
      </c>
      <c r="B476">
        <v>6</v>
      </c>
      <c r="C476">
        <v>11</v>
      </c>
      <c r="D476">
        <v>4</v>
      </c>
      <c r="E476" t="b">
        <v>0</v>
      </c>
      <c r="F476" s="22" t="str">
        <f t="shared" si="24"/>
        <v/>
      </c>
      <c r="G476" s="23" t="s">
        <v>170</v>
      </c>
      <c r="H476" s="23" t="s">
        <v>245</v>
      </c>
      <c r="I476" s="23" t="s">
        <v>149</v>
      </c>
      <c r="J476" t="s">
        <v>153</v>
      </c>
      <c r="K476" s="22" t="e">
        <f t="shared" si="25"/>
        <v>#N/A</v>
      </c>
      <c r="L476" s="22" t="str">
        <f t="shared" si="26"/>
        <v/>
      </c>
    </row>
    <row r="477" spans="1:12" x14ac:dyDescent="0.25">
      <c r="A477">
        <v>6</v>
      </c>
      <c r="B477">
        <v>6</v>
      </c>
      <c r="C477">
        <v>11</v>
      </c>
      <c r="D477">
        <v>5</v>
      </c>
      <c r="E477" t="b">
        <v>0</v>
      </c>
      <c r="F477" s="22" t="str">
        <f t="shared" si="24"/>
        <v/>
      </c>
      <c r="G477" s="23" t="s">
        <v>170</v>
      </c>
      <c r="H477" s="23" t="s">
        <v>246</v>
      </c>
      <c r="I477" s="23" t="s">
        <v>149</v>
      </c>
      <c r="J477" t="s">
        <v>154</v>
      </c>
      <c r="K477" s="22" t="e">
        <f t="shared" si="25"/>
        <v>#N/A</v>
      </c>
      <c r="L477" s="22" t="str">
        <f t="shared" si="26"/>
        <v/>
      </c>
    </row>
    <row r="478" spans="1:12" x14ac:dyDescent="0.25">
      <c r="A478">
        <v>6</v>
      </c>
      <c r="B478">
        <v>6</v>
      </c>
      <c r="C478">
        <v>11</v>
      </c>
      <c r="D478">
        <v>6</v>
      </c>
      <c r="E478" t="b">
        <v>0</v>
      </c>
      <c r="F478" s="22" t="str">
        <f t="shared" si="24"/>
        <v/>
      </c>
      <c r="G478" s="23" t="s">
        <v>170</v>
      </c>
      <c r="H478" s="23" t="s">
        <v>247</v>
      </c>
      <c r="I478" s="23" t="s">
        <v>149</v>
      </c>
      <c r="J478" t="s">
        <v>155</v>
      </c>
      <c r="K478" s="22" t="e">
        <f t="shared" si="25"/>
        <v>#N/A</v>
      </c>
      <c r="L478" s="22" t="str">
        <f t="shared" si="26"/>
        <v/>
      </c>
    </row>
    <row r="479" spans="1:12" x14ac:dyDescent="0.25">
      <c r="A479">
        <v>6</v>
      </c>
      <c r="B479">
        <v>6</v>
      </c>
      <c r="C479">
        <v>11</v>
      </c>
      <c r="D479">
        <v>7</v>
      </c>
      <c r="E479" t="b">
        <v>0</v>
      </c>
      <c r="F479" s="22" t="str">
        <f t="shared" si="24"/>
        <v/>
      </c>
      <c r="G479" s="23" t="s">
        <v>170</v>
      </c>
      <c r="H479" s="23" t="s">
        <v>248</v>
      </c>
      <c r="I479" s="23" t="s">
        <v>149</v>
      </c>
      <c r="J479" t="s">
        <v>156</v>
      </c>
      <c r="K479" s="22" t="e">
        <f t="shared" si="25"/>
        <v>#N/A</v>
      </c>
      <c r="L479" s="22" t="str">
        <f t="shared" si="26"/>
        <v/>
      </c>
    </row>
    <row r="480" spans="1:12" x14ac:dyDescent="0.25">
      <c r="A480">
        <v>6</v>
      </c>
      <c r="B480">
        <v>6</v>
      </c>
      <c r="C480">
        <v>11</v>
      </c>
      <c r="D480">
        <v>8</v>
      </c>
      <c r="E480" t="b">
        <v>0</v>
      </c>
      <c r="F480" s="22" t="str">
        <f t="shared" si="24"/>
        <v/>
      </c>
      <c r="G480" s="23" t="s">
        <v>170</v>
      </c>
      <c r="H480" s="23" t="s">
        <v>249</v>
      </c>
      <c r="I480" s="23" t="s">
        <v>149</v>
      </c>
      <c r="J480" t="s">
        <v>157</v>
      </c>
      <c r="K480" s="22" t="e">
        <f t="shared" si="25"/>
        <v>#N/A</v>
      </c>
      <c r="L480" s="22" t="str">
        <f t="shared" si="26"/>
        <v/>
      </c>
    </row>
    <row r="481" spans="1:12" x14ac:dyDescent="0.25">
      <c r="A481">
        <v>6</v>
      </c>
      <c r="B481">
        <v>6</v>
      </c>
      <c r="C481">
        <v>11</v>
      </c>
      <c r="D481">
        <v>9</v>
      </c>
      <c r="E481" t="b">
        <v>0</v>
      </c>
      <c r="F481" s="22" t="str">
        <f t="shared" si="24"/>
        <v/>
      </c>
      <c r="G481" s="23" t="s">
        <v>170</v>
      </c>
      <c r="H481" s="23" t="s">
        <v>250</v>
      </c>
      <c r="I481" s="23" t="s">
        <v>149</v>
      </c>
      <c r="J481" t="s">
        <v>158</v>
      </c>
      <c r="K481" s="22" t="e">
        <f t="shared" si="25"/>
        <v>#N/A</v>
      </c>
      <c r="L481" s="22" t="str">
        <f t="shared" si="26"/>
        <v/>
      </c>
    </row>
    <row r="482" spans="1:12" x14ac:dyDescent="0.25">
      <c r="A482">
        <v>6</v>
      </c>
      <c r="B482">
        <v>6</v>
      </c>
      <c r="C482">
        <v>11</v>
      </c>
      <c r="D482">
        <v>10</v>
      </c>
      <c r="E482" t="b">
        <v>0</v>
      </c>
      <c r="F482" s="22" t="str">
        <f t="shared" si="24"/>
        <v/>
      </c>
      <c r="G482" s="23" t="s">
        <v>170</v>
      </c>
      <c r="H482" s="23" t="s">
        <v>251</v>
      </c>
      <c r="I482" s="23" t="s">
        <v>149</v>
      </c>
      <c r="J482" t="s">
        <v>159</v>
      </c>
      <c r="K482" s="22" t="e">
        <f t="shared" si="25"/>
        <v>#N/A</v>
      </c>
      <c r="L482" s="22" t="str">
        <f t="shared" si="26"/>
        <v/>
      </c>
    </row>
    <row r="483" spans="1:12" x14ac:dyDescent="0.25">
      <c r="A483">
        <v>6</v>
      </c>
      <c r="B483">
        <v>6</v>
      </c>
      <c r="C483">
        <v>11</v>
      </c>
      <c r="D483">
        <v>11</v>
      </c>
      <c r="E483" t="b">
        <v>1</v>
      </c>
      <c r="F483" s="22" t="str">
        <f t="shared" si="24"/>
        <v/>
      </c>
      <c r="G483" s="23" t="s">
        <v>170</v>
      </c>
      <c r="H483" s="23" t="s">
        <v>252</v>
      </c>
      <c r="I483" s="23" t="s">
        <v>149</v>
      </c>
      <c r="J483" t="s">
        <v>160</v>
      </c>
      <c r="K483" s="22" t="e">
        <f t="shared" si="25"/>
        <v>#N/A</v>
      </c>
      <c r="L483" s="22" t="str">
        <f t="shared" si="26"/>
        <v/>
      </c>
    </row>
    <row r="484" spans="1:12" x14ac:dyDescent="0.25">
      <c r="A484">
        <v>7</v>
      </c>
      <c r="B484">
        <v>1</v>
      </c>
      <c r="C484">
        <v>18</v>
      </c>
      <c r="D484">
        <v>1</v>
      </c>
      <c r="E484" t="b">
        <v>0</v>
      </c>
      <c r="F484" s="22" t="str">
        <f t="shared" si="24"/>
        <v/>
      </c>
      <c r="G484" s="23" t="s">
        <v>167</v>
      </c>
      <c r="H484" s="23" t="s">
        <v>253</v>
      </c>
      <c r="I484" s="23" t="s">
        <v>2</v>
      </c>
      <c r="J484" t="s">
        <v>3</v>
      </c>
      <c r="K484" s="22" t="e">
        <f t="shared" si="25"/>
        <v>#N/A</v>
      </c>
      <c r="L484" s="22" t="str">
        <f t="shared" si="26"/>
        <v/>
      </c>
    </row>
    <row r="485" spans="1:12" x14ac:dyDescent="0.25">
      <c r="A485">
        <v>7</v>
      </c>
      <c r="B485">
        <v>1</v>
      </c>
      <c r="C485">
        <v>18</v>
      </c>
      <c r="D485">
        <v>2</v>
      </c>
      <c r="E485" t="b">
        <v>0</v>
      </c>
      <c r="F485" s="22" t="str">
        <f t="shared" si="24"/>
        <v/>
      </c>
      <c r="G485" s="23" t="s">
        <v>167</v>
      </c>
      <c r="H485" s="23" t="s">
        <v>254</v>
      </c>
      <c r="I485" s="23" t="s">
        <v>2</v>
      </c>
      <c r="J485" t="s">
        <v>4</v>
      </c>
      <c r="K485" s="22" t="e">
        <f t="shared" si="25"/>
        <v>#N/A</v>
      </c>
      <c r="L485" s="22" t="str">
        <f t="shared" si="26"/>
        <v/>
      </c>
    </row>
    <row r="486" spans="1:12" x14ac:dyDescent="0.25">
      <c r="A486">
        <v>7</v>
      </c>
      <c r="B486">
        <v>1</v>
      </c>
      <c r="C486">
        <v>18</v>
      </c>
      <c r="D486">
        <v>3</v>
      </c>
      <c r="E486" t="b">
        <v>0</v>
      </c>
      <c r="F486" s="22" t="str">
        <f t="shared" si="24"/>
        <v/>
      </c>
      <c r="G486" s="23" t="s">
        <v>167</v>
      </c>
      <c r="H486" s="23" t="s">
        <v>175</v>
      </c>
      <c r="I486" s="23" t="s">
        <v>2</v>
      </c>
      <c r="J486" t="s">
        <v>5</v>
      </c>
      <c r="K486" s="22" t="e">
        <f t="shared" si="25"/>
        <v>#N/A</v>
      </c>
      <c r="L486" s="22" t="str">
        <f t="shared" si="26"/>
        <v/>
      </c>
    </row>
    <row r="487" spans="1:12" x14ac:dyDescent="0.25">
      <c r="A487">
        <v>7</v>
      </c>
      <c r="B487">
        <v>1</v>
      </c>
      <c r="C487">
        <v>18</v>
      </c>
      <c r="D487">
        <v>4</v>
      </c>
      <c r="E487" t="b">
        <v>0</v>
      </c>
      <c r="F487" s="22" t="str">
        <f t="shared" si="24"/>
        <v/>
      </c>
      <c r="G487" s="23" t="s">
        <v>167</v>
      </c>
      <c r="H487" s="23" t="s">
        <v>176</v>
      </c>
      <c r="I487" s="23" t="s">
        <v>2</v>
      </c>
      <c r="J487" t="s">
        <v>6</v>
      </c>
      <c r="K487" s="22" t="e">
        <f t="shared" si="25"/>
        <v>#N/A</v>
      </c>
      <c r="L487" s="22" t="str">
        <f t="shared" si="26"/>
        <v/>
      </c>
    </row>
    <row r="488" spans="1:12" x14ac:dyDescent="0.25">
      <c r="A488">
        <v>7</v>
      </c>
      <c r="B488">
        <v>1</v>
      </c>
      <c r="C488">
        <v>18</v>
      </c>
      <c r="D488">
        <v>5</v>
      </c>
      <c r="E488" t="b">
        <v>0</v>
      </c>
      <c r="F488" s="22" t="str">
        <f t="shared" si="24"/>
        <v/>
      </c>
      <c r="G488" s="23" t="s">
        <v>167</v>
      </c>
      <c r="H488" s="23" t="s">
        <v>177</v>
      </c>
      <c r="I488" s="23" t="s">
        <v>2</v>
      </c>
      <c r="J488" t="s">
        <v>44</v>
      </c>
      <c r="K488" s="22" t="e">
        <f t="shared" si="25"/>
        <v>#N/A</v>
      </c>
      <c r="L488" s="22" t="str">
        <f t="shared" si="26"/>
        <v/>
      </c>
    </row>
    <row r="489" spans="1:12" x14ac:dyDescent="0.25">
      <c r="A489">
        <v>7</v>
      </c>
      <c r="B489">
        <v>1</v>
      </c>
      <c r="C489">
        <v>18</v>
      </c>
      <c r="D489">
        <v>6</v>
      </c>
      <c r="E489" t="b">
        <v>0</v>
      </c>
      <c r="F489" s="22" t="str">
        <f t="shared" si="24"/>
        <v/>
      </c>
      <c r="G489" s="23" t="s">
        <v>167</v>
      </c>
      <c r="H489" s="23" t="s">
        <v>178</v>
      </c>
      <c r="I489" s="23" t="s">
        <v>2</v>
      </c>
      <c r="J489" t="s">
        <v>102</v>
      </c>
      <c r="K489" s="22" t="e">
        <f t="shared" si="25"/>
        <v>#N/A</v>
      </c>
      <c r="L489" s="22" t="str">
        <f t="shared" si="26"/>
        <v/>
      </c>
    </row>
    <row r="490" spans="1:12" x14ac:dyDescent="0.25">
      <c r="A490">
        <v>7</v>
      </c>
      <c r="B490">
        <v>1</v>
      </c>
      <c r="C490">
        <v>18</v>
      </c>
      <c r="D490">
        <v>7</v>
      </c>
      <c r="E490" t="b">
        <v>0</v>
      </c>
      <c r="F490" s="22" t="str">
        <f t="shared" si="24"/>
        <v/>
      </c>
      <c r="G490" s="23" t="s">
        <v>167</v>
      </c>
      <c r="H490" s="23" t="s">
        <v>179</v>
      </c>
      <c r="I490" s="23" t="s">
        <v>2</v>
      </c>
      <c r="J490" t="s">
        <v>103</v>
      </c>
      <c r="K490" s="22" t="e">
        <f t="shared" si="25"/>
        <v>#N/A</v>
      </c>
      <c r="L490" s="22" t="str">
        <f t="shared" si="26"/>
        <v/>
      </c>
    </row>
    <row r="491" spans="1:12" x14ac:dyDescent="0.25">
      <c r="A491">
        <v>7</v>
      </c>
      <c r="B491">
        <v>1</v>
      </c>
      <c r="C491">
        <v>18</v>
      </c>
      <c r="D491">
        <v>8</v>
      </c>
      <c r="E491" t="b">
        <v>0</v>
      </c>
      <c r="F491" s="22" t="str">
        <f t="shared" si="24"/>
        <v/>
      </c>
      <c r="G491" s="23" t="s">
        <v>167</v>
      </c>
      <c r="H491" s="23" t="s">
        <v>180</v>
      </c>
      <c r="I491" s="23" t="s">
        <v>2</v>
      </c>
      <c r="J491" t="s">
        <v>7</v>
      </c>
      <c r="K491" s="22" t="e">
        <f t="shared" si="25"/>
        <v>#N/A</v>
      </c>
      <c r="L491" s="22" t="str">
        <f t="shared" si="26"/>
        <v/>
      </c>
    </row>
    <row r="492" spans="1:12" x14ac:dyDescent="0.25">
      <c r="A492">
        <v>7</v>
      </c>
      <c r="B492">
        <v>1</v>
      </c>
      <c r="C492">
        <v>18</v>
      </c>
      <c r="D492">
        <v>9</v>
      </c>
      <c r="E492" t="b">
        <v>0</v>
      </c>
      <c r="F492" s="22" t="str">
        <f t="shared" si="24"/>
        <v/>
      </c>
      <c r="G492" s="23" t="s">
        <v>167</v>
      </c>
      <c r="H492" s="23" t="s">
        <v>181</v>
      </c>
      <c r="I492" s="23" t="s">
        <v>2</v>
      </c>
      <c r="J492" t="s">
        <v>104</v>
      </c>
      <c r="K492" s="22" t="e">
        <f t="shared" si="25"/>
        <v>#N/A</v>
      </c>
      <c r="L492" s="22" t="str">
        <f t="shared" si="26"/>
        <v/>
      </c>
    </row>
    <row r="493" spans="1:12" x14ac:dyDescent="0.25">
      <c r="A493">
        <v>7</v>
      </c>
      <c r="B493">
        <v>1</v>
      </c>
      <c r="C493">
        <v>18</v>
      </c>
      <c r="D493">
        <v>10</v>
      </c>
      <c r="E493" t="b">
        <v>0</v>
      </c>
      <c r="F493" s="22" t="str">
        <f t="shared" si="24"/>
        <v/>
      </c>
      <c r="G493" s="23" t="s">
        <v>167</v>
      </c>
      <c r="H493" s="23" t="s">
        <v>182</v>
      </c>
      <c r="I493" s="23" t="s">
        <v>2</v>
      </c>
      <c r="J493" t="s">
        <v>8</v>
      </c>
      <c r="K493" s="22" t="e">
        <f t="shared" si="25"/>
        <v>#N/A</v>
      </c>
      <c r="L493" s="22" t="str">
        <f t="shared" si="26"/>
        <v/>
      </c>
    </row>
    <row r="494" spans="1:12" x14ac:dyDescent="0.25">
      <c r="A494">
        <v>7</v>
      </c>
      <c r="B494">
        <v>1</v>
      </c>
      <c r="C494">
        <v>18</v>
      </c>
      <c r="D494">
        <v>11</v>
      </c>
      <c r="E494" t="b">
        <v>0</v>
      </c>
      <c r="F494" s="22" t="str">
        <f t="shared" si="24"/>
        <v/>
      </c>
      <c r="G494" s="23" t="s">
        <v>167</v>
      </c>
      <c r="H494" s="23" t="s">
        <v>183</v>
      </c>
      <c r="I494" s="23" t="s">
        <v>2</v>
      </c>
      <c r="J494" t="s">
        <v>105</v>
      </c>
      <c r="K494" s="22" t="e">
        <f t="shared" si="25"/>
        <v>#N/A</v>
      </c>
      <c r="L494" s="22" t="str">
        <f t="shared" si="26"/>
        <v/>
      </c>
    </row>
    <row r="495" spans="1:12" x14ac:dyDescent="0.25">
      <c r="A495">
        <v>7</v>
      </c>
      <c r="B495">
        <v>1</v>
      </c>
      <c r="C495">
        <v>18</v>
      </c>
      <c r="D495">
        <v>12</v>
      </c>
      <c r="E495" t="b">
        <v>0</v>
      </c>
      <c r="F495" s="22" t="str">
        <f t="shared" si="24"/>
        <v/>
      </c>
      <c r="G495" s="23" t="s">
        <v>167</v>
      </c>
      <c r="H495" s="23" t="s">
        <v>184</v>
      </c>
      <c r="I495" s="23" t="s">
        <v>2</v>
      </c>
      <c r="J495" t="s">
        <v>106</v>
      </c>
      <c r="K495" s="22" t="e">
        <f t="shared" si="25"/>
        <v>#N/A</v>
      </c>
      <c r="L495" s="22" t="str">
        <f t="shared" si="26"/>
        <v/>
      </c>
    </row>
    <row r="496" spans="1:12" x14ac:dyDescent="0.25">
      <c r="A496">
        <v>7</v>
      </c>
      <c r="B496">
        <v>1</v>
      </c>
      <c r="C496">
        <v>18</v>
      </c>
      <c r="D496">
        <v>13</v>
      </c>
      <c r="E496" t="b">
        <v>0</v>
      </c>
      <c r="F496" s="22" t="str">
        <f t="shared" si="24"/>
        <v/>
      </c>
      <c r="G496" s="23" t="s">
        <v>167</v>
      </c>
      <c r="H496" s="23" t="s">
        <v>185</v>
      </c>
      <c r="I496" s="23" t="s">
        <v>2</v>
      </c>
      <c r="J496" t="s">
        <v>107</v>
      </c>
      <c r="K496" s="22" t="e">
        <f t="shared" si="25"/>
        <v>#N/A</v>
      </c>
      <c r="L496" s="22" t="str">
        <f t="shared" si="26"/>
        <v/>
      </c>
    </row>
    <row r="497" spans="1:12" x14ac:dyDescent="0.25">
      <c r="A497">
        <v>7</v>
      </c>
      <c r="B497">
        <v>1</v>
      </c>
      <c r="C497">
        <v>18</v>
      </c>
      <c r="D497">
        <v>14</v>
      </c>
      <c r="E497" t="b">
        <v>0</v>
      </c>
      <c r="F497" s="22" t="str">
        <f t="shared" si="24"/>
        <v/>
      </c>
      <c r="G497" s="23" t="s">
        <v>167</v>
      </c>
      <c r="H497" s="23" t="s">
        <v>186</v>
      </c>
      <c r="I497" s="23" t="s">
        <v>2</v>
      </c>
      <c r="J497" t="s">
        <v>108</v>
      </c>
      <c r="K497" s="22" t="e">
        <f t="shared" si="25"/>
        <v>#N/A</v>
      </c>
      <c r="L497" s="22" t="str">
        <f t="shared" si="26"/>
        <v/>
      </c>
    </row>
    <row r="498" spans="1:12" x14ac:dyDescent="0.25">
      <c r="A498">
        <v>7</v>
      </c>
      <c r="B498">
        <v>1</v>
      </c>
      <c r="C498">
        <v>18</v>
      </c>
      <c r="D498">
        <v>15</v>
      </c>
      <c r="E498" t="b">
        <v>0</v>
      </c>
      <c r="F498" s="22" t="str">
        <f t="shared" si="24"/>
        <v/>
      </c>
      <c r="G498" s="23" t="s">
        <v>167</v>
      </c>
      <c r="H498" s="23" t="s">
        <v>187</v>
      </c>
      <c r="I498" s="23" t="s">
        <v>2</v>
      </c>
      <c r="J498" t="s">
        <v>109</v>
      </c>
      <c r="K498" s="22" t="e">
        <f t="shared" si="25"/>
        <v>#N/A</v>
      </c>
      <c r="L498" s="22" t="str">
        <f t="shared" si="26"/>
        <v/>
      </c>
    </row>
    <row r="499" spans="1:12" x14ac:dyDescent="0.25">
      <c r="A499">
        <v>7</v>
      </c>
      <c r="B499">
        <v>1</v>
      </c>
      <c r="C499">
        <v>18</v>
      </c>
      <c r="D499">
        <v>16</v>
      </c>
      <c r="E499" t="b">
        <v>0</v>
      </c>
      <c r="F499" s="22" t="str">
        <f t="shared" si="24"/>
        <v/>
      </c>
      <c r="G499" s="23" t="s">
        <v>167</v>
      </c>
      <c r="H499" s="23" t="s">
        <v>188</v>
      </c>
      <c r="I499" s="23" t="s">
        <v>2</v>
      </c>
      <c r="J499" t="s">
        <v>110</v>
      </c>
      <c r="K499" s="22" t="e">
        <f t="shared" si="25"/>
        <v>#N/A</v>
      </c>
      <c r="L499" s="22" t="str">
        <f t="shared" si="26"/>
        <v/>
      </c>
    </row>
    <row r="500" spans="1:12" x14ac:dyDescent="0.25">
      <c r="A500">
        <v>7</v>
      </c>
      <c r="B500">
        <v>1</v>
      </c>
      <c r="C500">
        <v>18</v>
      </c>
      <c r="D500">
        <v>17</v>
      </c>
      <c r="E500" t="b">
        <v>0</v>
      </c>
      <c r="F500" s="22" t="str">
        <f t="shared" si="24"/>
        <v/>
      </c>
      <c r="G500" s="23" t="s">
        <v>167</v>
      </c>
      <c r="H500" s="23" t="s">
        <v>189</v>
      </c>
      <c r="I500" s="23" t="s">
        <v>2</v>
      </c>
      <c r="J500" t="s">
        <v>23</v>
      </c>
      <c r="K500" s="22" t="e">
        <f t="shared" si="25"/>
        <v>#N/A</v>
      </c>
      <c r="L500" s="22" t="str">
        <f t="shared" si="26"/>
        <v/>
      </c>
    </row>
    <row r="501" spans="1:12" x14ac:dyDescent="0.25">
      <c r="A501">
        <v>7</v>
      </c>
      <c r="B501">
        <v>1</v>
      </c>
      <c r="C501">
        <v>18</v>
      </c>
      <c r="D501">
        <v>18</v>
      </c>
      <c r="E501" t="b">
        <v>1</v>
      </c>
      <c r="F501" s="22" t="str">
        <f t="shared" si="24"/>
        <v/>
      </c>
      <c r="G501" s="23" t="s">
        <v>167</v>
      </c>
      <c r="H501" s="23" t="s">
        <v>190</v>
      </c>
      <c r="I501" s="23" t="s">
        <v>2</v>
      </c>
      <c r="J501" t="s">
        <v>24</v>
      </c>
      <c r="K501" s="22" t="e">
        <f t="shared" si="25"/>
        <v>#N/A</v>
      </c>
      <c r="L501" s="22" t="str">
        <f t="shared" si="26"/>
        <v/>
      </c>
    </row>
    <row r="502" spans="1:12" x14ac:dyDescent="0.25">
      <c r="A502">
        <v>7</v>
      </c>
      <c r="B502">
        <v>2</v>
      </c>
      <c r="C502">
        <v>16</v>
      </c>
      <c r="D502">
        <v>1</v>
      </c>
      <c r="E502" t="b">
        <v>0</v>
      </c>
      <c r="F502" s="22" t="str">
        <f t="shared" si="24"/>
        <v/>
      </c>
      <c r="G502" s="23" t="s">
        <v>165</v>
      </c>
      <c r="H502" s="23" t="s">
        <v>191</v>
      </c>
      <c r="I502" s="23" t="s">
        <v>9</v>
      </c>
      <c r="J502" t="s">
        <v>10</v>
      </c>
      <c r="K502" s="22" t="e">
        <f t="shared" si="25"/>
        <v>#N/A</v>
      </c>
      <c r="L502" s="22" t="str">
        <f t="shared" si="26"/>
        <v/>
      </c>
    </row>
    <row r="503" spans="1:12" x14ac:dyDescent="0.25">
      <c r="A503">
        <v>7</v>
      </c>
      <c r="B503">
        <v>2</v>
      </c>
      <c r="C503">
        <v>16</v>
      </c>
      <c r="D503">
        <v>2</v>
      </c>
      <c r="E503" t="b">
        <v>0</v>
      </c>
      <c r="F503" s="22" t="str">
        <f t="shared" si="24"/>
        <v/>
      </c>
      <c r="G503" s="23" t="s">
        <v>165</v>
      </c>
      <c r="H503" s="23" t="s">
        <v>192</v>
      </c>
      <c r="I503" s="23" t="s">
        <v>9</v>
      </c>
      <c r="J503" t="s">
        <v>11</v>
      </c>
      <c r="K503" s="22" t="e">
        <f t="shared" si="25"/>
        <v>#N/A</v>
      </c>
      <c r="L503" s="22" t="str">
        <f t="shared" si="26"/>
        <v/>
      </c>
    </row>
    <row r="504" spans="1:12" x14ac:dyDescent="0.25">
      <c r="A504">
        <v>7</v>
      </c>
      <c r="B504">
        <v>2</v>
      </c>
      <c r="C504">
        <v>16</v>
      </c>
      <c r="D504">
        <v>3</v>
      </c>
      <c r="E504" t="b">
        <v>0</v>
      </c>
      <c r="F504" s="22" t="str">
        <f t="shared" si="24"/>
        <v/>
      </c>
      <c r="G504" s="23" t="s">
        <v>165</v>
      </c>
      <c r="H504" s="23" t="s">
        <v>193</v>
      </c>
      <c r="I504" s="23" t="s">
        <v>9</v>
      </c>
      <c r="J504" t="s">
        <v>12</v>
      </c>
      <c r="K504" s="22" t="e">
        <f t="shared" si="25"/>
        <v>#N/A</v>
      </c>
      <c r="L504" s="22" t="str">
        <f t="shared" si="26"/>
        <v/>
      </c>
    </row>
    <row r="505" spans="1:12" x14ac:dyDescent="0.25">
      <c r="A505">
        <v>7</v>
      </c>
      <c r="B505">
        <v>2</v>
      </c>
      <c r="C505">
        <v>16</v>
      </c>
      <c r="D505">
        <v>4</v>
      </c>
      <c r="E505" t="b">
        <v>0</v>
      </c>
      <c r="F505" s="22" t="str">
        <f t="shared" si="24"/>
        <v/>
      </c>
      <c r="G505" s="23" t="s">
        <v>165</v>
      </c>
      <c r="H505" s="23" t="s">
        <v>194</v>
      </c>
      <c r="I505" s="23" t="s">
        <v>9</v>
      </c>
      <c r="J505" t="s">
        <v>13</v>
      </c>
      <c r="K505" s="22" t="e">
        <f t="shared" si="25"/>
        <v>#N/A</v>
      </c>
      <c r="L505" s="22" t="str">
        <f t="shared" si="26"/>
        <v/>
      </c>
    </row>
    <row r="506" spans="1:12" x14ac:dyDescent="0.25">
      <c r="A506">
        <v>7</v>
      </c>
      <c r="B506">
        <v>2</v>
      </c>
      <c r="C506">
        <v>16</v>
      </c>
      <c r="D506">
        <v>5</v>
      </c>
      <c r="E506" t="b">
        <v>0</v>
      </c>
      <c r="F506" s="22" t="str">
        <f t="shared" si="24"/>
        <v/>
      </c>
      <c r="G506" s="23" t="s">
        <v>165</v>
      </c>
      <c r="H506" s="23" t="s">
        <v>195</v>
      </c>
      <c r="I506" s="23" t="s">
        <v>9</v>
      </c>
      <c r="J506" t="s">
        <v>14</v>
      </c>
      <c r="K506" s="22" t="e">
        <f t="shared" si="25"/>
        <v>#N/A</v>
      </c>
      <c r="L506" s="22" t="str">
        <f t="shared" si="26"/>
        <v/>
      </c>
    </row>
    <row r="507" spans="1:12" x14ac:dyDescent="0.25">
      <c r="A507">
        <v>7</v>
      </c>
      <c r="B507">
        <v>2</v>
      </c>
      <c r="C507">
        <v>16</v>
      </c>
      <c r="D507">
        <v>6</v>
      </c>
      <c r="E507" t="b">
        <v>0</v>
      </c>
      <c r="F507" s="22" t="str">
        <f t="shared" si="24"/>
        <v/>
      </c>
      <c r="G507" s="23" t="s">
        <v>165</v>
      </c>
      <c r="H507" s="23" t="s">
        <v>196</v>
      </c>
      <c r="I507" s="23" t="s">
        <v>9</v>
      </c>
      <c r="J507" t="s">
        <v>15</v>
      </c>
      <c r="K507" s="22" t="e">
        <f t="shared" si="25"/>
        <v>#N/A</v>
      </c>
      <c r="L507" s="22" t="str">
        <f t="shared" si="26"/>
        <v/>
      </c>
    </row>
    <row r="508" spans="1:12" x14ac:dyDescent="0.25">
      <c r="A508">
        <v>7</v>
      </c>
      <c r="B508">
        <v>2</v>
      </c>
      <c r="C508">
        <v>16</v>
      </c>
      <c r="D508">
        <v>7</v>
      </c>
      <c r="E508" t="b">
        <v>0</v>
      </c>
      <c r="F508" s="22" t="str">
        <f t="shared" si="24"/>
        <v/>
      </c>
      <c r="G508" s="23" t="s">
        <v>165</v>
      </c>
      <c r="H508" s="23" t="s">
        <v>197</v>
      </c>
      <c r="I508" s="23" t="s">
        <v>9</v>
      </c>
      <c r="J508" t="s">
        <v>16</v>
      </c>
      <c r="K508" s="22" t="e">
        <f t="shared" si="25"/>
        <v>#N/A</v>
      </c>
      <c r="L508" s="22" t="str">
        <f t="shared" si="26"/>
        <v/>
      </c>
    </row>
    <row r="509" spans="1:12" x14ac:dyDescent="0.25">
      <c r="A509">
        <v>7</v>
      </c>
      <c r="B509">
        <v>2</v>
      </c>
      <c r="C509">
        <v>16</v>
      </c>
      <c r="D509">
        <v>8</v>
      </c>
      <c r="E509" t="b">
        <v>0</v>
      </c>
      <c r="F509" s="22" t="str">
        <f t="shared" si="24"/>
        <v/>
      </c>
      <c r="G509" s="23" t="s">
        <v>165</v>
      </c>
      <c r="H509" s="23" t="s">
        <v>198</v>
      </c>
      <c r="I509" s="23" t="s">
        <v>9</v>
      </c>
      <c r="J509" t="s">
        <v>17</v>
      </c>
      <c r="K509" s="22" t="e">
        <f t="shared" si="25"/>
        <v>#N/A</v>
      </c>
      <c r="L509" s="22" t="str">
        <f t="shared" si="26"/>
        <v/>
      </c>
    </row>
    <row r="510" spans="1:12" x14ac:dyDescent="0.25">
      <c r="A510">
        <v>7</v>
      </c>
      <c r="B510">
        <v>2</v>
      </c>
      <c r="C510">
        <v>16</v>
      </c>
      <c r="D510">
        <v>9</v>
      </c>
      <c r="E510" t="b">
        <v>0</v>
      </c>
      <c r="F510" s="22" t="str">
        <f t="shared" si="24"/>
        <v/>
      </c>
      <c r="G510" s="23" t="s">
        <v>165</v>
      </c>
      <c r="H510" s="23" t="s">
        <v>199</v>
      </c>
      <c r="I510" s="23" t="s">
        <v>9</v>
      </c>
      <c r="J510" t="s">
        <v>18</v>
      </c>
      <c r="K510" s="22" t="e">
        <f t="shared" si="25"/>
        <v>#N/A</v>
      </c>
      <c r="L510" s="22" t="str">
        <f t="shared" si="26"/>
        <v/>
      </c>
    </row>
    <row r="511" spans="1:12" x14ac:dyDescent="0.25">
      <c r="A511">
        <v>7</v>
      </c>
      <c r="B511">
        <v>2</v>
      </c>
      <c r="C511">
        <v>16</v>
      </c>
      <c r="D511">
        <v>10</v>
      </c>
      <c r="E511" t="b">
        <v>0</v>
      </c>
      <c r="F511" s="22" t="str">
        <f t="shared" si="24"/>
        <v/>
      </c>
      <c r="G511" s="23" t="s">
        <v>165</v>
      </c>
      <c r="H511" s="23" t="s">
        <v>200</v>
      </c>
      <c r="I511" s="23" t="s">
        <v>9</v>
      </c>
      <c r="J511" t="s">
        <v>19</v>
      </c>
      <c r="K511" s="22" t="e">
        <f t="shared" si="25"/>
        <v>#N/A</v>
      </c>
      <c r="L511" s="22" t="str">
        <f t="shared" si="26"/>
        <v/>
      </c>
    </row>
    <row r="512" spans="1:12" x14ac:dyDescent="0.25">
      <c r="A512">
        <v>7</v>
      </c>
      <c r="B512">
        <v>2</v>
      </c>
      <c r="C512">
        <v>16</v>
      </c>
      <c r="D512">
        <v>11</v>
      </c>
      <c r="E512" t="b">
        <v>0</v>
      </c>
      <c r="F512" s="22" t="str">
        <f t="shared" si="24"/>
        <v/>
      </c>
      <c r="G512" s="23" t="s">
        <v>165</v>
      </c>
      <c r="H512" s="23" t="s">
        <v>201</v>
      </c>
      <c r="I512" s="23" t="s">
        <v>9</v>
      </c>
      <c r="J512" t="s">
        <v>20</v>
      </c>
      <c r="K512" s="22" t="e">
        <f t="shared" si="25"/>
        <v>#N/A</v>
      </c>
      <c r="L512" s="22" t="str">
        <f t="shared" si="26"/>
        <v/>
      </c>
    </row>
    <row r="513" spans="1:12" x14ac:dyDescent="0.25">
      <c r="A513">
        <v>7</v>
      </c>
      <c r="B513">
        <v>2</v>
      </c>
      <c r="C513">
        <v>16</v>
      </c>
      <c r="D513">
        <v>12</v>
      </c>
      <c r="E513" t="b">
        <v>0</v>
      </c>
      <c r="F513" s="22" t="str">
        <f t="shared" si="24"/>
        <v/>
      </c>
      <c r="G513" s="23" t="s">
        <v>165</v>
      </c>
      <c r="H513" s="23" t="s">
        <v>202</v>
      </c>
      <c r="I513" s="23" t="s">
        <v>9</v>
      </c>
      <c r="J513" t="s">
        <v>21</v>
      </c>
      <c r="K513" s="22" t="e">
        <f t="shared" si="25"/>
        <v>#N/A</v>
      </c>
      <c r="L513" s="22" t="str">
        <f t="shared" si="26"/>
        <v/>
      </c>
    </row>
    <row r="514" spans="1:12" x14ac:dyDescent="0.25">
      <c r="A514">
        <v>7</v>
      </c>
      <c r="B514">
        <v>2</v>
      </c>
      <c r="C514">
        <v>16</v>
      </c>
      <c r="D514">
        <v>13</v>
      </c>
      <c r="E514" t="b">
        <v>0</v>
      </c>
      <c r="F514" s="22" t="str">
        <f t="shared" si="24"/>
        <v/>
      </c>
      <c r="G514" s="23" t="s">
        <v>165</v>
      </c>
      <c r="H514" s="23" t="s">
        <v>203</v>
      </c>
      <c r="I514" s="23" t="s">
        <v>9</v>
      </c>
      <c r="J514" t="s">
        <v>22</v>
      </c>
      <c r="K514" s="22" t="e">
        <f t="shared" si="25"/>
        <v>#N/A</v>
      </c>
      <c r="L514" s="22" t="str">
        <f t="shared" si="26"/>
        <v/>
      </c>
    </row>
    <row r="515" spans="1:12" x14ac:dyDescent="0.25">
      <c r="A515">
        <v>7</v>
      </c>
      <c r="B515">
        <v>2</v>
      </c>
      <c r="C515">
        <v>16</v>
      </c>
      <c r="D515">
        <v>14</v>
      </c>
      <c r="E515" t="b">
        <v>0</v>
      </c>
      <c r="F515" s="22" t="str">
        <f t="shared" si="24"/>
        <v/>
      </c>
      <c r="G515" s="23" t="s">
        <v>165</v>
      </c>
      <c r="H515" s="23" t="s">
        <v>204</v>
      </c>
      <c r="I515" s="23" t="s">
        <v>9</v>
      </c>
      <c r="J515" t="s">
        <v>111</v>
      </c>
      <c r="K515" s="22" t="e">
        <f t="shared" si="25"/>
        <v>#N/A</v>
      </c>
      <c r="L515" s="22" t="str">
        <f t="shared" si="26"/>
        <v/>
      </c>
    </row>
    <row r="516" spans="1:12" x14ac:dyDescent="0.25">
      <c r="A516">
        <v>7</v>
      </c>
      <c r="B516">
        <v>2</v>
      </c>
      <c r="C516">
        <v>16</v>
      </c>
      <c r="D516">
        <v>15</v>
      </c>
      <c r="E516" t="b">
        <v>0</v>
      </c>
      <c r="F516" s="22" t="str">
        <f t="shared" ref="F516:F579" si="27">VLOOKUP("Assessment #"&amp;$A516, DateMeta, MATCH("DisplDate", DateMeta_H, 0), 0)</f>
        <v/>
      </c>
      <c r="G516" s="23" t="s">
        <v>165</v>
      </c>
      <c r="H516" s="23" t="s">
        <v>205</v>
      </c>
      <c r="I516" s="23" t="s">
        <v>9</v>
      </c>
      <c r="J516" t="s">
        <v>112</v>
      </c>
      <c r="K516" s="22" t="e">
        <f t="shared" ref="K516:K579" si="28">IF(INDEX(Assess, MATCH($J516, ItemLong, 0), MATCH("Assessment #"&amp;$A516, Assess_H, 0))="", "", INDEX(Assess, MATCH($J516, ItemLong, 0), MATCH("Assessment #"&amp;$A516, Assess_H, 0)))</f>
        <v>#N/A</v>
      </c>
      <c r="L516" s="22" t="str">
        <f t="shared" si="26"/>
        <v/>
      </c>
    </row>
    <row r="517" spans="1:12" x14ac:dyDescent="0.25">
      <c r="A517">
        <v>7</v>
      </c>
      <c r="B517">
        <v>2</v>
      </c>
      <c r="C517">
        <v>16</v>
      </c>
      <c r="D517">
        <v>16</v>
      </c>
      <c r="E517" t="b">
        <v>1</v>
      </c>
      <c r="F517" s="22" t="str">
        <f t="shared" si="27"/>
        <v/>
      </c>
      <c r="G517" s="23" t="s">
        <v>165</v>
      </c>
      <c r="H517" s="23" t="s">
        <v>206</v>
      </c>
      <c r="I517" s="23" t="s">
        <v>9</v>
      </c>
      <c r="J517" t="s">
        <v>113</v>
      </c>
      <c r="K517" s="22" t="e">
        <f t="shared" si="28"/>
        <v>#N/A</v>
      </c>
      <c r="L517" s="22" t="str">
        <f t="shared" ref="L517:L580" si="29">IF(ISNUMBER(K517), IF(K517&gt;=2, 1, 0), "")</f>
        <v/>
      </c>
    </row>
    <row r="518" spans="1:12" x14ac:dyDescent="0.25">
      <c r="A518">
        <v>7</v>
      </c>
      <c r="B518">
        <v>3</v>
      </c>
      <c r="C518">
        <v>17</v>
      </c>
      <c r="D518">
        <v>1</v>
      </c>
      <c r="E518" t="b">
        <v>0</v>
      </c>
      <c r="F518" s="22" t="str">
        <f t="shared" si="27"/>
        <v/>
      </c>
      <c r="G518" s="23" t="s">
        <v>168</v>
      </c>
      <c r="H518" s="23" t="s">
        <v>207</v>
      </c>
      <c r="I518" s="23" t="s">
        <v>37</v>
      </c>
      <c r="J518" t="s">
        <v>114</v>
      </c>
      <c r="K518" s="22" t="e">
        <f t="shared" si="28"/>
        <v>#N/A</v>
      </c>
      <c r="L518" s="22" t="str">
        <f t="shared" si="29"/>
        <v/>
      </c>
    </row>
    <row r="519" spans="1:12" x14ac:dyDescent="0.25">
      <c r="A519">
        <v>7</v>
      </c>
      <c r="B519">
        <v>3</v>
      </c>
      <c r="C519">
        <v>17</v>
      </c>
      <c r="D519">
        <v>2</v>
      </c>
      <c r="E519" t="b">
        <v>0</v>
      </c>
      <c r="F519" s="22" t="str">
        <f t="shared" si="27"/>
        <v/>
      </c>
      <c r="G519" s="23" t="s">
        <v>168</v>
      </c>
      <c r="H519" s="23" t="s">
        <v>208</v>
      </c>
      <c r="I519" s="23" t="s">
        <v>37</v>
      </c>
      <c r="J519" t="s">
        <v>39</v>
      </c>
      <c r="K519" s="22" t="e">
        <f t="shared" si="28"/>
        <v>#N/A</v>
      </c>
      <c r="L519" s="22" t="str">
        <f t="shared" si="29"/>
        <v/>
      </c>
    </row>
    <row r="520" spans="1:12" x14ac:dyDescent="0.25">
      <c r="A520">
        <v>7</v>
      </c>
      <c r="B520">
        <v>3</v>
      </c>
      <c r="C520">
        <v>17</v>
      </c>
      <c r="D520">
        <v>3</v>
      </c>
      <c r="E520" t="b">
        <v>0</v>
      </c>
      <c r="F520" s="22" t="str">
        <f t="shared" si="27"/>
        <v/>
      </c>
      <c r="G520" s="23" t="s">
        <v>168</v>
      </c>
      <c r="H520" s="23" t="s">
        <v>209</v>
      </c>
      <c r="I520" s="23" t="s">
        <v>37</v>
      </c>
      <c r="J520" t="s">
        <v>40</v>
      </c>
      <c r="K520" s="22" t="e">
        <f t="shared" si="28"/>
        <v>#N/A</v>
      </c>
      <c r="L520" s="22" t="str">
        <f t="shared" si="29"/>
        <v/>
      </c>
    </row>
    <row r="521" spans="1:12" x14ac:dyDescent="0.25">
      <c r="A521">
        <v>7</v>
      </c>
      <c r="B521">
        <v>3</v>
      </c>
      <c r="C521">
        <v>17</v>
      </c>
      <c r="D521">
        <v>4</v>
      </c>
      <c r="E521" t="b">
        <v>0</v>
      </c>
      <c r="F521" s="22" t="str">
        <f t="shared" si="27"/>
        <v/>
      </c>
      <c r="G521" s="23" t="s">
        <v>168</v>
      </c>
      <c r="H521" s="23" t="s">
        <v>210</v>
      </c>
      <c r="I521" s="23" t="s">
        <v>37</v>
      </c>
      <c r="J521" t="s">
        <v>41</v>
      </c>
      <c r="K521" s="22" t="e">
        <f t="shared" si="28"/>
        <v>#N/A</v>
      </c>
      <c r="L521" s="22" t="str">
        <f t="shared" si="29"/>
        <v/>
      </c>
    </row>
    <row r="522" spans="1:12" x14ac:dyDescent="0.25">
      <c r="A522">
        <v>7</v>
      </c>
      <c r="B522">
        <v>3</v>
      </c>
      <c r="C522">
        <v>17</v>
      </c>
      <c r="D522">
        <v>5</v>
      </c>
      <c r="E522" t="b">
        <v>0</v>
      </c>
      <c r="F522" s="22" t="str">
        <f t="shared" si="27"/>
        <v/>
      </c>
      <c r="G522" s="23" t="s">
        <v>168</v>
      </c>
      <c r="H522" s="23" t="s">
        <v>211</v>
      </c>
      <c r="I522" s="23" t="s">
        <v>37</v>
      </c>
      <c r="J522" t="s">
        <v>38</v>
      </c>
      <c r="K522" s="22" t="e">
        <f t="shared" si="28"/>
        <v>#N/A</v>
      </c>
      <c r="L522" s="22" t="str">
        <f t="shared" si="29"/>
        <v/>
      </c>
    </row>
    <row r="523" spans="1:12" x14ac:dyDescent="0.25">
      <c r="A523">
        <v>7</v>
      </c>
      <c r="B523">
        <v>3</v>
      </c>
      <c r="C523">
        <v>17</v>
      </c>
      <c r="D523">
        <v>6</v>
      </c>
      <c r="E523" t="b">
        <v>0</v>
      </c>
      <c r="F523" s="22" t="str">
        <f t="shared" si="27"/>
        <v/>
      </c>
      <c r="G523" s="23" t="s">
        <v>168</v>
      </c>
      <c r="H523" s="23" t="s">
        <v>212</v>
      </c>
      <c r="I523" s="23" t="s">
        <v>37</v>
      </c>
      <c r="J523" t="s">
        <v>115</v>
      </c>
      <c r="K523" s="22" t="e">
        <f t="shared" si="28"/>
        <v>#N/A</v>
      </c>
      <c r="L523" s="22" t="str">
        <f t="shared" si="29"/>
        <v/>
      </c>
    </row>
    <row r="524" spans="1:12" x14ac:dyDescent="0.25">
      <c r="A524">
        <v>7</v>
      </c>
      <c r="B524">
        <v>3</v>
      </c>
      <c r="C524">
        <v>17</v>
      </c>
      <c r="D524">
        <v>7</v>
      </c>
      <c r="E524" t="b">
        <v>0</v>
      </c>
      <c r="F524" s="22" t="str">
        <f t="shared" si="27"/>
        <v/>
      </c>
      <c r="G524" s="23" t="s">
        <v>168</v>
      </c>
      <c r="H524" s="23" t="s">
        <v>213</v>
      </c>
      <c r="I524" s="23" t="s">
        <v>37</v>
      </c>
      <c r="J524" t="s">
        <v>116</v>
      </c>
      <c r="K524" s="22" t="e">
        <f t="shared" si="28"/>
        <v>#N/A</v>
      </c>
      <c r="L524" s="22" t="str">
        <f t="shared" si="29"/>
        <v/>
      </c>
    </row>
    <row r="525" spans="1:12" x14ac:dyDescent="0.25">
      <c r="A525">
        <v>7</v>
      </c>
      <c r="B525">
        <v>3</v>
      </c>
      <c r="C525">
        <v>17</v>
      </c>
      <c r="D525">
        <v>8</v>
      </c>
      <c r="E525" t="b">
        <v>0</v>
      </c>
      <c r="F525" s="22" t="str">
        <f t="shared" si="27"/>
        <v/>
      </c>
      <c r="G525" s="23" t="s">
        <v>168</v>
      </c>
      <c r="H525" s="23" t="s">
        <v>214</v>
      </c>
      <c r="I525" s="23" t="s">
        <v>37</v>
      </c>
      <c r="J525" t="s">
        <v>126</v>
      </c>
      <c r="K525" s="22" t="e">
        <f t="shared" si="28"/>
        <v>#N/A</v>
      </c>
      <c r="L525" s="22" t="str">
        <f t="shared" si="29"/>
        <v/>
      </c>
    </row>
    <row r="526" spans="1:12" x14ac:dyDescent="0.25">
      <c r="A526">
        <v>7</v>
      </c>
      <c r="B526">
        <v>3</v>
      </c>
      <c r="C526">
        <v>17</v>
      </c>
      <c r="D526">
        <v>9</v>
      </c>
      <c r="E526" t="b">
        <v>0</v>
      </c>
      <c r="F526" s="22" t="str">
        <f t="shared" si="27"/>
        <v/>
      </c>
      <c r="G526" s="23" t="s">
        <v>168</v>
      </c>
      <c r="H526" s="23" t="s">
        <v>215</v>
      </c>
      <c r="I526" s="23" t="s">
        <v>37</v>
      </c>
      <c r="J526" t="s">
        <v>45</v>
      </c>
      <c r="K526" s="22" t="e">
        <f t="shared" si="28"/>
        <v>#N/A</v>
      </c>
      <c r="L526" s="22" t="str">
        <f t="shared" si="29"/>
        <v/>
      </c>
    </row>
    <row r="527" spans="1:12" x14ac:dyDescent="0.25">
      <c r="A527">
        <v>7</v>
      </c>
      <c r="B527">
        <v>3</v>
      </c>
      <c r="C527">
        <v>17</v>
      </c>
      <c r="D527">
        <v>10</v>
      </c>
      <c r="E527" t="b">
        <v>0</v>
      </c>
      <c r="F527" s="22" t="str">
        <f t="shared" si="27"/>
        <v/>
      </c>
      <c r="G527" s="23" t="s">
        <v>168</v>
      </c>
      <c r="H527" s="23" t="s">
        <v>216</v>
      </c>
      <c r="I527" s="23" t="s">
        <v>37</v>
      </c>
      <c r="J527" t="s">
        <v>117</v>
      </c>
      <c r="K527" s="22" t="e">
        <f t="shared" si="28"/>
        <v>#N/A</v>
      </c>
      <c r="L527" s="22" t="str">
        <f t="shared" si="29"/>
        <v/>
      </c>
    </row>
    <row r="528" spans="1:12" x14ac:dyDescent="0.25">
      <c r="A528">
        <v>7</v>
      </c>
      <c r="B528">
        <v>3</v>
      </c>
      <c r="C528">
        <v>17</v>
      </c>
      <c r="D528">
        <v>11</v>
      </c>
      <c r="E528" t="b">
        <v>0</v>
      </c>
      <c r="F528" s="22" t="str">
        <f t="shared" si="27"/>
        <v/>
      </c>
      <c r="G528" s="23" t="s">
        <v>168</v>
      </c>
      <c r="H528" s="23" t="s">
        <v>217</v>
      </c>
      <c r="I528" s="23" t="s">
        <v>37</v>
      </c>
      <c r="J528" t="s">
        <v>118</v>
      </c>
      <c r="K528" s="22" t="e">
        <f t="shared" si="28"/>
        <v>#N/A</v>
      </c>
      <c r="L528" s="22" t="str">
        <f t="shared" si="29"/>
        <v/>
      </c>
    </row>
    <row r="529" spans="1:12" x14ac:dyDescent="0.25">
      <c r="A529">
        <v>7</v>
      </c>
      <c r="B529">
        <v>3</v>
      </c>
      <c r="C529">
        <v>17</v>
      </c>
      <c r="D529">
        <v>12</v>
      </c>
      <c r="E529" t="b">
        <v>0</v>
      </c>
      <c r="F529" s="22" t="str">
        <f t="shared" si="27"/>
        <v/>
      </c>
      <c r="G529" s="23" t="s">
        <v>168</v>
      </c>
      <c r="H529" s="23" t="s">
        <v>218</v>
      </c>
      <c r="I529" s="23" t="s">
        <v>37</v>
      </c>
      <c r="J529" t="s">
        <v>119</v>
      </c>
      <c r="K529" s="22" t="e">
        <f t="shared" si="28"/>
        <v>#N/A</v>
      </c>
      <c r="L529" s="22" t="str">
        <f t="shared" si="29"/>
        <v/>
      </c>
    </row>
    <row r="530" spans="1:12" x14ac:dyDescent="0.25">
      <c r="A530">
        <v>7</v>
      </c>
      <c r="B530">
        <v>3</v>
      </c>
      <c r="C530">
        <v>17</v>
      </c>
      <c r="D530">
        <v>13</v>
      </c>
      <c r="E530" t="b">
        <v>0</v>
      </c>
      <c r="F530" s="22" t="str">
        <f t="shared" si="27"/>
        <v/>
      </c>
      <c r="G530" s="23" t="s">
        <v>168</v>
      </c>
      <c r="H530" s="23" t="s">
        <v>219</v>
      </c>
      <c r="I530" s="23" t="s">
        <v>37</v>
      </c>
      <c r="J530" t="s">
        <v>127</v>
      </c>
      <c r="K530" s="22" t="e">
        <f t="shared" si="28"/>
        <v>#N/A</v>
      </c>
      <c r="L530" s="22" t="str">
        <f t="shared" si="29"/>
        <v/>
      </c>
    </row>
    <row r="531" spans="1:12" x14ac:dyDescent="0.25">
      <c r="A531">
        <v>7</v>
      </c>
      <c r="B531">
        <v>3</v>
      </c>
      <c r="C531">
        <v>17</v>
      </c>
      <c r="D531">
        <v>14</v>
      </c>
      <c r="E531" t="b">
        <v>0</v>
      </c>
      <c r="F531" s="22" t="str">
        <f t="shared" si="27"/>
        <v/>
      </c>
      <c r="G531" s="23" t="s">
        <v>168</v>
      </c>
      <c r="H531" s="23" t="s">
        <v>220</v>
      </c>
      <c r="I531" s="23" t="s">
        <v>37</v>
      </c>
      <c r="J531" t="s">
        <v>120</v>
      </c>
      <c r="K531" s="22" t="e">
        <f t="shared" si="28"/>
        <v>#N/A</v>
      </c>
      <c r="L531" s="22" t="str">
        <f t="shared" si="29"/>
        <v/>
      </c>
    </row>
    <row r="532" spans="1:12" x14ac:dyDescent="0.25">
      <c r="A532">
        <v>7</v>
      </c>
      <c r="B532">
        <v>3</v>
      </c>
      <c r="C532">
        <v>17</v>
      </c>
      <c r="D532">
        <v>15</v>
      </c>
      <c r="E532" t="b">
        <v>0</v>
      </c>
      <c r="F532" s="22" t="str">
        <f t="shared" si="27"/>
        <v/>
      </c>
      <c r="G532" s="23" t="s">
        <v>168</v>
      </c>
      <c r="H532" s="23" t="s">
        <v>221</v>
      </c>
      <c r="I532" s="23" t="s">
        <v>37</v>
      </c>
      <c r="J532" t="s">
        <v>42</v>
      </c>
      <c r="K532" s="22" t="e">
        <f t="shared" si="28"/>
        <v>#N/A</v>
      </c>
      <c r="L532" s="22" t="str">
        <f t="shared" si="29"/>
        <v/>
      </c>
    </row>
    <row r="533" spans="1:12" x14ac:dyDescent="0.25">
      <c r="A533">
        <v>7</v>
      </c>
      <c r="B533">
        <v>3</v>
      </c>
      <c r="C533">
        <v>17</v>
      </c>
      <c r="D533">
        <v>16</v>
      </c>
      <c r="E533" t="b">
        <v>0</v>
      </c>
      <c r="F533" s="22" t="str">
        <f t="shared" si="27"/>
        <v/>
      </c>
      <c r="G533" s="23" t="s">
        <v>168</v>
      </c>
      <c r="H533" s="23" t="s">
        <v>222</v>
      </c>
      <c r="I533" s="23" t="s">
        <v>37</v>
      </c>
      <c r="J533" t="s">
        <v>121</v>
      </c>
      <c r="K533" s="22" t="e">
        <f t="shared" si="28"/>
        <v>#N/A</v>
      </c>
      <c r="L533" s="22" t="str">
        <f t="shared" si="29"/>
        <v/>
      </c>
    </row>
    <row r="534" spans="1:12" x14ac:dyDescent="0.25">
      <c r="A534">
        <v>7</v>
      </c>
      <c r="B534">
        <v>3</v>
      </c>
      <c r="C534">
        <v>17</v>
      </c>
      <c r="D534">
        <v>17</v>
      </c>
      <c r="E534" t="b">
        <v>1</v>
      </c>
      <c r="F534" s="22" t="str">
        <f t="shared" si="27"/>
        <v/>
      </c>
      <c r="G534" s="23" t="s">
        <v>168</v>
      </c>
      <c r="H534" s="23" t="s">
        <v>223</v>
      </c>
      <c r="I534" s="23" t="s">
        <v>37</v>
      </c>
      <c r="J534" t="s">
        <v>44</v>
      </c>
      <c r="K534" s="22" t="e">
        <f t="shared" si="28"/>
        <v>#N/A</v>
      </c>
      <c r="L534" s="22" t="str">
        <f t="shared" si="29"/>
        <v/>
      </c>
    </row>
    <row r="535" spans="1:12" x14ac:dyDescent="0.25">
      <c r="A535">
        <v>7</v>
      </c>
      <c r="B535">
        <v>4</v>
      </c>
      <c r="C535">
        <v>9</v>
      </c>
      <c r="D535">
        <v>1</v>
      </c>
      <c r="E535" t="b">
        <v>0</v>
      </c>
      <c r="F535" s="22" t="str">
        <f t="shared" si="27"/>
        <v/>
      </c>
      <c r="G535" s="23" t="s">
        <v>169</v>
      </c>
      <c r="H535" s="23" t="s">
        <v>224</v>
      </c>
      <c r="I535" s="23" t="s">
        <v>25</v>
      </c>
      <c r="J535" t="s">
        <v>122</v>
      </c>
      <c r="K535" s="22" t="e">
        <f t="shared" si="28"/>
        <v>#N/A</v>
      </c>
      <c r="L535" s="22" t="str">
        <f t="shared" si="29"/>
        <v/>
      </c>
    </row>
    <row r="536" spans="1:12" x14ac:dyDescent="0.25">
      <c r="A536">
        <v>7</v>
      </c>
      <c r="B536">
        <v>4</v>
      </c>
      <c r="C536">
        <v>9</v>
      </c>
      <c r="D536">
        <v>2</v>
      </c>
      <c r="E536" t="b">
        <v>0</v>
      </c>
      <c r="F536" s="22" t="str">
        <f t="shared" si="27"/>
        <v/>
      </c>
      <c r="G536" s="23" t="s">
        <v>169</v>
      </c>
      <c r="H536" s="23" t="s">
        <v>225</v>
      </c>
      <c r="I536" s="23" t="s">
        <v>25</v>
      </c>
      <c r="J536" t="s">
        <v>26</v>
      </c>
      <c r="K536" s="22" t="e">
        <f t="shared" si="28"/>
        <v>#N/A</v>
      </c>
      <c r="L536" s="22" t="str">
        <f t="shared" si="29"/>
        <v/>
      </c>
    </row>
    <row r="537" spans="1:12" x14ac:dyDescent="0.25">
      <c r="A537">
        <v>7</v>
      </c>
      <c r="B537">
        <v>4</v>
      </c>
      <c r="C537">
        <v>9</v>
      </c>
      <c r="D537">
        <v>3</v>
      </c>
      <c r="E537" t="b">
        <v>0</v>
      </c>
      <c r="F537" s="22" t="str">
        <f t="shared" si="27"/>
        <v/>
      </c>
      <c r="G537" s="23" t="s">
        <v>169</v>
      </c>
      <c r="H537" s="23" t="s">
        <v>226</v>
      </c>
      <c r="I537" s="23" t="s">
        <v>25</v>
      </c>
      <c r="J537" t="s">
        <v>27</v>
      </c>
      <c r="K537" s="22" t="e">
        <f t="shared" si="28"/>
        <v>#N/A</v>
      </c>
      <c r="L537" s="22" t="str">
        <f t="shared" si="29"/>
        <v/>
      </c>
    </row>
    <row r="538" spans="1:12" x14ac:dyDescent="0.25">
      <c r="A538">
        <v>7</v>
      </c>
      <c r="B538">
        <v>4</v>
      </c>
      <c r="C538">
        <v>9</v>
      </c>
      <c r="D538">
        <v>4</v>
      </c>
      <c r="E538" t="b">
        <v>0</v>
      </c>
      <c r="F538" s="22" t="str">
        <f t="shared" si="27"/>
        <v/>
      </c>
      <c r="G538" s="23" t="s">
        <v>169</v>
      </c>
      <c r="H538" s="23" t="s">
        <v>227</v>
      </c>
      <c r="I538" s="23" t="s">
        <v>25</v>
      </c>
      <c r="J538" t="s">
        <v>28</v>
      </c>
      <c r="K538" s="22" t="e">
        <f t="shared" si="28"/>
        <v>#N/A</v>
      </c>
      <c r="L538" s="22" t="str">
        <f t="shared" si="29"/>
        <v/>
      </c>
    </row>
    <row r="539" spans="1:12" x14ac:dyDescent="0.25">
      <c r="A539">
        <v>7</v>
      </c>
      <c r="B539">
        <v>4</v>
      </c>
      <c r="C539">
        <v>9</v>
      </c>
      <c r="D539">
        <v>5</v>
      </c>
      <c r="E539" t="b">
        <v>0</v>
      </c>
      <c r="F539" s="22" t="str">
        <f t="shared" si="27"/>
        <v/>
      </c>
      <c r="G539" s="23" t="s">
        <v>169</v>
      </c>
      <c r="H539" s="23" t="s">
        <v>228</v>
      </c>
      <c r="I539" s="23" t="s">
        <v>25</v>
      </c>
      <c r="J539" t="s">
        <v>128</v>
      </c>
      <c r="K539" s="22" t="e">
        <f t="shared" si="28"/>
        <v>#N/A</v>
      </c>
      <c r="L539" s="22" t="str">
        <f t="shared" si="29"/>
        <v/>
      </c>
    </row>
    <row r="540" spans="1:12" x14ac:dyDescent="0.25">
      <c r="A540">
        <v>7</v>
      </c>
      <c r="B540">
        <v>4</v>
      </c>
      <c r="C540">
        <v>9</v>
      </c>
      <c r="D540">
        <v>6</v>
      </c>
      <c r="E540" t="b">
        <v>0</v>
      </c>
      <c r="F540" s="22" t="str">
        <f t="shared" si="27"/>
        <v/>
      </c>
      <c r="G540" s="23" t="s">
        <v>169</v>
      </c>
      <c r="H540" s="23" t="s">
        <v>229</v>
      </c>
      <c r="I540" s="23" t="s">
        <v>25</v>
      </c>
      <c r="J540" t="s">
        <v>29</v>
      </c>
      <c r="K540" s="22" t="e">
        <f t="shared" si="28"/>
        <v>#N/A</v>
      </c>
      <c r="L540" s="22" t="str">
        <f t="shared" si="29"/>
        <v/>
      </c>
    </row>
    <row r="541" spans="1:12" x14ac:dyDescent="0.25">
      <c r="A541">
        <v>7</v>
      </c>
      <c r="B541">
        <v>4</v>
      </c>
      <c r="C541">
        <v>9</v>
      </c>
      <c r="D541">
        <v>7</v>
      </c>
      <c r="E541" t="b">
        <v>0</v>
      </c>
      <c r="F541" s="22" t="str">
        <f t="shared" si="27"/>
        <v/>
      </c>
      <c r="G541" s="23" t="s">
        <v>169</v>
      </c>
      <c r="H541" s="23" t="s">
        <v>230</v>
      </c>
      <c r="I541" s="23" t="s">
        <v>25</v>
      </c>
      <c r="J541" t="s">
        <v>30</v>
      </c>
      <c r="K541" s="22" t="e">
        <f t="shared" si="28"/>
        <v>#N/A</v>
      </c>
      <c r="L541" s="22" t="str">
        <f t="shared" si="29"/>
        <v/>
      </c>
    </row>
    <row r="542" spans="1:12" x14ac:dyDescent="0.25">
      <c r="A542">
        <v>7</v>
      </c>
      <c r="B542">
        <v>4</v>
      </c>
      <c r="C542">
        <v>9</v>
      </c>
      <c r="D542">
        <v>8</v>
      </c>
      <c r="E542" t="b">
        <v>0</v>
      </c>
      <c r="F542" s="22" t="str">
        <f t="shared" si="27"/>
        <v/>
      </c>
      <c r="G542" s="23" t="s">
        <v>169</v>
      </c>
      <c r="H542" s="23" t="s">
        <v>231</v>
      </c>
      <c r="I542" s="23" t="s">
        <v>25</v>
      </c>
      <c r="J542" t="s">
        <v>31</v>
      </c>
      <c r="K542" s="22" t="e">
        <f t="shared" si="28"/>
        <v>#N/A</v>
      </c>
      <c r="L542" s="22" t="str">
        <f t="shared" si="29"/>
        <v/>
      </c>
    </row>
    <row r="543" spans="1:12" x14ac:dyDescent="0.25">
      <c r="A543">
        <v>7</v>
      </c>
      <c r="B543">
        <v>4</v>
      </c>
      <c r="C543">
        <v>9</v>
      </c>
      <c r="D543">
        <v>9</v>
      </c>
      <c r="E543" t="b">
        <v>1</v>
      </c>
      <c r="F543" s="22" t="str">
        <f t="shared" si="27"/>
        <v/>
      </c>
      <c r="G543" s="23" t="s">
        <v>169</v>
      </c>
      <c r="H543" s="23" t="s">
        <v>232</v>
      </c>
      <c r="I543" s="23" t="s">
        <v>25</v>
      </c>
      <c r="J543" t="s">
        <v>43</v>
      </c>
      <c r="K543" s="22" t="e">
        <f t="shared" si="28"/>
        <v>#N/A</v>
      </c>
      <c r="L543" s="22" t="str">
        <f t="shared" si="29"/>
        <v/>
      </c>
    </row>
    <row r="544" spans="1:12" x14ac:dyDescent="0.25">
      <c r="A544">
        <v>7</v>
      </c>
      <c r="B544">
        <v>5</v>
      </c>
      <c r="C544">
        <v>9</v>
      </c>
      <c r="D544">
        <v>1</v>
      </c>
      <c r="E544" t="b">
        <v>0</v>
      </c>
      <c r="F544" s="22" t="str">
        <f t="shared" si="27"/>
        <v/>
      </c>
      <c r="G544" s="23" t="s">
        <v>166</v>
      </c>
      <c r="H544" s="23" t="s">
        <v>233</v>
      </c>
      <c r="I544" s="23" t="s">
        <v>32</v>
      </c>
      <c r="J544" t="s">
        <v>33</v>
      </c>
      <c r="K544" s="22" t="e">
        <f t="shared" si="28"/>
        <v>#N/A</v>
      </c>
      <c r="L544" s="22" t="str">
        <f t="shared" si="29"/>
        <v/>
      </c>
    </row>
    <row r="545" spans="1:12" x14ac:dyDescent="0.25">
      <c r="A545">
        <v>7</v>
      </c>
      <c r="B545">
        <v>5</v>
      </c>
      <c r="C545">
        <v>9</v>
      </c>
      <c r="D545">
        <v>2</v>
      </c>
      <c r="E545" t="b">
        <v>0</v>
      </c>
      <c r="F545" s="22" t="str">
        <f t="shared" si="27"/>
        <v/>
      </c>
      <c r="G545" s="23" t="s">
        <v>166</v>
      </c>
      <c r="H545" s="23" t="s">
        <v>234</v>
      </c>
      <c r="I545" s="23" t="s">
        <v>32</v>
      </c>
      <c r="J545" t="s">
        <v>34</v>
      </c>
      <c r="K545" s="22" t="e">
        <f t="shared" si="28"/>
        <v>#N/A</v>
      </c>
      <c r="L545" s="22" t="str">
        <f t="shared" si="29"/>
        <v/>
      </c>
    </row>
    <row r="546" spans="1:12" x14ac:dyDescent="0.25">
      <c r="A546">
        <v>7</v>
      </c>
      <c r="B546">
        <v>5</v>
      </c>
      <c r="C546">
        <v>9</v>
      </c>
      <c r="D546">
        <v>3</v>
      </c>
      <c r="E546" t="b">
        <v>0</v>
      </c>
      <c r="F546" s="22" t="str">
        <f t="shared" si="27"/>
        <v/>
      </c>
      <c r="G546" s="23" t="s">
        <v>166</v>
      </c>
      <c r="H546" s="23" t="s">
        <v>235</v>
      </c>
      <c r="I546" s="23" t="s">
        <v>32</v>
      </c>
      <c r="J546" t="s">
        <v>35</v>
      </c>
      <c r="K546" s="22" t="e">
        <f t="shared" si="28"/>
        <v>#N/A</v>
      </c>
      <c r="L546" s="22" t="str">
        <f t="shared" si="29"/>
        <v/>
      </c>
    </row>
    <row r="547" spans="1:12" x14ac:dyDescent="0.25">
      <c r="A547">
        <v>7</v>
      </c>
      <c r="B547">
        <v>5</v>
      </c>
      <c r="C547">
        <v>9</v>
      </c>
      <c r="D547">
        <v>4</v>
      </c>
      <c r="E547" t="b">
        <v>0</v>
      </c>
      <c r="F547" s="22" t="str">
        <f t="shared" si="27"/>
        <v/>
      </c>
      <c r="G547" s="23" t="s">
        <v>166</v>
      </c>
      <c r="H547" s="23" t="s">
        <v>236</v>
      </c>
      <c r="I547" s="23" t="s">
        <v>32</v>
      </c>
      <c r="J547" t="s">
        <v>123</v>
      </c>
      <c r="K547" s="22" t="e">
        <f t="shared" si="28"/>
        <v>#N/A</v>
      </c>
      <c r="L547" s="22" t="str">
        <f t="shared" si="29"/>
        <v/>
      </c>
    </row>
    <row r="548" spans="1:12" x14ac:dyDescent="0.25">
      <c r="A548">
        <v>7</v>
      </c>
      <c r="B548">
        <v>5</v>
      </c>
      <c r="C548">
        <v>9</v>
      </c>
      <c r="D548">
        <v>5</v>
      </c>
      <c r="E548" t="b">
        <v>0</v>
      </c>
      <c r="F548" s="22" t="str">
        <f t="shared" si="27"/>
        <v/>
      </c>
      <c r="G548" s="23" t="s">
        <v>166</v>
      </c>
      <c r="H548" s="23" t="s">
        <v>237</v>
      </c>
      <c r="I548" s="23" t="s">
        <v>32</v>
      </c>
      <c r="J548" t="s">
        <v>124</v>
      </c>
      <c r="K548" s="22" t="e">
        <f t="shared" si="28"/>
        <v>#N/A</v>
      </c>
      <c r="L548" s="22" t="str">
        <f t="shared" si="29"/>
        <v/>
      </c>
    </row>
    <row r="549" spans="1:12" x14ac:dyDescent="0.25">
      <c r="A549">
        <v>7</v>
      </c>
      <c r="B549">
        <v>5</v>
      </c>
      <c r="C549">
        <v>9</v>
      </c>
      <c r="D549">
        <v>6</v>
      </c>
      <c r="E549" t="b">
        <v>0</v>
      </c>
      <c r="F549" s="22" t="str">
        <f t="shared" si="27"/>
        <v/>
      </c>
      <c r="G549" s="23" t="s">
        <v>166</v>
      </c>
      <c r="H549" s="23" t="s">
        <v>238</v>
      </c>
      <c r="I549" s="23" t="s">
        <v>32</v>
      </c>
      <c r="J549" t="s">
        <v>129</v>
      </c>
      <c r="K549" s="22" t="e">
        <f t="shared" si="28"/>
        <v>#N/A</v>
      </c>
      <c r="L549" s="22" t="str">
        <f t="shared" si="29"/>
        <v/>
      </c>
    </row>
    <row r="550" spans="1:12" x14ac:dyDescent="0.25">
      <c r="A550">
        <v>7</v>
      </c>
      <c r="B550">
        <v>5</v>
      </c>
      <c r="C550">
        <v>9</v>
      </c>
      <c r="D550">
        <v>7</v>
      </c>
      <c r="E550" t="b">
        <v>0</v>
      </c>
      <c r="F550" s="22" t="str">
        <f t="shared" si="27"/>
        <v/>
      </c>
      <c r="G550" s="23" t="s">
        <v>166</v>
      </c>
      <c r="H550" s="23" t="s">
        <v>239</v>
      </c>
      <c r="I550" s="23" t="s">
        <v>32</v>
      </c>
      <c r="J550" t="s">
        <v>125</v>
      </c>
      <c r="K550" s="22" t="e">
        <f t="shared" si="28"/>
        <v>#N/A</v>
      </c>
      <c r="L550" s="22" t="str">
        <f t="shared" si="29"/>
        <v/>
      </c>
    </row>
    <row r="551" spans="1:12" x14ac:dyDescent="0.25">
      <c r="A551">
        <v>7</v>
      </c>
      <c r="B551">
        <v>5</v>
      </c>
      <c r="C551">
        <v>9</v>
      </c>
      <c r="D551">
        <v>8</v>
      </c>
      <c r="E551" t="b">
        <v>0</v>
      </c>
      <c r="F551" s="22" t="str">
        <f t="shared" si="27"/>
        <v/>
      </c>
      <c r="G551" s="23" t="s">
        <v>166</v>
      </c>
      <c r="H551" s="23" t="s">
        <v>240</v>
      </c>
      <c r="I551" s="23" t="s">
        <v>32</v>
      </c>
      <c r="J551" t="s">
        <v>36</v>
      </c>
      <c r="K551" s="22" t="e">
        <f t="shared" si="28"/>
        <v>#N/A</v>
      </c>
      <c r="L551" s="22" t="str">
        <f t="shared" si="29"/>
        <v/>
      </c>
    </row>
    <row r="552" spans="1:12" x14ac:dyDescent="0.25">
      <c r="A552">
        <v>7</v>
      </c>
      <c r="B552">
        <v>5</v>
      </c>
      <c r="C552">
        <v>9</v>
      </c>
      <c r="D552">
        <v>9</v>
      </c>
      <c r="E552" t="b">
        <v>1</v>
      </c>
      <c r="F552" s="22" t="str">
        <f t="shared" si="27"/>
        <v/>
      </c>
      <c r="G552" s="23" t="s">
        <v>166</v>
      </c>
      <c r="H552" s="23" t="s">
        <v>241</v>
      </c>
      <c r="I552" s="23" t="s">
        <v>32</v>
      </c>
      <c r="J552" t="s">
        <v>47</v>
      </c>
      <c r="K552" s="22" t="e">
        <f t="shared" si="28"/>
        <v>#N/A</v>
      </c>
      <c r="L552" s="22" t="str">
        <f t="shared" si="29"/>
        <v/>
      </c>
    </row>
    <row r="553" spans="1:12" x14ac:dyDescent="0.25">
      <c r="A553">
        <v>7</v>
      </c>
      <c r="B553">
        <v>6</v>
      </c>
      <c r="C553">
        <v>11</v>
      </c>
      <c r="D553">
        <v>1</v>
      </c>
      <c r="E553" t="b">
        <v>0</v>
      </c>
      <c r="F553" s="22" t="str">
        <f t="shared" si="27"/>
        <v/>
      </c>
      <c r="G553" s="23" t="s">
        <v>170</v>
      </c>
      <c r="H553" s="23" t="s">
        <v>242</v>
      </c>
      <c r="I553" s="23" t="s">
        <v>149</v>
      </c>
      <c r="J553" t="s">
        <v>150</v>
      </c>
      <c r="K553" s="22" t="e">
        <f t="shared" si="28"/>
        <v>#N/A</v>
      </c>
      <c r="L553" s="22" t="str">
        <f t="shared" si="29"/>
        <v/>
      </c>
    </row>
    <row r="554" spans="1:12" x14ac:dyDescent="0.25">
      <c r="A554">
        <v>7</v>
      </c>
      <c r="B554">
        <v>6</v>
      </c>
      <c r="C554">
        <v>11</v>
      </c>
      <c r="D554">
        <v>2</v>
      </c>
      <c r="E554" t="b">
        <v>0</v>
      </c>
      <c r="F554" s="22" t="str">
        <f t="shared" si="27"/>
        <v/>
      </c>
      <c r="G554" s="23" t="s">
        <v>170</v>
      </c>
      <c r="H554" s="23" t="s">
        <v>243</v>
      </c>
      <c r="I554" s="23" t="s">
        <v>149</v>
      </c>
      <c r="J554" t="s">
        <v>151</v>
      </c>
      <c r="K554" s="22" t="e">
        <f t="shared" si="28"/>
        <v>#N/A</v>
      </c>
      <c r="L554" s="22" t="str">
        <f t="shared" si="29"/>
        <v/>
      </c>
    </row>
    <row r="555" spans="1:12" x14ac:dyDescent="0.25">
      <c r="A555">
        <v>7</v>
      </c>
      <c r="B555">
        <v>6</v>
      </c>
      <c r="C555">
        <v>11</v>
      </c>
      <c r="D555">
        <v>3</v>
      </c>
      <c r="E555" t="b">
        <v>0</v>
      </c>
      <c r="F555" s="22" t="str">
        <f t="shared" si="27"/>
        <v/>
      </c>
      <c r="G555" s="23" t="s">
        <v>170</v>
      </c>
      <c r="H555" s="23" t="s">
        <v>244</v>
      </c>
      <c r="I555" s="23" t="s">
        <v>149</v>
      </c>
      <c r="J555" t="s">
        <v>152</v>
      </c>
      <c r="K555" s="22" t="e">
        <f t="shared" si="28"/>
        <v>#N/A</v>
      </c>
      <c r="L555" s="22" t="str">
        <f t="shared" si="29"/>
        <v/>
      </c>
    </row>
    <row r="556" spans="1:12" x14ac:dyDescent="0.25">
      <c r="A556">
        <v>7</v>
      </c>
      <c r="B556">
        <v>6</v>
      </c>
      <c r="C556">
        <v>11</v>
      </c>
      <c r="D556">
        <v>4</v>
      </c>
      <c r="E556" t="b">
        <v>0</v>
      </c>
      <c r="F556" s="22" t="str">
        <f t="shared" si="27"/>
        <v/>
      </c>
      <c r="G556" s="23" t="s">
        <v>170</v>
      </c>
      <c r="H556" s="23" t="s">
        <v>245</v>
      </c>
      <c r="I556" s="23" t="s">
        <v>149</v>
      </c>
      <c r="J556" t="s">
        <v>153</v>
      </c>
      <c r="K556" s="22" t="e">
        <f t="shared" si="28"/>
        <v>#N/A</v>
      </c>
      <c r="L556" s="22" t="str">
        <f t="shared" si="29"/>
        <v/>
      </c>
    </row>
    <row r="557" spans="1:12" x14ac:dyDescent="0.25">
      <c r="A557">
        <v>7</v>
      </c>
      <c r="B557">
        <v>6</v>
      </c>
      <c r="C557">
        <v>11</v>
      </c>
      <c r="D557">
        <v>5</v>
      </c>
      <c r="E557" t="b">
        <v>0</v>
      </c>
      <c r="F557" s="22" t="str">
        <f t="shared" si="27"/>
        <v/>
      </c>
      <c r="G557" s="23" t="s">
        <v>170</v>
      </c>
      <c r="H557" s="23" t="s">
        <v>246</v>
      </c>
      <c r="I557" s="23" t="s">
        <v>149</v>
      </c>
      <c r="J557" t="s">
        <v>154</v>
      </c>
      <c r="K557" s="22" t="e">
        <f t="shared" si="28"/>
        <v>#N/A</v>
      </c>
      <c r="L557" s="22" t="str">
        <f t="shared" si="29"/>
        <v/>
      </c>
    </row>
    <row r="558" spans="1:12" x14ac:dyDescent="0.25">
      <c r="A558">
        <v>7</v>
      </c>
      <c r="B558">
        <v>6</v>
      </c>
      <c r="C558">
        <v>11</v>
      </c>
      <c r="D558">
        <v>6</v>
      </c>
      <c r="E558" t="b">
        <v>0</v>
      </c>
      <c r="F558" s="22" t="str">
        <f t="shared" si="27"/>
        <v/>
      </c>
      <c r="G558" s="23" t="s">
        <v>170</v>
      </c>
      <c r="H558" s="23" t="s">
        <v>247</v>
      </c>
      <c r="I558" s="23" t="s">
        <v>149</v>
      </c>
      <c r="J558" t="s">
        <v>155</v>
      </c>
      <c r="K558" s="22" t="e">
        <f t="shared" si="28"/>
        <v>#N/A</v>
      </c>
      <c r="L558" s="22" t="str">
        <f t="shared" si="29"/>
        <v/>
      </c>
    </row>
    <row r="559" spans="1:12" x14ac:dyDescent="0.25">
      <c r="A559">
        <v>7</v>
      </c>
      <c r="B559">
        <v>6</v>
      </c>
      <c r="C559">
        <v>11</v>
      </c>
      <c r="D559">
        <v>7</v>
      </c>
      <c r="E559" t="b">
        <v>0</v>
      </c>
      <c r="F559" s="22" t="str">
        <f t="shared" si="27"/>
        <v/>
      </c>
      <c r="G559" s="23" t="s">
        <v>170</v>
      </c>
      <c r="H559" s="23" t="s">
        <v>248</v>
      </c>
      <c r="I559" s="23" t="s">
        <v>149</v>
      </c>
      <c r="J559" t="s">
        <v>156</v>
      </c>
      <c r="K559" s="22" t="e">
        <f t="shared" si="28"/>
        <v>#N/A</v>
      </c>
      <c r="L559" s="22" t="str">
        <f t="shared" si="29"/>
        <v/>
      </c>
    </row>
    <row r="560" spans="1:12" x14ac:dyDescent="0.25">
      <c r="A560">
        <v>7</v>
      </c>
      <c r="B560">
        <v>6</v>
      </c>
      <c r="C560">
        <v>11</v>
      </c>
      <c r="D560">
        <v>8</v>
      </c>
      <c r="E560" t="b">
        <v>0</v>
      </c>
      <c r="F560" s="22" t="str">
        <f t="shared" si="27"/>
        <v/>
      </c>
      <c r="G560" s="23" t="s">
        <v>170</v>
      </c>
      <c r="H560" s="23" t="s">
        <v>249</v>
      </c>
      <c r="I560" s="23" t="s">
        <v>149</v>
      </c>
      <c r="J560" t="s">
        <v>157</v>
      </c>
      <c r="K560" s="22" t="e">
        <f t="shared" si="28"/>
        <v>#N/A</v>
      </c>
      <c r="L560" s="22" t="str">
        <f t="shared" si="29"/>
        <v/>
      </c>
    </row>
    <row r="561" spans="1:12" x14ac:dyDescent="0.25">
      <c r="A561">
        <v>7</v>
      </c>
      <c r="B561">
        <v>6</v>
      </c>
      <c r="C561">
        <v>11</v>
      </c>
      <c r="D561">
        <v>9</v>
      </c>
      <c r="E561" t="b">
        <v>0</v>
      </c>
      <c r="F561" s="22" t="str">
        <f t="shared" si="27"/>
        <v/>
      </c>
      <c r="G561" s="23" t="s">
        <v>170</v>
      </c>
      <c r="H561" s="23" t="s">
        <v>250</v>
      </c>
      <c r="I561" s="23" t="s">
        <v>149</v>
      </c>
      <c r="J561" t="s">
        <v>158</v>
      </c>
      <c r="K561" s="22" t="e">
        <f t="shared" si="28"/>
        <v>#N/A</v>
      </c>
      <c r="L561" s="22" t="str">
        <f t="shared" si="29"/>
        <v/>
      </c>
    </row>
    <row r="562" spans="1:12" x14ac:dyDescent="0.25">
      <c r="A562">
        <v>7</v>
      </c>
      <c r="B562">
        <v>6</v>
      </c>
      <c r="C562">
        <v>11</v>
      </c>
      <c r="D562">
        <v>10</v>
      </c>
      <c r="E562" t="b">
        <v>0</v>
      </c>
      <c r="F562" s="22" t="str">
        <f t="shared" si="27"/>
        <v/>
      </c>
      <c r="G562" s="23" t="s">
        <v>170</v>
      </c>
      <c r="H562" s="23" t="s">
        <v>251</v>
      </c>
      <c r="I562" s="23" t="s">
        <v>149</v>
      </c>
      <c r="J562" t="s">
        <v>159</v>
      </c>
      <c r="K562" s="22" t="e">
        <f t="shared" si="28"/>
        <v>#N/A</v>
      </c>
      <c r="L562" s="22" t="str">
        <f t="shared" si="29"/>
        <v/>
      </c>
    </row>
    <row r="563" spans="1:12" x14ac:dyDescent="0.25">
      <c r="A563">
        <v>7</v>
      </c>
      <c r="B563">
        <v>6</v>
      </c>
      <c r="C563">
        <v>11</v>
      </c>
      <c r="D563">
        <v>11</v>
      </c>
      <c r="E563" t="b">
        <v>1</v>
      </c>
      <c r="F563" s="22" t="str">
        <f t="shared" si="27"/>
        <v/>
      </c>
      <c r="G563" s="23" t="s">
        <v>170</v>
      </c>
      <c r="H563" s="23" t="s">
        <v>252</v>
      </c>
      <c r="I563" s="23" t="s">
        <v>149</v>
      </c>
      <c r="J563" t="s">
        <v>160</v>
      </c>
      <c r="K563" s="22" t="e">
        <f t="shared" si="28"/>
        <v>#N/A</v>
      </c>
      <c r="L563" s="22" t="str">
        <f t="shared" si="29"/>
        <v/>
      </c>
    </row>
    <row r="564" spans="1:12" x14ac:dyDescent="0.25">
      <c r="A564">
        <v>8</v>
      </c>
      <c r="B564">
        <v>1</v>
      </c>
      <c r="C564">
        <v>18</v>
      </c>
      <c r="D564">
        <v>1</v>
      </c>
      <c r="E564" t="b">
        <v>0</v>
      </c>
      <c r="F564" s="22" t="str">
        <f t="shared" si="27"/>
        <v/>
      </c>
      <c r="G564" s="23" t="s">
        <v>167</v>
      </c>
      <c r="H564" s="23" t="s">
        <v>253</v>
      </c>
      <c r="I564" s="23" t="s">
        <v>2</v>
      </c>
      <c r="J564" t="s">
        <v>3</v>
      </c>
      <c r="K564" s="22" t="e">
        <f t="shared" si="28"/>
        <v>#N/A</v>
      </c>
      <c r="L564" s="22" t="str">
        <f t="shared" si="29"/>
        <v/>
      </c>
    </row>
    <row r="565" spans="1:12" x14ac:dyDescent="0.25">
      <c r="A565">
        <v>8</v>
      </c>
      <c r="B565">
        <v>1</v>
      </c>
      <c r="C565">
        <v>18</v>
      </c>
      <c r="D565">
        <v>2</v>
      </c>
      <c r="E565" t="b">
        <v>0</v>
      </c>
      <c r="F565" s="22" t="str">
        <f t="shared" si="27"/>
        <v/>
      </c>
      <c r="G565" s="23" t="s">
        <v>167</v>
      </c>
      <c r="H565" s="23" t="s">
        <v>254</v>
      </c>
      <c r="I565" s="23" t="s">
        <v>2</v>
      </c>
      <c r="J565" t="s">
        <v>4</v>
      </c>
      <c r="K565" s="22" t="e">
        <f t="shared" si="28"/>
        <v>#N/A</v>
      </c>
      <c r="L565" s="22" t="str">
        <f t="shared" si="29"/>
        <v/>
      </c>
    </row>
    <row r="566" spans="1:12" x14ac:dyDescent="0.25">
      <c r="A566">
        <v>8</v>
      </c>
      <c r="B566">
        <v>1</v>
      </c>
      <c r="C566">
        <v>18</v>
      </c>
      <c r="D566">
        <v>3</v>
      </c>
      <c r="E566" t="b">
        <v>0</v>
      </c>
      <c r="F566" s="22" t="str">
        <f t="shared" si="27"/>
        <v/>
      </c>
      <c r="G566" s="23" t="s">
        <v>167</v>
      </c>
      <c r="H566" s="23" t="s">
        <v>175</v>
      </c>
      <c r="I566" s="23" t="s">
        <v>2</v>
      </c>
      <c r="J566" t="s">
        <v>5</v>
      </c>
      <c r="K566" s="22" t="e">
        <f t="shared" si="28"/>
        <v>#N/A</v>
      </c>
      <c r="L566" s="22" t="str">
        <f t="shared" si="29"/>
        <v/>
      </c>
    </row>
    <row r="567" spans="1:12" x14ac:dyDescent="0.25">
      <c r="A567">
        <v>8</v>
      </c>
      <c r="B567">
        <v>1</v>
      </c>
      <c r="C567">
        <v>18</v>
      </c>
      <c r="D567">
        <v>4</v>
      </c>
      <c r="E567" t="b">
        <v>0</v>
      </c>
      <c r="F567" s="22" t="str">
        <f t="shared" si="27"/>
        <v/>
      </c>
      <c r="G567" s="23" t="s">
        <v>167</v>
      </c>
      <c r="H567" s="23" t="s">
        <v>176</v>
      </c>
      <c r="I567" s="23" t="s">
        <v>2</v>
      </c>
      <c r="J567" t="s">
        <v>6</v>
      </c>
      <c r="K567" s="22" t="e">
        <f t="shared" si="28"/>
        <v>#N/A</v>
      </c>
      <c r="L567" s="22" t="str">
        <f t="shared" si="29"/>
        <v/>
      </c>
    </row>
    <row r="568" spans="1:12" x14ac:dyDescent="0.25">
      <c r="A568">
        <v>8</v>
      </c>
      <c r="B568">
        <v>1</v>
      </c>
      <c r="C568">
        <v>18</v>
      </c>
      <c r="D568">
        <v>5</v>
      </c>
      <c r="E568" t="b">
        <v>0</v>
      </c>
      <c r="F568" s="22" t="str">
        <f t="shared" si="27"/>
        <v/>
      </c>
      <c r="G568" s="23" t="s">
        <v>167</v>
      </c>
      <c r="H568" s="23" t="s">
        <v>177</v>
      </c>
      <c r="I568" s="23" t="s">
        <v>2</v>
      </c>
      <c r="J568" t="s">
        <v>44</v>
      </c>
      <c r="K568" s="22" t="e">
        <f t="shared" si="28"/>
        <v>#N/A</v>
      </c>
      <c r="L568" s="22" t="str">
        <f t="shared" si="29"/>
        <v/>
      </c>
    </row>
    <row r="569" spans="1:12" x14ac:dyDescent="0.25">
      <c r="A569">
        <v>8</v>
      </c>
      <c r="B569">
        <v>1</v>
      </c>
      <c r="C569">
        <v>18</v>
      </c>
      <c r="D569">
        <v>6</v>
      </c>
      <c r="E569" t="b">
        <v>0</v>
      </c>
      <c r="F569" s="22" t="str">
        <f t="shared" si="27"/>
        <v/>
      </c>
      <c r="G569" s="23" t="s">
        <v>167</v>
      </c>
      <c r="H569" s="23" t="s">
        <v>178</v>
      </c>
      <c r="I569" s="23" t="s">
        <v>2</v>
      </c>
      <c r="J569" t="s">
        <v>102</v>
      </c>
      <c r="K569" s="22" t="e">
        <f t="shared" si="28"/>
        <v>#N/A</v>
      </c>
      <c r="L569" s="22" t="str">
        <f t="shared" si="29"/>
        <v/>
      </c>
    </row>
    <row r="570" spans="1:12" x14ac:dyDescent="0.25">
      <c r="A570">
        <v>8</v>
      </c>
      <c r="B570">
        <v>1</v>
      </c>
      <c r="C570">
        <v>18</v>
      </c>
      <c r="D570">
        <v>7</v>
      </c>
      <c r="E570" t="b">
        <v>0</v>
      </c>
      <c r="F570" s="22" t="str">
        <f t="shared" si="27"/>
        <v/>
      </c>
      <c r="G570" s="23" t="s">
        <v>167</v>
      </c>
      <c r="H570" s="23" t="s">
        <v>179</v>
      </c>
      <c r="I570" s="23" t="s">
        <v>2</v>
      </c>
      <c r="J570" t="s">
        <v>103</v>
      </c>
      <c r="K570" s="22" t="e">
        <f t="shared" si="28"/>
        <v>#N/A</v>
      </c>
      <c r="L570" s="22" t="str">
        <f t="shared" si="29"/>
        <v/>
      </c>
    </row>
    <row r="571" spans="1:12" x14ac:dyDescent="0.25">
      <c r="A571">
        <v>8</v>
      </c>
      <c r="B571">
        <v>1</v>
      </c>
      <c r="C571">
        <v>18</v>
      </c>
      <c r="D571">
        <v>8</v>
      </c>
      <c r="E571" t="b">
        <v>0</v>
      </c>
      <c r="F571" s="22" t="str">
        <f t="shared" si="27"/>
        <v/>
      </c>
      <c r="G571" s="23" t="s">
        <v>167</v>
      </c>
      <c r="H571" s="23" t="s">
        <v>180</v>
      </c>
      <c r="I571" s="23" t="s">
        <v>2</v>
      </c>
      <c r="J571" t="s">
        <v>7</v>
      </c>
      <c r="K571" s="22" t="e">
        <f t="shared" si="28"/>
        <v>#N/A</v>
      </c>
      <c r="L571" s="22" t="str">
        <f t="shared" si="29"/>
        <v/>
      </c>
    </row>
    <row r="572" spans="1:12" x14ac:dyDescent="0.25">
      <c r="A572">
        <v>8</v>
      </c>
      <c r="B572">
        <v>1</v>
      </c>
      <c r="C572">
        <v>18</v>
      </c>
      <c r="D572">
        <v>9</v>
      </c>
      <c r="E572" t="b">
        <v>0</v>
      </c>
      <c r="F572" s="22" t="str">
        <f t="shared" si="27"/>
        <v/>
      </c>
      <c r="G572" s="23" t="s">
        <v>167</v>
      </c>
      <c r="H572" s="23" t="s">
        <v>181</v>
      </c>
      <c r="I572" s="23" t="s">
        <v>2</v>
      </c>
      <c r="J572" t="s">
        <v>104</v>
      </c>
      <c r="K572" s="22" t="e">
        <f t="shared" si="28"/>
        <v>#N/A</v>
      </c>
      <c r="L572" s="22" t="str">
        <f t="shared" si="29"/>
        <v/>
      </c>
    </row>
    <row r="573" spans="1:12" x14ac:dyDescent="0.25">
      <c r="A573">
        <v>8</v>
      </c>
      <c r="B573">
        <v>1</v>
      </c>
      <c r="C573">
        <v>18</v>
      </c>
      <c r="D573">
        <v>10</v>
      </c>
      <c r="E573" t="b">
        <v>0</v>
      </c>
      <c r="F573" s="22" t="str">
        <f t="shared" si="27"/>
        <v/>
      </c>
      <c r="G573" s="23" t="s">
        <v>167</v>
      </c>
      <c r="H573" s="23" t="s">
        <v>182</v>
      </c>
      <c r="I573" s="23" t="s">
        <v>2</v>
      </c>
      <c r="J573" t="s">
        <v>8</v>
      </c>
      <c r="K573" s="22" t="e">
        <f t="shared" si="28"/>
        <v>#N/A</v>
      </c>
      <c r="L573" s="22" t="str">
        <f t="shared" si="29"/>
        <v/>
      </c>
    </row>
    <row r="574" spans="1:12" x14ac:dyDescent="0.25">
      <c r="A574">
        <v>8</v>
      </c>
      <c r="B574">
        <v>1</v>
      </c>
      <c r="C574">
        <v>18</v>
      </c>
      <c r="D574">
        <v>11</v>
      </c>
      <c r="E574" t="b">
        <v>0</v>
      </c>
      <c r="F574" s="22" t="str">
        <f t="shared" si="27"/>
        <v/>
      </c>
      <c r="G574" s="23" t="s">
        <v>167</v>
      </c>
      <c r="H574" s="23" t="s">
        <v>183</v>
      </c>
      <c r="I574" s="23" t="s">
        <v>2</v>
      </c>
      <c r="J574" t="s">
        <v>105</v>
      </c>
      <c r="K574" s="22" t="e">
        <f t="shared" si="28"/>
        <v>#N/A</v>
      </c>
      <c r="L574" s="22" t="str">
        <f t="shared" si="29"/>
        <v/>
      </c>
    </row>
    <row r="575" spans="1:12" x14ac:dyDescent="0.25">
      <c r="A575">
        <v>8</v>
      </c>
      <c r="B575">
        <v>1</v>
      </c>
      <c r="C575">
        <v>18</v>
      </c>
      <c r="D575">
        <v>12</v>
      </c>
      <c r="E575" t="b">
        <v>0</v>
      </c>
      <c r="F575" s="22" t="str">
        <f t="shared" si="27"/>
        <v/>
      </c>
      <c r="G575" s="23" t="s">
        <v>167</v>
      </c>
      <c r="H575" s="23" t="s">
        <v>184</v>
      </c>
      <c r="I575" s="23" t="s">
        <v>2</v>
      </c>
      <c r="J575" t="s">
        <v>106</v>
      </c>
      <c r="K575" s="22" t="e">
        <f t="shared" si="28"/>
        <v>#N/A</v>
      </c>
      <c r="L575" s="22" t="str">
        <f t="shared" si="29"/>
        <v/>
      </c>
    </row>
    <row r="576" spans="1:12" x14ac:dyDescent="0.25">
      <c r="A576">
        <v>8</v>
      </c>
      <c r="B576">
        <v>1</v>
      </c>
      <c r="C576">
        <v>18</v>
      </c>
      <c r="D576">
        <v>13</v>
      </c>
      <c r="E576" t="b">
        <v>0</v>
      </c>
      <c r="F576" s="22" t="str">
        <f t="shared" si="27"/>
        <v/>
      </c>
      <c r="G576" s="23" t="s">
        <v>167</v>
      </c>
      <c r="H576" s="23" t="s">
        <v>185</v>
      </c>
      <c r="I576" s="23" t="s">
        <v>2</v>
      </c>
      <c r="J576" t="s">
        <v>107</v>
      </c>
      <c r="K576" s="22" t="e">
        <f t="shared" si="28"/>
        <v>#N/A</v>
      </c>
      <c r="L576" s="22" t="str">
        <f t="shared" si="29"/>
        <v/>
      </c>
    </row>
    <row r="577" spans="1:12" x14ac:dyDescent="0.25">
      <c r="A577">
        <v>8</v>
      </c>
      <c r="B577">
        <v>1</v>
      </c>
      <c r="C577">
        <v>18</v>
      </c>
      <c r="D577">
        <v>14</v>
      </c>
      <c r="E577" t="b">
        <v>0</v>
      </c>
      <c r="F577" s="22" t="str">
        <f t="shared" si="27"/>
        <v/>
      </c>
      <c r="G577" s="23" t="s">
        <v>167</v>
      </c>
      <c r="H577" s="23" t="s">
        <v>186</v>
      </c>
      <c r="I577" s="23" t="s">
        <v>2</v>
      </c>
      <c r="J577" t="s">
        <v>108</v>
      </c>
      <c r="K577" s="22" t="e">
        <f t="shared" si="28"/>
        <v>#N/A</v>
      </c>
      <c r="L577" s="22" t="str">
        <f t="shared" si="29"/>
        <v/>
      </c>
    </row>
    <row r="578" spans="1:12" x14ac:dyDescent="0.25">
      <c r="A578">
        <v>8</v>
      </c>
      <c r="B578">
        <v>1</v>
      </c>
      <c r="C578">
        <v>18</v>
      </c>
      <c r="D578">
        <v>15</v>
      </c>
      <c r="E578" t="b">
        <v>0</v>
      </c>
      <c r="F578" s="22" t="str">
        <f t="shared" si="27"/>
        <v/>
      </c>
      <c r="G578" s="23" t="s">
        <v>167</v>
      </c>
      <c r="H578" s="23" t="s">
        <v>187</v>
      </c>
      <c r="I578" s="23" t="s">
        <v>2</v>
      </c>
      <c r="J578" t="s">
        <v>109</v>
      </c>
      <c r="K578" s="22" t="e">
        <f t="shared" si="28"/>
        <v>#N/A</v>
      </c>
      <c r="L578" s="22" t="str">
        <f t="shared" si="29"/>
        <v/>
      </c>
    </row>
    <row r="579" spans="1:12" x14ac:dyDescent="0.25">
      <c r="A579">
        <v>8</v>
      </c>
      <c r="B579">
        <v>1</v>
      </c>
      <c r="C579">
        <v>18</v>
      </c>
      <c r="D579">
        <v>16</v>
      </c>
      <c r="E579" t="b">
        <v>0</v>
      </c>
      <c r="F579" s="22" t="str">
        <f t="shared" si="27"/>
        <v/>
      </c>
      <c r="G579" s="23" t="s">
        <v>167</v>
      </c>
      <c r="H579" s="23" t="s">
        <v>188</v>
      </c>
      <c r="I579" s="23" t="s">
        <v>2</v>
      </c>
      <c r="J579" t="s">
        <v>110</v>
      </c>
      <c r="K579" s="22" t="e">
        <f t="shared" si="28"/>
        <v>#N/A</v>
      </c>
      <c r="L579" s="22" t="str">
        <f t="shared" si="29"/>
        <v/>
      </c>
    </row>
    <row r="580" spans="1:12" x14ac:dyDescent="0.25">
      <c r="A580">
        <v>8</v>
      </c>
      <c r="B580">
        <v>1</v>
      </c>
      <c r="C580">
        <v>18</v>
      </c>
      <c r="D580">
        <v>17</v>
      </c>
      <c r="E580" t="b">
        <v>0</v>
      </c>
      <c r="F580" s="22" t="str">
        <f t="shared" ref="F580:F643" si="30">VLOOKUP("Assessment #"&amp;$A580, DateMeta, MATCH("DisplDate", DateMeta_H, 0), 0)</f>
        <v/>
      </c>
      <c r="G580" s="23" t="s">
        <v>167</v>
      </c>
      <c r="H580" s="23" t="s">
        <v>189</v>
      </c>
      <c r="I580" s="23" t="s">
        <v>2</v>
      </c>
      <c r="J580" t="s">
        <v>23</v>
      </c>
      <c r="K580" s="22" t="e">
        <f t="shared" ref="K580:K643" si="31">IF(INDEX(Assess, MATCH($J580, ItemLong, 0), MATCH("Assessment #"&amp;$A580, Assess_H, 0))="", "", INDEX(Assess, MATCH($J580, ItemLong, 0), MATCH("Assessment #"&amp;$A580, Assess_H, 0)))</f>
        <v>#N/A</v>
      </c>
      <c r="L580" s="22" t="str">
        <f t="shared" si="29"/>
        <v/>
      </c>
    </row>
    <row r="581" spans="1:12" x14ac:dyDescent="0.25">
      <c r="A581">
        <v>8</v>
      </c>
      <c r="B581">
        <v>1</v>
      </c>
      <c r="C581">
        <v>18</v>
      </c>
      <c r="D581">
        <v>18</v>
      </c>
      <c r="E581" t="b">
        <v>1</v>
      </c>
      <c r="F581" s="22" t="str">
        <f t="shared" si="30"/>
        <v/>
      </c>
      <c r="G581" s="23" t="s">
        <v>167</v>
      </c>
      <c r="H581" s="23" t="s">
        <v>190</v>
      </c>
      <c r="I581" s="23" t="s">
        <v>2</v>
      </c>
      <c r="J581" t="s">
        <v>24</v>
      </c>
      <c r="K581" s="22" t="e">
        <f t="shared" si="31"/>
        <v>#N/A</v>
      </c>
      <c r="L581" s="22" t="str">
        <f t="shared" ref="L581:L644" si="32">IF(ISNUMBER(K581), IF(K581&gt;=2, 1, 0), "")</f>
        <v/>
      </c>
    </row>
    <row r="582" spans="1:12" x14ac:dyDescent="0.25">
      <c r="A582">
        <v>8</v>
      </c>
      <c r="B582">
        <v>2</v>
      </c>
      <c r="C582">
        <v>16</v>
      </c>
      <c r="D582">
        <v>1</v>
      </c>
      <c r="E582" t="b">
        <v>0</v>
      </c>
      <c r="F582" s="22" t="str">
        <f t="shared" si="30"/>
        <v/>
      </c>
      <c r="G582" s="23" t="s">
        <v>165</v>
      </c>
      <c r="H582" s="23" t="s">
        <v>191</v>
      </c>
      <c r="I582" s="23" t="s">
        <v>9</v>
      </c>
      <c r="J582" t="s">
        <v>10</v>
      </c>
      <c r="K582" s="22" t="e">
        <f t="shared" si="31"/>
        <v>#N/A</v>
      </c>
      <c r="L582" s="22" t="str">
        <f t="shared" si="32"/>
        <v/>
      </c>
    </row>
    <row r="583" spans="1:12" x14ac:dyDescent="0.25">
      <c r="A583">
        <v>8</v>
      </c>
      <c r="B583">
        <v>2</v>
      </c>
      <c r="C583">
        <v>16</v>
      </c>
      <c r="D583">
        <v>2</v>
      </c>
      <c r="E583" t="b">
        <v>0</v>
      </c>
      <c r="F583" s="22" t="str">
        <f t="shared" si="30"/>
        <v/>
      </c>
      <c r="G583" s="23" t="s">
        <v>165</v>
      </c>
      <c r="H583" s="23" t="s">
        <v>192</v>
      </c>
      <c r="I583" s="23" t="s">
        <v>9</v>
      </c>
      <c r="J583" t="s">
        <v>11</v>
      </c>
      <c r="K583" s="22" t="e">
        <f t="shared" si="31"/>
        <v>#N/A</v>
      </c>
      <c r="L583" s="22" t="str">
        <f t="shared" si="32"/>
        <v/>
      </c>
    </row>
    <row r="584" spans="1:12" x14ac:dyDescent="0.25">
      <c r="A584">
        <v>8</v>
      </c>
      <c r="B584">
        <v>2</v>
      </c>
      <c r="C584">
        <v>16</v>
      </c>
      <c r="D584">
        <v>3</v>
      </c>
      <c r="E584" t="b">
        <v>0</v>
      </c>
      <c r="F584" s="22" t="str">
        <f t="shared" si="30"/>
        <v/>
      </c>
      <c r="G584" s="23" t="s">
        <v>165</v>
      </c>
      <c r="H584" s="23" t="s">
        <v>193</v>
      </c>
      <c r="I584" s="23" t="s">
        <v>9</v>
      </c>
      <c r="J584" t="s">
        <v>12</v>
      </c>
      <c r="K584" s="22" t="e">
        <f t="shared" si="31"/>
        <v>#N/A</v>
      </c>
      <c r="L584" s="22" t="str">
        <f t="shared" si="32"/>
        <v/>
      </c>
    </row>
    <row r="585" spans="1:12" x14ac:dyDescent="0.25">
      <c r="A585">
        <v>8</v>
      </c>
      <c r="B585">
        <v>2</v>
      </c>
      <c r="C585">
        <v>16</v>
      </c>
      <c r="D585">
        <v>4</v>
      </c>
      <c r="E585" t="b">
        <v>0</v>
      </c>
      <c r="F585" s="22" t="str">
        <f t="shared" si="30"/>
        <v/>
      </c>
      <c r="G585" s="23" t="s">
        <v>165</v>
      </c>
      <c r="H585" s="23" t="s">
        <v>194</v>
      </c>
      <c r="I585" s="23" t="s">
        <v>9</v>
      </c>
      <c r="J585" t="s">
        <v>13</v>
      </c>
      <c r="K585" s="22" t="e">
        <f t="shared" si="31"/>
        <v>#N/A</v>
      </c>
      <c r="L585" s="22" t="str">
        <f t="shared" si="32"/>
        <v/>
      </c>
    </row>
    <row r="586" spans="1:12" x14ac:dyDescent="0.25">
      <c r="A586">
        <v>8</v>
      </c>
      <c r="B586">
        <v>2</v>
      </c>
      <c r="C586">
        <v>16</v>
      </c>
      <c r="D586">
        <v>5</v>
      </c>
      <c r="E586" t="b">
        <v>0</v>
      </c>
      <c r="F586" s="22" t="str">
        <f t="shared" si="30"/>
        <v/>
      </c>
      <c r="G586" s="23" t="s">
        <v>165</v>
      </c>
      <c r="H586" s="23" t="s">
        <v>195</v>
      </c>
      <c r="I586" s="23" t="s">
        <v>9</v>
      </c>
      <c r="J586" t="s">
        <v>14</v>
      </c>
      <c r="K586" s="22" t="e">
        <f t="shared" si="31"/>
        <v>#N/A</v>
      </c>
      <c r="L586" s="22" t="str">
        <f t="shared" si="32"/>
        <v/>
      </c>
    </row>
    <row r="587" spans="1:12" x14ac:dyDescent="0.25">
      <c r="A587">
        <v>8</v>
      </c>
      <c r="B587">
        <v>2</v>
      </c>
      <c r="C587">
        <v>16</v>
      </c>
      <c r="D587">
        <v>6</v>
      </c>
      <c r="E587" t="b">
        <v>0</v>
      </c>
      <c r="F587" s="22" t="str">
        <f t="shared" si="30"/>
        <v/>
      </c>
      <c r="G587" s="23" t="s">
        <v>165</v>
      </c>
      <c r="H587" s="23" t="s">
        <v>196</v>
      </c>
      <c r="I587" s="23" t="s">
        <v>9</v>
      </c>
      <c r="J587" t="s">
        <v>15</v>
      </c>
      <c r="K587" s="22" t="e">
        <f t="shared" si="31"/>
        <v>#N/A</v>
      </c>
      <c r="L587" s="22" t="str">
        <f t="shared" si="32"/>
        <v/>
      </c>
    </row>
    <row r="588" spans="1:12" x14ac:dyDescent="0.25">
      <c r="A588">
        <v>8</v>
      </c>
      <c r="B588">
        <v>2</v>
      </c>
      <c r="C588">
        <v>16</v>
      </c>
      <c r="D588">
        <v>7</v>
      </c>
      <c r="E588" t="b">
        <v>0</v>
      </c>
      <c r="F588" s="22" t="str">
        <f t="shared" si="30"/>
        <v/>
      </c>
      <c r="G588" s="23" t="s">
        <v>165</v>
      </c>
      <c r="H588" s="23" t="s">
        <v>197</v>
      </c>
      <c r="I588" s="23" t="s">
        <v>9</v>
      </c>
      <c r="J588" t="s">
        <v>16</v>
      </c>
      <c r="K588" s="22" t="e">
        <f t="shared" si="31"/>
        <v>#N/A</v>
      </c>
      <c r="L588" s="22" t="str">
        <f t="shared" si="32"/>
        <v/>
      </c>
    </row>
    <row r="589" spans="1:12" x14ac:dyDescent="0.25">
      <c r="A589">
        <v>8</v>
      </c>
      <c r="B589">
        <v>2</v>
      </c>
      <c r="C589">
        <v>16</v>
      </c>
      <c r="D589">
        <v>8</v>
      </c>
      <c r="E589" t="b">
        <v>0</v>
      </c>
      <c r="F589" s="22" t="str">
        <f t="shared" si="30"/>
        <v/>
      </c>
      <c r="G589" s="23" t="s">
        <v>165</v>
      </c>
      <c r="H589" s="23" t="s">
        <v>198</v>
      </c>
      <c r="I589" s="23" t="s">
        <v>9</v>
      </c>
      <c r="J589" t="s">
        <v>17</v>
      </c>
      <c r="K589" s="22" t="e">
        <f t="shared" si="31"/>
        <v>#N/A</v>
      </c>
      <c r="L589" s="22" t="str">
        <f t="shared" si="32"/>
        <v/>
      </c>
    </row>
    <row r="590" spans="1:12" x14ac:dyDescent="0.25">
      <c r="A590">
        <v>8</v>
      </c>
      <c r="B590">
        <v>2</v>
      </c>
      <c r="C590">
        <v>16</v>
      </c>
      <c r="D590">
        <v>9</v>
      </c>
      <c r="E590" t="b">
        <v>0</v>
      </c>
      <c r="F590" s="22" t="str">
        <f t="shared" si="30"/>
        <v/>
      </c>
      <c r="G590" s="23" t="s">
        <v>165</v>
      </c>
      <c r="H590" s="23" t="s">
        <v>199</v>
      </c>
      <c r="I590" s="23" t="s">
        <v>9</v>
      </c>
      <c r="J590" t="s">
        <v>18</v>
      </c>
      <c r="K590" s="22" t="e">
        <f t="shared" si="31"/>
        <v>#N/A</v>
      </c>
      <c r="L590" s="22" t="str">
        <f t="shared" si="32"/>
        <v/>
      </c>
    </row>
    <row r="591" spans="1:12" x14ac:dyDescent="0.25">
      <c r="A591">
        <v>8</v>
      </c>
      <c r="B591">
        <v>2</v>
      </c>
      <c r="C591">
        <v>16</v>
      </c>
      <c r="D591">
        <v>10</v>
      </c>
      <c r="E591" t="b">
        <v>0</v>
      </c>
      <c r="F591" s="22" t="str">
        <f t="shared" si="30"/>
        <v/>
      </c>
      <c r="G591" s="23" t="s">
        <v>165</v>
      </c>
      <c r="H591" s="23" t="s">
        <v>200</v>
      </c>
      <c r="I591" s="23" t="s">
        <v>9</v>
      </c>
      <c r="J591" t="s">
        <v>19</v>
      </c>
      <c r="K591" s="22" t="e">
        <f t="shared" si="31"/>
        <v>#N/A</v>
      </c>
      <c r="L591" s="22" t="str">
        <f t="shared" si="32"/>
        <v/>
      </c>
    </row>
    <row r="592" spans="1:12" x14ac:dyDescent="0.25">
      <c r="A592">
        <v>8</v>
      </c>
      <c r="B592">
        <v>2</v>
      </c>
      <c r="C592">
        <v>16</v>
      </c>
      <c r="D592">
        <v>11</v>
      </c>
      <c r="E592" t="b">
        <v>0</v>
      </c>
      <c r="F592" s="22" t="str">
        <f t="shared" si="30"/>
        <v/>
      </c>
      <c r="G592" s="23" t="s">
        <v>165</v>
      </c>
      <c r="H592" s="23" t="s">
        <v>201</v>
      </c>
      <c r="I592" s="23" t="s">
        <v>9</v>
      </c>
      <c r="J592" t="s">
        <v>20</v>
      </c>
      <c r="K592" s="22" t="e">
        <f t="shared" si="31"/>
        <v>#N/A</v>
      </c>
      <c r="L592" s="22" t="str">
        <f t="shared" si="32"/>
        <v/>
      </c>
    </row>
    <row r="593" spans="1:12" x14ac:dyDescent="0.25">
      <c r="A593">
        <v>8</v>
      </c>
      <c r="B593">
        <v>2</v>
      </c>
      <c r="C593">
        <v>16</v>
      </c>
      <c r="D593">
        <v>12</v>
      </c>
      <c r="E593" t="b">
        <v>0</v>
      </c>
      <c r="F593" s="22" t="str">
        <f t="shared" si="30"/>
        <v/>
      </c>
      <c r="G593" s="23" t="s">
        <v>165</v>
      </c>
      <c r="H593" s="23" t="s">
        <v>202</v>
      </c>
      <c r="I593" s="23" t="s">
        <v>9</v>
      </c>
      <c r="J593" t="s">
        <v>21</v>
      </c>
      <c r="K593" s="22" t="e">
        <f t="shared" si="31"/>
        <v>#N/A</v>
      </c>
      <c r="L593" s="22" t="str">
        <f t="shared" si="32"/>
        <v/>
      </c>
    </row>
    <row r="594" spans="1:12" x14ac:dyDescent="0.25">
      <c r="A594">
        <v>8</v>
      </c>
      <c r="B594">
        <v>2</v>
      </c>
      <c r="C594">
        <v>16</v>
      </c>
      <c r="D594">
        <v>13</v>
      </c>
      <c r="E594" t="b">
        <v>0</v>
      </c>
      <c r="F594" s="22" t="str">
        <f t="shared" si="30"/>
        <v/>
      </c>
      <c r="G594" s="23" t="s">
        <v>165</v>
      </c>
      <c r="H594" s="23" t="s">
        <v>203</v>
      </c>
      <c r="I594" s="23" t="s">
        <v>9</v>
      </c>
      <c r="J594" t="s">
        <v>22</v>
      </c>
      <c r="K594" s="22" t="e">
        <f t="shared" si="31"/>
        <v>#N/A</v>
      </c>
      <c r="L594" s="22" t="str">
        <f t="shared" si="32"/>
        <v/>
      </c>
    </row>
    <row r="595" spans="1:12" x14ac:dyDescent="0.25">
      <c r="A595">
        <v>8</v>
      </c>
      <c r="B595">
        <v>2</v>
      </c>
      <c r="C595">
        <v>16</v>
      </c>
      <c r="D595">
        <v>14</v>
      </c>
      <c r="E595" t="b">
        <v>0</v>
      </c>
      <c r="F595" s="22" t="str">
        <f t="shared" si="30"/>
        <v/>
      </c>
      <c r="G595" s="23" t="s">
        <v>165</v>
      </c>
      <c r="H595" s="23" t="s">
        <v>204</v>
      </c>
      <c r="I595" s="23" t="s">
        <v>9</v>
      </c>
      <c r="J595" t="s">
        <v>111</v>
      </c>
      <c r="K595" s="22" t="e">
        <f t="shared" si="31"/>
        <v>#N/A</v>
      </c>
      <c r="L595" s="22" t="str">
        <f t="shared" si="32"/>
        <v/>
      </c>
    </row>
    <row r="596" spans="1:12" x14ac:dyDescent="0.25">
      <c r="A596">
        <v>8</v>
      </c>
      <c r="B596">
        <v>2</v>
      </c>
      <c r="C596">
        <v>16</v>
      </c>
      <c r="D596">
        <v>15</v>
      </c>
      <c r="E596" t="b">
        <v>0</v>
      </c>
      <c r="F596" s="22" t="str">
        <f t="shared" si="30"/>
        <v/>
      </c>
      <c r="G596" s="23" t="s">
        <v>165</v>
      </c>
      <c r="H596" s="23" t="s">
        <v>205</v>
      </c>
      <c r="I596" s="23" t="s">
        <v>9</v>
      </c>
      <c r="J596" t="s">
        <v>112</v>
      </c>
      <c r="K596" s="22" t="e">
        <f t="shared" si="31"/>
        <v>#N/A</v>
      </c>
      <c r="L596" s="22" t="str">
        <f t="shared" si="32"/>
        <v/>
      </c>
    </row>
    <row r="597" spans="1:12" x14ac:dyDescent="0.25">
      <c r="A597">
        <v>8</v>
      </c>
      <c r="B597">
        <v>2</v>
      </c>
      <c r="C597">
        <v>16</v>
      </c>
      <c r="D597">
        <v>16</v>
      </c>
      <c r="E597" t="b">
        <v>1</v>
      </c>
      <c r="F597" s="22" t="str">
        <f t="shared" si="30"/>
        <v/>
      </c>
      <c r="G597" s="23" t="s">
        <v>165</v>
      </c>
      <c r="H597" s="23" t="s">
        <v>206</v>
      </c>
      <c r="I597" s="23" t="s">
        <v>9</v>
      </c>
      <c r="J597" t="s">
        <v>113</v>
      </c>
      <c r="K597" s="22" t="e">
        <f t="shared" si="31"/>
        <v>#N/A</v>
      </c>
      <c r="L597" s="22" t="str">
        <f t="shared" si="32"/>
        <v/>
      </c>
    </row>
    <row r="598" spans="1:12" x14ac:dyDescent="0.25">
      <c r="A598">
        <v>8</v>
      </c>
      <c r="B598">
        <v>3</v>
      </c>
      <c r="C598">
        <v>17</v>
      </c>
      <c r="D598">
        <v>1</v>
      </c>
      <c r="E598" t="b">
        <v>0</v>
      </c>
      <c r="F598" s="22" t="str">
        <f t="shared" si="30"/>
        <v/>
      </c>
      <c r="G598" s="23" t="s">
        <v>168</v>
      </c>
      <c r="H598" s="23" t="s">
        <v>207</v>
      </c>
      <c r="I598" s="23" t="s">
        <v>37</v>
      </c>
      <c r="J598" t="s">
        <v>114</v>
      </c>
      <c r="K598" s="22" t="e">
        <f t="shared" si="31"/>
        <v>#N/A</v>
      </c>
      <c r="L598" s="22" t="str">
        <f t="shared" si="32"/>
        <v/>
      </c>
    </row>
    <row r="599" spans="1:12" x14ac:dyDescent="0.25">
      <c r="A599">
        <v>8</v>
      </c>
      <c r="B599">
        <v>3</v>
      </c>
      <c r="C599">
        <v>17</v>
      </c>
      <c r="D599">
        <v>2</v>
      </c>
      <c r="E599" t="b">
        <v>0</v>
      </c>
      <c r="F599" s="22" t="str">
        <f t="shared" si="30"/>
        <v/>
      </c>
      <c r="G599" s="23" t="s">
        <v>168</v>
      </c>
      <c r="H599" s="23" t="s">
        <v>208</v>
      </c>
      <c r="I599" s="23" t="s">
        <v>37</v>
      </c>
      <c r="J599" t="s">
        <v>39</v>
      </c>
      <c r="K599" s="22" t="e">
        <f t="shared" si="31"/>
        <v>#N/A</v>
      </c>
      <c r="L599" s="22" t="str">
        <f t="shared" si="32"/>
        <v/>
      </c>
    </row>
    <row r="600" spans="1:12" x14ac:dyDescent="0.25">
      <c r="A600">
        <v>8</v>
      </c>
      <c r="B600">
        <v>3</v>
      </c>
      <c r="C600">
        <v>17</v>
      </c>
      <c r="D600">
        <v>3</v>
      </c>
      <c r="E600" t="b">
        <v>0</v>
      </c>
      <c r="F600" s="22" t="str">
        <f t="shared" si="30"/>
        <v/>
      </c>
      <c r="G600" s="23" t="s">
        <v>168</v>
      </c>
      <c r="H600" s="23" t="s">
        <v>209</v>
      </c>
      <c r="I600" s="23" t="s">
        <v>37</v>
      </c>
      <c r="J600" t="s">
        <v>40</v>
      </c>
      <c r="K600" s="22" t="e">
        <f t="shared" si="31"/>
        <v>#N/A</v>
      </c>
      <c r="L600" s="22" t="str">
        <f t="shared" si="32"/>
        <v/>
      </c>
    </row>
    <row r="601" spans="1:12" x14ac:dyDescent="0.25">
      <c r="A601">
        <v>8</v>
      </c>
      <c r="B601">
        <v>3</v>
      </c>
      <c r="C601">
        <v>17</v>
      </c>
      <c r="D601">
        <v>4</v>
      </c>
      <c r="E601" t="b">
        <v>0</v>
      </c>
      <c r="F601" s="22" t="str">
        <f t="shared" si="30"/>
        <v/>
      </c>
      <c r="G601" s="23" t="s">
        <v>168</v>
      </c>
      <c r="H601" s="23" t="s">
        <v>210</v>
      </c>
      <c r="I601" s="23" t="s">
        <v>37</v>
      </c>
      <c r="J601" t="s">
        <v>41</v>
      </c>
      <c r="K601" s="22" t="e">
        <f t="shared" si="31"/>
        <v>#N/A</v>
      </c>
      <c r="L601" s="22" t="str">
        <f t="shared" si="32"/>
        <v/>
      </c>
    </row>
    <row r="602" spans="1:12" x14ac:dyDescent="0.25">
      <c r="A602">
        <v>8</v>
      </c>
      <c r="B602">
        <v>3</v>
      </c>
      <c r="C602">
        <v>17</v>
      </c>
      <c r="D602">
        <v>5</v>
      </c>
      <c r="E602" t="b">
        <v>0</v>
      </c>
      <c r="F602" s="22" t="str">
        <f t="shared" si="30"/>
        <v/>
      </c>
      <c r="G602" s="23" t="s">
        <v>168</v>
      </c>
      <c r="H602" s="23" t="s">
        <v>211</v>
      </c>
      <c r="I602" s="23" t="s">
        <v>37</v>
      </c>
      <c r="J602" t="s">
        <v>38</v>
      </c>
      <c r="K602" s="22" t="e">
        <f t="shared" si="31"/>
        <v>#N/A</v>
      </c>
      <c r="L602" s="22" t="str">
        <f t="shared" si="32"/>
        <v/>
      </c>
    </row>
    <row r="603" spans="1:12" x14ac:dyDescent="0.25">
      <c r="A603">
        <v>8</v>
      </c>
      <c r="B603">
        <v>3</v>
      </c>
      <c r="C603">
        <v>17</v>
      </c>
      <c r="D603">
        <v>6</v>
      </c>
      <c r="E603" t="b">
        <v>0</v>
      </c>
      <c r="F603" s="22" t="str">
        <f t="shared" si="30"/>
        <v/>
      </c>
      <c r="G603" s="23" t="s">
        <v>168</v>
      </c>
      <c r="H603" s="23" t="s">
        <v>212</v>
      </c>
      <c r="I603" s="23" t="s">
        <v>37</v>
      </c>
      <c r="J603" t="s">
        <v>115</v>
      </c>
      <c r="K603" s="22" t="e">
        <f t="shared" si="31"/>
        <v>#N/A</v>
      </c>
      <c r="L603" s="22" t="str">
        <f t="shared" si="32"/>
        <v/>
      </c>
    </row>
    <row r="604" spans="1:12" x14ac:dyDescent="0.25">
      <c r="A604">
        <v>8</v>
      </c>
      <c r="B604">
        <v>3</v>
      </c>
      <c r="C604">
        <v>17</v>
      </c>
      <c r="D604">
        <v>7</v>
      </c>
      <c r="E604" t="b">
        <v>0</v>
      </c>
      <c r="F604" s="22" t="str">
        <f t="shared" si="30"/>
        <v/>
      </c>
      <c r="G604" s="23" t="s">
        <v>168</v>
      </c>
      <c r="H604" s="23" t="s">
        <v>213</v>
      </c>
      <c r="I604" s="23" t="s">
        <v>37</v>
      </c>
      <c r="J604" t="s">
        <v>116</v>
      </c>
      <c r="K604" s="22" t="e">
        <f t="shared" si="31"/>
        <v>#N/A</v>
      </c>
      <c r="L604" s="22" t="str">
        <f t="shared" si="32"/>
        <v/>
      </c>
    </row>
    <row r="605" spans="1:12" x14ac:dyDescent="0.25">
      <c r="A605">
        <v>8</v>
      </c>
      <c r="B605">
        <v>3</v>
      </c>
      <c r="C605">
        <v>17</v>
      </c>
      <c r="D605">
        <v>8</v>
      </c>
      <c r="E605" t="b">
        <v>0</v>
      </c>
      <c r="F605" s="22" t="str">
        <f t="shared" si="30"/>
        <v/>
      </c>
      <c r="G605" s="23" t="s">
        <v>168</v>
      </c>
      <c r="H605" s="23" t="s">
        <v>214</v>
      </c>
      <c r="I605" s="23" t="s">
        <v>37</v>
      </c>
      <c r="J605" t="s">
        <v>126</v>
      </c>
      <c r="K605" s="22" t="e">
        <f t="shared" si="31"/>
        <v>#N/A</v>
      </c>
      <c r="L605" s="22" t="str">
        <f t="shared" si="32"/>
        <v/>
      </c>
    </row>
    <row r="606" spans="1:12" x14ac:dyDescent="0.25">
      <c r="A606">
        <v>8</v>
      </c>
      <c r="B606">
        <v>3</v>
      </c>
      <c r="C606">
        <v>17</v>
      </c>
      <c r="D606">
        <v>9</v>
      </c>
      <c r="E606" t="b">
        <v>0</v>
      </c>
      <c r="F606" s="22" t="str">
        <f t="shared" si="30"/>
        <v/>
      </c>
      <c r="G606" s="23" t="s">
        <v>168</v>
      </c>
      <c r="H606" s="23" t="s">
        <v>215</v>
      </c>
      <c r="I606" s="23" t="s">
        <v>37</v>
      </c>
      <c r="J606" t="s">
        <v>45</v>
      </c>
      <c r="K606" s="22" t="e">
        <f t="shared" si="31"/>
        <v>#N/A</v>
      </c>
      <c r="L606" s="22" t="str">
        <f t="shared" si="32"/>
        <v/>
      </c>
    </row>
    <row r="607" spans="1:12" x14ac:dyDescent="0.25">
      <c r="A607">
        <v>8</v>
      </c>
      <c r="B607">
        <v>3</v>
      </c>
      <c r="C607">
        <v>17</v>
      </c>
      <c r="D607">
        <v>10</v>
      </c>
      <c r="E607" t="b">
        <v>0</v>
      </c>
      <c r="F607" s="22" t="str">
        <f t="shared" si="30"/>
        <v/>
      </c>
      <c r="G607" s="23" t="s">
        <v>168</v>
      </c>
      <c r="H607" s="23" t="s">
        <v>216</v>
      </c>
      <c r="I607" s="23" t="s">
        <v>37</v>
      </c>
      <c r="J607" t="s">
        <v>117</v>
      </c>
      <c r="K607" s="22" t="e">
        <f t="shared" si="31"/>
        <v>#N/A</v>
      </c>
      <c r="L607" s="22" t="str">
        <f t="shared" si="32"/>
        <v/>
      </c>
    </row>
    <row r="608" spans="1:12" x14ac:dyDescent="0.25">
      <c r="A608">
        <v>8</v>
      </c>
      <c r="B608">
        <v>3</v>
      </c>
      <c r="C608">
        <v>17</v>
      </c>
      <c r="D608">
        <v>11</v>
      </c>
      <c r="E608" t="b">
        <v>0</v>
      </c>
      <c r="F608" s="22" t="str">
        <f t="shared" si="30"/>
        <v/>
      </c>
      <c r="G608" s="23" t="s">
        <v>168</v>
      </c>
      <c r="H608" s="23" t="s">
        <v>217</v>
      </c>
      <c r="I608" s="23" t="s">
        <v>37</v>
      </c>
      <c r="J608" t="s">
        <v>118</v>
      </c>
      <c r="K608" s="22" t="e">
        <f t="shared" si="31"/>
        <v>#N/A</v>
      </c>
      <c r="L608" s="22" t="str">
        <f t="shared" si="32"/>
        <v/>
      </c>
    </row>
    <row r="609" spans="1:12" x14ac:dyDescent="0.25">
      <c r="A609">
        <v>8</v>
      </c>
      <c r="B609">
        <v>3</v>
      </c>
      <c r="C609">
        <v>17</v>
      </c>
      <c r="D609">
        <v>12</v>
      </c>
      <c r="E609" t="b">
        <v>0</v>
      </c>
      <c r="F609" s="22" t="str">
        <f t="shared" si="30"/>
        <v/>
      </c>
      <c r="G609" s="23" t="s">
        <v>168</v>
      </c>
      <c r="H609" s="23" t="s">
        <v>218</v>
      </c>
      <c r="I609" s="23" t="s">
        <v>37</v>
      </c>
      <c r="J609" t="s">
        <v>119</v>
      </c>
      <c r="K609" s="22" t="e">
        <f t="shared" si="31"/>
        <v>#N/A</v>
      </c>
      <c r="L609" s="22" t="str">
        <f t="shared" si="32"/>
        <v/>
      </c>
    </row>
    <row r="610" spans="1:12" x14ac:dyDescent="0.25">
      <c r="A610">
        <v>8</v>
      </c>
      <c r="B610">
        <v>3</v>
      </c>
      <c r="C610">
        <v>17</v>
      </c>
      <c r="D610">
        <v>13</v>
      </c>
      <c r="E610" t="b">
        <v>0</v>
      </c>
      <c r="F610" s="22" t="str">
        <f t="shared" si="30"/>
        <v/>
      </c>
      <c r="G610" s="23" t="s">
        <v>168</v>
      </c>
      <c r="H610" s="23" t="s">
        <v>219</v>
      </c>
      <c r="I610" s="23" t="s">
        <v>37</v>
      </c>
      <c r="J610" t="s">
        <v>127</v>
      </c>
      <c r="K610" s="22" t="e">
        <f t="shared" si="31"/>
        <v>#N/A</v>
      </c>
      <c r="L610" s="22" t="str">
        <f t="shared" si="32"/>
        <v/>
      </c>
    </row>
    <row r="611" spans="1:12" x14ac:dyDescent="0.25">
      <c r="A611">
        <v>8</v>
      </c>
      <c r="B611">
        <v>3</v>
      </c>
      <c r="C611">
        <v>17</v>
      </c>
      <c r="D611">
        <v>14</v>
      </c>
      <c r="E611" t="b">
        <v>0</v>
      </c>
      <c r="F611" s="22" t="str">
        <f t="shared" si="30"/>
        <v/>
      </c>
      <c r="G611" s="23" t="s">
        <v>168</v>
      </c>
      <c r="H611" s="23" t="s">
        <v>220</v>
      </c>
      <c r="I611" s="23" t="s">
        <v>37</v>
      </c>
      <c r="J611" t="s">
        <v>120</v>
      </c>
      <c r="K611" s="22" t="e">
        <f t="shared" si="31"/>
        <v>#N/A</v>
      </c>
      <c r="L611" s="22" t="str">
        <f t="shared" si="32"/>
        <v/>
      </c>
    </row>
    <row r="612" spans="1:12" x14ac:dyDescent="0.25">
      <c r="A612">
        <v>8</v>
      </c>
      <c r="B612">
        <v>3</v>
      </c>
      <c r="C612">
        <v>17</v>
      </c>
      <c r="D612">
        <v>15</v>
      </c>
      <c r="E612" t="b">
        <v>0</v>
      </c>
      <c r="F612" s="22" t="str">
        <f t="shared" si="30"/>
        <v/>
      </c>
      <c r="G612" s="23" t="s">
        <v>168</v>
      </c>
      <c r="H612" s="23" t="s">
        <v>221</v>
      </c>
      <c r="I612" s="23" t="s">
        <v>37</v>
      </c>
      <c r="J612" t="s">
        <v>42</v>
      </c>
      <c r="K612" s="22" t="e">
        <f t="shared" si="31"/>
        <v>#N/A</v>
      </c>
      <c r="L612" s="22" t="str">
        <f t="shared" si="32"/>
        <v/>
      </c>
    </row>
    <row r="613" spans="1:12" x14ac:dyDescent="0.25">
      <c r="A613">
        <v>8</v>
      </c>
      <c r="B613">
        <v>3</v>
      </c>
      <c r="C613">
        <v>17</v>
      </c>
      <c r="D613">
        <v>16</v>
      </c>
      <c r="E613" t="b">
        <v>0</v>
      </c>
      <c r="F613" s="22" t="str">
        <f t="shared" si="30"/>
        <v/>
      </c>
      <c r="G613" s="23" t="s">
        <v>168</v>
      </c>
      <c r="H613" s="23" t="s">
        <v>222</v>
      </c>
      <c r="I613" s="23" t="s">
        <v>37</v>
      </c>
      <c r="J613" t="s">
        <v>121</v>
      </c>
      <c r="K613" s="22" t="e">
        <f t="shared" si="31"/>
        <v>#N/A</v>
      </c>
      <c r="L613" s="22" t="str">
        <f t="shared" si="32"/>
        <v/>
      </c>
    </row>
    <row r="614" spans="1:12" x14ac:dyDescent="0.25">
      <c r="A614">
        <v>8</v>
      </c>
      <c r="B614">
        <v>3</v>
      </c>
      <c r="C614">
        <v>17</v>
      </c>
      <c r="D614">
        <v>17</v>
      </c>
      <c r="E614" t="b">
        <v>1</v>
      </c>
      <c r="F614" s="22" t="str">
        <f t="shared" si="30"/>
        <v/>
      </c>
      <c r="G614" s="23" t="s">
        <v>168</v>
      </c>
      <c r="H614" s="23" t="s">
        <v>223</v>
      </c>
      <c r="I614" s="23" t="s">
        <v>37</v>
      </c>
      <c r="J614" t="s">
        <v>44</v>
      </c>
      <c r="K614" s="22" t="e">
        <f t="shared" si="31"/>
        <v>#N/A</v>
      </c>
      <c r="L614" s="22" t="str">
        <f t="shared" si="32"/>
        <v/>
      </c>
    </row>
    <row r="615" spans="1:12" x14ac:dyDescent="0.25">
      <c r="A615">
        <v>8</v>
      </c>
      <c r="B615">
        <v>4</v>
      </c>
      <c r="C615">
        <v>9</v>
      </c>
      <c r="D615">
        <v>1</v>
      </c>
      <c r="E615" t="b">
        <v>0</v>
      </c>
      <c r="F615" s="22" t="str">
        <f t="shared" si="30"/>
        <v/>
      </c>
      <c r="G615" s="23" t="s">
        <v>169</v>
      </c>
      <c r="H615" s="23" t="s">
        <v>224</v>
      </c>
      <c r="I615" s="23" t="s">
        <v>25</v>
      </c>
      <c r="J615" t="s">
        <v>122</v>
      </c>
      <c r="K615" s="22" t="e">
        <f t="shared" si="31"/>
        <v>#N/A</v>
      </c>
      <c r="L615" s="22" t="str">
        <f t="shared" si="32"/>
        <v/>
      </c>
    </row>
    <row r="616" spans="1:12" x14ac:dyDescent="0.25">
      <c r="A616">
        <v>8</v>
      </c>
      <c r="B616">
        <v>4</v>
      </c>
      <c r="C616">
        <v>9</v>
      </c>
      <c r="D616">
        <v>2</v>
      </c>
      <c r="E616" t="b">
        <v>0</v>
      </c>
      <c r="F616" s="22" t="str">
        <f t="shared" si="30"/>
        <v/>
      </c>
      <c r="G616" s="23" t="s">
        <v>169</v>
      </c>
      <c r="H616" s="23" t="s">
        <v>225</v>
      </c>
      <c r="I616" s="23" t="s">
        <v>25</v>
      </c>
      <c r="J616" t="s">
        <v>26</v>
      </c>
      <c r="K616" s="22" t="e">
        <f t="shared" si="31"/>
        <v>#N/A</v>
      </c>
      <c r="L616" s="22" t="str">
        <f t="shared" si="32"/>
        <v/>
      </c>
    </row>
    <row r="617" spans="1:12" x14ac:dyDescent="0.25">
      <c r="A617">
        <v>8</v>
      </c>
      <c r="B617">
        <v>4</v>
      </c>
      <c r="C617">
        <v>9</v>
      </c>
      <c r="D617">
        <v>3</v>
      </c>
      <c r="E617" t="b">
        <v>0</v>
      </c>
      <c r="F617" s="22" t="str">
        <f t="shared" si="30"/>
        <v/>
      </c>
      <c r="G617" s="23" t="s">
        <v>169</v>
      </c>
      <c r="H617" s="23" t="s">
        <v>226</v>
      </c>
      <c r="I617" s="23" t="s">
        <v>25</v>
      </c>
      <c r="J617" t="s">
        <v>27</v>
      </c>
      <c r="K617" s="22" t="e">
        <f t="shared" si="31"/>
        <v>#N/A</v>
      </c>
      <c r="L617" s="22" t="str">
        <f t="shared" si="32"/>
        <v/>
      </c>
    </row>
    <row r="618" spans="1:12" x14ac:dyDescent="0.25">
      <c r="A618">
        <v>8</v>
      </c>
      <c r="B618">
        <v>4</v>
      </c>
      <c r="C618">
        <v>9</v>
      </c>
      <c r="D618">
        <v>4</v>
      </c>
      <c r="E618" t="b">
        <v>0</v>
      </c>
      <c r="F618" s="22" t="str">
        <f t="shared" si="30"/>
        <v/>
      </c>
      <c r="G618" s="23" t="s">
        <v>169</v>
      </c>
      <c r="H618" s="23" t="s">
        <v>227</v>
      </c>
      <c r="I618" s="23" t="s">
        <v>25</v>
      </c>
      <c r="J618" t="s">
        <v>28</v>
      </c>
      <c r="K618" s="22" t="e">
        <f t="shared" si="31"/>
        <v>#N/A</v>
      </c>
      <c r="L618" s="22" t="str">
        <f t="shared" si="32"/>
        <v/>
      </c>
    </row>
    <row r="619" spans="1:12" x14ac:dyDescent="0.25">
      <c r="A619">
        <v>8</v>
      </c>
      <c r="B619">
        <v>4</v>
      </c>
      <c r="C619">
        <v>9</v>
      </c>
      <c r="D619">
        <v>5</v>
      </c>
      <c r="E619" t="b">
        <v>0</v>
      </c>
      <c r="F619" s="22" t="str">
        <f t="shared" si="30"/>
        <v/>
      </c>
      <c r="G619" s="23" t="s">
        <v>169</v>
      </c>
      <c r="H619" s="23" t="s">
        <v>228</v>
      </c>
      <c r="I619" s="23" t="s">
        <v>25</v>
      </c>
      <c r="J619" t="s">
        <v>128</v>
      </c>
      <c r="K619" s="22" t="e">
        <f t="shared" si="31"/>
        <v>#N/A</v>
      </c>
      <c r="L619" s="22" t="str">
        <f t="shared" si="32"/>
        <v/>
      </c>
    </row>
    <row r="620" spans="1:12" x14ac:dyDescent="0.25">
      <c r="A620">
        <v>8</v>
      </c>
      <c r="B620">
        <v>4</v>
      </c>
      <c r="C620">
        <v>9</v>
      </c>
      <c r="D620">
        <v>6</v>
      </c>
      <c r="E620" t="b">
        <v>0</v>
      </c>
      <c r="F620" s="22" t="str">
        <f t="shared" si="30"/>
        <v/>
      </c>
      <c r="G620" s="23" t="s">
        <v>169</v>
      </c>
      <c r="H620" s="23" t="s">
        <v>229</v>
      </c>
      <c r="I620" s="23" t="s">
        <v>25</v>
      </c>
      <c r="J620" t="s">
        <v>29</v>
      </c>
      <c r="K620" s="22" t="e">
        <f t="shared" si="31"/>
        <v>#N/A</v>
      </c>
      <c r="L620" s="22" t="str">
        <f t="shared" si="32"/>
        <v/>
      </c>
    </row>
    <row r="621" spans="1:12" x14ac:dyDescent="0.25">
      <c r="A621">
        <v>8</v>
      </c>
      <c r="B621">
        <v>4</v>
      </c>
      <c r="C621">
        <v>9</v>
      </c>
      <c r="D621">
        <v>7</v>
      </c>
      <c r="E621" t="b">
        <v>0</v>
      </c>
      <c r="F621" s="22" t="str">
        <f t="shared" si="30"/>
        <v/>
      </c>
      <c r="G621" s="23" t="s">
        <v>169</v>
      </c>
      <c r="H621" s="23" t="s">
        <v>230</v>
      </c>
      <c r="I621" s="23" t="s">
        <v>25</v>
      </c>
      <c r="J621" t="s">
        <v>30</v>
      </c>
      <c r="K621" s="22" t="e">
        <f t="shared" si="31"/>
        <v>#N/A</v>
      </c>
      <c r="L621" s="22" t="str">
        <f t="shared" si="32"/>
        <v/>
      </c>
    </row>
    <row r="622" spans="1:12" x14ac:dyDescent="0.25">
      <c r="A622">
        <v>8</v>
      </c>
      <c r="B622">
        <v>4</v>
      </c>
      <c r="C622">
        <v>9</v>
      </c>
      <c r="D622">
        <v>8</v>
      </c>
      <c r="E622" t="b">
        <v>0</v>
      </c>
      <c r="F622" s="22" t="str">
        <f t="shared" si="30"/>
        <v/>
      </c>
      <c r="G622" s="23" t="s">
        <v>169</v>
      </c>
      <c r="H622" s="23" t="s">
        <v>231</v>
      </c>
      <c r="I622" s="23" t="s">
        <v>25</v>
      </c>
      <c r="J622" t="s">
        <v>31</v>
      </c>
      <c r="K622" s="22" t="e">
        <f t="shared" si="31"/>
        <v>#N/A</v>
      </c>
      <c r="L622" s="22" t="str">
        <f t="shared" si="32"/>
        <v/>
      </c>
    </row>
    <row r="623" spans="1:12" x14ac:dyDescent="0.25">
      <c r="A623">
        <v>8</v>
      </c>
      <c r="B623">
        <v>4</v>
      </c>
      <c r="C623">
        <v>9</v>
      </c>
      <c r="D623">
        <v>9</v>
      </c>
      <c r="E623" t="b">
        <v>1</v>
      </c>
      <c r="F623" s="22" t="str">
        <f t="shared" si="30"/>
        <v/>
      </c>
      <c r="G623" s="23" t="s">
        <v>169</v>
      </c>
      <c r="H623" s="23" t="s">
        <v>232</v>
      </c>
      <c r="I623" s="23" t="s">
        <v>25</v>
      </c>
      <c r="J623" t="s">
        <v>43</v>
      </c>
      <c r="K623" s="22" t="e">
        <f t="shared" si="31"/>
        <v>#N/A</v>
      </c>
      <c r="L623" s="22" t="str">
        <f t="shared" si="32"/>
        <v/>
      </c>
    </row>
    <row r="624" spans="1:12" x14ac:dyDescent="0.25">
      <c r="A624">
        <v>8</v>
      </c>
      <c r="B624">
        <v>5</v>
      </c>
      <c r="C624">
        <v>9</v>
      </c>
      <c r="D624">
        <v>1</v>
      </c>
      <c r="E624" t="b">
        <v>0</v>
      </c>
      <c r="F624" s="22" t="str">
        <f t="shared" si="30"/>
        <v/>
      </c>
      <c r="G624" s="23" t="s">
        <v>166</v>
      </c>
      <c r="H624" s="23" t="s">
        <v>233</v>
      </c>
      <c r="I624" s="23" t="s">
        <v>32</v>
      </c>
      <c r="J624" t="s">
        <v>33</v>
      </c>
      <c r="K624" s="22" t="e">
        <f t="shared" si="31"/>
        <v>#N/A</v>
      </c>
      <c r="L624" s="22" t="str">
        <f t="shared" si="32"/>
        <v/>
      </c>
    </row>
    <row r="625" spans="1:12" x14ac:dyDescent="0.25">
      <c r="A625">
        <v>8</v>
      </c>
      <c r="B625">
        <v>5</v>
      </c>
      <c r="C625">
        <v>9</v>
      </c>
      <c r="D625">
        <v>2</v>
      </c>
      <c r="E625" t="b">
        <v>0</v>
      </c>
      <c r="F625" s="22" t="str">
        <f t="shared" si="30"/>
        <v/>
      </c>
      <c r="G625" s="23" t="s">
        <v>166</v>
      </c>
      <c r="H625" s="23" t="s">
        <v>234</v>
      </c>
      <c r="I625" s="23" t="s">
        <v>32</v>
      </c>
      <c r="J625" t="s">
        <v>34</v>
      </c>
      <c r="K625" s="22" t="e">
        <f t="shared" si="31"/>
        <v>#N/A</v>
      </c>
      <c r="L625" s="22" t="str">
        <f t="shared" si="32"/>
        <v/>
      </c>
    </row>
    <row r="626" spans="1:12" x14ac:dyDescent="0.25">
      <c r="A626">
        <v>8</v>
      </c>
      <c r="B626">
        <v>5</v>
      </c>
      <c r="C626">
        <v>9</v>
      </c>
      <c r="D626">
        <v>3</v>
      </c>
      <c r="E626" t="b">
        <v>0</v>
      </c>
      <c r="F626" s="22" t="str">
        <f t="shared" si="30"/>
        <v/>
      </c>
      <c r="G626" s="23" t="s">
        <v>166</v>
      </c>
      <c r="H626" s="23" t="s">
        <v>235</v>
      </c>
      <c r="I626" s="23" t="s">
        <v>32</v>
      </c>
      <c r="J626" t="s">
        <v>35</v>
      </c>
      <c r="K626" s="22" t="e">
        <f t="shared" si="31"/>
        <v>#N/A</v>
      </c>
      <c r="L626" s="22" t="str">
        <f t="shared" si="32"/>
        <v/>
      </c>
    </row>
    <row r="627" spans="1:12" x14ac:dyDescent="0.25">
      <c r="A627">
        <v>8</v>
      </c>
      <c r="B627">
        <v>5</v>
      </c>
      <c r="C627">
        <v>9</v>
      </c>
      <c r="D627">
        <v>4</v>
      </c>
      <c r="E627" t="b">
        <v>0</v>
      </c>
      <c r="F627" s="22" t="str">
        <f t="shared" si="30"/>
        <v/>
      </c>
      <c r="G627" s="23" t="s">
        <v>166</v>
      </c>
      <c r="H627" s="23" t="s">
        <v>236</v>
      </c>
      <c r="I627" s="23" t="s">
        <v>32</v>
      </c>
      <c r="J627" t="s">
        <v>123</v>
      </c>
      <c r="K627" s="22" t="e">
        <f t="shared" si="31"/>
        <v>#N/A</v>
      </c>
      <c r="L627" s="22" t="str">
        <f t="shared" si="32"/>
        <v/>
      </c>
    </row>
    <row r="628" spans="1:12" x14ac:dyDescent="0.25">
      <c r="A628">
        <v>8</v>
      </c>
      <c r="B628">
        <v>5</v>
      </c>
      <c r="C628">
        <v>9</v>
      </c>
      <c r="D628">
        <v>5</v>
      </c>
      <c r="E628" t="b">
        <v>0</v>
      </c>
      <c r="F628" s="22" t="str">
        <f t="shared" si="30"/>
        <v/>
      </c>
      <c r="G628" s="23" t="s">
        <v>166</v>
      </c>
      <c r="H628" s="23" t="s">
        <v>237</v>
      </c>
      <c r="I628" s="23" t="s">
        <v>32</v>
      </c>
      <c r="J628" t="s">
        <v>124</v>
      </c>
      <c r="K628" s="22" t="e">
        <f t="shared" si="31"/>
        <v>#N/A</v>
      </c>
      <c r="L628" s="22" t="str">
        <f t="shared" si="32"/>
        <v/>
      </c>
    </row>
    <row r="629" spans="1:12" x14ac:dyDescent="0.25">
      <c r="A629">
        <v>8</v>
      </c>
      <c r="B629">
        <v>5</v>
      </c>
      <c r="C629">
        <v>9</v>
      </c>
      <c r="D629">
        <v>6</v>
      </c>
      <c r="E629" t="b">
        <v>0</v>
      </c>
      <c r="F629" s="22" t="str">
        <f t="shared" si="30"/>
        <v/>
      </c>
      <c r="G629" s="23" t="s">
        <v>166</v>
      </c>
      <c r="H629" s="23" t="s">
        <v>238</v>
      </c>
      <c r="I629" s="23" t="s">
        <v>32</v>
      </c>
      <c r="J629" t="s">
        <v>129</v>
      </c>
      <c r="K629" s="22" t="e">
        <f t="shared" si="31"/>
        <v>#N/A</v>
      </c>
      <c r="L629" s="22" t="str">
        <f t="shared" si="32"/>
        <v/>
      </c>
    </row>
    <row r="630" spans="1:12" x14ac:dyDescent="0.25">
      <c r="A630">
        <v>8</v>
      </c>
      <c r="B630">
        <v>5</v>
      </c>
      <c r="C630">
        <v>9</v>
      </c>
      <c r="D630">
        <v>7</v>
      </c>
      <c r="E630" t="b">
        <v>0</v>
      </c>
      <c r="F630" s="22" t="str">
        <f t="shared" si="30"/>
        <v/>
      </c>
      <c r="G630" s="23" t="s">
        <v>166</v>
      </c>
      <c r="H630" s="23" t="s">
        <v>239</v>
      </c>
      <c r="I630" s="23" t="s">
        <v>32</v>
      </c>
      <c r="J630" t="s">
        <v>125</v>
      </c>
      <c r="K630" s="22" t="e">
        <f t="shared" si="31"/>
        <v>#N/A</v>
      </c>
      <c r="L630" s="22" t="str">
        <f t="shared" si="32"/>
        <v/>
      </c>
    </row>
    <row r="631" spans="1:12" x14ac:dyDescent="0.25">
      <c r="A631">
        <v>8</v>
      </c>
      <c r="B631">
        <v>5</v>
      </c>
      <c r="C631">
        <v>9</v>
      </c>
      <c r="D631">
        <v>8</v>
      </c>
      <c r="E631" t="b">
        <v>0</v>
      </c>
      <c r="F631" s="22" t="str">
        <f t="shared" si="30"/>
        <v/>
      </c>
      <c r="G631" s="23" t="s">
        <v>166</v>
      </c>
      <c r="H631" s="23" t="s">
        <v>240</v>
      </c>
      <c r="I631" s="23" t="s">
        <v>32</v>
      </c>
      <c r="J631" t="s">
        <v>36</v>
      </c>
      <c r="K631" s="22" t="e">
        <f t="shared" si="31"/>
        <v>#N/A</v>
      </c>
      <c r="L631" s="22" t="str">
        <f t="shared" si="32"/>
        <v/>
      </c>
    </row>
    <row r="632" spans="1:12" x14ac:dyDescent="0.25">
      <c r="A632">
        <v>8</v>
      </c>
      <c r="B632">
        <v>5</v>
      </c>
      <c r="C632">
        <v>9</v>
      </c>
      <c r="D632">
        <v>9</v>
      </c>
      <c r="E632" t="b">
        <v>1</v>
      </c>
      <c r="F632" s="22" t="str">
        <f t="shared" si="30"/>
        <v/>
      </c>
      <c r="G632" s="23" t="s">
        <v>166</v>
      </c>
      <c r="H632" s="23" t="s">
        <v>241</v>
      </c>
      <c r="I632" s="23" t="s">
        <v>32</v>
      </c>
      <c r="J632" t="s">
        <v>47</v>
      </c>
      <c r="K632" s="22" t="e">
        <f t="shared" si="31"/>
        <v>#N/A</v>
      </c>
      <c r="L632" s="22" t="str">
        <f t="shared" si="32"/>
        <v/>
      </c>
    </row>
    <row r="633" spans="1:12" x14ac:dyDescent="0.25">
      <c r="A633">
        <v>8</v>
      </c>
      <c r="B633">
        <v>6</v>
      </c>
      <c r="C633">
        <v>11</v>
      </c>
      <c r="D633">
        <v>1</v>
      </c>
      <c r="E633" t="b">
        <v>0</v>
      </c>
      <c r="F633" s="22" t="str">
        <f t="shared" si="30"/>
        <v/>
      </c>
      <c r="G633" s="23" t="s">
        <v>170</v>
      </c>
      <c r="H633" s="23" t="s">
        <v>242</v>
      </c>
      <c r="I633" s="23" t="s">
        <v>149</v>
      </c>
      <c r="J633" t="s">
        <v>150</v>
      </c>
      <c r="K633" s="22" t="e">
        <f t="shared" si="31"/>
        <v>#N/A</v>
      </c>
      <c r="L633" s="22" t="str">
        <f t="shared" si="32"/>
        <v/>
      </c>
    </row>
    <row r="634" spans="1:12" x14ac:dyDescent="0.25">
      <c r="A634">
        <v>8</v>
      </c>
      <c r="B634">
        <v>6</v>
      </c>
      <c r="C634">
        <v>11</v>
      </c>
      <c r="D634">
        <v>2</v>
      </c>
      <c r="E634" t="b">
        <v>0</v>
      </c>
      <c r="F634" s="22" t="str">
        <f t="shared" si="30"/>
        <v/>
      </c>
      <c r="G634" s="23" t="s">
        <v>170</v>
      </c>
      <c r="H634" s="23" t="s">
        <v>243</v>
      </c>
      <c r="I634" s="23" t="s">
        <v>149</v>
      </c>
      <c r="J634" t="s">
        <v>151</v>
      </c>
      <c r="K634" s="22" t="e">
        <f t="shared" si="31"/>
        <v>#N/A</v>
      </c>
      <c r="L634" s="22" t="str">
        <f t="shared" si="32"/>
        <v/>
      </c>
    </row>
    <row r="635" spans="1:12" x14ac:dyDescent="0.25">
      <c r="A635">
        <v>8</v>
      </c>
      <c r="B635">
        <v>6</v>
      </c>
      <c r="C635">
        <v>11</v>
      </c>
      <c r="D635">
        <v>3</v>
      </c>
      <c r="E635" t="b">
        <v>0</v>
      </c>
      <c r="F635" s="22" t="str">
        <f t="shared" si="30"/>
        <v/>
      </c>
      <c r="G635" s="23" t="s">
        <v>170</v>
      </c>
      <c r="H635" s="23" t="s">
        <v>244</v>
      </c>
      <c r="I635" s="23" t="s">
        <v>149</v>
      </c>
      <c r="J635" t="s">
        <v>152</v>
      </c>
      <c r="K635" s="22" t="e">
        <f t="shared" si="31"/>
        <v>#N/A</v>
      </c>
      <c r="L635" s="22" t="str">
        <f t="shared" si="32"/>
        <v/>
      </c>
    </row>
    <row r="636" spans="1:12" x14ac:dyDescent="0.25">
      <c r="A636">
        <v>8</v>
      </c>
      <c r="B636">
        <v>6</v>
      </c>
      <c r="C636">
        <v>11</v>
      </c>
      <c r="D636">
        <v>4</v>
      </c>
      <c r="E636" t="b">
        <v>0</v>
      </c>
      <c r="F636" s="22" t="str">
        <f t="shared" si="30"/>
        <v/>
      </c>
      <c r="G636" s="23" t="s">
        <v>170</v>
      </c>
      <c r="H636" s="23" t="s">
        <v>245</v>
      </c>
      <c r="I636" s="23" t="s">
        <v>149</v>
      </c>
      <c r="J636" t="s">
        <v>153</v>
      </c>
      <c r="K636" s="22" t="e">
        <f t="shared" si="31"/>
        <v>#N/A</v>
      </c>
      <c r="L636" s="22" t="str">
        <f t="shared" si="32"/>
        <v/>
      </c>
    </row>
    <row r="637" spans="1:12" x14ac:dyDescent="0.25">
      <c r="A637">
        <v>8</v>
      </c>
      <c r="B637">
        <v>6</v>
      </c>
      <c r="C637">
        <v>11</v>
      </c>
      <c r="D637">
        <v>5</v>
      </c>
      <c r="E637" t="b">
        <v>0</v>
      </c>
      <c r="F637" s="22" t="str">
        <f t="shared" si="30"/>
        <v/>
      </c>
      <c r="G637" s="23" t="s">
        <v>170</v>
      </c>
      <c r="H637" s="23" t="s">
        <v>246</v>
      </c>
      <c r="I637" s="23" t="s">
        <v>149</v>
      </c>
      <c r="J637" t="s">
        <v>154</v>
      </c>
      <c r="K637" s="22" t="e">
        <f t="shared" si="31"/>
        <v>#N/A</v>
      </c>
      <c r="L637" s="22" t="str">
        <f t="shared" si="32"/>
        <v/>
      </c>
    </row>
    <row r="638" spans="1:12" x14ac:dyDescent="0.25">
      <c r="A638">
        <v>8</v>
      </c>
      <c r="B638">
        <v>6</v>
      </c>
      <c r="C638">
        <v>11</v>
      </c>
      <c r="D638">
        <v>6</v>
      </c>
      <c r="E638" t="b">
        <v>0</v>
      </c>
      <c r="F638" s="22" t="str">
        <f t="shared" si="30"/>
        <v/>
      </c>
      <c r="G638" s="23" t="s">
        <v>170</v>
      </c>
      <c r="H638" s="23" t="s">
        <v>247</v>
      </c>
      <c r="I638" s="23" t="s">
        <v>149</v>
      </c>
      <c r="J638" t="s">
        <v>155</v>
      </c>
      <c r="K638" s="22" t="e">
        <f t="shared" si="31"/>
        <v>#N/A</v>
      </c>
      <c r="L638" s="22" t="str">
        <f t="shared" si="32"/>
        <v/>
      </c>
    </row>
    <row r="639" spans="1:12" x14ac:dyDescent="0.25">
      <c r="A639">
        <v>8</v>
      </c>
      <c r="B639">
        <v>6</v>
      </c>
      <c r="C639">
        <v>11</v>
      </c>
      <c r="D639">
        <v>7</v>
      </c>
      <c r="E639" t="b">
        <v>0</v>
      </c>
      <c r="F639" s="22" t="str">
        <f t="shared" si="30"/>
        <v/>
      </c>
      <c r="G639" s="23" t="s">
        <v>170</v>
      </c>
      <c r="H639" s="23" t="s">
        <v>248</v>
      </c>
      <c r="I639" s="23" t="s">
        <v>149</v>
      </c>
      <c r="J639" t="s">
        <v>156</v>
      </c>
      <c r="K639" s="22" t="e">
        <f t="shared" si="31"/>
        <v>#N/A</v>
      </c>
      <c r="L639" s="22" t="str">
        <f t="shared" si="32"/>
        <v/>
      </c>
    </row>
    <row r="640" spans="1:12" x14ac:dyDescent="0.25">
      <c r="A640">
        <v>8</v>
      </c>
      <c r="B640">
        <v>6</v>
      </c>
      <c r="C640">
        <v>11</v>
      </c>
      <c r="D640">
        <v>8</v>
      </c>
      <c r="E640" t="b">
        <v>0</v>
      </c>
      <c r="F640" s="22" t="str">
        <f t="shared" si="30"/>
        <v/>
      </c>
      <c r="G640" s="23" t="s">
        <v>170</v>
      </c>
      <c r="H640" s="23" t="s">
        <v>249</v>
      </c>
      <c r="I640" s="23" t="s">
        <v>149</v>
      </c>
      <c r="J640" t="s">
        <v>157</v>
      </c>
      <c r="K640" s="22" t="e">
        <f t="shared" si="31"/>
        <v>#N/A</v>
      </c>
      <c r="L640" s="22" t="str">
        <f t="shared" si="32"/>
        <v/>
      </c>
    </row>
    <row r="641" spans="1:12" x14ac:dyDescent="0.25">
      <c r="A641">
        <v>8</v>
      </c>
      <c r="B641">
        <v>6</v>
      </c>
      <c r="C641">
        <v>11</v>
      </c>
      <c r="D641">
        <v>9</v>
      </c>
      <c r="E641" t="b">
        <v>0</v>
      </c>
      <c r="F641" s="22" t="str">
        <f t="shared" si="30"/>
        <v/>
      </c>
      <c r="G641" s="23" t="s">
        <v>170</v>
      </c>
      <c r="H641" s="23" t="s">
        <v>250</v>
      </c>
      <c r="I641" s="23" t="s">
        <v>149</v>
      </c>
      <c r="J641" t="s">
        <v>158</v>
      </c>
      <c r="K641" s="22" t="e">
        <f t="shared" si="31"/>
        <v>#N/A</v>
      </c>
      <c r="L641" s="22" t="str">
        <f t="shared" si="32"/>
        <v/>
      </c>
    </row>
    <row r="642" spans="1:12" x14ac:dyDescent="0.25">
      <c r="A642">
        <v>8</v>
      </c>
      <c r="B642">
        <v>6</v>
      </c>
      <c r="C642">
        <v>11</v>
      </c>
      <c r="D642">
        <v>10</v>
      </c>
      <c r="E642" t="b">
        <v>0</v>
      </c>
      <c r="F642" s="22" t="str">
        <f t="shared" si="30"/>
        <v/>
      </c>
      <c r="G642" s="23" t="s">
        <v>170</v>
      </c>
      <c r="H642" s="23" t="s">
        <v>251</v>
      </c>
      <c r="I642" s="23" t="s">
        <v>149</v>
      </c>
      <c r="J642" t="s">
        <v>159</v>
      </c>
      <c r="K642" s="22" t="e">
        <f t="shared" si="31"/>
        <v>#N/A</v>
      </c>
      <c r="L642" s="22" t="str">
        <f t="shared" si="32"/>
        <v/>
      </c>
    </row>
    <row r="643" spans="1:12" x14ac:dyDescent="0.25">
      <c r="A643">
        <v>8</v>
      </c>
      <c r="B643">
        <v>6</v>
      </c>
      <c r="C643">
        <v>11</v>
      </c>
      <c r="D643">
        <v>11</v>
      </c>
      <c r="E643" t="b">
        <v>1</v>
      </c>
      <c r="F643" s="22" t="str">
        <f t="shared" si="30"/>
        <v/>
      </c>
      <c r="G643" s="23" t="s">
        <v>170</v>
      </c>
      <c r="H643" s="23" t="s">
        <v>252</v>
      </c>
      <c r="I643" s="23" t="s">
        <v>149</v>
      </c>
      <c r="J643" t="s">
        <v>160</v>
      </c>
      <c r="K643" s="22" t="e">
        <f t="shared" si="31"/>
        <v>#N/A</v>
      </c>
      <c r="L643" s="22" t="str">
        <f t="shared" si="32"/>
        <v/>
      </c>
    </row>
    <row r="644" spans="1:12" x14ac:dyDescent="0.25">
      <c r="A644">
        <v>9</v>
      </c>
      <c r="B644">
        <v>1</v>
      </c>
      <c r="C644">
        <v>18</v>
      </c>
      <c r="D644">
        <v>1</v>
      </c>
      <c r="E644" t="b">
        <v>0</v>
      </c>
      <c r="F644" s="22" t="str">
        <f t="shared" ref="F644:F707" si="33">VLOOKUP("Assessment #"&amp;$A644, DateMeta, MATCH("DisplDate", DateMeta_H, 0), 0)</f>
        <v/>
      </c>
      <c r="G644" s="23" t="s">
        <v>167</v>
      </c>
      <c r="H644" s="23" t="s">
        <v>253</v>
      </c>
      <c r="I644" s="23" t="s">
        <v>2</v>
      </c>
      <c r="J644" t="s">
        <v>3</v>
      </c>
      <c r="K644" s="22" t="e">
        <f t="shared" ref="K644:K707" si="34">IF(INDEX(Assess, MATCH($J644, ItemLong, 0), MATCH("Assessment #"&amp;$A644, Assess_H, 0))="", "", INDEX(Assess, MATCH($J644, ItemLong, 0), MATCH("Assessment #"&amp;$A644, Assess_H, 0)))</f>
        <v>#N/A</v>
      </c>
      <c r="L644" s="22" t="str">
        <f t="shared" si="32"/>
        <v/>
      </c>
    </row>
    <row r="645" spans="1:12" x14ac:dyDescent="0.25">
      <c r="A645">
        <v>9</v>
      </c>
      <c r="B645">
        <v>1</v>
      </c>
      <c r="C645">
        <v>18</v>
      </c>
      <c r="D645">
        <v>2</v>
      </c>
      <c r="E645" t="b">
        <v>0</v>
      </c>
      <c r="F645" s="22" t="str">
        <f t="shared" si="33"/>
        <v/>
      </c>
      <c r="G645" s="23" t="s">
        <v>167</v>
      </c>
      <c r="H645" s="23" t="s">
        <v>254</v>
      </c>
      <c r="I645" s="23" t="s">
        <v>2</v>
      </c>
      <c r="J645" t="s">
        <v>4</v>
      </c>
      <c r="K645" s="22" t="e">
        <f t="shared" si="34"/>
        <v>#N/A</v>
      </c>
      <c r="L645" s="22" t="str">
        <f t="shared" ref="L645:L708" si="35">IF(ISNUMBER(K645), IF(K645&gt;=2, 1, 0), "")</f>
        <v/>
      </c>
    </row>
    <row r="646" spans="1:12" x14ac:dyDescent="0.25">
      <c r="A646">
        <v>9</v>
      </c>
      <c r="B646">
        <v>1</v>
      </c>
      <c r="C646">
        <v>18</v>
      </c>
      <c r="D646">
        <v>3</v>
      </c>
      <c r="E646" t="b">
        <v>0</v>
      </c>
      <c r="F646" s="22" t="str">
        <f t="shared" si="33"/>
        <v/>
      </c>
      <c r="G646" s="23" t="s">
        <v>167</v>
      </c>
      <c r="H646" s="23" t="s">
        <v>175</v>
      </c>
      <c r="I646" s="23" t="s">
        <v>2</v>
      </c>
      <c r="J646" t="s">
        <v>5</v>
      </c>
      <c r="K646" s="22" t="e">
        <f t="shared" si="34"/>
        <v>#N/A</v>
      </c>
      <c r="L646" s="22" t="str">
        <f t="shared" si="35"/>
        <v/>
      </c>
    </row>
    <row r="647" spans="1:12" x14ac:dyDescent="0.25">
      <c r="A647">
        <v>9</v>
      </c>
      <c r="B647">
        <v>1</v>
      </c>
      <c r="C647">
        <v>18</v>
      </c>
      <c r="D647">
        <v>4</v>
      </c>
      <c r="E647" t="b">
        <v>0</v>
      </c>
      <c r="F647" s="22" t="str">
        <f t="shared" si="33"/>
        <v/>
      </c>
      <c r="G647" s="23" t="s">
        <v>167</v>
      </c>
      <c r="H647" s="23" t="s">
        <v>176</v>
      </c>
      <c r="I647" s="23" t="s">
        <v>2</v>
      </c>
      <c r="J647" t="s">
        <v>6</v>
      </c>
      <c r="K647" s="22" t="e">
        <f t="shared" si="34"/>
        <v>#N/A</v>
      </c>
      <c r="L647" s="22" t="str">
        <f t="shared" si="35"/>
        <v/>
      </c>
    </row>
    <row r="648" spans="1:12" x14ac:dyDescent="0.25">
      <c r="A648">
        <v>9</v>
      </c>
      <c r="B648">
        <v>1</v>
      </c>
      <c r="C648">
        <v>18</v>
      </c>
      <c r="D648">
        <v>5</v>
      </c>
      <c r="E648" t="b">
        <v>0</v>
      </c>
      <c r="F648" s="22" t="str">
        <f t="shared" si="33"/>
        <v/>
      </c>
      <c r="G648" s="23" t="s">
        <v>167</v>
      </c>
      <c r="H648" s="23" t="s">
        <v>177</v>
      </c>
      <c r="I648" s="23" t="s">
        <v>2</v>
      </c>
      <c r="J648" t="s">
        <v>44</v>
      </c>
      <c r="K648" s="22" t="e">
        <f t="shared" si="34"/>
        <v>#N/A</v>
      </c>
      <c r="L648" s="22" t="str">
        <f t="shared" si="35"/>
        <v/>
      </c>
    </row>
    <row r="649" spans="1:12" x14ac:dyDescent="0.25">
      <c r="A649">
        <v>9</v>
      </c>
      <c r="B649">
        <v>1</v>
      </c>
      <c r="C649">
        <v>18</v>
      </c>
      <c r="D649">
        <v>6</v>
      </c>
      <c r="E649" t="b">
        <v>0</v>
      </c>
      <c r="F649" s="22" t="str">
        <f t="shared" si="33"/>
        <v/>
      </c>
      <c r="G649" s="23" t="s">
        <v>167</v>
      </c>
      <c r="H649" s="23" t="s">
        <v>178</v>
      </c>
      <c r="I649" s="23" t="s">
        <v>2</v>
      </c>
      <c r="J649" t="s">
        <v>102</v>
      </c>
      <c r="K649" s="22" t="e">
        <f t="shared" si="34"/>
        <v>#N/A</v>
      </c>
      <c r="L649" s="22" t="str">
        <f t="shared" si="35"/>
        <v/>
      </c>
    </row>
    <row r="650" spans="1:12" x14ac:dyDescent="0.25">
      <c r="A650">
        <v>9</v>
      </c>
      <c r="B650">
        <v>1</v>
      </c>
      <c r="C650">
        <v>18</v>
      </c>
      <c r="D650">
        <v>7</v>
      </c>
      <c r="E650" t="b">
        <v>0</v>
      </c>
      <c r="F650" s="22" t="str">
        <f t="shared" si="33"/>
        <v/>
      </c>
      <c r="G650" s="23" t="s">
        <v>167</v>
      </c>
      <c r="H650" s="23" t="s">
        <v>179</v>
      </c>
      <c r="I650" s="23" t="s">
        <v>2</v>
      </c>
      <c r="J650" t="s">
        <v>103</v>
      </c>
      <c r="K650" s="22" t="e">
        <f t="shared" si="34"/>
        <v>#N/A</v>
      </c>
      <c r="L650" s="22" t="str">
        <f t="shared" si="35"/>
        <v/>
      </c>
    </row>
    <row r="651" spans="1:12" x14ac:dyDescent="0.25">
      <c r="A651">
        <v>9</v>
      </c>
      <c r="B651">
        <v>1</v>
      </c>
      <c r="C651">
        <v>18</v>
      </c>
      <c r="D651">
        <v>8</v>
      </c>
      <c r="E651" t="b">
        <v>0</v>
      </c>
      <c r="F651" s="22" t="str">
        <f t="shared" si="33"/>
        <v/>
      </c>
      <c r="G651" s="23" t="s">
        <v>167</v>
      </c>
      <c r="H651" s="23" t="s">
        <v>180</v>
      </c>
      <c r="I651" s="23" t="s">
        <v>2</v>
      </c>
      <c r="J651" t="s">
        <v>7</v>
      </c>
      <c r="K651" s="22" t="e">
        <f t="shared" si="34"/>
        <v>#N/A</v>
      </c>
      <c r="L651" s="22" t="str">
        <f t="shared" si="35"/>
        <v/>
      </c>
    </row>
    <row r="652" spans="1:12" x14ac:dyDescent="0.25">
      <c r="A652">
        <v>9</v>
      </c>
      <c r="B652">
        <v>1</v>
      </c>
      <c r="C652">
        <v>18</v>
      </c>
      <c r="D652">
        <v>9</v>
      </c>
      <c r="E652" t="b">
        <v>0</v>
      </c>
      <c r="F652" s="22" t="str">
        <f t="shared" si="33"/>
        <v/>
      </c>
      <c r="G652" s="23" t="s">
        <v>167</v>
      </c>
      <c r="H652" s="23" t="s">
        <v>181</v>
      </c>
      <c r="I652" s="23" t="s">
        <v>2</v>
      </c>
      <c r="J652" t="s">
        <v>104</v>
      </c>
      <c r="K652" s="22" t="e">
        <f t="shared" si="34"/>
        <v>#N/A</v>
      </c>
      <c r="L652" s="22" t="str">
        <f t="shared" si="35"/>
        <v/>
      </c>
    </row>
    <row r="653" spans="1:12" x14ac:dyDescent="0.25">
      <c r="A653">
        <v>9</v>
      </c>
      <c r="B653">
        <v>1</v>
      </c>
      <c r="C653">
        <v>18</v>
      </c>
      <c r="D653">
        <v>10</v>
      </c>
      <c r="E653" t="b">
        <v>0</v>
      </c>
      <c r="F653" s="22" t="str">
        <f t="shared" si="33"/>
        <v/>
      </c>
      <c r="G653" s="23" t="s">
        <v>167</v>
      </c>
      <c r="H653" s="23" t="s">
        <v>182</v>
      </c>
      <c r="I653" s="23" t="s">
        <v>2</v>
      </c>
      <c r="J653" t="s">
        <v>8</v>
      </c>
      <c r="K653" s="22" t="e">
        <f t="shared" si="34"/>
        <v>#N/A</v>
      </c>
      <c r="L653" s="22" t="str">
        <f t="shared" si="35"/>
        <v/>
      </c>
    </row>
    <row r="654" spans="1:12" x14ac:dyDescent="0.25">
      <c r="A654">
        <v>9</v>
      </c>
      <c r="B654">
        <v>1</v>
      </c>
      <c r="C654">
        <v>18</v>
      </c>
      <c r="D654">
        <v>11</v>
      </c>
      <c r="E654" t="b">
        <v>0</v>
      </c>
      <c r="F654" s="22" t="str">
        <f t="shared" si="33"/>
        <v/>
      </c>
      <c r="G654" s="23" t="s">
        <v>167</v>
      </c>
      <c r="H654" s="23" t="s">
        <v>183</v>
      </c>
      <c r="I654" s="23" t="s">
        <v>2</v>
      </c>
      <c r="J654" t="s">
        <v>105</v>
      </c>
      <c r="K654" s="22" t="e">
        <f t="shared" si="34"/>
        <v>#N/A</v>
      </c>
      <c r="L654" s="22" t="str">
        <f t="shared" si="35"/>
        <v/>
      </c>
    </row>
    <row r="655" spans="1:12" x14ac:dyDescent="0.25">
      <c r="A655">
        <v>9</v>
      </c>
      <c r="B655">
        <v>1</v>
      </c>
      <c r="C655">
        <v>18</v>
      </c>
      <c r="D655">
        <v>12</v>
      </c>
      <c r="E655" t="b">
        <v>0</v>
      </c>
      <c r="F655" s="22" t="str">
        <f t="shared" si="33"/>
        <v/>
      </c>
      <c r="G655" s="23" t="s">
        <v>167</v>
      </c>
      <c r="H655" s="23" t="s">
        <v>184</v>
      </c>
      <c r="I655" s="23" t="s">
        <v>2</v>
      </c>
      <c r="J655" t="s">
        <v>106</v>
      </c>
      <c r="K655" s="22" t="e">
        <f t="shared" si="34"/>
        <v>#N/A</v>
      </c>
      <c r="L655" s="22" t="str">
        <f t="shared" si="35"/>
        <v/>
      </c>
    </row>
    <row r="656" spans="1:12" x14ac:dyDescent="0.25">
      <c r="A656">
        <v>9</v>
      </c>
      <c r="B656">
        <v>1</v>
      </c>
      <c r="C656">
        <v>18</v>
      </c>
      <c r="D656">
        <v>13</v>
      </c>
      <c r="E656" t="b">
        <v>0</v>
      </c>
      <c r="F656" s="22" t="str">
        <f t="shared" si="33"/>
        <v/>
      </c>
      <c r="G656" s="23" t="s">
        <v>167</v>
      </c>
      <c r="H656" s="23" t="s">
        <v>185</v>
      </c>
      <c r="I656" s="23" t="s">
        <v>2</v>
      </c>
      <c r="J656" t="s">
        <v>107</v>
      </c>
      <c r="K656" s="22" t="e">
        <f t="shared" si="34"/>
        <v>#N/A</v>
      </c>
      <c r="L656" s="22" t="str">
        <f t="shared" si="35"/>
        <v/>
      </c>
    </row>
    <row r="657" spans="1:12" x14ac:dyDescent="0.25">
      <c r="A657">
        <v>9</v>
      </c>
      <c r="B657">
        <v>1</v>
      </c>
      <c r="C657">
        <v>18</v>
      </c>
      <c r="D657">
        <v>14</v>
      </c>
      <c r="E657" t="b">
        <v>0</v>
      </c>
      <c r="F657" s="22" t="str">
        <f t="shared" si="33"/>
        <v/>
      </c>
      <c r="G657" s="23" t="s">
        <v>167</v>
      </c>
      <c r="H657" s="23" t="s">
        <v>186</v>
      </c>
      <c r="I657" s="23" t="s">
        <v>2</v>
      </c>
      <c r="J657" t="s">
        <v>108</v>
      </c>
      <c r="K657" s="22" t="e">
        <f t="shared" si="34"/>
        <v>#N/A</v>
      </c>
      <c r="L657" s="22" t="str">
        <f t="shared" si="35"/>
        <v/>
      </c>
    </row>
    <row r="658" spans="1:12" x14ac:dyDescent="0.25">
      <c r="A658">
        <v>9</v>
      </c>
      <c r="B658">
        <v>1</v>
      </c>
      <c r="C658">
        <v>18</v>
      </c>
      <c r="D658">
        <v>15</v>
      </c>
      <c r="E658" t="b">
        <v>0</v>
      </c>
      <c r="F658" s="22" t="str">
        <f t="shared" si="33"/>
        <v/>
      </c>
      <c r="G658" s="23" t="s">
        <v>167</v>
      </c>
      <c r="H658" s="23" t="s">
        <v>187</v>
      </c>
      <c r="I658" s="23" t="s">
        <v>2</v>
      </c>
      <c r="J658" t="s">
        <v>109</v>
      </c>
      <c r="K658" s="22" t="e">
        <f t="shared" si="34"/>
        <v>#N/A</v>
      </c>
      <c r="L658" s="22" t="str">
        <f t="shared" si="35"/>
        <v/>
      </c>
    </row>
    <row r="659" spans="1:12" x14ac:dyDescent="0.25">
      <c r="A659">
        <v>9</v>
      </c>
      <c r="B659">
        <v>1</v>
      </c>
      <c r="C659">
        <v>18</v>
      </c>
      <c r="D659">
        <v>16</v>
      </c>
      <c r="E659" t="b">
        <v>0</v>
      </c>
      <c r="F659" s="22" t="str">
        <f t="shared" si="33"/>
        <v/>
      </c>
      <c r="G659" s="23" t="s">
        <v>167</v>
      </c>
      <c r="H659" s="23" t="s">
        <v>188</v>
      </c>
      <c r="I659" s="23" t="s">
        <v>2</v>
      </c>
      <c r="J659" t="s">
        <v>110</v>
      </c>
      <c r="K659" s="22" t="e">
        <f t="shared" si="34"/>
        <v>#N/A</v>
      </c>
      <c r="L659" s="22" t="str">
        <f t="shared" si="35"/>
        <v/>
      </c>
    </row>
    <row r="660" spans="1:12" x14ac:dyDescent="0.25">
      <c r="A660">
        <v>9</v>
      </c>
      <c r="B660">
        <v>1</v>
      </c>
      <c r="C660">
        <v>18</v>
      </c>
      <c r="D660">
        <v>17</v>
      </c>
      <c r="E660" t="b">
        <v>0</v>
      </c>
      <c r="F660" s="22" t="str">
        <f t="shared" si="33"/>
        <v/>
      </c>
      <c r="G660" s="23" t="s">
        <v>167</v>
      </c>
      <c r="H660" s="23" t="s">
        <v>189</v>
      </c>
      <c r="I660" s="23" t="s">
        <v>2</v>
      </c>
      <c r="J660" t="s">
        <v>23</v>
      </c>
      <c r="K660" s="22" t="e">
        <f t="shared" si="34"/>
        <v>#N/A</v>
      </c>
      <c r="L660" s="22" t="str">
        <f t="shared" si="35"/>
        <v/>
      </c>
    </row>
    <row r="661" spans="1:12" x14ac:dyDescent="0.25">
      <c r="A661">
        <v>9</v>
      </c>
      <c r="B661">
        <v>1</v>
      </c>
      <c r="C661">
        <v>18</v>
      </c>
      <c r="D661">
        <v>18</v>
      </c>
      <c r="E661" t="b">
        <v>1</v>
      </c>
      <c r="F661" s="22" t="str">
        <f t="shared" si="33"/>
        <v/>
      </c>
      <c r="G661" s="23" t="s">
        <v>167</v>
      </c>
      <c r="H661" s="23" t="s">
        <v>190</v>
      </c>
      <c r="I661" s="23" t="s">
        <v>2</v>
      </c>
      <c r="J661" t="s">
        <v>24</v>
      </c>
      <c r="K661" s="22" t="e">
        <f t="shared" si="34"/>
        <v>#N/A</v>
      </c>
      <c r="L661" s="22" t="str">
        <f t="shared" si="35"/>
        <v/>
      </c>
    </row>
    <row r="662" spans="1:12" x14ac:dyDescent="0.25">
      <c r="A662">
        <v>9</v>
      </c>
      <c r="B662">
        <v>2</v>
      </c>
      <c r="C662">
        <v>16</v>
      </c>
      <c r="D662">
        <v>1</v>
      </c>
      <c r="E662" t="b">
        <v>0</v>
      </c>
      <c r="F662" s="22" t="str">
        <f t="shared" si="33"/>
        <v/>
      </c>
      <c r="G662" s="23" t="s">
        <v>165</v>
      </c>
      <c r="H662" s="23" t="s">
        <v>191</v>
      </c>
      <c r="I662" s="23" t="s">
        <v>9</v>
      </c>
      <c r="J662" t="s">
        <v>10</v>
      </c>
      <c r="K662" s="22" t="e">
        <f t="shared" si="34"/>
        <v>#N/A</v>
      </c>
      <c r="L662" s="22" t="str">
        <f t="shared" si="35"/>
        <v/>
      </c>
    </row>
    <row r="663" spans="1:12" x14ac:dyDescent="0.25">
      <c r="A663">
        <v>9</v>
      </c>
      <c r="B663">
        <v>2</v>
      </c>
      <c r="C663">
        <v>16</v>
      </c>
      <c r="D663">
        <v>2</v>
      </c>
      <c r="E663" t="b">
        <v>0</v>
      </c>
      <c r="F663" s="22" t="str">
        <f t="shared" si="33"/>
        <v/>
      </c>
      <c r="G663" s="23" t="s">
        <v>165</v>
      </c>
      <c r="H663" s="23" t="s">
        <v>192</v>
      </c>
      <c r="I663" s="23" t="s">
        <v>9</v>
      </c>
      <c r="J663" t="s">
        <v>11</v>
      </c>
      <c r="K663" s="22" t="e">
        <f t="shared" si="34"/>
        <v>#N/A</v>
      </c>
      <c r="L663" s="22" t="str">
        <f t="shared" si="35"/>
        <v/>
      </c>
    </row>
    <row r="664" spans="1:12" x14ac:dyDescent="0.25">
      <c r="A664">
        <v>9</v>
      </c>
      <c r="B664">
        <v>2</v>
      </c>
      <c r="C664">
        <v>16</v>
      </c>
      <c r="D664">
        <v>3</v>
      </c>
      <c r="E664" t="b">
        <v>0</v>
      </c>
      <c r="F664" s="22" t="str">
        <f t="shared" si="33"/>
        <v/>
      </c>
      <c r="G664" s="23" t="s">
        <v>165</v>
      </c>
      <c r="H664" s="23" t="s">
        <v>193</v>
      </c>
      <c r="I664" s="23" t="s">
        <v>9</v>
      </c>
      <c r="J664" t="s">
        <v>12</v>
      </c>
      <c r="K664" s="22" t="e">
        <f t="shared" si="34"/>
        <v>#N/A</v>
      </c>
      <c r="L664" s="22" t="str">
        <f t="shared" si="35"/>
        <v/>
      </c>
    </row>
    <row r="665" spans="1:12" x14ac:dyDescent="0.25">
      <c r="A665">
        <v>9</v>
      </c>
      <c r="B665">
        <v>2</v>
      </c>
      <c r="C665">
        <v>16</v>
      </c>
      <c r="D665">
        <v>4</v>
      </c>
      <c r="E665" t="b">
        <v>0</v>
      </c>
      <c r="F665" s="22" t="str">
        <f t="shared" si="33"/>
        <v/>
      </c>
      <c r="G665" s="23" t="s">
        <v>165</v>
      </c>
      <c r="H665" s="23" t="s">
        <v>194</v>
      </c>
      <c r="I665" s="23" t="s">
        <v>9</v>
      </c>
      <c r="J665" t="s">
        <v>13</v>
      </c>
      <c r="K665" s="22" t="e">
        <f t="shared" si="34"/>
        <v>#N/A</v>
      </c>
      <c r="L665" s="22" t="str">
        <f t="shared" si="35"/>
        <v/>
      </c>
    </row>
    <row r="666" spans="1:12" x14ac:dyDescent="0.25">
      <c r="A666">
        <v>9</v>
      </c>
      <c r="B666">
        <v>2</v>
      </c>
      <c r="C666">
        <v>16</v>
      </c>
      <c r="D666">
        <v>5</v>
      </c>
      <c r="E666" t="b">
        <v>0</v>
      </c>
      <c r="F666" s="22" t="str">
        <f t="shared" si="33"/>
        <v/>
      </c>
      <c r="G666" s="23" t="s">
        <v>165</v>
      </c>
      <c r="H666" s="23" t="s">
        <v>195</v>
      </c>
      <c r="I666" s="23" t="s">
        <v>9</v>
      </c>
      <c r="J666" t="s">
        <v>14</v>
      </c>
      <c r="K666" s="22" t="e">
        <f t="shared" si="34"/>
        <v>#N/A</v>
      </c>
      <c r="L666" s="22" t="str">
        <f t="shared" si="35"/>
        <v/>
      </c>
    </row>
    <row r="667" spans="1:12" x14ac:dyDescent="0.25">
      <c r="A667">
        <v>9</v>
      </c>
      <c r="B667">
        <v>2</v>
      </c>
      <c r="C667">
        <v>16</v>
      </c>
      <c r="D667">
        <v>6</v>
      </c>
      <c r="E667" t="b">
        <v>0</v>
      </c>
      <c r="F667" s="22" t="str">
        <f t="shared" si="33"/>
        <v/>
      </c>
      <c r="G667" s="23" t="s">
        <v>165</v>
      </c>
      <c r="H667" s="23" t="s">
        <v>196</v>
      </c>
      <c r="I667" s="23" t="s">
        <v>9</v>
      </c>
      <c r="J667" t="s">
        <v>15</v>
      </c>
      <c r="K667" s="22" t="e">
        <f t="shared" si="34"/>
        <v>#N/A</v>
      </c>
      <c r="L667" s="22" t="str">
        <f t="shared" si="35"/>
        <v/>
      </c>
    </row>
    <row r="668" spans="1:12" x14ac:dyDescent="0.25">
      <c r="A668">
        <v>9</v>
      </c>
      <c r="B668">
        <v>2</v>
      </c>
      <c r="C668">
        <v>16</v>
      </c>
      <c r="D668">
        <v>7</v>
      </c>
      <c r="E668" t="b">
        <v>0</v>
      </c>
      <c r="F668" s="22" t="str">
        <f t="shared" si="33"/>
        <v/>
      </c>
      <c r="G668" s="23" t="s">
        <v>165</v>
      </c>
      <c r="H668" s="23" t="s">
        <v>197</v>
      </c>
      <c r="I668" s="23" t="s">
        <v>9</v>
      </c>
      <c r="J668" t="s">
        <v>16</v>
      </c>
      <c r="K668" s="22" t="e">
        <f t="shared" si="34"/>
        <v>#N/A</v>
      </c>
      <c r="L668" s="22" t="str">
        <f t="shared" si="35"/>
        <v/>
      </c>
    </row>
    <row r="669" spans="1:12" x14ac:dyDescent="0.25">
      <c r="A669">
        <v>9</v>
      </c>
      <c r="B669">
        <v>2</v>
      </c>
      <c r="C669">
        <v>16</v>
      </c>
      <c r="D669">
        <v>8</v>
      </c>
      <c r="E669" t="b">
        <v>0</v>
      </c>
      <c r="F669" s="22" t="str">
        <f t="shared" si="33"/>
        <v/>
      </c>
      <c r="G669" s="23" t="s">
        <v>165</v>
      </c>
      <c r="H669" s="23" t="s">
        <v>198</v>
      </c>
      <c r="I669" s="23" t="s">
        <v>9</v>
      </c>
      <c r="J669" t="s">
        <v>17</v>
      </c>
      <c r="K669" s="22" t="e">
        <f t="shared" si="34"/>
        <v>#N/A</v>
      </c>
      <c r="L669" s="22" t="str">
        <f t="shared" si="35"/>
        <v/>
      </c>
    </row>
    <row r="670" spans="1:12" x14ac:dyDescent="0.25">
      <c r="A670">
        <v>9</v>
      </c>
      <c r="B670">
        <v>2</v>
      </c>
      <c r="C670">
        <v>16</v>
      </c>
      <c r="D670">
        <v>9</v>
      </c>
      <c r="E670" t="b">
        <v>0</v>
      </c>
      <c r="F670" s="22" t="str">
        <f t="shared" si="33"/>
        <v/>
      </c>
      <c r="G670" s="23" t="s">
        <v>165</v>
      </c>
      <c r="H670" s="23" t="s">
        <v>199</v>
      </c>
      <c r="I670" s="23" t="s">
        <v>9</v>
      </c>
      <c r="J670" t="s">
        <v>18</v>
      </c>
      <c r="K670" s="22" t="e">
        <f t="shared" si="34"/>
        <v>#N/A</v>
      </c>
      <c r="L670" s="22" t="str">
        <f t="shared" si="35"/>
        <v/>
      </c>
    </row>
    <row r="671" spans="1:12" x14ac:dyDescent="0.25">
      <c r="A671">
        <v>9</v>
      </c>
      <c r="B671">
        <v>2</v>
      </c>
      <c r="C671">
        <v>16</v>
      </c>
      <c r="D671">
        <v>10</v>
      </c>
      <c r="E671" t="b">
        <v>0</v>
      </c>
      <c r="F671" s="22" t="str">
        <f t="shared" si="33"/>
        <v/>
      </c>
      <c r="G671" s="23" t="s">
        <v>165</v>
      </c>
      <c r="H671" s="23" t="s">
        <v>200</v>
      </c>
      <c r="I671" s="23" t="s">
        <v>9</v>
      </c>
      <c r="J671" t="s">
        <v>19</v>
      </c>
      <c r="K671" s="22" t="e">
        <f t="shared" si="34"/>
        <v>#N/A</v>
      </c>
      <c r="L671" s="22" t="str">
        <f t="shared" si="35"/>
        <v/>
      </c>
    </row>
    <row r="672" spans="1:12" x14ac:dyDescent="0.25">
      <c r="A672">
        <v>9</v>
      </c>
      <c r="B672">
        <v>2</v>
      </c>
      <c r="C672">
        <v>16</v>
      </c>
      <c r="D672">
        <v>11</v>
      </c>
      <c r="E672" t="b">
        <v>0</v>
      </c>
      <c r="F672" s="22" t="str">
        <f t="shared" si="33"/>
        <v/>
      </c>
      <c r="G672" s="23" t="s">
        <v>165</v>
      </c>
      <c r="H672" s="23" t="s">
        <v>201</v>
      </c>
      <c r="I672" s="23" t="s">
        <v>9</v>
      </c>
      <c r="J672" t="s">
        <v>20</v>
      </c>
      <c r="K672" s="22" t="e">
        <f t="shared" si="34"/>
        <v>#N/A</v>
      </c>
      <c r="L672" s="22" t="str">
        <f t="shared" si="35"/>
        <v/>
      </c>
    </row>
    <row r="673" spans="1:12" x14ac:dyDescent="0.25">
      <c r="A673">
        <v>9</v>
      </c>
      <c r="B673">
        <v>2</v>
      </c>
      <c r="C673">
        <v>16</v>
      </c>
      <c r="D673">
        <v>12</v>
      </c>
      <c r="E673" t="b">
        <v>0</v>
      </c>
      <c r="F673" s="22" t="str">
        <f t="shared" si="33"/>
        <v/>
      </c>
      <c r="G673" s="23" t="s">
        <v>165</v>
      </c>
      <c r="H673" s="23" t="s">
        <v>202</v>
      </c>
      <c r="I673" s="23" t="s">
        <v>9</v>
      </c>
      <c r="J673" t="s">
        <v>21</v>
      </c>
      <c r="K673" s="22" t="e">
        <f t="shared" si="34"/>
        <v>#N/A</v>
      </c>
      <c r="L673" s="22" t="str">
        <f t="shared" si="35"/>
        <v/>
      </c>
    </row>
    <row r="674" spans="1:12" x14ac:dyDescent="0.25">
      <c r="A674">
        <v>9</v>
      </c>
      <c r="B674">
        <v>2</v>
      </c>
      <c r="C674">
        <v>16</v>
      </c>
      <c r="D674">
        <v>13</v>
      </c>
      <c r="E674" t="b">
        <v>0</v>
      </c>
      <c r="F674" s="22" t="str">
        <f t="shared" si="33"/>
        <v/>
      </c>
      <c r="G674" s="23" t="s">
        <v>165</v>
      </c>
      <c r="H674" s="23" t="s">
        <v>203</v>
      </c>
      <c r="I674" s="23" t="s">
        <v>9</v>
      </c>
      <c r="J674" t="s">
        <v>22</v>
      </c>
      <c r="K674" s="22" t="e">
        <f t="shared" si="34"/>
        <v>#N/A</v>
      </c>
      <c r="L674" s="22" t="str">
        <f t="shared" si="35"/>
        <v/>
      </c>
    </row>
    <row r="675" spans="1:12" x14ac:dyDescent="0.25">
      <c r="A675">
        <v>9</v>
      </c>
      <c r="B675">
        <v>2</v>
      </c>
      <c r="C675">
        <v>16</v>
      </c>
      <c r="D675">
        <v>14</v>
      </c>
      <c r="E675" t="b">
        <v>0</v>
      </c>
      <c r="F675" s="22" t="str">
        <f t="shared" si="33"/>
        <v/>
      </c>
      <c r="G675" s="23" t="s">
        <v>165</v>
      </c>
      <c r="H675" s="23" t="s">
        <v>204</v>
      </c>
      <c r="I675" s="23" t="s">
        <v>9</v>
      </c>
      <c r="J675" t="s">
        <v>111</v>
      </c>
      <c r="K675" s="22" t="e">
        <f t="shared" si="34"/>
        <v>#N/A</v>
      </c>
      <c r="L675" s="22" t="str">
        <f t="shared" si="35"/>
        <v/>
      </c>
    </row>
    <row r="676" spans="1:12" x14ac:dyDescent="0.25">
      <c r="A676">
        <v>9</v>
      </c>
      <c r="B676">
        <v>2</v>
      </c>
      <c r="C676">
        <v>16</v>
      </c>
      <c r="D676">
        <v>15</v>
      </c>
      <c r="E676" t="b">
        <v>0</v>
      </c>
      <c r="F676" s="22" t="str">
        <f t="shared" si="33"/>
        <v/>
      </c>
      <c r="G676" s="23" t="s">
        <v>165</v>
      </c>
      <c r="H676" s="23" t="s">
        <v>205</v>
      </c>
      <c r="I676" s="23" t="s">
        <v>9</v>
      </c>
      <c r="J676" t="s">
        <v>112</v>
      </c>
      <c r="K676" s="22" t="e">
        <f t="shared" si="34"/>
        <v>#N/A</v>
      </c>
      <c r="L676" s="22" t="str">
        <f t="shared" si="35"/>
        <v/>
      </c>
    </row>
    <row r="677" spans="1:12" x14ac:dyDescent="0.25">
      <c r="A677">
        <v>9</v>
      </c>
      <c r="B677">
        <v>2</v>
      </c>
      <c r="C677">
        <v>16</v>
      </c>
      <c r="D677">
        <v>16</v>
      </c>
      <c r="E677" t="b">
        <v>1</v>
      </c>
      <c r="F677" s="22" t="str">
        <f t="shared" si="33"/>
        <v/>
      </c>
      <c r="G677" s="23" t="s">
        <v>165</v>
      </c>
      <c r="H677" s="23" t="s">
        <v>206</v>
      </c>
      <c r="I677" s="23" t="s">
        <v>9</v>
      </c>
      <c r="J677" t="s">
        <v>113</v>
      </c>
      <c r="K677" s="22" t="e">
        <f t="shared" si="34"/>
        <v>#N/A</v>
      </c>
      <c r="L677" s="22" t="str">
        <f t="shared" si="35"/>
        <v/>
      </c>
    </row>
    <row r="678" spans="1:12" x14ac:dyDescent="0.25">
      <c r="A678">
        <v>9</v>
      </c>
      <c r="B678">
        <v>3</v>
      </c>
      <c r="C678">
        <v>17</v>
      </c>
      <c r="D678">
        <v>1</v>
      </c>
      <c r="E678" t="b">
        <v>0</v>
      </c>
      <c r="F678" s="22" t="str">
        <f t="shared" si="33"/>
        <v/>
      </c>
      <c r="G678" s="23" t="s">
        <v>168</v>
      </c>
      <c r="H678" s="23" t="s">
        <v>207</v>
      </c>
      <c r="I678" s="23" t="s">
        <v>37</v>
      </c>
      <c r="J678" t="s">
        <v>114</v>
      </c>
      <c r="K678" s="22" t="e">
        <f t="shared" si="34"/>
        <v>#N/A</v>
      </c>
      <c r="L678" s="22" t="str">
        <f t="shared" si="35"/>
        <v/>
      </c>
    </row>
    <row r="679" spans="1:12" x14ac:dyDescent="0.25">
      <c r="A679">
        <v>9</v>
      </c>
      <c r="B679">
        <v>3</v>
      </c>
      <c r="C679">
        <v>17</v>
      </c>
      <c r="D679">
        <v>2</v>
      </c>
      <c r="E679" t="b">
        <v>0</v>
      </c>
      <c r="F679" s="22" t="str">
        <f t="shared" si="33"/>
        <v/>
      </c>
      <c r="G679" s="23" t="s">
        <v>168</v>
      </c>
      <c r="H679" s="23" t="s">
        <v>208</v>
      </c>
      <c r="I679" s="23" t="s">
        <v>37</v>
      </c>
      <c r="J679" t="s">
        <v>39</v>
      </c>
      <c r="K679" s="22" t="e">
        <f t="shared" si="34"/>
        <v>#N/A</v>
      </c>
      <c r="L679" s="22" t="str">
        <f t="shared" si="35"/>
        <v/>
      </c>
    </row>
    <row r="680" spans="1:12" x14ac:dyDescent="0.25">
      <c r="A680">
        <v>9</v>
      </c>
      <c r="B680">
        <v>3</v>
      </c>
      <c r="C680">
        <v>17</v>
      </c>
      <c r="D680">
        <v>3</v>
      </c>
      <c r="E680" t="b">
        <v>0</v>
      </c>
      <c r="F680" s="22" t="str">
        <f t="shared" si="33"/>
        <v/>
      </c>
      <c r="G680" s="23" t="s">
        <v>168</v>
      </c>
      <c r="H680" s="23" t="s">
        <v>209</v>
      </c>
      <c r="I680" s="23" t="s">
        <v>37</v>
      </c>
      <c r="J680" t="s">
        <v>40</v>
      </c>
      <c r="K680" s="22" t="e">
        <f t="shared" si="34"/>
        <v>#N/A</v>
      </c>
      <c r="L680" s="22" t="str">
        <f t="shared" si="35"/>
        <v/>
      </c>
    </row>
    <row r="681" spans="1:12" x14ac:dyDescent="0.25">
      <c r="A681">
        <v>9</v>
      </c>
      <c r="B681">
        <v>3</v>
      </c>
      <c r="C681">
        <v>17</v>
      </c>
      <c r="D681">
        <v>4</v>
      </c>
      <c r="E681" t="b">
        <v>0</v>
      </c>
      <c r="F681" s="22" t="str">
        <f t="shared" si="33"/>
        <v/>
      </c>
      <c r="G681" s="23" t="s">
        <v>168</v>
      </c>
      <c r="H681" s="23" t="s">
        <v>210</v>
      </c>
      <c r="I681" s="23" t="s">
        <v>37</v>
      </c>
      <c r="J681" t="s">
        <v>41</v>
      </c>
      <c r="K681" s="22" t="e">
        <f t="shared" si="34"/>
        <v>#N/A</v>
      </c>
      <c r="L681" s="22" t="str">
        <f t="shared" si="35"/>
        <v/>
      </c>
    </row>
    <row r="682" spans="1:12" x14ac:dyDescent="0.25">
      <c r="A682">
        <v>9</v>
      </c>
      <c r="B682">
        <v>3</v>
      </c>
      <c r="C682">
        <v>17</v>
      </c>
      <c r="D682">
        <v>5</v>
      </c>
      <c r="E682" t="b">
        <v>0</v>
      </c>
      <c r="F682" s="22" t="str">
        <f t="shared" si="33"/>
        <v/>
      </c>
      <c r="G682" s="23" t="s">
        <v>168</v>
      </c>
      <c r="H682" s="23" t="s">
        <v>211</v>
      </c>
      <c r="I682" s="23" t="s">
        <v>37</v>
      </c>
      <c r="J682" t="s">
        <v>38</v>
      </c>
      <c r="K682" s="22" t="e">
        <f t="shared" si="34"/>
        <v>#N/A</v>
      </c>
      <c r="L682" s="22" t="str">
        <f t="shared" si="35"/>
        <v/>
      </c>
    </row>
    <row r="683" spans="1:12" x14ac:dyDescent="0.25">
      <c r="A683">
        <v>9</v>
      </c>
      <c r="B683">
        <v>3</v>
      </c>
      <c r="C683">
        <v>17</v>
      </c>
      <c r="D683">
        <v>6</v>
      </c>
      <c r="E683" t="b">
        <v>0</v>
      </c>
      <c r="F683" s="22" t="str">
        <f t="shared" si="33"/>
        <v/>
      </c>
      <c r="G683" s="23" t="s">
        <v>168</v>
      </c>
      <c r="H683" s="23" t="s">
        <v>212</v>
      </c>
      <c r="I683" s="23" t="s">
        <v>37</v>
      </c>
      <c r="J683" t="s">
        <v>115</v>
      </c>
      <c r="K683" s="22" t="e">
        <f t="shared" si="34"/>
        <v>#N/A</v>
      </c>
      <c r="L683" s="22" t="str">
        <f t="shared" si="35"/>
        <v/>
      </c>
    </row>
    <row r="684" spans="1:12" x14ac:dyDescent="0.25">
      <c r="A684">
        <v>9</v>
      </c>
      <c r="B684">
        <v>3</v>
      </c>
      <c r="C684">
        <v>17</v>
      </c>
      <c r="D684">
        <v>7</v>
      </c>
      <c r="E684" t="b">
        <v>0</v>
      </c>
      <c r="F684" s="22" t="str">
        <f t="shared" si="33"/>
        <v/>
      </c>
      <c r="G684" s="23" t="s">
        <v>168</v>
      </c>
      <c r="H684" s="23" t="s">
        <v>213</v>
      </c>
      <c r="I684" s="23" t="s">
        <v>37</v>
      </c>
      <c r="J684" t="s">
        <v>116</v>
      </c>
      <c r="K684" s="22" t="e">
        <f t="shared" si="34"/>
        <v>#N/A</v>
      </c>
      <c r="L684" s="22" t="str">
        <f t="shared" si="35"/>
        <v/>
      </c>
    </row>
    <row r="685" spans="1:12" x14ac:dyDescent="0.25">
      <c r="A685">
        <v>9</v>
      </c>
      <c r="B685">
        <v>3</v>
      </c>
      <c r="C685">
        <v>17</v>
      </c>
      <c r="D685">
        <v>8</v>
      </c>
      <c r="E685" t="b">
        <v>0</v>
      </c>
      <c r="F685" s="22" t="str">
        <f t="shared" si="33"/>
        <v/>
      </c>
      <c r="G685" s="23" t="s">
        <v>168</v>
      </c>
      <c r="H685" s="23" t="s">
        <v>214</v>
      </c>
      <c r="I685" s="23" t="s">
        <v>37</v>
      </c>
      <c r="J685" t="s">
        <v>126</v>
      </c>
      <c r="K685" s="22" t="e">
        <f t="shared" si="34"/>
        <v>#N/A</v>
      </c>
      <c r="L685" s="22" t="str">
        <f t="shared" si="35"/>
        <v/>
      </c>
    </row>
    <row r="686" spans="1:12" x14ac:dyDescent="0.25">
      <c r="A686">
        <v>9</v>
      </c>
      <c r="B686">
        <v>3</v>
      </c>
      <c r="C686">
        <v>17</v>
      </c>
      <c r="D686">
        <v>9</v>
      </c>
      <c r="E686" t="b">
        <v>0</v>
      </c>
      <c r="F686" s="22" t="str">
        <f t="shared" si="33"/>
        <v/>
      </c>
      <c r="G686" s="23" t="s">
        <v>168</v>
      </c>
      <c r="H686" s="23" t="s">
        <v>215</v>
      </c>
      <c r="I686" s="23" t="s">
        <v>37</v>
      </c>
      <c r="J686" t="s">
        <v>45</v>
      </c>
      <c r="K686" s="22" t="e">
        <f t="shared" si="34"/>
        <v>#N/A</v>
      </c>
      <c r="L686" s="22" t="str">
        <f t="shared" si="35"/>
        <v/>
      </c>
    </row>
    <row r="687" spans="1:12" x14ac:dyDescent="0.25">
      <c r="A687">
        <v>9</v>
      </c>
      <c r="B687">
        <v>3</v>
      </c>
      <c r="C687">
        <v>17</v>
      </c>
      <c r="D687">
        <v>10</v>
      </c>
      <c r="E687" t="b">
        <v>0</v>
      </c>
      <c r="F687" s="22" t="str">
        <f t="shared" si="33"/>
        <v/>
      </c>
      <c r="G687" s="23" t="s">
        <v>168</v>
      </c>
      <c r="H687" s="23" t="s">
        <v>216</v>
      </c>
      <c r="I687" s="23" t="s">
        <v>37</v>
      </c>
      <c r="J687" t="s">
        <v>117</v>
      </c>
      <c r="K687" s="22" t="e">
        <f t="shared" si="34"/>
        <v>#N/A</v>
      </c>
      <c r="L687" s="22" t="str">
        <f t="shared" si="35"/>
        <v/>
      </c>
    </row>
    <row r="688" spans="1:12" x14ac:dyDescent="0.25">
      <c r="A688">
        <v>9</v>
      </c>
      <c r="B688">
        <v>3</v>
      </c>
      <c r="C688">
        <v>17</v>
      </c>
      <c r="D688">
        <v>11</v>
      </c>
      <c r="E688" t="b">
        <v>0</v>
      </c>
      <c r="F688" s="22" t="str">
        <f t="shared" si="33"/>
        <v/>
      </c>
      <c r="G688" s="23" t="s">
        <v>168</v>
      </c>
      <c r="H688" s="23" t="s">
        <v>217</v>
      </c>
      <c r="I688" s="23" t="s">
        <v>37</v>
      </c>
      <c r="J688" t="s">
        <v>118</v>
      </c>
      <c r="K688" s="22" t="e">
        <f t="shared" si="34"/>
        <v>#N/A</v>
      </c>
      <c r="L688" s="22" t="str">
        <f t="shared" si="35"/>
        <v/>
      </c>
    </row>
    <row r="689" spans="1:12" x14ac:dyDescent="0.25">
      <c r="A689">
        <v>9</v>
      </c>
      <c r="B689">
        <v>3</v>
      </c>
      <c r="C689">
        <v>17</v>
      </c>
      <c r="D689">
        <v>12</v>
      </c>
      <c r="E689" t="b">
        <v>0</v>
      </c>
      <c r="F689" s="22" t="str">
        <f t="shared" si="33"/>
        <v/>
      </c>
      <c r="G689" s="23" t="s">
        <v>168</v>
      </c>
      <c r="H689" s="23" t="s">
        <v>218</v>
      </c>
      <c r="I689" s="23" t="s">
        <v>37</v>
      </c>
      <c r="J689" t="s">
        <v>119</v>
      </c>
      <c r="K689" s="22" t="e">
        <f t="shared" si="34"/>
        <v>#N/A</v>
      </c>
      <c r="L689" s="22" t="str">
        <f t="shared" si="35"/>
        <v/>
      </c>
    </row>
    <row r="690" spans="1:12" x14ac:dyDescent="0.25">
      <c r="A690">
        <v>9</v>
      </c>
      <c r="B690">
        <v>3</v>
      </c>
      <c r="C690">
        <v>17</v>
      </c>
      <c r="D690">
        <v>13</v>
      </c>
      <c r="E690" t="b">
        <v>0</v>
      </c>
      <c r="F690" s="22" t="str">
        <f t="shared" si="33"/>
        <v/>
      </c>
      <c r="G690" s="23" t="s">
        <v>168</v>
      </c>
      <c r="H690" s="23" t="s">
        <v>219</v>
      </c>
      <c r="I690" s="23" t="s">
        <v>37</v>
      </c>
      <c r="J690" t="s">
        <v>127</v>
      </c>
      <c r="K690" s="22" t="e">
        <f t="shared" si="34"/>
        <v>#N/A</v>
      </c>
      <c r="L690" s="22" t="str">
        <f t="shared" si="35"/>
        <v/>
      </c>
    </row>
    <row r="691" spans="1:12" x14ac:dyDescent="0.25">
      <c r="A691">
        <v>9</v>
      </c>
      <c r="B691">
        <v>3</v>
      </c>
      <c r="C691">
        <v>17</v>
      </c>
      <c r="D691">
        <v>14</v>
      </c>
      <c r="E691" t="b">
        <v>0</v>
      </c>
      <c r="F691" s="22" t="str">
        <f t="shared" si="33"/>
        <v/>
      </c>
      <c r="G691" s="23" t="s">
        <v>168</v>
      </c>
      <c r="H691" s="23" t="s">
        <v>220</v>
      </c>
      <c r="I691" s="23" t="s">
        <v>37</v>
      </c>
      <c r="J691" t="s">
        <v>120</v>
      </c>
      <c r="K691" s="22" t="e">
        <f t="shared" si="34"/>
        <v>#N/A</v>
      </c>
      <c r="L691" s="22" t="str">
        <f t="shared" si="35"/>
        <v/>
      </c>
    </row>
    <row r="692" spans="1:12" x14ac:dyDescent="0.25">
      <c r="A692">
        <v>9</v>
      </c>
      <c r="B692">
        <v>3</v>
      </c>
      <c r="C692">
        <v>17</v>
      </c>
      <c r="D692">
        <v>15</v>
      </c>
      <c r="E692" t="b">
        <v>0</v>
      </c>
      <c r="F692" s="22" t="str">
        <f t="shared" si="33"/>
        <v/>
      </c>
      <c r="G692" s="23" t="s">
        <v>168</v>
      </c>
      <c r="H692" s="23" t="s">
        <v>221</v>
      </c>
      <c r="I692" s="23" t="s">
        <v>37</v>
      </c>
      <c r="J692" t="s">
        <v>42</v>
      </c>
      <c r="K692" s="22" t="e">
        <f t="shared" si="34"/>
        <v>#N/A</v>
      </c>
      <c r="L692" s="22" t="str">
        <f t="shared" si="35"/>
        <v/>
      </c>
    </row>
    <row r="693" spans="1:12" x14ac:dyDescent="0.25">
      <c r="A693">
        <v>9</v>
      </c>
      <c r="B693">
        <v>3</v>
      </c>
      <c r="C693">
        <v>17</v>
      </c>
      <c r="D693">
        <v>16</v>
      </c>
      <c r="E693" t="b">
        <v>0</v>
      </c>
      <c r="F693" s="22" t="str">
        <f t="shared" si="33"/>
        <v/>
      </c>
      <c r="G693" s="23" t="s">
        <v>168</v>
      </c>
      <c r="H693" s="23" t="s">
        <v>222</v>
      </c>
      <c r="I693" s="23" t="s">
        <v>37</v>
      </c>
      <c r="J693" t="s">
        <v>121</v>
      </c>
      <c r="K693" s="22" t="e">
        <f t="shared" si="34"/>
        <v>#N/A</v>
      </c>
      <c r="L693" s="22" t="str">
        <f t="shared" si="35"/>
        <v/>
      </c>
    </row>
    <row r="694" spans="1:12" x14ac:dyDescent="0.25">
      <c r="A694">
        <v>9</v>
      </c>
      <c r="B694">
        <v>3</v>
      </c>
      <c r="C694">
        <v>17</v>
      </c>
      <c r="D694">
        <v>17</v>
      </c>
      <c r="E694" t="b">
        <v>1</v>
      </c>
      <c r="F694" s="22" t="str">
        <f t="shared" si="33"/>
        <v/>
      </c>
      <c r="G694" s="23" t="s">
        <v>168</v>
      </c>
      <c r="H694" s="23" t="s">
        <v>223</v>
      </c>
      <c r="I694" s="23" t="s">
        <v>37</v>
      </c>
      <c r="J694" t="s">
        <v>44</v>
      </c>
      <c r="K694" s="22" t="e">
        <f t="shared" si="34"/>
        <v>#N/A</v>
      </c>
      <c r="L694" s="22" t="str">
        <f t="shared" si="35"/>
        <v/>
      </c>
    </row>
    <row r="695" spans="1:12" x14ac:dyDescent="0.25">
      <c r="A695">
        <v>9</v>
      </c>
      <c r="B695">
        <v>4</v>
      </c>
      <c r="C695">
        <v>9</v>
      </c>
      <c r="D695">
        <v>1</v>
      </c>
      <c r="E695" t="b">
        <v>0</v>
      </c>
      <c r="F695" s="22" t="str">
        <f t="shared" si="33"/>
        <v/>
      </c>
      <c r="G695" s="23" t="s">
        <v>169</v>
      </c>
      <c r="H695" s="23" t="s">
        <v>224</v>
      </c>
      <c r="I695" s="23" t="s">
        <v>25</v>
      </c>
      <c r="J695" t="s">
        <v>122</v>
      </c>
      <c r="K695" s="22" t="e">
        <f t="shared" si="34"/>
        <v>#N/A</v>
      </c>
      <c r="L695" s="22" t="str">
        <f t="shared" si="35"/>
        <v/>
      </c>
    </row>
    <row r="696" spans="1:12" x14ac:dyDescent="0.25">
      <c r="A696">
        <v>9</v>
      </c>
      <c r="B696">
        <v>4</v>
      </c>
      <c r="C696">
        <v>9</v>
      </c>
      <c r="D696">
        <v>2</v>
      </c>
      <c r="E696" t="b">
        <v>0</v>
      </c>
      <c r="F696" s="22" t="str">
        <f t="shared" si="33"/>
        <v/>
      </c>
      <c r="G696" s="23" t="s">
        <v>169</v>
      </c>
      <c r="H696" s="23" t="s">
        <v>225</v>
      </c>
      <c r="I696" s="23" t="s">
        <v>25</v>
      </c>
      <c r="J696" t="s">
        <v>26</v>
      </c>
      <c r="K696" s="22" t="e">
        <f t="shared" si="34"/>
        <v>#N/A</v>
      </c>
      <c r="L696" s="22" t="str">
        <f t="shared" si="35"/>
        <v/>
      </c>
    </row>
    <row r="697" spans="1:12" x14ac:dyDescent="0.25">
      <c r="A697">
        <v>9</v>
      </c>
      <c r="B697">
        <v>4</v>
      </c>
      <c r="C697">
        <v>9</v>
      </c>
      <c r="D697">
        <v>3</v>
      </c>
      <c r="E697" t="b">
        <v>0</v>
      </c>
      <c r="F697" s="22" t="str">
        <f t="shared" si="33"/>
        <v/>
      </c>
      <c r="G697" s="23" t="s">
        <v>169</v>
      </c>
      <c r="H697" s="23" t="s">
        <v>226</v>
      </c>
      <c r="I697" s="23" t="s">
        <v>25</v>
      </c>
      <c r="J697" t="s">
        <v>27</v>
      </c>
      <c r="K697" s="22" t="e">
        <f t="shared" si="34"/>
        <v>#N/A</v>
      </c>
      <c r="L697" s="22" t="str">
        <f t="shared" si="35"/>
        <v/>
      </c>
    </row>
    <row r="698" spans="1:12" x14ac:dyDescent="0.25">
      <c r="A698">
        <v>9</v>
      </c>
      <c r="B698">
        <v>4</v>
      </c>
      <c r="C698">
        <v>9</v>
      </c>
      <c r="D698">
        <v>4</v>
      </c>
      <c r="E698" t="b">
        <v>0</v>
      </c>
      <c r="F698" s="22" t="str">
        <f t="shared" si="33"/>
        <v/>
      </c>
      <c r="G698" s="23" t="s">
        <v>169</v>
      </c>
      <c r="H698" s="23" t="s">
        <v>227</v>
      </c>
      <c r="I698" s="23" t="s">
        <v>25</v>
      </c>
      <c r="J698" t="s">
        <v>28</v>
      </c>
      <c r="K698" s="22" t="e">
        <f t="shared" si="34"/>
        <v>#N/A</v>
      </c>
      <c r="L698" s="22" t="str">
        <f t="shared" si="35"/>
        <v/>
      </c>
    </row>
    <row r="699" spans="1:12" x14ac:dyDescent="0.25">
      <c r="A699">
        <v>9</v>
      </c>
      <c r="B699">
        <v>4</v>
      </c>
      <c r="C699">
        <v>9</v>
      </c>
      <c r="D699">
        <v>5</v>
      </c>
      <c r="E699" t="b">
        <v>0</v>
      </c>
      <c r="F699" s="22" t="str">
        <f t="shared" si="33"/>
        <v/>
      </c>
      <c r="G699" s="23" t="s">
        <v>169</v>
      </c>
      <c r="H699" s="23" t="s">
        <v>228</v>
      </c>
      <c r="I699" s="23" t="s">
        <v>25</v>
      </c>
      <c r="J699" t="s">
        <v>128</v>
      </c>
      <c r="K699" s="22" t="e">
        <f t="shared" si="34"/>
        <v>#N/A</v>
      </c>
      <c r="L699" s="22" t="str">
        <f t="shared" si="35"/>
        <v/>
      </c>
    </row>
    <row r="700" spans="1:12" x14ac:dyDescent="0.25">
      <c r="A700">
        <v>9</v>
      </c>
      <c r="B700">
        <v>4</v>
      </c>
      <c r="C700">
        <v>9</v>
      </c>
      <c r="D700">
        <v>6</v>
      </c>
      <c r="E700" t="b">
        <v>0</v>
      </c>
      <c r="F700" s="22" t="str">
        <f t="shared" si="33"/>
        <v/>
      </c>
      <c r="G700" s="23" t="s">
        <v>169</v>
      </c>
      <c r="H700" s="23" t="s">
        <v>229</v>
      </c>
      <c r="I700" s="23" t="s">
        <v>25</v>
      </c>
      <c r="J700" t="s">
        <v>29</v>
      </c>
      <c r="K700" s="22" t="e">
        <f t="shared" si="34"/>
        <v>#N/A</v>
      </c>
      <c r="L700" s="22" t="str">
        <f t="shared" si="35"/>
        <v/>
      </c>
    </row>
    <row r="701" spans="1:12" x14ac:dyDescent="0.25">
      <c r="A701">
        <v>9</v>
      </c>
      <c r="B701">
        <v>4</v>
      </c>
      <c r="C701">
        <v>9</v>
      </c>
      <c r="D701">
        <v>7</v>
      </c>
      <c r="E701" t="b">
        <v>0</v>
      </c>
      <c r="F701" s="22" t="str">
        <f t="shared" si="33"/>
        <v/>
      </c>
      <c r="G701" s="23" t="s">
        <v>169</v>
      </c>
      <c r="H701" s="23" t="s">
        <v>230</v>
      </c>
      <c r="I701" s="23" t="s">
        <v>25</v>
      </c>
      <c r="J701" t="s">
        <v>30</v>
      </c>
      <c r="K701" s="22" t="e">
        <f t="shared" si="34"/>
        <v>#N/A</v>
      </c>
      <c r="L701" s="22" t="str">
        <f t="shared" si="35"/>
        <v/>
      </c>
    </row>
    <row r="702" spans="1:12" x14ac:dyDescent="0.25">
      <c r="A702">
        <v>9</v>
      </c>
      <c r="B702">
        <v>4</v>
      </c>
      <c r="C702">
        <v>9</v>
      </c>
      <c r="D702">
        <v>8</v>
      </c>
      <c r="E702" t="b">
        <v>0</v>
      </c>
      <c r="F702" s="22" t="str">
        <f t="shared" si="33"/>
        <v/>
      </c>
      <c r="G702" s="23" t="s">
        <v>169</v>
      </c>
      <c r="H702" s="23" t="s">
        <v>231</v>
      </c>
      <c r="I702" s="23" t="s">
        <v>25</v>
      </c>
      <c r="J702" t="s">
        <v>31</v>
      </c>
      <c r="K702" s="22" t="e">
        <f t="shared" si="34"/>
        <v>#N/A</v>
      </c>
      <c r="L702" s="22" t="str">
        <f t="shared" si="35"/>
        <v/>
      </c>
    </row>
    <row r="703" spans="1:12" x14ac:dyDescent="0.25">
      <c r="A703">
        <v>9</v>
      </c>
      <c r="B703">
        <v>4</v>
      </c>
      <c r="C703">
        <v>9</v>
      </c>
      <c r="D703">
        <v>9</v>
      </c>
      <c r="E703" t="b">
        <v>1</v>
      </c>
      <c r="F703" s="22" t="str">
        <f t="shared" si="33"/>
        <v/>
      </c>
      <c r="G703" s="23" t="s">
        <v>169</v>
      </c>
      <c r="H703" s="23" t="s">
        <v>232</v>
      </c>
      <c r="I703" s="23" t="s">
        <v>25</v>
      </c>
      <c r="J703" t="s">
        <v>43</v>
      </c>
      <c r="K703" s="22" t="e">
        <f t="shared" si="34"/>
        <v>#N/A</v>
      </c>
      <c r="L703" s="22" t="str">
        <f t="shared" si="35"/>
        <v/>
      </c>
    </row>
    <row r="704" spans="1:12" x14ac:dyDescent="0.25">
      <c r="A704">
        <v>9</v>
      </c>
      <c r="B704">
        <v>5</v>
      </c>
      <c r="C704">
        <v>9</v>
      </c>
      <c r="D704">
        <v>1</v>
      </c>
      <c r="E704" t="b">
        <v>0</v>
      </c>
      <c r="F704" s="22" t="str">
        <f t="shared" si="33"/>
        <v/>
      </c>
      <c r="G704" s="23" t="s">
        <v>166</v>
      </c>
      <c r="H704" s="23" t="s">
        <v>233</v>
      </c>
      <c r="I704" s="23" t="s">
        <v>32</v>
      </c>
      <c r="J704" t="s">
        <v>33</v>
      </c>
      <c r="K704" s="22" t="e">
        <f t="shared" si="34"/>
        <v>#N/A</v>
      </c>
      <c r="L704" s="22" t="str">
        <f t="shared" si="35"/>
        <v/>
      </c>
    </row>
    <row r="705" spans="1:12" x14ac:dyDescent="0.25">
      <c r="A705">
        <v>9</v>
      </c>
      <c r="B705">
        <v>5</v>
      </c>
      <c r="C705">
        <v>9</v>
      </c>
      <c r="D705">
        <v>2</v>
      </c>
      <c r="E705" t="b">
        <v>0</v>
      </c>
      <c r="F705" s="22" t="str">
        <f t="shared" si="33"/>
        <v/>
      </c>
      <c r="G705" s="23" t="s">
        <v>166</v>
      </c>
      <c r="H705" s="23" t="s">
        <v>234</v>
      </c>
      <c r="I705" s="23" t="s">
        <v>32</v>
      </c>
      <c r="J705" t="s">
        <v>34</v>
      </c>
      <c r="K705" s="22" t="e">
        <f t="shared" si="34"/>
        <v>#N/A</v>
      </c>
      <c r="L705" s="22" t="str">
        <f t="shared" si="35"/>
        <v/>
      </c>
    </row>
    <row r="706" spans="1:12" x14ac:dyDescent="0.25">
      <c r="A706">
        <v>9</v>
      </c>
      <c r="B706">
        <v>5</v>
      </c>
      <c r="C706">
        <v>9</v>
      </c>
      <c r="D706">
        <v>3</v>
      </c>
      <c r="E706" t="b">
        <v>0</v>
      </c>
      <c r="F706" s="22" t="str">
        <f t="shared" si="33"/>
        <v/>
      </c>
      <c r="G706" s="23" t="s">
        <v>166</v>
      </c>
      <c r="H706" s="23" t="s">
        <v>235</v>
      </c>
      <c r="I706" s="23" t="s">
        <v>32</v>
      </c>
      <c r="J706" t="s">
        <v>35</v>
      </c>
      <c r="K706" s="22" t="e">
        <f t="shared" si="34"/>
        <v>#N/A</v>
      </c>
      <c r="L706" s="22" t="str">
        <f t="shared" si="35"/>
        <v/>
      </c>
    </row>
    <row r="707" spans="1:12" x14ac:dyDescent="0.25">
      <c r="A707">
        <v>9</v>
      </c>
      <c r="B707">
        <v>5</v>
      </c>
      <c r="C707">
        <v>9</v>
      </c>
      <c r="D707">
        <v>4</v>
      </c>
      <c r="E707" t="b">
        <v>0</v>
      </c>
      <c r="F707" s="22" t="str">
        <f t="shared" si="33"/>
        <v/>
      </c>
      <c r="G707" s="23" t="s">
        <v>166</v>
      </c>
      <c r="H707" s="23" t="s">
        <v>236</v>
      </c>
      <c r="I707" s="23" t="s">
        <v>32</v>
      </c>
      <c r="J707" t="s">
        <v>123</v>
      </c>
      <c r="K707" s="22" t="e">
        <f t="shared" si="34"/>
        <v>#N/A</v>
      </c>
      <c r="L707" s="22" t="str">
        <f t="shared" si="35"/>
        <v/>
      </c>
    </row>
    <row r="708" spans="1:12" x14ac:dyDescent="0.25">
      <c r="A708">
        <v>9</v>
      </c>
      <c r="B708">
        <v>5</v>
      </c>
      <c r="C708">
        <v>9</v>
      </c>
      <c r="D708">
        <v>5</v>
      </c>
      <c r="E708" t="b">
        <v>0</v>
      </c>
      <c r="F708" s="22" t="str">
        <f t="shared" ref="F708:F771" si="36">VLOOKUP("Assessment #"&amp;$A708, DateMeta, MATCH("DisplDate", DateMeta_H, 0), 0)</f>
        <v/>
      </c>
      <c r="G708" s="23" t="s">
        <v>166</v>
      </c>
      <c r="H708" s="23" t="s">
        <v>237</v>
      </c>
      <c r="I708" s="23" t="s">
        <v>32</v>
      </c>
      <c r="J708" t="s">
        <v>124</v>
      </c>
      <c r="K708" s="22" t="e">
        <f t="shared" ref="K708:K771" si="37">IF(INDEX(Assess, MATCH($J708, ItemLong, 0), MATCH("Assessment #"&amp;$A708, Assess_H, 0))="", "", INDEX(Assess, MATCH($J708, ItemLong, 0), MATCH("Assessment #"&amp;$A708, Assess_H, 0)))</f>
        <v>#N/A</v>
      </c>
      <c r="L708" s="22" t="str">
        <f t="shared" si="35"/>
        <v/>
      </c>
    </row>
    <row r="709" spans="1:12" x14ac:dyDescent="0.25">
      <c r="A709">
        <v>9</v>
      </c>
      <c r="B709">
        <v>5</v>
      </c>
      <c r="C709">
        <v>9</v>
      </c>
      <c r="D709">
        <v>6</v>
      </c>
      <c r="E709" t="b">
        <v>0</v>
      </c>
      <c r="F709" s="22" t="str">
        <f t="shared" si="36"/>
        <v/>
      </c>
      <c r="G709" s="23" t="s">
        <v>166</v>
      </c>
      <c r="H709" s="23" t="s">
        <v>238</v>
      </c>
      <c r="I709" s="23" t="s">
        <v>32</v>
      </c>
      <c r="J709" t="s">
        <v>129</v>
      </c>
      <c r="K709" s="22" t="e">
        <f t="shared" si="37"/>
        <v>#N/A</v>
      </c>
      <c r="L709" s="22" t="str">
        <f t="shared" ref="L709:L772" si="38">IF(ISNUMBER(K709), IF(K709&gt;=2, 1, 0), "")</f>
        <v/>
      </c>
    </row>
    <row r="710" spans="1:12" x14ac:dyDescent="0.25">
      <c r="A710">
        <v>9</v>
      </c>
      <c r="B710">
        <v>5</v>
      </c>
      <c r="C710">
        <v>9</v>
      </c>
      <c r="D710">
        <v>7</v>
      </c>
      <c r="E710" t="b">
        <v>0</v>
      </c>
      <c r="F710" s="22" t="str">
        <f t="shared" si="36"/>
        <v/>
      </c>
      <c r="G710" s="23" t="s">
        <v>166</v>
      </c>
      <c r="H710" s="23" t="s">
        <v>239</v>
      </c>
      <c r="I710" s="23" t="s">
        <v>32</v>
      </c>
      <c r="J710" t="s">
        <v>125</v>
      </c>
      <c r="K710" s="22" t="e">
        <f t="shared" si="37"/>
        <v>#N/A</v>
      </c>
      <c r="L710" s="22" t="str">
        <f t="shared" si="38"/>
        <v/>
      </c>
    </row>
    <row r="711" spans="1:12" x14ac:dyDescent="0.25">
      <c r="A711">
        <v>9</v>
      </c>
      <c r="B711">
        <v>5</v>
      </c>
      <c r="C711">
        <v>9</v>
      </c>
      <c r="D711">
        <v>8</v>
      </c>
      <c r="E711" t="b">
        <v>0</v>
      </c>
      <c r="F711" s="22" t="str">
        <f t="shared" si="36"/>
        <v/>
      </c>
      <c r="G711" s="23" t="s">
        <v>166</v>
      </c>
      <c r="H711" s="23" t="s">
        <v>240</v>
      </c>
      <c r="I711" s="23" t="s">
        <v>32</v>
      </c>
      <c r="J711" t="s">
        <v>36</v>
      </c>
      <c r="K711" s="22" t="e">
        <f t="shared" si="37"/>
        <v>#N/A</v>
      </c>
      <c r="L711" s="22" t="str">
        <f t="shared" si="38"/>
        <v/>
      </c>
    </row>
    <row r="712" spans="1:12" x14ac:dyDescent="0.25">
      <c r="A712">
        <v>9</v>
      </c>
      <c r="B712">
        <v>5</v>
      </c>
      <c r="C712">
        <v>9</v>
      </c>
      <c r="D712">
        <v>9</v>
      </c>
      <c r="E712" t="b">
        <v>1</v>
      </c>
      <c r="F712" s="22" t="str">
        <f t="shared" si="36"/>
        <v/>
      </c>
      <c r="G712" s="23" t="s">
        <v>166</v>
      </c>
      <c r="H712" s="23" t="s">
        <v>241</v>
      </c>
      <c r="I712" s="23" t="s">
        <v>32</v>
      </c>
      <c r="J712" t="s">
        <v>47</v>
      </c>
      <c r="K712" s="22" t="e">
        <f t="shared" si="37"/>
        <v>#N/A</v>
      </c>
      <c r="L712" s="22" t="str">
        <f t="shared" si="38"/>
        <v/>
      </c>
    </row>
    <row r="713" spans="1:12" x14ac:dyDescent="0.25">
      <c r="A713">
        <v>9</v>
      </c>
      <c r="B713">
        <v>6</v>
      </c>
      <c r="C713">
        <v>11</v>
      </c>
      <c r="D713">
        <v>1</v>
      </c>
      <c r="E713" t="b">
        <v>0</v>
      </c>
      <c r="F713" s="22" t="str">
        <f t="shared" si="36"/>
        <v/>
      </c>
      <c r="G713" s="23" t="s">
        <v>170</v>
      </c>
      <c r="H713" s="23" t="s">
        <v>242</v>
      </c>
      <c r="I713" s="23" t="s">
        <v>149</v>
      </c>
      <c r="J713" t="s">
        <v>150</v>
      </c>
      <c r="K713" s="22" t="e">
        <f t="shared" si="37"/>
        <v>#N/A</v>
      </c>
      <c r="L713" s="22" t="str">
        <f t="shared" si="38"/>
        <v/>
      </c>
    </row>
    <row r="714" spans="1:12" x14ac:dyDescent="0.25">
      <c r="A714">
        <v>9</v>
      </c>
      <c r="B714">
        <v>6</v>
      </c>
      <c r="C714">
        <v>11</v>
      </c>
      <c r="D714">
        <v>2</v>
      </c>
      <c r="E714" t="b">
        <v>0</v>
      </c>
      <c r="F714" s="22" t="str">
        <f t="shared" si="36"/>
        <v/>
      </c>
      <c r="G714" s="23" t="s">
        <v>170</v>
      </c>
      <c r="H714" s="23" t="s">
        <v>243</v>
      </c>
      <c r="I714" s="23" t="s">
        <v>149</v>
      </c>
      <c r="J714" t="s">
        <v>151</v>
      </c>
      <c r="K714" s="22" t="e">
        <f t="shared" si="37"/>
        <v>#N/A</v>
      </c>
      <c r="L714" s="22" t="str">
        <f t="shared" si="38"/>
        <v/>
      </c>
    </row>
    <row r="715" spans="1:12" x14ac:dyDescent="0.25">
      <c r="A715">
        <v>9</v>
      </c>
      <c r="B715">
        <v>6</v>
      </c>
      <c r="C715">
        <v>11</v>
      </c>
      <c r="D715">
        <v>3</v>
      </c>
      <c r="E715" t="b">
        <v>0</v>
      </c>
      <c r="F715" s="22" t="str">
        <f t="shared" si="36"/>
        <v/>
      </c>
      <c r="G715" s="23" t="s">
        <v>170</v>
      </c>
      <c r="H715" s="23" t="s">
        <v>244</v>
      </c>
      <c r="I715" s="23" t="s">
        <v>149</v>
      </c>
      <c r="J715" t="s">
        <v>152</v>
      </c>
      <c r="K715" s="22" t="e">
        <f t="shared" si="37"/>
        <v>#N/A</v>
      </c>
      <c r="L715" s="22" t="str">
        <f t="shared" si="38"/>
        <v/>
      </c>
    </row>
    <row r="716" spans="1:12" x14ac:dyDescent="0.25">
      <c r="A716">
        <v>9</v>
      </c>
      <c r="B716">
        <v>6</v>
      </c>
      <c r="C716">
        <v>11</v>
      </c>
      <c r="D716">
        <v>4</v>
      </c>
      <c r="E716" t="b">
        <v>0</v>
      </c>
      <c r="F716" s="22" t="str">
        <f t="shared" si="36"/>
        <v/>
      </c>
      <c r="G716" s="23" t="s">
        <v>170</v>
      </c>
      <c r="H716" s="23" t="s">
        <v>245</v>
      </c>
      <c r="I716" s="23" t="s">
        <v>149</v>
      </c>
      <c r="J716" t="s">
        <v>153</v>
      </c>
      <c r="K716" s="22" t="e">
        <f t="shared" si="37"/>
        <v>#N/A</v>
      </c>
      <c r="L716" s="22" t="str">
        <f t="shared" si="38"/>
        <v/>
      </c>
    </row>
    <row r="717" spans="1:12" x14ac:dyDescent="0.25">
      <c r="A717">
        <v>9</v>
      </c>
      <c r="B717">
        <v>6</v>
      </c>
      <c r="C717">
        <v>11</v>
      </c>
      <c r="D717">
        <v>5</v>
      </c>
      <c r="E717" t="b">
        <v>0</v>
      </c>
      <c r="F717" s="22" t="str">
        <f t="shared" si="36"/>
        <v/>
      </c>
      <c r="G717" s="23" t="s">
        <v>170</v>
      </c>
      <c r="H717" s="23" t="s">
        <v>246</v>
      </c>
      <c r="I717" s="23" t="s">
        <v>149</v>
      </c>
      <c r="J717" t="s">
        <v>154</v>
      </c>
      <c r="K717" s="22" t="e">
        <f t="shared" si="37"/>
        <v>#N/A</v>
      </c>
      <c r="L717" s="22" t="str">
        <f t="shared" si="38"/>
        <v/>
      </c>
    </row>
    <row r="718" spans="1:12" x14ac:dyDescent="0.25">
      <c r="A718">
        <v>9</v>
      </c>
      <c r="B718">
        <v>6</v>
      </c>
      <c r="C718">
        <v>11</v>
      </c>
      <c r="D718">
        <v>6</v>
      </c>
      <c r="E718" t="b">
        <v>0</v>
      </c>
      <c r="F718" s="22" t="str">
        <f t="shared" si="36"/>
        <v/>
      </c>
      <c r="G718" s="23" t="s">
        <v>170</v>
      </c>
      <c r="H718" s="23" t="s">
        <v>247</v>
      </c>
      <c r="I718" s="23" t="s">
        <v>149</v>
      </c>
      <c r="J718" t="s">
        <v>155</v>
      </c>
      <c r="K718" s="22" t="e">
        <f t="shared" si="37"/>
        <v>#N/A</v>
      </c>
      <c r="L718" s="22" t="str">
        <f t="shared" si="38"/>
        <v/>
      </c>
    </row>
    <row r="719" spans="1:12" x14ac:dyDescent="0.25">
      <c r="A719">
        <v>9</v>
      </c>
      <c r="B719">
        <v>6</v>
      </c>
      <c r="C719">
        <v>11</v>
      </c>
      <c r="D719">
        <v>7</v>
      </c>
      <c r="E719" t="b">
        <v>0</v>
      </c>
      <c r="F719" s="22" t="str">
        <f t="shared" si="36"/>
        <v/>
      </c>
      <c r="G719" s="23" t="s">
        <v>170</v>
      </c>
      <c r="H719" s="23" t="s">
        <v>248</v>
      </c>
      <c r="I719" s="23" t="s">
        <v>149</v>
      </c>
      <c r="J719" t="s">
        <v>156</v>
      </c>
      <c r="K719" s="22" t="e">
        <f t="shared" si="37"/>
        <v>#N/A</v>
      </c>
      <c r="L719" s="22" t="str">
        <f t="shared" si="38"/>
        <v/>
      </c>
    </row>
    <row r="720" spans="1:12" x14ac:dyDescent="0.25">
      <c r="A720">
        <v>9</v>
      </c>
      <c r="B720">
        <v>6</v>
      </c>
      <c r="C720">
        <v>11</v>
      </c>
      <c r="D720">
        <v>8</v>
      </c>
      <c r="E720" t="b">
        <v>0</v>
      </c>
      <c r="F720" s="22" t="str">
        <f t="shared" si="36"/>
        <v/>
      </c>
      <c r="G720" s="23" t="s">
        <v>170</v>
      </c>
      <c r="H720" s="23" t="s">
        <v>249</v>
      </c>
      <c r="I720" s="23" t="s">
        <v>149</v>
      </c>
      <c r="J720" t="s">
        <v>157</v>
      </c>
      <c r="K720" s="22" t="e">
        <f t="shared" si="37"/>
        <v>#N/A</v>
      </c>
      <c r="L720" s="22" t="str">
        <f t="shared" si="38"/>
        <v/>
      </c>
    </row>
    <row r="721" spans="1:12" x14ac:dyDescent="0.25">
      <c r="A721">
        <v>9</v>
      </c>
      <c r="B721">
        <v>6</v>
      </c>
      <c r="C721">
        <v>11</v>
      </c>
      <c r="D721">
        <v>9</v>
      </c>
      <c r="E721" t="b">
        <v>0</v>
      </c>
      <c r="F721" s="22" t="str">
        <f t="shared" si="36"/>
        <v/>
      </c>
      <c r="G721" s="23" t="s">
        <v>170</v>
      </c>
      <c r="H721" s="23" t="s">
        <v>250</v>
      </c>
      <c r="I721" s="23" t="s">
        <v>149</v>
      </c>
      <c r="J721" t="s">
        <v>158</v>
      </c>
      <c r="K721" s="22" t="e">
        <f t="shared" si="37"/>
        <v>#N/A</v>
      </c>
      <c r="L721" s="22" t="str">
        <f t="shared" si="38"/>
        <v/>
      </c>
    </row>
    <row r="722" spans="1:12" x14ac:dyDescent="0.25">
      <c r="A722">
        <v>9</v>
      </c>
      <c r="B722">
        <v>6</v>
      </c>
      <c r="C722">
        <v>11</v>
      </c>
      <c r="D722">
        <v>10</v>
      </c>
      <c r="E722" t="b">
        <v>0</v>
      </c>
      <c r="F722" s="22" t="str">
        <f t="shared" si="36"/>
        <v/>
      </c>
      <c r="G722" s="23" t="s">
        <v>170</v>
      </c>
      <c r="H722" s="23" t="s">
        <v>251</v>
      </c>
      <c r="I722" s="23" t="s">
        <v>149</v>
      </c>
      <c r="J722" t="s">
        <v>159</v>
      </c>
      <c r="K722" s="22" t="e">
        <f t="shared" si="37"/>
        <v>#N/A</v>
      </c>
      <c r="L722" s="22" t="str">
        <f t="shared" si="38"/>
        <v/>
      </c>
    </row>
    <row r="723" spans="1:12" x14ac:dyDescent="0.25">
      <c r="A723">
        <v>9</v>
      </c>
      <c r="B723">
        <v>6</v>
      </c>
      <c r="C723">
        <v>11</v>
      </c>
      <c r="D723">
        <v>11</v>
      </c>
      <c r="E723" t="b">
        <v>1</v>
      </c>
      <c r="F723" s="22" t="str">
        <f t="shared" si="36"/>
        <v/>
      </c>
      <c r="G723" s="23" t="s">
        <v>170</v>
      </c>
      <c r="H723" s="23" t="s">
        <v>252</v>
      </c>
      <c r="I723" s="23" t="s">
        <v>149</v>
      </c>
      <c r="J723" t="s">
        <v>160</v>
      </c>
      <c r="K723" s="22" t="e">
        <f t="shared" si="37"/>
        <v>#N/A</v>
      </c>
      <c r="L723" s="22" t="str">
        <f t="shared" si="38"/>
        <v/>
      </c>
    </row>
    <row r="724" spans="1:12" x14ac:dyDescent="0.25">
      <c r="A724">
        <v>10</v>
      </c>
      <c r="B724">
        <v>1</v>
      </c>
      <c r="C724">
        <v>18</v>
      </c>
      <c r="D724">
        <v>1</v>
      </c>
      <c r="E724" t="b">
        <v>0</v>
      </c>
      <c r="F724" s="22" t="str">
        <f t="shared" si="36"/>
        <v/>
      </c>
      <c r="G724" s="23" t="s">
        <v>167</v>
      </c>
      <c r="H724" s="23" t="s">
        <v>253</v>
      </c>
      <c r="I724" s="23" t="s">
        <v>2</v>
      </c>
      <c r="J724" t="s">
        <v>3</v>
      </c>
      <c r="K724" s="22" t="e">
        <f t="shared" si="37"/>
        <v>#N/A</v>
      </c>
      <c r="L724" s="22" t="str">
        <f t="shared" si="38"/>
        <v/>
      </c>
    </row>
    <row r="725" spans="1:12" x14ac:dyDescent="0.25">
      <c r="A725">
        <v>10</v>
      </c>
      <c r="B725">
        <v>1</v>
      </c>
      <c r="C725">
        <v>18</v>
      </c>
      <c r="D725">
        <v>2</v>
      </c>
      <c r="E725" t="b">
        <v>0</v>
      </c>
      <c r="F725" s="22" t="str">
        <f t="shared" si="36"/>
        <v/>
      </c>
      <c r="G725" s="23" t="s">
        <v>167</v>
      </c>
      <c r="H725" s="23" t="s">
        <v>254</v>
      </c>
      <c r="I725" s="23" t="s">
        <v>2</v>
      </c>
      <c r="J725" t="s">
        <v>4</v>
      </c>
      <c r="K725" s="22" t="e">
        <f t="shared" si="37"/>
        <v>#N/A</v>
      </c>
      <c r="L725" s="22" t="str">
        <f t="shared" si="38"/>
        <v/>
      </c>
    </row>
    <row r="726" spans="1:12" x14ac:dyDescent="0.25">
      <c r="A726">
        <v>10</v>
      </c>
      <c r="B726">
        <v>1</v>
      </c>
      <c r="C726">
        <v>18</v>
      </c>
      <c r="D726">
        <v>3</v>
      </c>
      <c r="E726" t="b">
        <v>0</v>
      </c>
      <c r="F726" s="22" t="str">
        <f t="shared" si="36"/>
        <v/>
      </c>
      <c r="G726" s="23" t="s">
        <v>167</v>
      </c>
      <c r="H726" s="23" t="s">
        <v>175</v>
      </c>
      <c r="I726" s="23" t="s">
        <v>2</v>
      </c>
      <c r="J726" t="s">
        <v>5</v>
      </c>
      <c r="K726" s="22" t="e">
        <f t="shared" si="37"/>
        <v>#N/A</v>
      </c>
      <c r="L726" s="22" t="str">
        <f t="shared" si="38"/>
        <v/>
      </c>
    </row>
    <row r="727" spans="1:12" x14ac:dyDescent="0.25">
      <c r="A727">
        <v>10</v>
      </c>
      <c r="B727">
        <v>1</v>
      </c>
      <c r="C727">
        <v>18</v>
      </c>
      <c r="D727">
        <v>4</v>
      </c>
      <c r="E727" t="b">
        <v>0</v>
      </c>
      <c r="F727" s="22" t="str">
        <f t="shared" si="36"/>
        <v/>
      </c>
      <c r="G727" s="23" t="s">
        <v>167</v>
      </c>
      <c r="H727" s="23" t="s">
        <v>176</v>
      </c>
      <c r="I727" s="23" t="s">
        <v>2</v>
      </c>
      <c r="J727" t="s">
        <v>6</v>
      </c>
      <c r="K727" s="22" t="e">
        <f t="shared" si="37"/>
        <v>#N/A</v>
      </c>
      <c r="L727" s="22" t="str">
        <f t="shared" si="38"/>
        <v/>
      </c>
    </row>
    <row r="728" spans="1:12" x14ac:dyDescent="0.25">
      <c r="A728">
        <v>10</v>
      </c>
      <c r="B728">
        <v>1</v>
      </c>
      <c r="C728">
        <v>18</v>
      </c>
      <c r="D728">
        <v>5</v>
      </c>
      <c r="E728" t="b">
        <v>0</v>
      </c>
      <c r="F728" s="22" t="str">
        <f t="shared" si="36"/>
        <v/>
      </c>
      <c r="G728" s="23" t="s">
        <v>167</v>
      </c>
      <c r="H728" s="23" t="s">
        <v>177</v>
      </c>
      <c r="I728" s="23" t="s">
        <v>2</v>
      </c>
      <c r="J728" t="s">
        <v>44</v>
      </c>
      <c r="K728" s="22" t="e">
        <f t="shared" si="37"/>
        <v>#N/A</v>
      </c>
      <c r="L728" s="22" t="str">
        <f t="shared" si="38"/>
        <v/>
      </c>
    </row>
    <row r="729" spans="1:12" x14ac:dyDescent="0.25">
      <c r="A729">
        <v>10</v>
      </c>
      <c r="B729">
        <v>1</v>
      </c>
      <c r="C729">
        <v>18</v>
      </c>
      <c r="D729">
        <v>6</v>
      </c>
      <c r="E729" t="b">
        <v>0</v>
      </c>
      <c r="F729" s="22" t="str">
        <f t="shared" si="36"/>
        <v/>
      </c>
      <c r="G729" s="23" t="s">
        <v>167</v>
      </c>
      <c r="H729" s="23" t="s">
        <v>178</v>
      </c>
      <c r="I729" s="23" t="s">
        <v>2</v>
      </c>
      <c r="J729" t="s">
        <v>102</v>
      </c>
      <c r="K729" s="22" t="e">
        <f t="shared" si="37"/>
        <v>#N/A</v>
      </c>
      <c r="L729" s="22" t="str">
        <f t="shared" si="38"/>
        <v/>
      </c>
    </row>
    <row r="730" spans="1:12" x14ac:dyDescent="0.25">
      <c r="A730">
        <v>10</v>
      </c>
      <c r="B730">
        <v>1</v>
      </c>
      <c r="C730">
        <v>18</v>
      </c>
      <c r="D730">
        <v>7</v>
      </c>
      <c r="E730" t="b">
        <v>0</v>
      </c>
      <c r="F730" s="22" t="str">
        <f t="shared" si="36"/>
        <v/>
      </c>
      <c r="G730" s="23" t="s">
        <v>167</v>
      </c>
      <c r="H730" s="23" t="s">
        <v>179</v>
      </c>
      <c r="I730" s="23" t="s">
        <v>2</v>
      </c>
      <c r="J730" t="s">
        <v>103</v>
      </c>
      <c r="K730" s="22" t="e">
        <f t="shared" si="37"/>
        <v>#N/A</v>
      </c>
      <c r="L730" s="22" t="str">
        <f t="shared" si="38"/>
        <v/>
      </c>
    </row>
    <row r="731" spans="1:12" x14ac:dyDescent="0.25">
      <c r="A731">
        <v>10</v>
      </c>
      <c r="B731">
        <v>1</v>
      </c>
      <c r="C731">
        <v>18</v>
      </c>
      <c r="D731">
        <v>8</v>
      </c>
      <c r="E731" t="b">
        <v>0</v>
      </c>
      <c r="F731" s="22" t="str">
        <f t="shared" si="36"/>
        <v/>
      </c>
      <c r="G731" s="23" t="s">
        <v>167</v>
      </c>
      <c r="H731" s="23" t="s">
        <v>180</v>
      </c>
      <c r="I731" s="23" t="s">
        <v>2</v>
      </c>
      <c r="J731" t="s">
        <v>7</v>
      </c>
      <c r="K731" s="22" t="e">
        <f t="shared" si="37"/>
        <v>#N/A</v>
      </c>
      <c r="L731" s="22" t="str">
        <f t="shared" si="38"/>
        <v/>
      </c>
    </row>
    <row r="732" spans="1:12" x14ac:dyDescent="0.25">
      <c r="A732">
        <v>10</v>
      </c>
      <c r="B732">
        <v>1</v>
      </c>
      <c r="C732">
        <v>18</v>
      </c>
      <c r="D732">
        <v>9</v>
      </c>
      <c r="E732" t="b">
        <v>0</v>
      </c>
      <c r="F732" s="22" t="str">
        <f t="shared" si="36"/>
        <v/>
      </c>
      <c r="G732" s="23" t="s">
        <v>167</v>
      </c>
      <c r="H732" s="23" t="s">
        <v>181</v>
      </c>
      <c r="I732" s="23" t="s">
        <v>2</v>
      </c>
      <c r="J732" t="s">
        <v>104</v>
      </c>
      <c r="K732" s="22" t="e">
        <f t="shared" si="37"/>
        <v>#N/A</v>
      </c>
      <c r="L732" s="22" t="str">
        <f t="shared" si="38"/>
        <v/>
      </c>
    </row>
    <row r="733" spans="1:12" x14ac:dyDescent="0.25">
      <c r="A733">
        <v>10</v>
      </c>
      <c r="B733">
        <v>1</v>
      </c>
      <c r="C733">
        <v>18</v>
      </c>
      <c r="D733">
        <v>10</v>
      </c>
      <c r="E733" t="b">
        <v>0</v>
      </c>
      <c r="F733" s="22" t="str">
        <f t="shared" si="36"/>
        <v/>
      </c>
      <c r="G733" s="23" t="s">
        <v>167</v>
      </c>
      <c r="H733" s="23" t="s">
        <v>182</v>
      </c>
      <c r="I733" s="23" t="s">
        <v>2</v>
      </c>
      <c r="J733" t="s">
        <v>8</v>
      </c>
      <c r="K733" s="22" t="e">
        <f t="shared" si="37"/>
        <v>#N/A</v>
      </c>
      <c r="L733" s="22" t="str">
        <f t="shared" si="38"/>
        <v/>
      </c>
    </row>
    <row r="734" spans="1:12" x14ac:dyDescent="0.25">
      <c r="A734">
        <v>10</v>
      </c>
      <c r="B734">
        <v>1</v>
      </c>
      <c r="C734">
        <v>18</v>
      </c>
      <c r="D734">
        <v>11</v>
      </c>
      <c r="E734" t="b">
        <v>0</v>
      </c>
      <c r="F734" s="22" t="str">
        <f t="shared" si="36"/>
        <v/>
      </c>
      <c r="G734" s="23" t="s">
        <v>167</v>
      </c>
      <c r="H734" s="23" t="s">
        <v>183</v>
      </c>
      <c r="I734" s="23" t="s">
        <v>2</v>
      </c>
      <c r="J734" t="s">
        <v>105</v>
      </c>
      <c r="K734" s="22" t="e">
        <f t="shared" si="37"/>
        <v>#N/A</v>
      </c>
      <c r="L734" s="22" t="str">
        <f t="shared" si="38"/>
        <v/>
      </c>
    </row>
    <row r="735" spans="1:12" x14ac:dyDescent="0.25">
      <c r="A735">
        <v>10</v>
      </c>
      <c r="B735">
        <v>1</v>
      </c>
      <c r="C735">
        <v>18</v>
      </c>
      <c r="D735">
        <v>12</v>
      </c>
      <c r="E735" t="b">
        <v>0</v>
      </c>
      <c r="F735" s="22" t="str">
        <f t="shared" si="36"/>
        <v/>
      </c>
      <c r="G735" s="23" t="s">
        <v>167</v>
      </c>
      <c r="H735" s="23" t="s">
        <v>184</v>
      </c>
      <c r="I735" s="23" t="s">
        <v>2</v>
      </c>
      <c r="J735" t="s">
        <v>106</v>
      </c>
      <c r="K735" s="22" t="e">
        <f t="shared" si="37"/>
        <v>#N/A</v>
      </c>
      <c r="L735" s="22" t="str">
        <f t="shared" si="38"/>
        <v/>
      </c>
    </row>
    <row r="736" spans="1:12" x14ac:dyDescent="0.25">
      <c r="A736">
        <v>10</v>
      </c>
      <c r="B736">
        <v>1</v>
      </c>
      <c r="C736">
        <v>18</v>
      </c>
      <c r="D736">
        <v>13</v>
      </c>
      <c r="E736" t="b">
        <v>0</v>
      </c>
      <c r="F736" s="22" t="str">
        <f t="shared" si="36"/>
        <v/>
      </c>
      <c r="G736" s="23" t="s">
        <v>167</v>
      </c>
      <c r="H736" s="23" t="s">
        <v>185</v>
      </c>
      <c r="I736" s="23" t="s">
        <v>2</v>
      </c>
      <c r="J736" t="s">
        <v>107</v>
      </c>
      <c r="K736" s="22" t="e">
        <f t="shared" si="37"/>
        <v>#N/A</v>
      </c>
      <c r="L736" s="22" t="str">
        <f t="shared" si="38"/>
        <v/>
      </c>
    </row>
    <row r="737" spans="1:12" x14ac:dyDescent="0.25">
      <c r="A737">
        <v>10</v>
      </c>
      <c r="B737">
        <v>1</v>
      </c>
      <c r="C737">
        <v>18</v>
      </c>
      <c r="D737">
        <v>14</v>
      </c>
      <c r="E737" t="b">
        <v>0</v>
      </c>
      <c r="F737" s="22" t="str">
        <f t="shared" si="36"/>
        <v/>
      </c>
      <c r="G737" s="23" t="s">
        <v>167</v>
      </c>
      <c r="H737" s="23" t="s">
        <v>186</v>
      </c>
      <c r="I737" s="23" t="s">
        <v>2</v>
      </c>
      <c r="J737" t="s">
        <v>108</v>
      </c>
      <c r="K737" s="22" t="e">
        <f t="shared" si="37"/>
        <v>#N/A</v>
      </c>
      <c r="L737" s="22" t="str">
        <f t="shared" si="38"/>
        <v/>
      </c>
    </row>
    <row r="738" spans="1:12" x14ac:dyDescent="0.25">
      <c r="A738">
        <v>10</v>
      </c>
      <c r="B738">
        <v>1</v>
      </c>
      <c r="C738">
        <v>18</v>
      </c>
      <c r="D738">
        <v>15</v>
      </c>
      <c r="E738" t="b">
        <v>0</v>
      </c>
      <c r="F738" s="22" t="str">
        <f t="shared" si="36"/>
        <v/>
      </c>
      <c r="G738" s="23" t="s">
        <v>167</v>
      </c>
      <c r="H738" s="23" t="s">
        <v>187</v>
      </c>
      <c r="I738" s="23" t="s">
        <v>2</v>
      </c>
      <c r="J738" t="s">
        <v>109</v>
      </c>
      <c r="K738" s="22" t="e">
        <f t="shared" si="37"/>
        <v>#N/A</v>
      </c>
      <c r="L738" s="22" t="str">
        <f t="shared" si="38"/>
        <v/>
      </c>
    </row>
    <row r="739" spans="1:12" x14ac:dyDescent="0.25">
      <c r="A739">
        <v>10</v>
      </c>
      <c r="B739">
        <v>1</v>
      </c>
      <c r="C739">
        <v>18</v>
      </c>
      <c r="D739">
        <v>16</v>
      </c>
      <c r="E739" t="b">
        <v>0</v>
      </c>
      <c r="F739" s="22" t="str">
        <f t="shared" si="36"/>
        <v/>
      </c>
      <c r="G739" s="23" t="s">
        <v>167</v>
      </c>
      <c r="H739" s="23" t="s">
        <v>188</v>
      </c>
      <c r="I739" s="23" t="s">
        <v>2</v>
      </c>
      <c r="J739" t="s">
        <v>110</v>
      </c>
      <c r="K739" s="22" t="e">
        <f t="shared" si="37"/>
        <v>#N/A</v>
      </c>
      <c r="L739" s="22" t="str">
        <f t="shared" si="38"/>
        <v/>
      </c>
    </row>
    <row r="740" spans="1:12" x14ac:dyDescent="0.25">
      <c r="A740">
        <v>10</v>
      </c>
      <c r="B740">
        <v>1</v>
      </c>
      <c r="C740">
        <v>18</v>
      </c>
      <c r="D740">
        <v>17</v>
      </c>
      <c r="E740" t="b">
        <v>0</v>
      </c>
      <c r="F740" s="22" t="str">
        <f t="shared" si="36"/>
        <v/>
      </c>
      <c r="G740" s="23" t="s">
        <v>167</v>
      </c>
      <c r="H740" s="23" t="s">
        <v>189</v>
      </c>
      <c r="I740" s="23" t="s">
        <v>2</v>
      </c>
      <c r="J740" t="s">
        <v>23</v>
      </c>
      <c r="K740" s="22" t="e">
        <f t="shared" si="37"/>
        <v>#N/A</v>
      </c>
      <c r="L740" s="22" t="str">
        <f t="shared" si="38"/>
        <v/>
      </c>
    </row>
    <row r="741" spans="1:12" x14ac:dyDescent="0.25">
      <c r="A741">
        <v>10</v>
      </c>
      <c r="B741">
        <v>1</v>
      </c>
      <c r="C741">
        <v>18</v>
      </c>
      <c r="D741">
        <v>18</v>
      </c>
      <c r="E741" t="b">
        <v>1</v>
      </c>
      <c r="F741" s="22" t="str">
        <f t="shared" si="36"/>
        <v/>
      </c>
      <c r="G741" s="23" t="s">
        <v>167</v>
      </c>
      <c r="H741" s="23" t="s">
        <v>190</v>
      </c>
      <c r="I741" s="23" t="s">
        <v>2</v>
      </c>
      <c r="J741" t="s">
        <v>24</v>
      </c>
      <c r="K741" s="22" t="e">
        <f t="shared" si="37"/>
        <v>#N/A</v>
      </c>
      <c r="L741" s="22" t="str">
        <f t="shared" si="38"/>
        <v/>
      </c>
    </row>
    <row r="742" spans="1:12" x14ac:dyDescent="0.25">
      <c r="A742">
        <v>10</v>
      </c>
      <c r="B742">
        <v>2</v>
      </c>
      <c r="C742">
        <v>16</v>
      </c>
      <c r="D742">
        <v>1</v>
      </c>
      <c r="E742" t="b">
        <v>0</v>
      </c>
      <c r="F742" s="22" t="str">
        <f t="shared" si="36"/>
        <v/>
      </c>
      <c r="G742" s="23" t="s">
        <v>165</v>
      </c>
      <c r="H742" s="23" t="s">
        <v>191</v>
      </c>
      <c r="I742" s="23" t="s">
        <v>9</v>
      </c>
      <c r="J742" t="s">
        <v>10</v>
      </c>
      <c r="K742" s="22" t="e">
        <f t="shared" si="37"/>
        <v>#N/A</v>
      </c>
      <c r="L742" s="22" t="str">
        <f t="shared" si="38"/>
        <v/>
      </c>
    </row>
    <row r="743" spans="1:12" x14ac:dyDescent="0.25">
      <c r="A743">
        <v>10</v>
      </c>
      <c r="B743">
        <v>2</v>
      </c>
      <c r="C743">
        <v>16</v>
      </c>
      <c r="D743">
        <v>2</v>
      </c>
      <c r="E743" t="b">
        <v>0</v>
      </c>
      <c r="F743" s="22" t="str">
        <f t="shared" si="36"/>
        <v/>
      </c>
      <c r="G743" s="23" t="s">
        <v>165</v>
      </c>
      <c r="H743" s="23" t="s">
        <v>192</v>
      </c>
      <c r="I743" s="23" t="s">
        <v>9</v>
      </c>
      <c r="J743" t="s">
        <v>11</v>
      </c>
      <c r="K743" s="22" t="e">
        <f t="shared" si="37"/>
        <v>#N/A</v>
      </c>
      <c r="L743" s="22" t="str">
        <f t="shared" si="38"/>
        <v/>
      </c>
    </row>
    <row r="744" spans="1:12" x14ac:dyDescent="0.25">
      <c r="A744">
        <v>10</v>
      </c>
      <c r="B744">
        <v>2</v>
      </c>
      <c r="C744">
        <v>16</v>
      </c>
      <c r="D744">
        <v>3</v>
      </c>
      <c r="E744" t="b">
        <v>0</v>
      </c>
      <c r="F744" s="22" t="str">
        <f t="shared" si="36"/>
        <v/>
      </c>
      <c r="G744" s="23" t="s">
        <v>165</v>
      </c>
      <c r="H744" s="23" t="s">
        <v>193</v>
      </c>
      <c r="I744" s="23" t="s">
        <v>9</v>
      </c>
      <c r="J744" t="s">
        <v>12</v>
      </c>
      <c r="K744" s="22" t="e">
        <f t="shared" si="37"/>
        <v>#N/A</v>
      </c>
      <c r="L744" s="22" t="str">
        <f t="shared" si="38"/>
        <v/>
      </c>
    </row>
    <row r="745" spans="1:12" x14ac:dyDescent="0.25">
      <c r="A745">
        <v>10</v>
      </c>
      <c r="B745">
        <v>2</v>
      </c>
      <c r="C745">
        <v>16</v>
      </c>
      <c r="D745">
        <v>4</v>
      </c>
      <c r="E745" t="b">
        <v>0</v>
      </c>
      <c r="F745" s="22" t="str">
        <f t="shared" si="36"/>
        <v/>
      </c>
      <c r="G745" s="23" t="s">
        <v>165</v>
      </c>
      <c r="H745" s="23" t="s">
        <v>194</v>
      </c>
      <c r="I745" s="23" t="s">
        <v>9</v>
      </c>
      <c r="J745" t="s">
        <v>13</v>
      </c>
      <c r="K745" s="22" t="e">
        <f t="shared" si="37"/>
        <v>#N/A</v>
      </c>
      <c r="L745" s="22" t="str">
        <f t="shared" si="38"/>
        <v/>
      </c>
    </row>
    <row r="746" spans="1:12" x14ac:dyDescent="0.25">
      <c r="A746">
        <v>10</v>
      </c>
      <c r="B746">
        <v>2</v>
      </c>
      <c r="C746">
        <v>16</v>
      </c>
      <c r="D746">
        <v>5</v>
      </c>
      <c r="E746" t="b">
        <v>0</v>
      </c>
      <c r="F746" s="22" t="str">
        <f t="shared" si="36"/>
        <v/>
      </c>
      <c r="G746" s="23" t="s">
        <v>165</v>
      </c>
      <c r="H746" s="23" t="s">
        <v>195</v>
      </c>
      <c r="I746" s="23" t="s">
        <v>9</v>
      </c>
      <c r="J746" t="s">
        <v>14</v>
      </c>
      <c r="K746" s="22" t="e">
        <f t="shared" si="37"/>
        <v>#N/A</v>
      </c>
      <c r="L746" s="22" t="str">
        <f t="shared" si="38"/>
        <v/>
      </c>
    </row>
    <row r="747" spans="1:12" x14ac:dyDescent="0.25">
      <c r="A747">
        <v>10</v>
      </c>
      <c r="B747">
        <v>2</v>
      </c>
      <c r="C747">
        <v>16</v>
      </c>
      <c r="D747">
        <v>6</v>
      </c>
      <c r="E747" t="b">
        <v>0</v>
      </c>
      <c r="F747" s="22" t="str">
        <f t="shared" si="36"/>
        <v/>
      </c>
      <c r="G747" s="23" t="s">
        <v>165</v>
      </c>
      <c r="H747" s="23" t="s">
        <v>196</v>
      </c>
      <c r="I747" s="23" t="s">
        <v>9</v>
      </c>
      <c r="J747" t="s">
        <v>15</v>
      </c>
      <c r="K747" s="22" t="e">
        <f t="shared" si="37"/>
        <v>#N/A</v>
      </c>
      <c r="L747" s="22" t="str">
        <f t="shared" si="38"/>
        <v/>
      </c>
    </row>
    <row r="748" spans="1:12" x14ac:dyDescent="0.25">
      <c r="A748">
        <v>10</v>
      </c>
      <c r="B748">
        <v>2</v>
      </c>
      <c r="C748">
        <v>16</v>
      </c>
      <c r="D748">
        <v>7</v>
      </c>
      <c r="E748" t="b">
        <v>0</v>
      </c>
      <c r="F748" s="22" t="str">
        <f t="shared" si="36"/>
        <v/>
      </c>
      <c r="G748" s="23" t="s">
        <v>165</v>
      </c>
      <c r="H748" s="23" t="s">
        <v>197</v>
      </c>
      <c r="I748" s="23" t="s">
        <v>9</v>
      </c>
      <c r="J748" t="s">
        <v>16</v>
      </c>
      <c r="K748" s="22" t="e">
        <f t="shared" si="37"/>
        <v>#N/A</v>
      </c>
      <c r="L748" s="22" t="str">
        <f t="shared" si="38"/>
        <v/>
      </c>
    </row>
    <row r="749" spans="1:12" x14ac:dyDescent="0.25">
      <c r="A749">
        <v>10</v>
      </c>
      <c r="B749">
        <v>2</v>
      </c>
      <c r="C749">
        <v>16</v>
      </c>
      <c r="D749">
        <v>8</v>
      </c>
      <c r="E749" t="b">
        <v>0</v>
      </c>
      <c r="F749" s="22" t="str">
        <f t="shared" si="36"/>
        <v/>
      </c>
      <c r="G749" s="23" t="s">
        <v>165</v>
      </c>
      <c r="H749" s="23" t="s">
        <v>198</v>
      </c>
      <c r="I749" s="23" t="s">
        <v>9</v>
      </c>
      <c r="J749" t="s">
        <v>17</v>
      </c>
      <c r="K749" s="22" t="e">
        <f t="shared" si="37"/>
        <v>#N/A</v>
      </c>
      <c r="L749" s="22" t="str">
        <f t="shared" si="38"/>
        <v/>
      </c>
    </row>
    <row r="750" spans="1:12" x14ac:dyDescent="0.25">
      <c r="A750">
        <v>10</v>
      </c>
      <c r="B750">
        <v>2</v>
      </c>
      <c r="C750">
        <v>16</v>
      </c>
      <c r="D750">
        <v>9</v>
      </c>
      <c r="E750" t="b">
        <v>0</v>
      </c>
      <c r="F750" s="22" t="str">
        <f t="shared" si="36"/>
        <v/>
      </c>
      <c r="G750" s="23" t="s">
        <v>165</v>
      </c>
      <c r="H750" s="23" t="s">
        <v>199</v>
      </c>
      <c r="I750" s="23" t="s">
        <v>9</v>
      </c>
      <c r="J750" t="s">
        <v>18</v>
      </c>
      <c r="K750" s="22" t="e">
        <f t="shared" si="37"/>
        <v>#N/A</v>
      </c>
      <c r="L750" s="22" t="str">
        <f t="shared" si="38"/>
        <v/>
      </c>
    </row>
    <row r="751" spans="1:12" x14ac:dyDescent="0.25">
      <c r="A751">
        <v>10</v>
      </c>
      <c r="B751">
        <v>2</v>
      </c>
      <c r="C751">
        <v>16</v>
      </c>
      <c r="D751">
        <v>10</v>
      </c>
      <c r="E751" t="b">
        <v>0</v>
      </c>
      <c r="F751" s="22" t="str">
        <f t="shared" si="36"/>
        <v/>
      </c>
      <c r="G751" s="23" t="s">
        <v>165</v>
      </c>
      <c r="H751" s="23" t="s">
        <v>200</v>
      </c>
      <c r="I751" s="23" t="s">
        <v>9</v>
      </c>
      <c r="J751" t="s">
        <v>19</v>
      </c>
      <c r="K751" s="22" t="e">
        <f t="shared" si="37"/>
        <v>#N/A</v>
      </c>
      <c r="L751" s="22" t="str">
        <f t="shared" si="38"/>
        <v/>
      </c>
    </row>
    <row r="752" spans="1:12" x14ac:dyDescent="0.25">
      <c r="A752">
        <v>10</v>
      </c>
      <c r="B752">
        <v>2</v>
      </c>
      <c r="C752">
        <v>16</v>
      </c>
      <c r="D752">
        <v>11</v>
      </c>
      <c r="E752" t="b">
        <v>0</v>
      </c>
      <c r="F752" s="22" t="str">
        <f t="shared" si="36"/>
        <v/>
      </c>
      <c r="G752" s="23" t="s">
        <v>165</v>
      </c>
      <c r="H752" s="23" t="s">
        <v>201</v>
      </c>
      <c r="I752" s="23" t="s">
        <v>9</v>
      </c>
      <c r="J752" t="s">
        <v>20</v>
      </c>
      <c r="K752" s="22" t="e">
        <f t="shared" si="37"/>
        <v>#N/A</v>
      </c>
      <c r="L752" s="22" t="str">
        <f t="shared" si="38"/>
        <v/>
      </c>
    </row>
    <row r="753" spans="1:12" x14ac:dyDescent="0.25">
      <c r="A753">
        <v>10</v>
      </c>
      <c r="B753">
        <v>2</v>
      </c>
      <c r="C753">
        <v>16</v>
      </c>
      <c r="D753">
        <v>12</v>
      </c>
      <c r="E753" t="b">
        <v>0</v>
      </c>
      <c r="F753" s="22" t="str">
        <f t="shared" si="36"/>
        <v/>
      </c>
      <c r="G753" s="23" t="s">
        <v>165</v>
      </c>
      <c r="H753" s="23" t="s">
        <v>202</v>
      </c>
      <c r="I753" s="23" t="s">
        <v>9</v>
      </c>
      <c r="J753" t="s">
        <v>21</v>
      </c>
      <c r="K753" s="22" t="e">
        <f t="shared" si="37"/>
        <v>#N/A</v>
      </c>
      <c r="L753" s="22" t="str">
        <f t="shared" si="38"/>
        <v/>
      </c>
    </row>
    <row r="754" spans="1:12" x14ac:dyDescent="0.25">
      <c r="A754">
        <v>10</v>
      </c>
      <c r="B754">
        <v>2</v>
      </c>
      <c r="C754">
        <v>16</v>
      </c>
      <c r="D754">
        <v>13</v>
      </c>
      <c r="E754" t="b">
        <v>0</v>
      </c>
      <c r="F754" s="22" t="str">
        <f t="shared" si="36"/>
        <v/>
      </c>
      <c r="G754" s="23" t="s">
        <v>165</v>
      </c>
      <c r="H754" s="23" t="s">
        <v>203</v>
      </c>
      <c r="I754" s="23" t="s">
        <v>9</v>
      </c>
      <c r="J754" t="s">
        <v>22</v>
      </c>
      <c r="K754" s="22" t="e">
        <f t="shared" si="37"/>
        <v>#N/A</v>
      </c>
      <c r="L754" s="22" t="str">
        <f t="shared" si="38"/>
        <v/>
      </c>
    </row>
    <row r="755" spans="1:12" x14ac:dyDescent="0.25">
      <c r="A755">
        <v>10</v>
      </c>
      <c r="B755">
        <v>2</v>
      </c>
      <c r="C755">
        <v>16</v>
      </c>
      <c r="D755">
        <v>14</v>
      </c>
      <c r="E755" t="b">
        <v>0</v>
      </c>
      <c r="F755" s="22" t="str">
        <f t="shared" si="36"/>
        <v/>
      </c>
      <c r="G755" s="23" t="s">
        <v>165</v>
      </c>
      <c r="H755" s="23" t="s">
        <v>204</v>
      </c>
      <c r="I755" s="23" t="s">
        <v>9</v>
      </c>
      <c r="J755" t="s">
        <v>111</v>
      </c>
      <c r="K755" s="22" t="e">
        <f t="shared" si="37"/>
        <v>#N/A</v>
      </c>
      <c r="L755" s="22" t="str">
        <f t="shared" si="38"/>
        <v/>
      </c>
    </row>
    <row r="756" spans="1:12" x14ac:dyDescent="0.25">
      <c r="A756">
        <v>10</v>
      </c>
      <c r="B756">
        <v>2</v>
      </c>
      <c r="C756">
        <v>16</v>
      </c>
      <c r="D756">
        <v>15</v>
      </c>
      <c r="E756" t="b">
        <v>0</v>
      </c>
      <c r="F756" s="22" t="str">
        <f t="shared" si="36"/>
        <v/>
      </c>
      <c r="G756" s="23" t="s">
        <v>165</v>
      </c>
      <c r="H756" s="23" t="s">
        <v>205</v>
      </c>
      <c r="I756" s="23" t="s">
        <v>9</v>
      </c>
      <c r="J756" t="s">
        <v>112</v>
      </c>
      <c r="K756" s="22" t="e">
        <f t="shared" si="37"/>
        <v>#N/A</v>
      </c>
      <c r="L756" s="22" t="str">
        <f t="shared" si="38"/>
        <v/>
      </c>
    </row>
    <row r="757" spans="1:12" x14ac:dyDescent="0.25">
      <c r="A757">
        <v>10</v>
      </c>
      <c r="B757">
        <v>2</v>
      </c>
      <c r="C757">
        <v>16</v>
      </c>
      <c r="D757">
        <v>16</v>
      </c>
      <c r="E757" t="b">
        <v>1</v>
      </c>
      <c r="F757" s="22" t="str">
        <f t="shared" si="36"/>
        <v/>
      </c>
      <c r="G757" s="23" t="s">
        <v>165</v>
      </c>
      <c r="H757" s="23" t="s">
        <v>206</v>
      </c>
      <c r="I757" s="23" t="s">
        <v>9</v>
      </c>
      <c r="J757" t="s">
        <v>113</v>
      </c>
      <c r="K757" s="22" t="e">
        <f t="shared" si="37"/>
        <v>#N/A</v>
      </c>
      <c r="L757" s="22" t="str">
        <f t="shared" si="38"/>
        <v/>
      </c>
    </row>
    <row r="758" spans="1:12" x14ac:dyDescent="0.25">
      <c r="A758">
        <v>10</v>
      </c>
      <c r="B758">
        <v>3</v>
      </c>
      <c r="C758">
        <v>17</v>
      </c>
      <c r="D758">
        <v>1</v>
      </c>
      <c r="E758" t="b">
        <v>0</v>
      </c>
      <c r="F758" s="22" t="str">
        <f t="shared" si="36"/>
        <v/>
      </c>
      <c r="G758" s="23" t="s">
        <v>168</v>
      </c>
      <c r="H758" s="23" t="s">
        <v>207</v>
      </c>
      <c r="I758" s="23" t="s">
        <v>37</v>
      </c>
      <c r="J758" t="s">
        <v>114</v>
      </c>
      <c r="K758" s="22" t="e">
        <f t="shared" si="37"/>
        <v>#N/A</v>
      </c>
      <c r="L758" s="22" t="str">
        <f t="shared" si="38"/>
        <v/>
      </c>
    </row>
    <row r="759" spans="1:12" x14ac:dyDescent="0.25">
      <c r="A759">
        <v>10</v>
      </c>
      <c r="B759">
        <v>3</v>
      </c>
      <c r="C759">
        <v>17</v>
      </c>
      <c r="D759">
        <v>2</v>
      </c>
      <c r="E759" t="b">
        <v>0</v>
      </c>
      <c r="F759" s="22" t="str">
        <f t="shared" si="36"/>
        <v/>
      </c>
      <c r="G759" s="23" t="s">
        <v>168</v>
      </c>
      <c r="H759" s="23" t="s">
        <v>208</v>
      </c>
      <c r="I759" s="23" t="s">
        <v>37</v>
      </c>
      <c r="J759" t="s">
        <v>39</v>
      </c>
      <c r="K759" s="22" t="e">
        <f t="shared" si="37"/>
        <v>#N/A</v>
      </c>
      <c r="L759" s="22" t="str">
        <f t="shared" si="38"/>
        <v/>
      </c>
    </row>
    <row r="760" spans="1:12" x14ac:dyDescent="0.25">
      <c r="A760">
        <v>10</v>
      </c>
      <c r="B760">
        <v>3</v>
      </c>
      <c r="C760">
        <v>17</v>
      </c>
      <c r="D760">
        <v>3</v>
      </c>
      <c r="E760" t="b">
        <v>0</v>
      </c>
      <c r="F760" s="22" t="str">
        <f t="shared" si="36"/>
        <v/>
      </c>
      <c r="G760" s="23" t="s">
        <v>168</v>
      </c>
      <c r="H760" s="23" t="s">
        <v>209</v>
      </c>
      <c r="I760" s="23" t="s">
        <v>37</v>
      </c>
      <c r="J760" t="s">
        <v>40</v>
      </c>
      <c r="K760" s="22" t="e">
        <f t="shared" si="37"/>
        <v>#N/A</v>
      </c>
      <c r="L760" s="22" t="str">
        <f t="shared" si="38"/>
        <v/>
      </c>
    </row>
    <row r="761" spans="1:12" x14ac:dyDescent="0.25">
      <c r="A761">
        <v>10</v>
      </c>
      <c r="B761">
        <v>3</v>
      </c>
      <c r="C761">
        <v>17</v>
      </c>
      <c r="D761">
        <v>4</v>
      </c>
      <c r="E761" t="b">
        <v>0</v>
      </c>
      <c r="F761" s="22" t="str">
        <f t="shared" si="36"/>
        <v/>
      </c>
      <c r="G761" s="23" t="s">
        <v>168</v>
      </c>
      <c r="H761" s="23" t="s">
        <v>210</v>
      </c>
      <c r="I761" s="23" t="s">
        <v>37</v>
      </c>
      <c r="J761" t="s">
        <v>41</v>
      </c>
      <c r="K761" s="22" t="e">
        <f t="shared" si="37"/>
        <v>#N/A</v>
      </c>
      <c r="L761" s="22" t="str">
        <f t="shared" si="38"/>
        <v/>
      </c>
    </row>
    <row r="762" spans="1:12" x14ac:dyDescent="0.25">
      <c r="A762">
        <v>10</v>
      </c>
      <c r="B762">
        <v>3</v>
      </c>
      <c r="C762">
        <v>17</v>
      </c>
      <c r="D762">
        <v>5</v>
      </c>
      <c r="E762" t="b">
        <v>0</v>
      </c>
      <c r="F762" s="22" t="str">
        <f t="shared" si="36"/>
        <v/>
      </c>
      <c r="G762" s="23" t="s">
        <v>168</v>
      </c>
      <c r="H762" s="23" t="s">
        <v>211</v>
      </c>
      <c r="I762" s="23" t="s">
        <v>37</v>
      </c>
      <c r="J762" t="s">
        <v>38</v>
      </c>
      <c r="K762" s="22" t="e">
        <f t="shared" si="37"/>
        <v>#N/A</v>
      </c>
      <c r="L762" s="22" t="str">
        <f t="shared" si="38"/>
        <v/>
      </c>
    </row>
    <row r="763" spans="1:12" x14ac:dyDescent="0.25">
      <c r="A763">
        <v>10</v>
      </c>
      <c r="B763">
        <v>3</v>
      </c>
      <c r="C763">
        <v>17</v>
      </c>
      <c r="D763">
        <v>6</v>
      </c>
      <c r="E763" t="b">
        <v>0</v>
      </c>
      <c r="F763" s="22" t="str">
        <f t="shared" si="36"/>
        <v/>
      </c>
      <c r="G763" s="23" t="s">
        <v>168</v>
      </c>
      <c r="H763" s="23" t="s">
        <v>212</v>
      </c>
      <c r="I763" s="23" t="s">
        <v>37</v>
      </c>
      <c r="J763" t="s">
        <v>115</v>
      </c>
      <c r="K763" s="22" t="e">
        <f t="shared" si="37"/>
        <v>#N/A</v>
      </c>
      <c r="L763" s="22" t="str">
        <f t="shared" si="38"/>
        <v/>
      </c>
    </row>
    <row r="764" spans="1:12" x14ac:dyDescent="0.25">
      <c r="A764">
        <v>10</v>
      </c>
      <c r="B764">
        <v>3</v>
      </c>
      <c r="C764">
        <v>17</v>
      </c>
      <c r="D764">
        <v>7</v>
      </c>
      <c r="E764" t="b">
        <v>0</v>
      </c>
      <c r="F764" s="22" t="str">
        <f t="shared" si="36"/>
        <v/>
      </c>
      <c r="G764" s="23" t="s">
        <v>168</v>
      </c>
      <c r="H764" s="23" t="s">
        <v>213</v>
      </c>
      <c r="I764" s="23" t="s">
        <v>37</v>
      </c>
      <c r="J764" t="s">
        <v>116</v>
      </c>
      <c r="K764" s="22" t="e">
        <f t="shared" si="37"/>
        <v>#N/A</v>
      </c>
      <c r="L764" s="22" t="str">
        <f t="shared" si="38"/>
        <v/>
      </c>
    </row>
    <row r="765" spans="1:12" x14ac:dyDescent="0.25">
      <c r="A765">
        <v>10</v>
      </c>
      <c r="B765">
        <v>3</v>
      </c>
      <c r="C765">
        <v>17</v>
      </c>
      <c r="D765">
        <v>8</v>
      </c>
      <c r="E765" t="b">
        <v>0</v>
      </c>
      <c r="F765" s="22" t="str">
        <f t="shared" si="36"/>
        <v/>
      </c>
      <c r="G765" s="23" t="s">
        <v>168</v>
      </c>
      <c r="H765" s="23" t="s">
        <v>214</v>
      </c>
      <c r="I765" s="23" t="s">
        <v>37</v>
      </c>
      <c r="J765" t="s">
        <v>126</v>
      </c>
      <c r="K765" s="22" t="e">
        <f t="shared" si="37"/>
        <v>#N/A</v>
      </c>
      <c r="L765" s="22" t="str">
        <f t="shared" si="38"/>
        <v/>
      </c>
    </row>
    <row r="766" spans="1:12" x14ac:dyDescent="0.25">
      <c r="A766">
        <v>10</v>
      </c>
      <c r="B766">
        <v>3</v>
      </c>
      <c r="C766">
        <v>17</v>
      </c>
      <c r="D766">
        <v>9</v>
      </c>
      <c r="E766" t="b">
        <v>0</v>
      </c>
      <c r="F766" s="22" t="str">
        <f t="shared" si="36"/>
        <v/>
      </c>
      <c r="G766" s="23" t="s">
        <v>168</v>
      </c>
      <c r="H766" s="23" t="s">
        <v>215</v>
      </c>
      <c r="I766" s="23" t="s">
        <v>37</v>
      </c>
      <c r="J766" t="s">
        <v>45</v>
      </c>
      <c r="K766" s="22" t="e">
        <f t="shared" si="37"/>
        <v>#N/A</v>
      </c>
      <c r="L766" s="22" t="str">
        <f t="shared" si="38"/>
        <v/>
      </c>
    </row>
    <row r="767" spans="1:12" x14ac:dyDescent="0.25">
      <c r="A767">
        <v>10</v>
      </c>
      <c r="B767">
        <v>3</v>
      </c>
      <c r="C767">
        <v>17</v>
      </c>
      <c r="D767">
        <v>10</v>
      </c>
      <c r="E767" t="b">
        <v>0</v>
      </c>
      <c r="F767" s="22" t="str">
        <f t="shared" si="36"/>
        <v/>
      </c>
      <c r="G767" s="23" t="s">
        <v>168</v>
      </c>
      <c r="H767" s="23" t="s">
        <v>216</v>
      </c>
      <c r="I767" s="23" t="s">
        <v>37</v>
      </c>
      <c r="J767" t="s">
        <v>117</v>
      </c>
      <c r="K767" s="22" t="e">
        <f t="shared" si="37"/>
        <v>#N/A</v>
      </c>
      <c r="L767" s="22" t="str">
        <f t="shared" si="38"/>
        <v/>
      </c>
    </row>
    <row r="768" spans="1:12" x14ac:dyDescent="0.25">
      <c r="A768">
        <v>10</v>
      </c>
      <c r="B768">
        <v>3</v>
      </c>
      <c r="C768">
        <v>17</v>
      </c>
      <c r="D768">
        <v>11</v>
      </c>
      <c r="E768" t="b">
        <v>0</v>
      </c>
      <c r="F768" s="22" t="str">
        <f t="shared" si="36"/>
        <v/>
      </c>
      <c r="G768" s="23" t="s">
        <v>168</v>
      </c>
      <c r="H768" s="23" t="s">
        <v>217</v>
      </c>
      <c r="I768" s="23" t="s">
        <v>37</v>
      </c>
      <c r="J768" t="s">
        <v>118</v>
      </c>
      <c r="K768" s="22" t="e">
        <f t="shared" si="37"/>
        <v>#N/A</v>
      </c>
      <c r="L768" s="22" t="str">
        <f t="shared" si="38"/>
        <v/>
      </c>
    </row>
    <row r="769" spans="1:12" x14ac:dyDescent="0.25">
      <c r="A769">
        <v>10</v>
      </c>
      <c r="B769">
        <v>3</v>
      </c>
      <c r="C769">
        <v>17</v>
      </c>
      <c r="D769">
        <v>12</v>
      </c>
      <c r="E769" t="b">
        <v>0</v>
      </c>
      <c r="F769" s="22" t="str">
        <f t="shared" si="36"/>
        <v/>
      </c>
      <c r="G769" s="23" t="s">
        <v>168</v>
      </c>
      <c r="H769" s="23" t="s">
        <v>218</v>
      </c>
      <c r="I769" s="23" t="s">
        <v>37</v>
      </c>
      <c r="J769" t="s">
        <v>119</v>
      </c>
      <c r="K769" s="22" t="e">
        <f t="shared" si="37"/>
        <v>#N/A</v>
      </c>
      <c r="L769" s="22" t="str">
        <f t="shared" si="38"/>
        <v/>
      </c>
    </row>
    <row r="770" spans="1:12" x14ac:dyDescent="0.25">
      <c r="A770">
        <v>10</v>
      </c>
      <c r="B770">
        <v>3</v>
      </c>
      <c r="C770">
        <v>17</v>
      </c>
      <c r="D770">
        <v>13</v>
      </c>
      <c r="E770" t="b">
        <v>0</v>
      </c>
      <c r="F770" s="22" t="str">
        <f t="shared" si="36"/>
        <v/>
      </c>
      <c r="G770" s="23" t="s">
        <v>168</v>
      </c>
      <c r="H770" s="23" t="s">
        <v>219</v>
      </c>
      <c r="I770" s="23" t="s">
        <v>37</v>
      </c>
      <c r="J770" t="s">
        <v>127</v>
      </c>
      <c r="K770" s="22" t="e">
        <f t="shared" si="37"/>
        <v>#N/A</v>
      </c>
      <c r="L770" s="22" t="str">
        <f t="shared" si="38"/>
        <v/>
      </c>
    </row>
    <row r="771" spans="1:12" x14ac:dyDescent="0.25">
      <c r="A771">
        <v>10</v>
      </c>
      <c r="B771">
        <v>3</v>
      </c>
      <c r="C771">
        <v>17</v>
      </c>
      <c r="D771">
        <v>14</v>
      </c>
      <c r="E771" t="b">
        <v>0</v>
      </c>
      <c r="F771" s="22" t="str">
        <f t="shared" si="36"/>
        <v/>
      </c>
      <c r="G771" s="23" t="s">
        <v>168</v>
      </c>
      <c r="H771" s="23" t="s">
        <v>220</v>
      </c>
      <c r="I771" s="23" t="s">
        <v>37</v>
      </c>
      <c r="J771" t="s">
        <v>120</v>
      </c>
      <c r="K771" s="22" t="e">
        <f t="shared" si="37"/>
        <v>#N/A</v>
      </c>
      <c r="L771" s="22" t="str">
        <f t="shared" si="38"/>
        <v/>
      </c>
    </row>
    <row r="772" spans="1:12" x14ac:dyDescent="0.25">
      <c r="A772">
        <v>10</v>
      </c>
      <c r="B772">
        <v>3</v>
      </c>
      <c r="C772">
        <v>17</v>
      </c>
      <c r="D772">
        <v>15</v>
      </c>
      <c r="E772" t="b">
        <v>0</v>
      </c>
      <c r="F772" s="22" t="str">
        <f t="shared" ref="F772:F835" si="39">VLOOKUP("Assessment #"&amp;$A772, DateMeta, MATCH("DisplDate", DateMeta_H, 0), 0)</f>
        <v/>
      </c>
      <c r="G772" s="23" t="s">
        <v>168</v>
      </c>
      <c r="H772" s="23" t="s">
        <v>221</v>
      </c>
      <c r="I772" s="23" t="s">
        <v>37</v>
      </c>
      <c r="J772" t="s">
        <v>42</v>
      </c>
      <c r="K772" s="22" t="e">
        <f t="shared" ref="K772:K835" si="40">IF(INDEX(Assess, MATCH($J772, ItemLong, 0), MATCH("Assessment #"&amp;$A772, Assess_H, 0))="", "", INDEX(Assess, MATCH($J772, ItemLong, 0), MATCH("Assessment #"&amp;$A772, Assess_H, 0)))</f>
        <v>#N/A</v>
      </c>
      <c r="L772" s="22" t="str">
        <f t="shared" si="38"/>
        <v/>
      </c>
    </row>
    <row r="773" spans="1:12" x14ac:dyDescent="0.25">
      <c r="A773">
        <v>10</v>
      </c>
      <c r="B773">
        <v>3</v>
      </c>
      <c r="C773">
        <v>17</v>
      </c>
      <c r="D773">
        <v>16</v>
      </c>
      <c r="E773" t="b">
        <v>0</v>
      </c>
      <c r="F773" s="22" t="str">
        <f t="shared" si="39"/>
        <v/>
      </c>
      <c r="G773" s="23" t="s">
        <v>168</v>
      </c>
      <c r="H773" s="23" t="s">
        <v>222</v>
      </c>
      <c r="I773" s="23" t="s">
        <v>37</v>
      </c>
      <c r="J773" t="s">
        <v>121</v>
      </c>
      <c r="K773" s="22" t="e">
        <f t="shared" si="40"/>
        <v>#N/A</v>
      </c>
      <c r="L773" s="22" t="str">
        <f t="shared" ref="L773:L836" si="41">IF(ISNUMBER(K773), IF(K773&gt;=2, 1, 0), "")</f>
        <v/>
      </c>
    </row>
    <row r="774" spans="1:12" x14ac:dyDescent="0.25">
      <c r="A774">
        <v>10</v>
      </c>
      <c r="B774">
        <v>3</v>
      </c>
      <c r="C774">
        <v>17</v>
      </c>
      <c r="D774">
        <v>17</v>
      </c>
      <c r="E774" t="b">
        <v>1</v>
      </c>
      <c r="F774" s="22" t="str">
        <f t="shared" si="39"/>
        <v/>
      </c>
      <c r="G774" s="23" t="s">
        <v>168</v>
      </c>
      <c r="H774" s="23" t="s">
        <v>223</v>
      </c>
      <c r="I774" s="23" t="s">
        <v>37</v>
      </c>
      <c r="J774" t="s">
        <v>44</v>
      </c>
      <c r="K774" s="22" t="e">
        <f t="shared" si="40"/>
        <v>#N/A</v>
      </c>
      <c r="L774" s="22" t="str">
        <f t="shared" si="41"/>
        <v/>
      </c>
    </row>
    <row r="775" spans="1:12" x14ac:dyDescent="0.25">
      <c r="A775">
        <v>10</v>
      </c>
      <c r="B775">
        <v>4</v>
      </c>
      <c r="C775">
        <v>9</v>
      </c>
      <c r="D775">
        <v>1</v>
      </c>
      <c r="E775" t="b">
        <v>0</v>
      </c>
      <c r="F775" s="22" t="str">
        <f t="shared" si="39"/>
        <v/>
      </c>
      <c r="G775" s="23" t="s">
        <v>169</v>
      </c>
      <c r="H775" s="23" t="s">
        <v>224</v>
      </c>
      <c r="I775" s="23" t="s">
        <v>25</v>
      </c>
      <c r="J775" t="s">
        <v>122</v>
      </c>
      <c r="K775" s="22" t="e">
        <f t="shared" si="40"/>
        <v>#N/A</v>
      </c>
      <c r="L775" s="22" t="str">
        <f t="shared" si="41"/>
        <v/>
      </c>
    </row>
    <row r="776" spans="1:12" x14ac:dyDescent="0.25">
      <c r="A776">
        <v>10</v>
      </c>
      <c r="B776">
        <v>4</v>
      </c>
      <c r="C776">
        <v>9</v>
      </c>
      <c r="D776">
        <v>2</v>
      </c>
      <c r="E776" t="b">
        <v>0</v>
      </c>
      <c r="F776" s="22" t="str">
        <f t="shared" si="39"/>
        <v/>
      </c>
      <c r="G776" s="23" t="s">
        <v>169</v>
      </c>
      <c r="H776" s="23" t="s">
        <v>225</v>
      </c>
      <c r="I776" s="23" t="s">
        <v>25</v>
      </c>
      <c r="J776" t="s">
        <v>26</v>
      </c>
      <c r="K776" s="22" t="e">
        <f t="shared" si="40"/>
        <v>#N/A</v>
      </c>
      <c r="L776" s="22" t="str">
        <f t="shared" si="41"/>
        <v/>
      </c>
    </row>
    <row r="777" spans="1:12" x14ac:dyDescent="0.25">
      <c r="A777">
        <v>10</v>
      </c>
      <c r="B777">
        <v>4</v>
      </c>
      <c r="C777">
        <v>9</v>
      </c>
      <c r="D777">
        <v>3</v>
      </c>
      <c r="E777" t="b">
        <v>0</v>
      </c>
      <c r="F777" s="22" t="str">
        <f t="shared" si="39"/>
        <v/>
      </c>
      <c r="G777" s="23" t="s">
        <v>169</v>
      </c>
      <c r="H777" s="23" t="s">
        <v>226</v>
      </c>
      <c r="I777" s="23" t="s">
        <v>25</v>
      </c>
      <c r="J777" t="s">
        <v>27</v>
      </c>
      <c r="K777" s="22" t="e">
        <f t="shared" si="40"/>
        <v>#N/A</v>
      </c>
      <c r="L777" s="22" t="str">
        <f t="shared" si="41"/>
        <v/>
      </c>
    </row>
    <row r="778" spans="1:12" x14ac:dyDescent="0.25">
      <c r="A778">
        <v>10</v>
      </c>
      <c r="B778">
        <v>4</v>
      </c>
      <c r="C778">
        <v>9</v>
      </c>
      <c r="D778">
        <v>4</v>
      </c>
      <c r="E778" t="b">
        <v>0</v>
      </c>
      <c r="F778" s="22" t="str">
        <f t="shared" si="39"/>
        <v/>
      </c>
      <c r="G778" s="23" t="s">
        <v>169</v>
      </c>
      <c r="H778" s="23" t="s">
        <v>227</v>
      </c>
      <c r="I778" s="23" t="s">
        <v>25</v>
      </c>
      <c r="J778" t="s">
        <v>28</v>
      </c>
      <c r="K778" s="22" t="e">
        <f t="shared" si="40"/>
        <v>#N/A</v>
      </c>
      <c r="L778" s="22" t="str">
        <f t="shared" si="41"/>
        <v/>
      </c>
    </row>
    <row r="779" spans="1:12" x14ac:dyDescent="0.25">
      <c r="A779">
        <v>10</v>
      </c>
      <c r="B779">
        <v>4</v>
      </c>
      <c r="C779">
        <v>9</v>
      </c>
      <c r="D779">
        <v>5</v>
      </c>
      <c r="E779" t="b">
        <v>0</v>
      </c>
      <c r="F779" s="22" t="str">
        <f t="shared" si="39"/>
        <v/>
      </c>
      <c r="G779" s="23" t="s">
        <v>169</v>
      </c>
      <c r="H779" s="23" t="s">
        <v>228</v>
      </c>
      <c r="I779" s="23" t="s">
        <v>25</v>
      </c>
      <c r="J779" t="s">
        <v>128</v>
      </c>
      <c r="K779" s="22" t="e">
        <f t="shared" si="40"/>
        <v>#N/A</v>
      </c>
      <c r="L779" s="22" t="str">
        <f t="shared" si="41"/>
        <v/>
      </c>
    </row>
    <row r="780" spans="1:12" x14ac:dyDescent="0.25">
      <c r="A780">
        <v>10</v>
      </c>
      <c r="B780">
        <v>4</v>
      </c>
      <c r="C780">
        <v>9</v>
      </c>
      <c r="D780">
        <v>6</v>
      </c>
      <c r="E780" t="b">
        <v>0</v>
      </c>
      <c r="F780" s="22" t="str">
        <f t="shared" si="39"/>
        <v/>
      </c>
      <c r="G780" s="23" t="s">
        <v>169</v>
      </c>
      <c r="H780" s="23" t="s">
        <v>229</v>
      </c>
      <c r="I780" s="23" t="s">
        <v>25</v>
      </c>
      <c r="J780" t="s">
        <v>29</v>
      </c>
      <c r="K780" s="22" t="e">
        <f t="shared" si="40"/>
        <v>#N/A</v>
      </c>
      <c r="L780" s="22" t="str">
        <f t="shared" si="41"/>
        <v/>
      </c>
    </row>
    <row r="781" spans="1:12" x14ac:dyDescent="0.25">
      <c r="A781">
        <v>10</v>
      </c>
      <c r="B781">
        <v>4</v>
      </c>
      <c r="C781">
        <v>9</v>
      </c>
      <c r="D781">
        <v>7</v>
      </c>
      <c r="E781" t="b">
        <v>0</v>
      </c>
      <c r="F781" s="22" t="str">
        <f t="shared" si="39"/>
        <v/>
      </c>
      <c r="G781" s="23" t="s">
        <v>169</v>
      </c>
      <c r="H781" s="23" t="s">
        <v>230</v>
      </c>
      <c r="I781" s="23" t="s">
        <v>25</v>
      </c>
      <c r="J781" t="s">
        <v>30</v>
      </c>
      <c r="K781" s="22" t="e">
        <f t="shared" si="40"/>
        <v>#N/A</v>
      </c>
      <c r="L781" s="22" t="str">
        <f t="shared" si="41"/>
        <v/>
      </c>
    </row>
    <row r="782" spans="1:12" x14ac:dyDescent="0.25">
      <c r="A782">
        <v>10</v>
      </c>
      <c r="B782">
        <v>4</v>
      </c>
      <c r="C782">
        <v>9</v>
      </c>
      <c r="D782">
        <v>8</v>
      </c>
      <c r="E782" t="b">
        <v>0</v>
      </c>
      <c r="F782" s="22" t="str">
        <f t="shared" si="39"/>
        <v/>
      </c>
      <c r="G782" s="23" t="s">
        <v>169</v>
      </c>
      <c r="H782" s="23" t="s">
        <v>231</v>
      </c>
      <c r="I782" s="23" t="s">
        <v>25</v>
      </c>
      <c r="J782" t="s">
        <v>31</v>
      </c>
      <c r="K782" s="22" t="e">
        <f t="shared" si="40"/>
        <v>#N/A</v>
      </c>
      <c r="L782" s="22" t="str">
        <f t="shared" si="41"/>
        <v/>
      </c>
    </row>
    <row r="783" spans="1:12" x14ac:dyDescent="0.25">
      <c r="A783">
        <v>10</v>
      </c>
      <c r="B783">
        <v>4</v>
      </c>
      <c r="C783">
        <v>9</v>
      </c>
      <c r="D783">
        <v>9</v>
      </c>
      <c r="E783" t="b">
        <v>1</v>
      </c>
      <c r="F783" s="22" t="str">
        <f t="shared" si="39"/>
        <v/>
      </c>
      <c r="G783" s="23" t="s">
        <v>169</v>
      </c>
      <c r="H783" s="23" t="s">
        <v>232</v>
      </c>
      <c r="I783" s="23" t="s">
        <v>25</v>
      </c>
      <c r="J783" t="s">
        <v>43</v>
      </c>
      <c r="K783" s="22" t="e">
        <f t="shared" si="40"/>
        <v>#N/A</v>
      </c>
      <c r="L783" s="22" t="str">
        <f t="shared" si="41"/>
        <v/>
      </c>
    </row>
    <row r="784" spans="1:12" x14ac:dyDescent="0.25">
      <c r="A784">
        <v>10</v>
      </c>
      <c r="B784">
        <v>5</v>
      </c>
      <c r="C784">
        <v>9</v>
      </c>
      <c r="D784">
        <v>1</v>
      </c>
      <c r="E784" t="b">
        <v>0</v>
      </c>
      <c r="F784" s="22" t="str">
        <f t="shared" si="39"/>
        <v/>
      </c>
      <c r="G784" s="23" t="s">
        <v>166</v>
      </c>
      <c r="H784" s="23" t="s">
        <v>233</v>
      </c>
      <c r="I784" s="23" t="s">
        <v>32</v>
      </c>
      <c r="J784" t="s">
        <v>33</v>
      </c>
      <c r="K784" s="22" t="e">
        <f t="shared" si="40"/>
        <v>#N/A</v>
      </c>
      <c r="L784" s="22" t="str">
        <f t="shared" si="41"/>
        <v/>
      </c>
    </row>
    <row r="785" spans="1:12" x14ac:dyDescent="0.25">
      <c r="A785">
        <v>10</v>
      </c>
      <c r="B785">
        <v>5</v>
      </c>
      <c r="C785">
        <v>9</v>
      </c>
      <c r="D785">
        <v>2</v>
      </c>
      <c r="E785" t="b">
        <v>0</v>
      </c>
      <c r="F785" s="22" t="str">
        <f t="shared" si="39"/>
        <v/>
      </c>
      <c r="G785" s="23" t="s">
        <v>166</v>
      </c>
      <c r="H785" s="23" t="s">
        <v>234</v>
      </c>
      <c r="I785" s="23" t="s">
        <v>32</v>
      </c>
      <c r="J785" t="s">
        <v>34</v>
      </c>
      <c r="K785" s="22" t="e">
        <f t="shared" si="40"/>
        <v>#N/A</v>
      </c>
      <c r="L785" s="22" t="str">
        <f t="shared" si="41"/>
        <v/>
      </c>
    </row>
    <row r="786" spans="1:12" x14ac:dyDescent="0.25">
      <c r="A786">
        <v>10</v>
      </c>
      <c r="B786">
        <v>5</v>
      </c>
      <c r="C786">
        <v>9</v>
      </c>
      <c r="D786">
        <v>3</v>
      </c>
      <c r="E786" t="b">
        <v>0</v>
      </c>
      <c r="F786" s="22" t="str">
        <f t="shared" si="39"/>
        <v/>
      </c>
      <c r="G786" s="23" t="s">
        <v>166</v>
      </c>
      <c r="H786" s="23" t="s">
        <v>235</v>
      </c>
      <c r="I786" s="23" t="s">
        <v>32</v>
      </c>
      <c r="J786" t="s">
        <v>35</v>
      </c>
      <c r="K786" s="22" t="e">
        <f t="shared" si="40"/>
        <v>#N/A</v>
      </c>
      <c r="L786" s="22" t="str">
        <f t="shared" si="41"/>
        <v/>
      </c>
    </row>
    <row r="787" spans="1:12" x14ac:dyDescent="0.25">
      <c r="A787">
        <v>10</v>
      </c>
      <c r="B787">
        <v>5</v>
      </c>
      <c r="C787">
        <v>9</v>
      </c>
      <c r="D787">
        <v>4</v>
      </c>
      <c r="E787" t="b">
        <v>0</v>
      </c>
      <c r="F787" s="22" t="str">
        <f t="shared" si="39"/>
        <v/>
      </c>
      <c r="G787" s="23" t="s">
        <v>166</v>
      </c>
      <c r="H787" s="23" t="s">
        <v>236</v>
      </c>
      <c r="I787" s="23" t="s">
        <v>32</v>
      </c>
      <c r="J787" t="s">
        <v>123</v>
      </c>
      <c r="K787" s="22" t="e">
        <f t="shared" si="40"/>
        <v>#N/A</v>
      </c>
      <c r="L787" s="22" t="str">
        <f t="shared" si="41"/>
        <v/>
      </c>
    </row>
    <row r="788" spans="1:12" x14ac:dyDescent="0.25">
      <c r="A788">
        <v>10</v>
      </c>
      <c r="B788">
        <v>5</v>
      </c>
      <c r="C788">
        <v>9</v>
      </c>
      <c r="D788">
        <v>5</v>
      </c>
      <c r="E788" t="b">
        <v>0</v>
      </c>
      <c r="F788" s="22" t="str">
        <f t="shared" si="39"/>
        <v/>
      </c>
      <c r="G788" s="23" t="s">
        <v>166</v>
      </c>
      <c r="H788" s="23" t="s">
        <v>237</v>
      </c>
      <c r="I788" s="23" t="s">
        <v>32</v>
      </c>
      <c r="J788" t="s">
        <v>124</v>
      </c>
      <c r="K788" s="22" t="e">
        <f t="shared" si="40"/>
        <v>#N/A</v>
      </c>
      <c r="L788" s="22" t="str">
        <f t="shared" si="41"/>
        <v/>
      </c>
    </row>
    <row r="789" spans="1:12" x14ac:dyDescent="0.25">
      <c r="A789">
        <v>10</v>
      </c>
      <c r="B789">
        <v>5</v>
      </c>
      <c r="C789">
        <v>9</v>
      </c>
      <c r="D789">
        <v>6</v>
      </c>
      <c r="E789" t="b">
        <v>0</v>
      </c>
      <c r="F789" s="22" t="str">
        <f t="shared" si="39"/>
        <v/>
      </c>
      <c r="G789" s="23" t="s">
        <v>166</v>
      </c>
      <c r="H789" s="23" t="s">
        <v>238</v>
      </c>
      <c r="I789" s="23" t="s">
        <v>32</v>
      </c>
      <c r="J789" t="s">
        <v>129</v>
      </c>
      <c r="K789" s="22" t="e">
        <f t="shared" si="40"/>
        <v>#N/A</v>
      </c>
      <c r="L789" s="22" t="str">
        <f t="shared" si="41"/>
        <v/>
      </c>
    </row>
    <row r="790" spans="1:12" x14ac:dyDescent="0.25">
      <c r="A790">
        <v>10</v>
      </c>
      <c r="B790">
        <v>5</v>
      </c>
      <c r="C790">
        <v>9</v>
      </c>
      <c r="D790">
        <v>7</v>
      </c>
      <c r="E790" t="b">
        <v>0</v>
      </c>
      <c r="F790" s="22" t="str">
        <f t="shared" si="39"/>
        <v/>
      </c>
      <c r="G790" s="23" t="s">
        <v>166</v>
      </c>
      <c r="H790" s="23" t="s">
        <v>239</v>
      </c>
      <c r="I790" s="23" t="s">
        <v>32</v>
      </c>
      <c r="J790" t="s">
        <v>125</v>
      </c>
      <c r="K790" s="22" t="e">
        <f t="shared" si="40"/>
        <v>#N/A</v>
      </c>
      <c r="L790" s="22" t="str">
        <f t="shared" si="41"/>
        <v/>
      </c>
    </row>
    <row r="791" spans="1:12" x14ac:dyDescent="0.25">
      <c r="A791">
        <v>10</v>
      </c>
      <c r="B791">
        <v>5</v>
      </c>
      <c r="C791">
        <v>9</v>
      </c>
      <c r="D791">
        <v>8</v>
      </c>
      <c r="E791" t="b">
        <v>0</v>
      </c>
      <c r="F791" s="22" t="str">
        <f t="shared" si="39"/>
        <v/>
      </c>
      <c r="G791" s="23" t="s">
        <v>166</v>
      </c>
      <c r="H791" s="23" t="s">
        <v>240</v>
      </c>
      <c r="I791" s="23" t="s">
        <v>32</v>
      </c>
      <c r="J791" t="s">
        <v>36</v>
      </c>
      <c r="K791" s="22" t="e">
        <f t="shared" si="40"/>
        <v>#N/A</v>
      </c>
      <c r="L791" s="22" t="str">
        <f t="shared" si="41"/>
        <v/>
      </c>
    </row>
    <row r="792" spans="1:12" x14ac:dyDescent="0.25">
      <c r="A792">
        <v>10</v>
      </c>
      <c r="B792">
        <v>5</v>
      </c>
      <c r="C792">
        <v>9</v>
      </c>
      <c r="D792">
        <v>9</v>
      </c>
      <c r="E792" t="b">
        <v>1</v>
      </c>
      <c r="F792" s="22" t="str">
        <f t="shared" si="39"/>
        <v/>
      </c>
      <c r="G792" s="23" t="s">
        <v>166</v>
      </c>
      <c r="H792" s="23" t="s">
        <v>241</v>
      </c>
      <c r="I792" s="23" t="s">
        <v>32</v>
      </c>
      <c r="J792" t="s">
        <v>47</v>
      </c>
      <c r="K792" s="22" t="e">
        <f t="shared" si="40"/>
        <v>#N/A</v>
      </c>
      <c r="L792" s="22" t="str">
        <f t="shared" si="41"/>
        <v/>
      </c>
    </row>
    <row r="793" spans="1:12" x14ac:dyDescent="0.25">
      <c r="A793">
        <v>10</v>
      </c>
      <c r="B793">
        <v>6</v>
      </c>
      <c r="C793">
        <v>11</v>
      </c>
      <c r="D793">
        <v>1</v>
      </c>
      <c r="E793" t="b">
        <v>0</v>
      </c>
      <c r="F793" s="22" t="str">
        <f t="shared" si="39"/>
        <v/>
      </c>
      <c r="G793" s="23" t="s">
        <v>170</v>
      </c>
      <c r="H793" s="23" t="s">
        <v>242</v>
      </c>
      <c r="I793" s="23" t="s">
        <v>149</v>
      </c>
      <c r="J793" t="s">
        <v>150</v>
      </c>
      <c r="K793" s="22" t="e">
        <f t="shared" si="40"/>
        <v>#N/A</v>
      </c>
      <c r="L793" s="22" t="str">
        <f t="shared" si="41"/>
        <v/>
      </c>
    </row>
    <row r="794" spans="1:12" x14ac:dyDescent="0.25">
      <c r="A794">
        <v>10</v>
      </c>
      <c r="B794">
        <v>6</v>
      </c>
      <c r="C794">
        <v>11</v>
      </c>
      <c r="D794">
        <v>2</v>
      </c>
      <c r="E794" t="b">
        <v>0</v>
      </c>
      <c r="F794" s="22" t="str">
        <f t="shared" si="39"/>
        <v/>
      </c>
      <c r="G794" s="23" t="s">
        <v>170</v>
      </c>
      <c r="H794" s="23" t="s">
        <v>243</v>
      </c>
      <c r="I794" s="23" t="s">
        <v>149</v>
      </c>
      <c r="J794" t="s">
        <v>151</v>
      </c>
      <c r="K794" s="22" t="e">
        <f t="shared" si="40"/>
        <v>#N/A</v>
      </c>
      <c r="L794" s="22" t="str">
        <f t="shared" si="41"/>
        <v/>
      </c>
    </row>
    <row r="795" spans="1:12" x14ac:dyDescent="0.25">
      <c r="A795">
        <v>10</v>
      </c>
      <c r="B795">
        <v>6</v>
      </c>
      <c r="C795">
        <v>11</v>
      </c>
      <c r="D795">
        <v>3</v>
      </c>
      <c r="E795" t="b">
        <v>0</v>
      </c>
      <c r="F795" s="22" t="str">
        <f t="shared" si="39"/>
        <v/>
      </c>
      <c r="G795" s="23" t="s">
        <v>170</v>
      </c>
      <c r="H795" s="23" t="s">
        <v>244</v>
      </c>
      <c r="I795" s="23" t="s">
        <v>149</v>
      </c>
      <c r="J795" t="s">
        <v>152</v>
      </c>
      <c r="K795" s="22" t="e">
        <f t="shared" si="40"/>
        <v>#N/A</v>
      </c>
      <c r="L795" s="22" t="str">
        <f t="shared" si="41"/>
        <v/>
      </c>
    </row>
    <row r="796" spans="1:12" x14ac:dyDescent="0.25">
      <c r="A796">
        <v>10</v>
      </c>
      <c r="B796">
        <v>6</v>
      </c>
      <c r="C796">
        <v>11</v>
      </c>
      <c r="D796">
        <v>4</v>
      </c>
      <c r="E796" t="b">
        <v>0</v>
      </c>
      <c r="F796" s="22" t="str">
        <f t="shared" si="39"/>
        <v/>
      </c>
      <c r="G796" s="23" t="s">
        <v>170</v>
      </c>
      <c r="H796" s="23" t="s">
        <v>245</v>
      </c>
      <c r="I796" s="23" t="s">
        <v>149</v>
      </c>
      <c r="J796" t="s">
        <v>153</v>
      </c>
      <c r="K796" s="22" t="e">
        <f t="shared" si="40"/>
        <v>#N/A</v>
      </c>
      <c r="L796" s="22" t="str">
        <f t="shared" si="41"/>
        <v/>
      </c>
    </row>
    <row r="797" spans="1:12" x14ac:dyDescent="0.25">
      <c r="A797">
        <v>10</v>
      </c>
      <c r="B797">
        <v>6</v>
      </c>
      <c r="C797">
        <v>11</v>
      </c>
      <c r="D797">
        <v>5</v>
      </c>
      <c r="E797" t="b">
        <v>0</v>
      </c>
      <c r="F797" s="22" t="str">
        <f t="shared" si="39"/>
        <v/>
      </c>
      <c r="G797" s="23" t="s">
        <v>170</v>
      </c>
      <c r="H797" s="23" t="s">
        <v>246</v>
      </c>
      <c r="I797" s="23" t="s">
        <v>149</v>
      </c>
      <c r="J797" t="s">
        <v>154</v>
      </c>
      <c r="K797" s="22" t="e">
        <f t="shared" si="40"/>
        <v>#N/A</v>
      </c>
      <c r="L797" s="22" t="str">
        <f t="shared" si="41"/>
        <v/>
      </c>
    </row>
    <row r="798" spans="1:12" x14ac:dyDescent="0.25">
      <c r="A798">
        <v>10</v>
      </c>
      <c r="B798">
        <v>6</v>
      </c>
      <c r="C798">
        <v>11</v>
      </c>
      <c r="D798">
        <v>6</v>
      </c>
      <c r="E798" t="b">
        <v>0</v>
      </c>
      <c r="F798" s="22" t="str">
        <f t="shared" si="39"/>
        <v/>
      </c>
      <c r="G798" s="23" t="s">
        <v>170</v>
      </c>
      <c r="H798" s="23" t="s">
        <v>247</v>
      </c>
      <c r="I798" s="23" t="s">
        <v>149</v>
      </c>
      <c r="J798" t="s">
        <v>155</v>
      </c>
      <c r="K798" s="22" t="e">
        <f t="shared" si="40"/>
        <v>#N/A</v>
      </c>
      <c r="L798" s="22" t="str">
        <f t="shared" si="41"/>
        <v/>
      </c>
    </row>
    <row r="799" spans="1:12" x14ac:dyDescent="0.25">
      <c r="A799">
        <v>10</v>
      </c>
      <c r="B799">
        <v>6</v>
      </c>
      <c r="C799">
        <v>11</v>
      </c>
      <c r="D799">
        <v>7</v>
      </c>
      <c r="E799" t="b">
        <v>0</v>
      </c>
      <c r="F799" s="22" t="str">
        <f t="shared" si="39"/>
        <v/>
      </c>
      <c r="G799" s="23" t="s">
        <v>170</v>
      </c>
      <c r="H799" s="23" t="s">
        <v>248</v>
      </c>
      <c r="I799" s="23" t="s">
        <v>149</v>
      </c>
      <c r="J799" t="s">
        <v>156</v>
      </c>
      <c r="K799" s="22" t="e">
        <f t="shared" si="40"/>
        <v>#N/A</v>
      </c>
      <c r="L799" s="22" t="str">
        <f t="shared" si="41"/>
        <v/>
      </c>
    </row>
    <row r="800" spans="1:12" x14ac:dyDescent="0.25">
      <c r="A800">
        <v>10</v>
      </c>
      <c r="B800">
        <v>6</v>
      </c>
      <c r="C800">
        <v>11</v>
      </c>
      <c r="D800">
        <v>8</v>
      </c>
      <c r="E800" t="b">
        <v>0</v>
      </c>
      <c r="F800" s="22" t="str">
        <f t="shared" si="39"/>
        <v/>
      </c>
      <c r="G800" s="23" t="s">
        <v>170</v>
      </c>
      <c r="H800" s="23" t="s">
        <v>249</v>
      </c>
      <c r="I800" s="23" t="s">
        <v>149</v>
      </c>
      <c r="J800" t="s">
        <v>157</v>
      </c>
      <c r="K800" s="22" t="e">
        <f t="shared" si="40"/>
        <v>#N/A</v>
      </c>
      <c r="L800" s="22" t="str">
        <f t="shared" si="41"/>
        <v/>
      </c>
    </row>
    <row r="801" spans="1:12" x14ac:dyDescent="0.25">
      <c r="A801">
        <v>10</v>
      </c>
      <c r="B801">
        <v>6</v>
      </c>
      <c r="C801">
        <v>11</v>
      </c>
      <c r="D801">
        <v>9</v>
      </c>
      <c r="E801" t="b">
        <v>0</v>
      </c>
      <c r="F801" s="22" t="str">
        <f t="shared" si="39"/>
        <v/>
      </c>
      <c r="G801" s="23" t="s">
        <v>170</v>
      </c>
      <c r="H801" s="23" t="s">
        <v>250</v>
      </c>
      <c r="I801" s="23" t="s">
        <v>149</v>
      </c>
      <c r="J801" t="s">
        <v>158</v>
      </c>
      <c r="K801" s="22" t="e">
        <f t="shared" si="40"/>
        <v>#N/A</v>
      </c>
      <c r="L801" s="22" t="str">
        <f t="shared" si="41"/>
        <v/>
      </c>
    </row>
    <row r="802" spans="1:12" x14ac:dyDescent="0.25">
      <c r="A802">
        <v>10</v>
      </c>
      <c r="B802">
        <v>6</v>
      </c>
      <c r="C802">
        <v>11</v>
      </c>
      <c r="D802">
        <v>10</v>
      </c>
      <c r="E802" t="b">
        <v>0</v>
      </c>
      <c r="F802" s="22" t="str">
        <f t="shared" si="39"/>
        <v/>
      </c>
      <c r="G802" s="23" t="s">
        <v>170</v>
      </c>
      <c r="H802" s="23" t="s">
        <v>251</v>
      </c>
      <c r="I802" s="23" t="s">
        <v>149</v>
      </c>
      <c r="J802" t="s">
        <v>159</v>
      </c>
      <c r="K802" s="22" t="e">
        <f t="shared" si="40"/>
        <v>#N/A</v>
      </c>
      <c r="L802" s="22" t="str">
        <f t="shared" si="41"/>
        <v/>
      </c>
    </row>
    <row r="803" spans="1:12" x14ac:dyDescent="0.25">
      <c r="A803">
        <v>10</v>
      </c>
      <c r="B803">
        <v>6</v>
      </c>
      <c r="C803">
        <v>11</v>
      </c>
      <c r="D803">
        <v>11</v>
      </c>
      <c r="E803" t="b">
        <v>1</v>
      </c>
      <c r="F803" s="22" t="str">
        <f t="shared" si="39"/>
        <v/>
      </c>
      <c r="G803" s="23" t="s">
        <v>170</v>
      </c>
      <c r="H803" s="23" t="s">
        <v>252</v>
      </c>
      <c r="I803" s="23" t="s">
        <v>149</v>
      </c>
      <c r="J803" t="s">
        <v>160</v>
      </c>
      <c r="K803" s="22" t="e">
        <f t="shared" si="40"/>
        <v>#N/A</v>
      </c>
      <c r="L803" s="22" t="str">
        <f t="shared" si="41"/>
        <v/>
      </c>
    </row>
    <row r="804" spans="1:12" x14ac:dyDescent="0.25">
      <c r="A804">
        <v>11</v>
      </c>
      <c r="B804">
        <v>1</v>
      </c>
      <c r="C804">
        <v>18</v>
      </c>
      <c r="D804">
        <v>1</v>
      </c>
      <c r="E804" t="b">
        <v>0</v>
      </c>
      <c r="F804" s="22" t="str">
        <f t="shared" si="39"/>
        <v/>
      </c>
      <c r="G804" s="23" t="s">
        <v>167</v>
      </c>
      <c r="H804" s="23" t="s">
        <v>253</v>
      </c>
      <c r="I804" s="23" t="s">
        <v>2</v>
      </c>
      <c r="J804" t="s">
        <v>3</v>
      </c>
      <c r="K804" s="22" t="e">
        <f t="shared" si="40"/>
        <v>#N/A</v>
      </c>
      <c r="L804" s="22" t="str">
        <f t="shared" si="41"/>
        <v/>
      </c>
    </row>
    <row r="805" spans="1:12" x14ac:dyDescent="0.25">
      <c r="A805">
        <v>11</v>
      </c>
      <c r="B805">
        <v>1</v>
      </c>
      <c r="C805">
        <v>18</v>
      </c>
      <c r="D805">
        <v>2</v>
      </c>
      <c r="E805" t="b">
        <v>0</v>
      </c>
      <c r="F805" s="22" t="str">
        <f t="shared" si="39"/>
        <v/>
      </c>
      <c r="G805" s="23" t="s">
        <v>167</v>
      </c>
      <c r="H805" s="23" t="s">
        <v>254</v>
      </c>
      <c r="I805" s="23" t="s">
        <v>2</v>
      </c>
      <c r="J805" t="s">
        <v>4</v>
      </c>
      <c r="K805" s="22" t="e">
        <f t="shared" si="40"/>
        <v>#N/A</v>
      </c>
      <c r="L805" s="22" t="str">
        <f t="shared" si="41"/>
        <v/>
      </c>
    </row>
    <row r="806" spans="1:12" x14ac:dyDescent="0.25">
      <c r="A806">
        <v>11</v>
      </c>
      <c r="B806">
        <v>1</v>
      </c>
      <c r="C806">
        <v>18</v>
      </c>
      <c r="D806">
        <v>3</v>
      </c>
      <c r="E806" t="b">
        <v>0</v>
      </c>
      <c r="F806" s="22" t="str">
        <f t="shared" si="39"/>
        <v/>
      </c>
      <c r="G806" s="23" t="s">
        <v>167</v>
      </c>
      <c r="H806" s="23" t="s">
        <v>175</v>
      </c>
      <c r="I806" s="23" t="s">
        <v>2</v>
      </c>
      <c r="J806" t="s">
        <v>5</v>
      </c>
      <c r="K806" s="22" t="e">
        <f t="shared" si="40"/>
        <v>#N/A</v>
      </c>
      <c r="L806" s="22" t="str">
        <f t="shared" si="41"/>
        <v/>
      </c>
    </row>
    <row r="807" spans="1:12" x14ac:dyDescent="0.25">
      <c r="A807">
        <v>11</v>
      </c>
      <c r="B807">
        <v>1</v>
      </c>
      <c r="C807">
        <v>18</v>
      </c>
      <c r="D807">
        <v>4</v>
      </c>
      <c r="E807" t="b">
        <v>0</v>
      </c>
      <c r="F807" s="22" t="str">
        <f t="shared" si="39"/>
        <v/>
      </c>
      <c r="G807" s="23" t="s">
        <v>167</v>
      </c>
      <c r="H807" s="23" t="s">
        <v>176</v>
      </c>
      <c r="I807" s="23" t="s">
        <v>2</v>
      </c>
      <c r="J807" t="s">
        <v>6</v>
      </c>
      <c r="K807" s="22" t="e">
        <f t="shared" si="40"/>
        <v>#N/A</v>
      </c>
      <c r="L807" s="22" t="str">
        <f t="shared" si="41"/>
        <v/>
      </c>
    </row>
    <row r="808" spans="1:12" x14ac:dyDescent="0.25">
      <c r="A808">
        <v>11</v>
      </c>
      <c r="B808">
        <v>1</v>
      </c>
      <c r="C808">
        <v>18</v>
      </c>
      <c r="D808">
        <v>5</v>
      </c>
      <c r="E808" t="b">
        <v>0</v>
      </c>
      <c r="F808" s="22" t="str">
        <f t="shared" si="39"/>
        <v/>
      </c>
      <c r="G808" s="23" t="s">
        <v>167</v>
      </c>
      <c r="H808" s="23" t="s">
        <v>177</v>
      </c>
      <c r="I808" s="23" t="s">
        <v>2</v>
      </c>
      <c r="J808" t="s">
        <v>44</v>
      </c>
      <c r="K808" s="22" t="e">
        <f t="shared" si="40"/>
        <v>#N/A</v>
      </c>
      <c r="L808" s="22" t="str">
        <f t="shared" si="41"/>
        <v/>
      </c>
    </row>
    <row r="809" spans="1:12" x14ac:dyDescent="0.25">
      <c r="A809">
        <v>11</v>
      </c>
      <c r="B809">
        <v>1</v>
      </c>
      <c r="C809">
        <v>18</v>
      </c>
      <c r="D809">
        <v>6</v>
      </c>
      <c r="E809" t="b">
        <v>0</v>
      </c>
      <c r="F809" s="22" t="str">
        <f t="shared" si="39"/>
        <v/>
      </c>
      <c r="G809" s="23" t="s">
        <v>167</v>
      </c>
      <c r="H809" s="23" t="s">
        <v>178</v>
      </c>
      <c r="I809" s="23" t="s">
        <v>2</v>
      </c>
      <c r="J809" t="s">
        <v>102</v>
      </c>
      <c r="K809" s="22" t="e">
        <f t="shared" si="40"/>
        <v>#N/A</v>
      </c>
      <c r="L809" s="22" t="str">
        <f t="shared" si="41"/>
        <v/>
      </c>
    </row>
    <row r="810" spans="1:12" x14ac:dyDescent="0.25">
      <c r="A810">
        <v>11</v>
      </c>
      <c r="B810">
        <v>1</v>
      </c>
      <c r="C810">
        <v>18</v>
      </c>
      <c r="D810">
        <v>7</v>
      </c>
      <c r="E810" t="b">
        <v>0</v>
      </c>
      <c r="F810" s="22" t="str">
        <f t="shared" si="39"/>
        <v/>
      </c>
      <c r="G810" s="23" t="s">
        <v>167</v>
      </c>
      <c r="H810" s="23" t="s">
        <v>179</v>
      </c>
      <c r="I810" s="23" t="s">
        <v>2</v>
      </c>
      <c r="J810" t="s">
        <v>103</v>
      </c>
      <c r="K810" s="22" t="e">
        <f t="shared" si="40"/>
        <v>#N/A</v>
      </c>
      <c r="L810" s="22" t="str">
        <f t="shared" si="41"/>
        <v/>
      </c>
    </row>
    <row r="811" spans="1:12" x14ac:dyDescent="0.25">
      <c r="A811">
        <v>11</v>
      </c>
      <c r="B811">
        <v>1</v>
      </c>
      <c r="C811">
        <v>18</v>
      </c>
      <c r="D811">
        <v>8</v>
      </c>
      <c r="E811" t="b">
        <v>0</v>
      </c>
      <c r="F811" s="22" t="str">
        <f t="shared" si="39"/>
        <v/>
      </c>
      <c r="G811" s="23" t="s">
        <v>167</v>
      </c>
      <c r="H811" s="23" t="s">
        <v>180</v>
      </c>
      <c r="I811" s="23" t="s">
        <v>2</v>
      </c>
      <c r="J811" t="s">
        <v>7</v>
      </c>
      <c r="K811" s="22" t="e">
        <f t="shared" si="40"/>
        <v>#N/A</v>
      </c>
      <c r="L811" s="22" t="str">
        <f t="shared" si="41"/>
        <v/>
      </c>
    </row>
    <row r="812" spans="1:12" x14ac:dyDescent="0.25">
      <c r="A812">
        <v>11</v>
      </c>
      <c r="B812">
        <v>1</v>
      </c>
      <c r="C812">
        <v>18</v>
      </c>
      <c r="D812">
        <v>9</v>
      </c>
      <c r="E812" t="b">
        <v>0</v>
      </c>
      <c r="F812" s="22" t="str">
        <f t="shared" si="39"/>
        <v/>
      </c>
      <c r="G812" s="23" t="s">
        <v>167</v>
      </c>
      <c r="H812" s="23" t="s">
        <v>181</v>
      </c>
      <c r="I812" s="23" t="s">
        <v>2</v>
      </c>
      <c r="J812" t="s">
        <v>104</v>
      </c>
      <c r="K812" s="22" t="e">
        <f t="shared" si="40"/>
        <v>#N/A</v>
      </c>
      <c r="L812" s="22" t="str">
        <f t="shared" si="41"/>
        <v/>
      </c>
    </row>
    <row r="813" spans="1:12" x14ac:dyDescent="0.25">
      <c r="A813">
        <v>11</v>
      </c>
      <c r="B813">
        <v>1</v>
      </c>
      <c r="C813">
        <v>18</v>
      </c>
      <c r="D813">
        <v>10</v>
      </c>
      <c r="E813" t="b">
        <v>0</v>
      </c>
      <c r="F813" s="22" t="str">
        <f t="shared" si="39"/>
        <v/>
      </c>
      <c r="G813" s="23" t="s">
        <v>167</v>
      </c>
      <c r="H813" s="23" t="s">
        <v>182</v>
      </c>
      <c r="I813" s="23" t="s">
        <v>2</v>
      </c>
      <c r="J813" t="s">
        <v>8</v>
      </c>
      <c r="K813" s="22" t="e">
        <f t="shared" si="40"/>
        <v>#N/A</v>
      </c>
      <c r="L813" s="22" t="str">
        <f t="shared" si="41"/>
        <v/>
      </c>
    </row>
    <row r="814" spans="1:12" x14ac:dyDescent="0.25">
      <c r="A814">
        <v>11</v>
      </c>
      <c r="B814">
        <v>1</v>
      </c>
      <c r="C814">
        <v>18</v>
      </c>
      <c r="D814">
        <v>11</v>
      </c>
      <c r="E814" t="b">
        <v>0</v>
      </c>
      <c r="F814" s="22" t="str">
        <f t="shared" si="39"/>
        <v/>
      </c>
      <c r="G814" s="23" t="s">
        <v>167</v>
      </c>
      <c r="H814" s="23" t="s">
        <v>183</v>
      </c>
      <c r="I814" s="23" t="s">
        <v>2</v>
      </c>
      <c r="J814" t="s">
        <v>105</v>
      </c>
      <c r="K814" s="22" t="e">
        <f t="shared" si="40"/>
        <v>#N/A</v>
      </c>
      <c r="L814" s="22" t="str">
        <f t="shared" si="41"/>
        <v/>
      </c>
    </row>
    <row r="815" spans="1:12" x14ac:dyDescent="0.25">
      <c r="A815">
        <v>11</v>
      </c>
      <c r="B815">
        <v>1</v>
      </c>
      <c r="C815">
        <v>18</v>
      </c>
      <c r="D815">
        <v>12</v>
      </c>
      <c r="E815" t="b">
        <v>0</v>
      </c>
      <c r="F815" s="22" t="str">
        <f t="shared" si="39"/>
        <v/>
      </c>
      <c r="G815" s="23" t="s">
        <v>167</v>
      </c>
      <c r="H815" s="23" t="s">
        <v>184</v>
      </c>
      <c r="I815" s="23" t="s">
        <v>2</v>
      </c>
      <c r="J815" t="s">
        <v>106</v>
      </c>
      <c r="K815" s="22" t="e">
        <f t="shared" si="40"/>
        <v>#N/A</v>
      </c>
      <c r="L815" s="22" t="str">
        <f t="shared" si="41"/>
        <v/>
      </c>
    </row>
    <row r="816" spans="1:12" x14ac:dyDescent="0.25">
      <c r="A816">
        <v>11</v>
      </c>
      <c r="B816">
        <v>1</v>
      </c>
      <c r="C816">
        <v>18</v>
      </c>
      <c r="D816">
        <v>13</v>
      </c>
      <c r="E816" t="b">
        <v>0</v>
      </c>
      <c r="F816" s="22" t="str">
        <f t="shared" si="39"/>
        <v/>
      </c>
      <c r="G816" s="23" t="s">
        <v>167</v>
      </c>
      <c r="H816" s="23" t="s">
        <v>185</v>
      </c>
      <c r="I816" s="23" t="s">
        <v>2</v>
      </c>
      <c r="J816" t="s">
        <v>107</v>
      </c>
      <c r="K816" s="22" t="e">
        <f t="shared" si="40"/>
        <v>#N/A</v>
      </c>
      <c r="L816" s="22" t="str">
        <f t="shared" si="41"/>
        <v/>
      </c>
    </row>
    <row r="817" spans="1:12" x14ac:dyDescent="0.25">
      <c r="A817">
        <v>11</v>
      </c>
      <c r="B817">
        <v>1</v>
      </c>
      <c r="C817">
        <v>18</v>
      </c>
      <c r="D817">
        <v>14</v>
      </c>
      <c r="E817" t="b">
        <v>0</v>
      </c>
      <c r="F817" s="22" t="str">
        <f t="shared" si="39"/>
        <v/>
      </c>
      <c r="G817" s="23" t="s">
        <v>167</v>
      </c>
      <c r="H817" s="23" t="s">
        <v>186</v>
      </c>
      <c r="I817" s="23" t="s">
        <v>2</v>
      </c>
      <c r="J817" t="s">
        <v>108</v>
      </c>
      <c r="K817" s="22" t="e">
        <f t="shared" si="40"/>
        <v>#N/A</v>
      </c>
      <c r="L817" s="22" t="str">
        <f t="shared" si="41"/>
        <v/>
      </c>
    </row>
    <row r="818" spans="1:12" x14ac:dyDescent="0.25">
      <c r="A818">
        <v>11</v>
      </c>
      <c r="B818">
        <v>1</v>
      </c>
      <c r="C818">
        <v>18</v>
      </c>
      <c r="D818">
        <v>15</v>
      </c>
      <c r="E818" t="b">
        <v>0</v>
      </c>
      <c r="F818" s="22" t="str">
        <f t="shared" si="39"/>
        <v/>
      </c>
      <c r="G818" s="23" t="s">
        <v>167</v>
      </c>
      <c r="H818" s="23" t="s">
        <v>187</v>
      </c>
      <c r="I818" s="23" t="s">
        <v>2</v>
      </c>
      <c r="J818" t="s">
        <v>109</v>
      </c>
      <c r="K818" s="22" t="e">
        <f t="shared" si="40"/>
        <v>#N/A</v>
      </c>
      <c r="L818" s="22" t="str">
        <f t="shared" si="41"/>
        <v/>
      </c>
    </row>
    <row r="819" spans="1:12" x14ac:dyDescent="0.25">
      <c r="A819">
        <v>11</v>
      </c>
      <c r="B819">
        <v>1</v>
      </c>
      <c r="C819">
        <v>18</v>
      </c>
      <c r="D819">
        <v>16</v>
      </c>
      <c r="E819" t="b">
        <v>0</v>
      </c>
      <c r="F819" s="22" t="str">
        <f t="shared" si="39"/>
        <v/>
      </c>
      <c r="G819" s="23" t="s">
        <v>167</v>
      </c>
      <c r="H819" s="23" t="s">
        <v>188</v>
      </c>
      <c r="I819" s="23" t="s">
        <v>2</v>
      </c>
      <c r="J819" t="s">
        <v>110</v>
      </c>
      <c r="K819" s="22" t="e">
        <f t="shared" si="40"/>
        <v>#N/A</v>
      </c>
      <c r="L819" s="22" t="str">
        <f t="shared" si="41"/>
        <v/>
      </c>
    </row>
    <row r="820" spans="1:12" x14ac:dyDescent="0.25">
      <c r="A820">
        <v>11</v>
      </c>
      <c r="B820">
        <v>1</v>
      </c>
      <c r="C820">
        <v>18</v>
      </c>
      <c r="D820">
        <v>17</v>
      </c>
      <c r="E820" t="b">
        <v>0</v>
      </c>
      <c r="F820" s="22" t="str">
        <f t="shared" si="39"/>
        <v/>
      </c>
      <c r="G820" s="23" t="s">
        <v>167</v>
      </c>
      <c r="H820" s="23" t="s">
        <v>189</v>
      </c>
      <c r="I820" s="23" t="s">
        <v>2</v>
      </c>
      <c r="J820" t="s">
        <v>23</v>
      </c>
      <c r="K820" s="22" t="e">
        <f t="shared" si="40"/>
        <v>#N/A</v>
      </c>
      <c r="L820" s="22" t="str">
        <f t="shared" si="41"/>
        <v/>
      </c>
    </row>
    <row r="821" spans="1:12" x14ac:dyDescent="0.25">
      <c r="A821">
        <v>11</v>
      </c>
      <c r="B821">
        <v>1</v>
      </c>
      <c r="C821">
        <v>18</v>
      </c>
      <c r="D821">
        <v>18</v>
      </c>
      <c r="E821" t="b">
        <v>1</v>
      </c>
      <c r="F821" s="22" t="str">
        <f t="shared" si="39"/>
        <v/>
      </c>
      <c r="G821" s="23" t="s">
        <v>167</v>
      </c>
      <c r="H821" s="23" t="s">
        <v>190</v>
      </c>
      <c r="I821" s="23" t="s">
        <v>2</v>
      </c>
      <c r="J821" t="s">
        <v>24</v>
      </c>
      <c r="K821" s="22" t="e">
        <f t="shared" si="40"/>
        <v>#N/A</v>
      </c>
      <c r="L821" s="22" t="str">
        <f t="shared" si="41"/>
        <v/>
      </c>
    </row>
    <row r="822" spans="1:12" x14ac:dyDescent="0.25">
      <c r="A822">
        <v>11</v>
      </c>
      <c r="B822">
        <v>2</v>
      </c>
      <c r="C822">
        <v>16</v>
      </c>
      <c r="D822">
        <v>1</v>
      </c>
      <c r="E822" t="b">
        <v>0</v>
      </c>
      <c r="F822" s="22" t="str">
        <f t="shared" si="39"/>
        <v/>
      </c>
      <c r="G822" s="23" t="s">
        <v>165</v>
      </c>
      <c r="H822" s="23" t="s">
        <v>191</v>
      </c>
      <c r="I822" s="23" t="s">
        <v>9</v>
      </c>
      <c r="J822" t="s">
        <v>10</v>
      </c>
      <c r="K822" s="22" t="e">
        <f t="shared" si="40"/>
        <v>#N/A</v>
      </c>
      <c r="L822" s="22" t="str">
        <f t="shared" si="41"/>
        <v/>
      </c>
    </row>
    <row r="823" spans="1:12" x14ac:dyDescent="0.25">
      <c r="A823">
        <v>11</v>
      </c>
      <c r="B823">
        <v>2</v>
      </c>
      <c r="C823">
        <v>16</v>
      </c>
      <c r="D823">
        <v>2</v>
      </c>
      <c r="E823" t="b">
        <v>0</v>
      </c>
      <c r="F823" s="22" t="str">
        <f t="shared" si="39"/>
        <v/>
      </c>
      <c r="G823" s="23" t="s">
        <v>165</v>
      </c>
      <c r="H823" s="23" t="s">
        <v>192</v>
      </c>
      <c r="I823" s="23" t="s">
        <v>9</v>
      </c>
      <c r="J823" t="s">
        <v>11</v>
      </c>
      <c r="K823" s="22" t="e">
        <f t="shared" si="40"/>
        <v>#N/A</v>
      </c>
      <c r="L823" s="22" t="str">
        <f t="shared" si="41"/>
        <v/>
      </c>
    </row>
    <row r="824" spans="1:12" x14ac:dyDescent="0.25">
      <c r="A824">
        <v>11</v>
      </c>
      <c r="B824">
        <v>2</v>
      </c>
      <c r="C824">
        <v>16</v>
      </c>
      <c r="D824">
        <v>3</v>
      </c>
      <c r="E824" t="b">
        <v>0</v>
      </c>
      <c r="F824" s="22" t="str">
        <f t="shared" si="39"/>
        <v/>
      </c>
      <c r="G824" s="23" t="s">
        <v>165</v>
      </c>
      <c r="H824" s="23" t="s">
        <v>193</v>
      </c>
      <c r="I824" s="23" t="s">
        <v>9</v>
      </c>
      <c r="J824" t="s">
        <v>12</v>
      </c>
      <c r="K824" s="22" t="e">
        <f t="shared" si="40"/>
        <v>#N/A</v>
      </c>
      <c r="L824" s="22" t="str">
        <f t="shared" si="41"/>
        <v/>
      </c>
    </row>
    <row r="825" spans="1:12" x14ac:dyDescent="0.25">
      <c r="A825">
        <v>11</v>
      </c>
      <c r="B825">
        <v>2</v>
      </c>
      <c r="C825">
        <v>16</v>
      </c>
      <c r="D825">
        <v>4</v>
      </c>
      <c r="E825" t="b">
        <v>0</v>
      </c>
      <c r="F825" s="22" t="str">
        <f t="shared" si="39"/>
        <v/>
      </c>
      <c r="G825" s="23" t="s">
        <v>165</v>
      </c>
      <c r="H825" s="23" t="s">
        <v>194</v>
      </c>
      <c r="I825" s="23" t="s">
        <v>9</v>
      </c>
      <c r="J825" t="s">
        <v>13</v>
      </c>
      <c r="K825" s="22" t="e">
        <f t="shared" si="40"/>
        <v>#N/A</v>
      </c>
      <c r="L825" s="22" t="str">
        <f t="shared" si="41"/>
        <v/>
      </c>
    </row>
    <row r="826" spans="1:12" x14ac:dyDescent="0.25">
      <c r="A826">
        <v>11</v>
      </c>
      <c r="B826">
        <v>2</v>
      </c>
      <c r="C826">
        <v>16</v>
      </c>
      <c r="D826">
        <v>5</v>
      </c>
      <c r="E826" t="b">
        <v>0</v>
      </c>
      <c r="F826" s="22" t="str">
        <f t="shared" si="39"/>
        <v/>
      </c>
      <c r="G826" s="23" t="s">
        <v>165</v>
      </c>
      <c r="H826" s="23" t="s">
        <v>195</v>
      </c>
      <c r="I826" s="23" t="s">
        <v>9</v>
      </c>
      <c r="J826" t="s">
        <v>14</v>
      </c>
      <c r="K826" s="22" t="e">
        <f t="shared" si="40"/>
        <v>#N/A</v>
      </c>
      <c r="L826" s="22" t="str">
        <f t="shared" si="41"/>
        <v/>
      </c>
    </row>
    <row r="827" spans="1:12" x14ac:dyDescent="0.25">
      <c r="A827">
        <v>11</v>
      </c>
      <c r="B827">
        <v>2</v>
      </c>
      <c r="C827">
        <v>16</v>
      </c>
      <c r="D827">
        <v>6</v>
      </c>
      <c r="E827" t="b">
        <v>0</v>
      </c>
      <c r="F827" s="22" t="str">
        <f t="shared" si="39"/>
        <v/>
      </c>
      <c r="G827" s="23" t="s">
        <v>165</v>
      </c>
      <c r="H827" s="23" t="s">
        <v>196</v>
      </c>
      <c r="I827" s="23" t="s">
        <v>9</v>
      </c>
      <c r="J827" t="s">
        <v>15</v>
      </c>
      <c r="K827" s="22" t="e">
        <f t="shared" si="40"/>
        <v>#N/A</v>
      </c>
      <c r="L827" s="22" t="str">
        <f t="shared" si="41"/>
        <v/>
      </c>
    </row>
    <row r="828" spans="1:12" x14ac:dyDescent="0.25">
      <c r="A828">
        <v>11</v>
      </c>
      <c r="B828">
        <v>2</v>
      </c>
      <c r="C828">
        <v>16</v>
      </c>
      <c r="D828">
        <v>7</v>
      </c>
      <c r="E828" t="b">
        <v>0</v>
      </c>
      <c r="F828" s="22" t="str">
        <f t="shared" si="39"/>
        <v/>
      </c>
      <c r="G828" s="23" t="s">
        <v>165</v>
      </c>
      <c r="H828" s="23" t="s">
        <v>197</v>
      </c>
      <c r="I828" s="23" t="s">
        <v>9</v>
      </c>
      <c r="J828" t="s">
        <v>16</v>
      </c>
      <c r="K828" s="22" t="e">
        <f t="shared" si="40"/>
        <v>#N/A</v>
      </c>
      <c r="L828" s="22" t="str">
        <f t="shared" si="41"/>
        <v/>
      </c>
    </row>
    <row r="829" spans="1:12" x14ac:dyDescent="0.25">
      <c r="A829">
        <v>11</v>
      </c>
      <c r="B829">
        <v>2</v>
      </c>
      <c r="C829">
        <v>16</v>
      </c>
      <c r="D829">
        <v>8</v>
      </c>
      <c r="E829" t="b">
        <v>0</v>
      </c>
      <c r="F829" s="22" t="str">
        <f t="shared" si="39"/>
        <v/>
      </c>
      <c r="G829" s="23" t="s">
        <v>165</v>
      </c>
      <c r="H829" s="23" t="s">
        <v>198</v>
      </c>
      <c r="I829" s="23" t="s">
        <v>9</v>
      </c>
      <c r="J829" t="s">
        <v>17</v>
      </c>
      <c r="K829" s="22" t="e">
        <f t="shared" si="40"/>
        <v>#N/A</v>
      </c>
      <c r="L829" s="22" t="str">
        <f t="shared" si="41"/>
        <v/>
      </c>
    </row>
    <row r="830" spans="1:12" x14ac:dyDescent="0.25">
      <c r="A830">
        <v>11</v>
      </c>
      <c r="B830">
        <v>2</v>
      </c>
      <c r="C830">
        <v>16</v>
      </c>
      <c r="D830">
        <v>9</v>
      </c>
      <c r="E830" t="b">
        <v>0</v>
      </c>
      <c r="F830" s="22" t="str">
        <f t="shared" si="39"/>
        <v/>
      </c>
      <c r="G830" s="23" t="s">
        <v>165</v>
      </c>
      <c r="H830" s="23" t="s">
        <v>199</v>
      </c>
      <c r="I830" s="23" t="s">
        <v>9</v>
      </c>
      <c r="J830" t="s">
        <v>18</v>
      </c>
      <c r="K830" s="22" t="e">
        <f t="shared" si="40"/>
        <v>#N/A</v>
      </c>
      <c r="L830" s="22" t="str">
        <f t="shared" si="41"/>
        <v/>
      </c>
    </row>
    <row r="831" spans="1:12" x14ac:dyDescent="0.25">
      <c r="A831">
        <v>11</v>
      </c>
      <c r="B831">
        <v>2</v>
      </c>
      <c r="C831">
        <v>16</v>
      </c>
      <c r="D831">
        <v>10</v>
      </c>
      <c r="E831" t="b">
        <v>0</v>
      </c>
      <c r="F831" s="22" t="str">
        <f t="shared" si="39"/>
        <v/>
      </c>
      <c r="G831" s="23" t="s">
        <v>165</v>
      </c>
      <c r="H831" s="23" t="s">
        <v>200</v>
      </c>
      <c r="I831" s="23" t="s">
        <v>9</v>
      </c>
      <c r="J831" t="s">
        <v>19</v>
      </c>
      <c r="K831" s="22" t="e">
        <f t="shared" si="40"/>
        <v>#N/A</v>
      </c>
      <c r="L831" s="22" t="str">
        <f t="shared" si="41"/>
        <v/>
      </c>
    </row>
    <row r="832" spans="1:12" x14ac:dyDescent="0.25">
      <c r="A832">
        <v>11</v>
      </c>
      <c r="B832">
        <v>2</v>
      </c>
      <c r="C832">
        <v>16</v>
      </c>
      <c r="D832">
        <v>11</v>
      </c>
      <c r="E832" t="b">
        <v>0</v>
      </c>
      <c r="F832" s="22" t="str">
        <f t="shared" si="39"/>
        <v/>
      </c>
      <c r="G832" s="23" t="s">
        <v>165</v>
      </c>
      <c r="H832" s="23" t="s">
        <v>201</v>
      </c>
      <c r="I832" s="23" t="s">
        <v>9</v>
      </c>
      <c r="J832" t="s">
        <v>20</v>
      </c>
      <c r="K832" s="22" t="e">
        <f t="shared" si="40"/>
        <v>#N/A</v>
      </c>
      <c r="L832" s="22" t="str">
        <f t="shared" si="41"/>
        <v/>
      </c>
    </row>
    <row r="833" spans="1:12" x14ac:dyDescent="0.25">
      <c r="A833">
        <v>11</v>
      </c>
      <c r="B833">
        <v>2</v>
      </c>
      <c r="C833">
        <v>16</v>
      </c>
      <c r="D833">
        <v>12</v>
      </c>
      <c r="E833" t="b">
        <v>0</v>
      </c>
      <c r="F833" s="22" t="str">
        <f t="shared" si="39"/>
        <v/>
      </c>
      <c r="G833" s="23" t="s">
        <v>165</v>
      </c>
      <c r="H833" s="23" t="s">
        <v>202</v>
      </c>
      <c r="I833" s="23" t="s">
        <v>9</v>
      </c>
      <c r="J833" t="s">
        <v>21</v>
      </c>
      <c r="K833" s="22" t="e">
        <f t="shared" si="40"/>
        <v>#N/A</v>
      </c>
      <c r="L833" s="22" t="str">
        <f t="shared" si="41"/>
        <v/>
      </c>
    </row>
    <row r="834" spans="1:12" x14ac:dyDescent="0.25">
      <c r="A834">
        <v>11</v>
      </c>
      <c r="B834">
        <v>2</v>
      </c>
      <c r="C834">
        <v>16</v>
      </c>
      <c r="D834">
        <v>13</v>
      </c>
      <c r="E834" t="b">
        <v>0</v>
      </c>
      <c r="F834" s="22" t="str">
        <f t="shared" si="39"/>
        <v/>
      </c>
      <c r="G834" s="23" t="s">
        <v>165</v>
      </c>
      <c r="H834" s="23" t="s">
        <v>203</v>
      </c>
      <c r="I834" s="23" t="s">
        <v>9</v>
      </c>
      <c r="J834" t="s">
        <v>22</v>
      </c>
      <c r="K834" s="22" t="e">
        <f t="shared" si="40"/>
        <v>#N/A</v>
      </c>
      <c r="L834" s="22" t="str">
        <f t="shared" si="41"/>
        <v/>
      </c>
    </row>
    <row r="835" spans="1:12" x14ac:dyDescent="0.25">
      <c r="A835">
        <v>11</v>
      </c>
      <c r="B835">
        <v>2</v>
      </c>
      <c r="C835">
        <v>16</v>
      </c>
      <c r="D835">
        <v>14</v>
      </c>
      <c r="E835" t="b">
        <v>0</v>
      </c>
      <c r="F835" s="22" t="str">
        <f t="shared" si="39"/>
        <v/>
      </c>
      <c r="G835" s="23" t="s">
        <v>165</v>
      </c>
      <c r="H835" s="23" t="s">
        <v>204</v>
      </c>
      <c r="I835" s="23" t="s">
        <v>9</v>
      </c>
      <c r="J835" t="s">
        <v>111</v>
      </c>
      <c r="K835" s="22" t="e">
        <f t="shared" si="40"/>
        <v>#N/A</v>
      </c>
      <c r="L835" s="22" t="str">
        <f t="shared" si="41"/>
        <v/>
      </c>
    </row>
    <row r="836" spans="1:12" x14ac:dyDescent="0.25">
      <c r="A836">
        <v>11</v>
      </c>
      <c r="B836">
        <v>2</v>
      </c>
      <c r="C836">
        <v>16</v>
      </c>
      <c r="D836">
        <v>15</v>
      </c>
      <c r="E836" t="b">
        <v>0</v>
      </c>
      <c r="F836" s="22" t="str">
        <f t="shared" ref="F836:F899" si="42">VLOOKUP("Assessment #"&amp;$A836, DateMeta, MATCH("DisplDate", DateMeta_H, 0), 0)</f>
        <v/>
      </c>
      <c r="G836" s="23" t="s">
        <v>165</v>
      </c>
      <c r="H836" s="23" t="s">
        <v>205</v>
      </c>
      <c r="I836" s="23" t="s">
        <v>9</v>
      </c>
      <c r="J836" t="s">
        <v>112</v>
      </c>
      <c r="K836" s="22" t="e">
        <f t="shared" ref="K836:K899" si="43">IF(INDEX(Assess, MATCH($J836, ItemLong, 0), MATCH("Assessment #"&amp;$A836, Assess_H, 0))="", "", INDEX(Assess, MATCH($J836, ItemLong, 0), MATCH("Assessment #"&amp;$A836, Assess_H, 0)))</f>
        <v>#N/A</v>
      </c>
      <c r="L836" s="22" t="str">
        <f t="shared" si="41"/>
        <v/>
      </c>
    </row>
    <row r="837" spans="1:12" x14ac:dyDescent="0.25">
      <c r="A837">
        <v>11</v>
      </c>
      <c r="B837">
        <v>2</v>
      </c>
      <c r="C837">
        <v>16</v>
      </c>
      <c r="D837">
        <v>16</v>
      </c>
      <c r="E837" t="b">
        <v>1</v>
      </c>
      <c r="F837" s="22" t="str">
        <f t="shared" si="42"/>
        <v/>
      </c>
      <c r="G837" s="23" t="s">
        <v>165</v>
      </c>
      <c r="H837" s="23" t="s">
        <v>206</v>
      </c>
      <c r="I837" s="23" t="s">
        <v>9</v>
      </c>
      <c r="J837" t="s">
        <v>113</v>
      </c>
      <c r="K837" s="22" t="e">
        <f t="shared" si="43"/>
        <v>#N/A</v>
      </c>
      <c r="L837" s="22" t="str">
        <f t="shared" ref="L837:L900" si="44">IF(ISNUMBER(K837), IF(K837&gt;=2, 1, 0), "")</f>
        <v/>
      </c>
    </row>
    <row r="838" spans="1:12" x14ac:dyDescent="0.25">
      <c r="A838">
        <v>11</v>
      </c>
      <c r="B838">
        <v>3</v>
      </c>
      <c r="C838">
        <v>17</v>
      </c>
      <c r="D838">
        <v>1</v>
      </c>
      <c r="E838" t="b">
        <v>0</v>
      </c>
      <c r="F838" s="22" t="str">
        <f t="shared" si="42"/>
        <v/>
      </c>
      <c r="G838" s="23" t="s">
        <v>168</v>
      </c>
      <c r="H838" s="23" t="s">
        <v>207</v>
      </c>
      <c r="I838" s="23" t="s">
        <v>37</v>
      </c>
      <c r="J838" t="s">
        <v>114</v>
      </c>
      <c r="K838" s="22" t="e">
        <f t="shared" si="43"/>
        <v>#N/A</v>
      </c>
      <c r="L838" s="22" t="str">
        <f t="shared" si="44"/>
        <v/>
      </c>
    </row>
    <row r="839" spans="1:12" x14ac:dyDescent="0.25">
      <c r="A839">
        <v>11</v>
      </c>
      <c r="B839">
        <v>3</v>
      </c>
      <c r="C839">
        <v>17</v>
      </c>
      <c r="D839">
        <v>2</v>
      </c>
      <c r="E839" t="b">
        <v>0</v>
      </c>
      <c r="F839" s="22" t="str">
        <f t="shared" si="42"/>
        <v/>
      </c>
      <c r="G839" s="23" t="s">
        <v>168</v>
      </c>
      <c r="H839" s="23" t="s">
        <v>208</v>
      </c>
      <c r="I839" s="23" t="s">
        <v>37</v>
      </c>
      <c r="J839" t="s">
        <v>39</v>
      </c>
      <c r="K839" s="22" t="e">
        <f t="shared" si="43"/>
        <v>#N/A</v>
      </c>
      <c r="L839" s="22" t="str">
        <f t="shared" si="44"/>
        <v/>
      </c>
    </row>
    <row r="840" spans="1:12" x14ac:dyDescent="0.25">
      <c r="A840">
        <v>11</v>
      </c>
      <c r="B840">
        <v>3</v>
      </c>
      <c r="C840">
        <v>17</v>
      </c>
      <c r="D840">
        <v>3</v>
      </c>
      <c r="E840" t="b">
        <v>0</v>
      </c>
      <c r="F840" s="22" t="str">
        <f t="shared" si="42"/>
        <v/>
      </c>
      <c r="G840" s="23" t="s">
        <v>168</v>
      </c>
      <c r="H840" s="23" t="s">
        <v>209</v>
      </c>
      <c r="I840" s="23" t="s">
        <v>37</v>
      </c>
      <c r="J840" t="s">
        <v>40</v>
      </c>
      <c r="K840" s="22" t="e">
        <f t="shared" si="43"/>
        <v>#N/A</v>
      </c>
      <c r="L840" s="22" t="str">
        <f t="shared" si="44"/>
        <v/>
      </c>
    </row>
    <row r="841" spans="1:12" x14ac:dyDescent="0.25">
      <c r="A841">
        <v>11</v>
      </c>
      <c r="B841">
        <v>3</v>
      </c>
      <c r="C841">
        <v>17</v>
      </c>
      <c r="D841">
        <v>4</v>
      </c>
      <c r="E841" t="b">
        <v>0</v>
      </c>
      <c r="F841" s="22" t="str">
        <f t="shared" si="42"/>
        <v/>
      </c>
      <c r="G841" s="23" t="s">
        <v>168</v>
      </c>
      <c r="H841" s="23" t="s">
        <v>210</v>
      </c>
      <c r="I841" s="23" t="s">
        <v>37</v>
      </c>
      <c r="J841" t="s">
        <v>41</v>
      </c>
      <c r="K841" s="22" t="e">
        <f t="shared" si="43"/>
        <v>#N/A</v>
      </c>
      <c r="L841" s="22" t="str">
        <f t="shared" si="44"/>
        <v/>
      </c>
    </row>
    <row r="842" spans="1:12" x14ac:dyDescent="0.25">
      <c r="A842">
        <v>11</v>
      </c>
      <c r="B842">
        <v>3</v>
      </c>
      <c r="C842">
        <v>17</v>
      </c>
      <c r="D842">
        <v>5</v>
      </c>
      <c r="E842" t="b">
        <v>0</v>
      </c>
      <c r="F842" s="22" t="str">
        <f t="shared" si="42"/>
        <v/>
      </c>
      <c r="G842" s="23" t="s">
        <v>168</v>
      </c>
      <c r="H842" s="23" t="s">
        <v>211</v>
      </c>
      <c r="I842" s="23" t="s">
        <v>37</v>
      </c>
      <c r="J842" t="s">
        <v>38</v>
      </c>
      <c r="K842" s="22" t="e">
        <f t="shared" si="43"/>
        <v>#N/A</v>
      </c>
      <c r="L842" s="22" t="str">
        <f t="shared" si="44"/>
        <v/>
      </c>
    </row>
    <row r="843" spans="1:12" x14ac:dyDescent="0.25">
      <c r="A843">
        <v>11</v>
      </c>
      <c r="B843">
        <v>3</v>
      </c>
      <c r="C843">
        <v>17</v>
      </c>
      <c r="D843">
        <v>6</v>
      </c>
      <c r="E843" t="b">
        <v>0</v>
      </c>
      <c r="F843" s="22" t="str">
        <f t="shared" si="42"/>
        <v/>
      </c>
      <c r="G843" s="23" t="s">
        <v>168</v>
      </c>
      <c r="H843" s="23" t="s">
        <v>212</v>
      </c>
      <c r="I843" s="23" t="s">
        <v>37</v>
      </c>
      <c r="J843" t="s">
        <v>115</v>
      </c>
      <c r="K843" s="22" t="e">
        <f t="shared" si="43"/>
        <v>#N/A</v>
      </c>
      <c r="L843" s="22" t="str">
        <f t="shared" si="44"/>
        <v/>
      </c>
    </row>
    <row r="844" spans="1:12" x14ac:dyDescent="0.25">
      <c r="A844">
        <v>11</v>
      </c>
      <c r="B844">
        <v>3</v>
      </c>
      <c r="C844">
        <v>17</v>
      </c>
      <c r="D844">
        <v>7</v>
      </c>
      <c r="E844" t="b">
        <v>0</v>
      </c>
      <c r="F844" s="22" t="str">
        <f t="shared" si="42"/>
        <v/>
      </c>
      <c r="G844" s="23" t="s">
        <v>168</v>
      </c>
      <c r="H844" s="23" t="s">
        <v>213</v>
      </c>
      <c r="I844" s="23" t="s">
        <v>37</v>
      </c>
      <c r="J844" t="s">
        <v>116</v>
      </c>
      <c r="K844" s="22" t="e">
        <f t="shared" si="43"/>
        <v>#N/A</v>
      </c>
      <c r="L844" s="22" t="str">
        <f t="shared" si="44"/>
        <v/>
      </c>
    </row>
    <row r="845" spans="1:12" x14ac:dyDescent="0.25">
      <c r="A845">
        <v>11</v>
      </c>
      <c r="B845">
        <v>3</v>
      </c>
      <c r="C845">
        <v>17</v>
      </c>
      <c r="D845">
        <v>8</v>
      </c>
      <c r="E845" t="b">
        <v>0</v>
      </c>
      <c r="F845" s="22" t="str">
        <f t="shared" si="42"/>
        <v/>
      </c>
      <c r="G845" s="23" t="s">
        <v>168</v>
      </c>
      <c r="H845" s="23" t="s">
        <v>214</v>
      </c>
      <c r="I845" s="23" t="s">
        <v>37</v>
      </c>
      <c r="J845" t="s">
        <v>126</v>
      </c>
      <c r="K845" s="22" t="e">
        <f t="shared" si="43"/>
        <v>#N/A</v>
      </c>
      <c r="L845" s="22" t="str">
        <f t="shared" si="44"/>
        <v/>
      </c>
    </row>
    <row r="846" spans="1:12" x14ac:dyDescent="0.25">
      <c r="A846">
        <v>11</v>
      </c>
      <c r="B846">
        <v>3</v>
      </c>
      <c r="C846">
        <v>17</v>
      </c>
      <c r="D846">
        <v>9</v>
      </c>
      <c r="E846" t="b">
        <v>0</v>
      </c>
      <c r="F846" s="22" t="str">
        <f t="shared" si="42"/>
        <v/>
      </c>
      <c r="G846" s="23" t="s">
        <v>168</v>
      </c>
      <c r="H846" s="23" t="s">
        <v>215</v>
      </c>
      <c r="I846" s="23" t="s">
        <v>37</v>
      </c>
      <c r="J846" t="s">
        <v>45</v>
      </c>
      <c r="K846" s="22" t="e">
        <f t="shared" si="43"/>
        <v>#N/A</v>
      </c>
      <c r="L846" s="22" t="str">
        <f t="shared" si="44"/>
        <v/>
      </c>
    </row>
    <row r="847" spans="1:12" x14ac:dyDescent="0.25">
      <c r="A847">
        <v>11</v>
      </c>
      <c r="B847">
        <v>3</v>
      </c>
      <c r="C847">
        <v>17</v>
      </c>
      <c r="D847">
        <v>10</v>
      </c>
      <c r="E847" t="b">
        <v>0</v>
      </c>
      <c r="F847" s="22" t="str">
        <f t="shared" si="42"/>
        <v/>
      </c>
      <c r="G847" s="23" t="s">
        <v>168</v>
      </c>
      <c r="H847" s="23" t="s">
        <v>216</v>
      </c>
      <c r="I847" s="23" t="s">
        <v>37</v>
      </c>
      <c r="J847" t="s">
        <v>117</v>
      </c>
      <c r="K847" s="22" t="e">
        <f t="shared" si="43"/>
        <v>#N/A</v>
      </c>
      <c r="L847" s="22" t="str">
        <f t="shared" si="44"/>
        <v/>
      </c>
    </row>
    <row r="848" spans="1:12" x14ac:dyDescent="0.25">
      <c r="A848">
        <v>11</v>
      </c>
      <c r="B848">
        <v>3</v>
      </c>
      <c r="C848">
        <v>17</v>
      </c>
      <c r="D848">
        <v>11</v>
      </c>
      <c r="E848" t="b">
        <v>0</v>
      </c>
      <c r="F848" s="22" t="str">
        <f t="shared" si="42"/>
        <v/>
      </c>
      <c r="G848" s="23" t="s">
        <v>168</v>
      </c>
      <c r="H848" s="23" t="s">
        <v>217</v>
      </c>
      <c r="I848" s="23" t="s">
        <v>37</v>
      </c>
      <c r="J848" t="s">
        <v>118</v>
      </c>
      <c r="K848" s="22" t="e">
        <f t="shared" si="43"/>
        <v>#N/A</v>
      </c>
      <c r="L848" s="22" t="str">
        <f t="shared" si="44"/>
        <v/>
      </c>
    </row>
    <row r="849" spans="1:12" x14ac:dyDescent="0.25">
      <c r="A849">
        <v>11</v>
      </c>
      <c r="B849">
        <v>3</v>
      </c>
      <c r="C849">
        <v>17</v>
      </c>
      <c r="D849">
        <v>12</v>
      </c>
      <c r="E849" t="b">
        <v>0</v>
      </c>
      <c r="F849" s="22" t="str">
        <f t="shared" si="42"/>
        <v/>
      </c>
      <c r="G849" s="23" t="s">
        <v>168</v>
      </c>
      <c r="H849" s="23" t="s">
        <v>218</v>
      </c>
      <c r="I849" s="23" t="s">
        <v>37</v>
      </c>
      <c r="J849" t="s">
        <v>119</v>
      </c>
      <c r="K849" s="22" t="e">
        <f t="shared" si="43"/>
        <v>#N/A</v>
      </c>
      <c r="L849" s="22" t="str">
        <f t="shared" si="44"/>
        <v/>
      </c>
    </row>
    <row r="850" spans="1:12" x14ac:dyDescent="0.25">
      <c r="A850">
        <v>11</v>
      </c>
      <c r="B850">
        <v>3</v>
      </c>
      <c r="C850">
        <v>17</v>
      </c>
      <c r="D850">
        <v>13</v>
      </c>
      <c r="E850" t="b">
        <v>0</v>
      </c>
      <c r="F850" s="22" t="str">
        <f t="shared" si="42"/>
        <v/>
      </c>
      <c r="G850" s="23" t="s">
        <v>168</v>
      </c>
      <c r="H850" s="23" t="s">
        <v>219</v>
      </c>
      <c r="I850" s="23" t="s">
        <v>37</v>
      </c>
      <c r="J850" t="s">
        <v>127</v>
      </c>
      <c r="K850" s="22" t="e">
        <f t="shared" si="43"/>
        <v>#N/A</v>
      </c>
      <c r="L850" s="22" t="str">
        <f t="shared" si="44"/>
        <v/>
      </c>
    </row>
    <row r="851" spans="1:12" x14ac:dyDescent="0.25">
      <c r="A851">
        <v>11</v>
      </c>
      <c r="B851">
        <v>3</v>
      </c>
      <c r="C851">
        <v>17</v>
      </c>
      <c r="D851">
        <v>14</v>
      </c>
      <c r="E851" t="b">
        <v>0</v>
      </c>
      <c r="F851" s="22" t="str">
        <f t="shared" si="42"/>
        <v/>
      </c>
      <c r="G851" s="23" t="s">
        <v>168</v>
      </c>
      <c r="H851" s="23" t="s">
        <v>220</v>
      </c>
      <c r="I851" s="23" t="s">
        <v>37</v>
      </c>
      <c r="J851" t="s">
        <v>120</v>
      </c>
      <c r="K851" s="22" t="e">
        <f t="shared" si="43"/>
        <v>#N/A</v>
      </c>
      <c r="L851" s="22" t="str">
        <f t="shared" si="44"/>
        <v/>
      </c>
    </row>
    <row r="852" spans="1:12" x14ac:dyDescent="0.25">
      <c r="A852">
        <v>11</v>
      </c>
      <c r="B852">
        <v>3</v>
      </c>
      <c r="C852">
        <v>17</v>
      </c>
      <c r="D852">
        <v>15</v>
      </c>
      <c r="E852" t="b">
        <v>0</v>
      </c>
      <c r="F852" s="22" t="str">
        <f t="shared" si="42"/>
        <v/>
      </c>
      <c r="G852" s="23" t="s">
        <v>168</v>
      </c>
      <c r="H852" s="23" t="s">
        <v>221</v>
      </c>
      <c r="I852" s="23" t="s">
        <v>37</v>
      </c>
      <c r="J852" t="s">
        <v>42</v>
      </c>
      <c r="K852" s="22" t="e">
        <f t="shared" si="43"/>
        <v>#N/A</v>
      </c>
      <c r="L852" s="22" t="str">
        <f t="shared" si="44"/>
        <v/>
      </c>
    </row>
    <row r="853" spans="1:12" x14ac:dyDescent="0.25">
      <c r="A853">
        <v>11</v>
      </c>
      <c r="B853">
        <v>3</v>
      </c>
      <c r="C853">
        <v>17</v>
      </c>
      <c r="D853">
        <v>16</v>
      </c>
      <c r="E853" t="b">
        <v>0</v>
      </c>
      <c r="F853" s="22" t="str">
        <f t="shared" si="42"/>
        <v/>
      </c>
      <c r="G853" s="23" t="s">
        <v>168</v>
      </c>
      <c r="H853" s="23" t="s">
        <v>222</v>
      </c>
      <c r="I853" s="23" t="s">
        <v>37</v>
      </c>
      <c r="J853" t="s">
        <v>121</v>
      </c>
      <c r="K853" s="22" t="e">
        <f t="shared" si="43"/>
        <v>#N/A</v>
      </c>
      <c r="L853" s="22" t="str">
        <f t="shared" si="44"/>
        <v/>
      </c>
    </row>
    <row r="854" spans="1:12" x14ac:dyDescent="0.25">
      <c r="A854">
        <v>11</v>
      </c>
      <c r="B854">
        <v>3</v>
      </c>
      <c r="C854">
        <v>17</v>
      </c>
      <c r="D854">
        <v>17</v>
      </c>
      <c r="E854" t="b">
        <v>1</v>
      </c>
      <c r="F854" s="22" t="str">
        <f t="shared" si="42"/>
        <v/>
      </c>
      <c r="G854" s="23" t="s">
        <v>168</v>
      </c>
      <c r="H854" s="23" t="s">
        <v>223</v>
      </c>
      <c r="I854" s="23" t="s">
        <v>37</v>
      </c>
      <c r="J854" t="s">
        <v>44</v>
      </c>
      <c r="K854" s="22" t="e">
        <f t="shared" si="43"/>
        <v>#N/A</v>
      </c>
      <c r="L854" s="22" t="str">
        <f t="shared" si="44"/>
        <v/>
      </c>
    </row>
    <row r="855" spans="1:12" x14ac:dyDescent="0.25">
      <c r="A855">
        <v>11</v>
      </c>
      <c r="B855">
        <v>4</v>
      </c>
      <c r="C855">
        <v>9</v>
      </c>
      <c r="D855">
        <v>1</v>
      </c>
      <c r="E855" t="b">
        <v>0</v>
      </c>
      <c r="F855" s="22" t="str">
        <f t="shared" si="42"/>
        <v/>
      </c>
      <c r="G855" s="23" t="s">
        <v>169</v>
      </c>
      <c r="H855" s="23" t="s">
        <v>224</v>
      </c>
      <c r="I855" s="23" t="s">
        <v>25</v>
      </c>
      <c r="J855" t="s">
        <v>122</v>
      </c>
      <c r="K855" s="22" t="e">
        <f t="shared" si="43"/>
        <v>#N/A</v>
      </c>
      <c r="L855" s="22" t="str">
        <f t="shared" si="44"/>
        <v/>
      </c>
    </row>
    <row r="856" spans="1:12" x14ac:dyDescent="0.25">
      <c r="A856">
        <v>11</v>
      </c>
      <c r="B856">
        <v>4</v>
      </c>
      <c r="C856">
        <v>9</v>
      </c>
      <c r="D856">
        <v>2</v>
      </c>
      <c r="E856" t="b">
        <v>0</v>
      </c>
      <c r="F856" s="22" t="str">
        <f t="shared" si="42"/>
        <v/>
      </c>
      <c r="G856" s="23" t="s">
        <v>169</v>
      </c>
      <c r="H856" s="23" t="s">
        <v>225</v>
      </c>
      <c r="I856" s="23" t="s">
        <v>25</v>
      </c>
      <c r="J856" t="s">
        <v>26</v>
      </c>
      <c r="K856" s="22" t="e">
        <f t="shared" si="43"/>
        <v>#N/A</v>
      </c>
      <c r="L856" s="22" t="str">
        <f t="shared" si="44"/>
        <v/>
      </c>
    </row>
    <row r="857" spans="1:12" x14ac:dyDescent="0.25">
      <c r="A857">
        <v>11</v>
      </c>
      <c r="B857">
        <v>4</v>
      </c>
      <c r="C857">
        <v>9</v>
      </c>
      <c r="D857">
        <v>3</v>
      </c>
      <c r="E857" t="b">
        <v>0</v>
      </c>
      <c r="F857" s="22" t="str">
        <f t="shared" si="42"/>
        <v/>
      </c>
      <c r="G857" s="23" t="s">
        <v>169</v>
      </c>
      <c r="H857" s="23" t="s">
        <v>226</v>
      </c>
      <c r="I857" s="23" t="s">
        <v>25</v>
      </c>
      <c r="J857" t="s">
        <v>27</v>
      </c>
      <c r="K857" s="22" t="e">
        <f t="shared" si="43"/>
        <v>#N/A</v>
      </c>
      <c r="L857" s="22" t="str">
        <f t="shared" si="44"/>
        <v/>
      </c>
    </row>
    <row r="858" spans="1:12" x14ac:dyDescent="0.25">
      <c r="A858">
        <v>11</v>
      </c>
      <c r="B858">
        <v>4</v>
      </c>
      <c r="C858">
        <v>9</v>
      </c>
      <c r="D858">
        <v>4</v>
      </c>
      <c r="E858" t="b">
        <v>0</v>
      </c>
      <c r="F858" s="22" t="str">
        <f t="shared" si="42"/>
        <v/>
      </c>
      <c r="G858" s="23" t="s">
        <v>169</v>
      </c>
      <c r="H858" s="23" t="s">
        <v>227</v>
      </c>
      <c r="I858" s="23" t="s">
        <v>25</v>
      </c>
      <c r="J858" t="s">
        <v>28</v>
      </c>
      <c r="K858" s="22" t="e">
        <f t="shared" si="43"/>
        <v>#N/A</v>
      </c>
      <c r="L858" s="22" t="str">
        <f t="shared" si="44"/>
        <v/>
      </c>
    </row>
    <row r="859" spans="1:12" x14ac:dyDescent="0.25">
      <c r="A859">
        <v>11</v>
      </c>
      <c r="B859">
        <v>4</v>
      </c>
      <c r="C859">
        <v>9</v>
      </c>
      <c r="D859">
        <v>5</v>
      </c>
      <c r="E859" t="b">
        <v>0</v>
      </c>
      <c r="F859" s="22" t="str">
        <f t="shared" si="42"/>
        <v/>
      </c>
      <c r="G859" s="23" t="s">
        <v>169</v>
      </c>
      <c r="H859" s="23" t="s">
        <v>228</v>
      </c>
      <c r="I859" s="23" t="s">
        <v>25</v>
      </c>
      <c r="J859" t="s">
        <v>128</v>
      </c>
      <c r="K859" s="22" t="e">
        <f t="shared" si="43"/>
        <v>#N/A</v>
      </c>
      <c r="L859" s="22" t="str">
        <f t="shared" si="44"/>
        <v/>
      </c>
    </row>
    <row r="860" spans="1:12" x14ac:dyDescent="0.25">
      <c r="A860">
        <v>11</v>
      </c>
      <c r="B860">
        <v>4</v>
      </c>
      <c r="C860">
        <v>9</v>
      </c>
      <c r="D860">
        <v>6</v>
      </c>
      <c r="E860" t="b">
        <v>0</v>
      </c>
      <c r="F860" s="22" t="str">
        <f t="shared" si="42"/>
        <v/>
      </c>
      <c r="G860" s="23" t="s">
        <v>169</v>
      </c>
      <c r="H860" s="23" t="s">
        <v>229</v>
      </c>
      <c r="I860" s="23" t="s">
        <v>25</v>
      </c>
      <c r="J860" t="s">
        <v>29</v>
      </c>
      <c r="K860" s="22" t="e">
        <f t="shared" si="43"/>
        <v>#N/A</v>
      </c>
      <c r="L860" s="22" t="str">
        <f t="shared" si="44"/>
        <v/>
      </c>
    </row>
    <row r="861" spans="1:12" x14ac:dyDescent="0.25">
      <c r="A861">
        <v>11</v>
      </c>
      <c r="B861">
        <v>4</v>
      </c>
      <c r="C861">
        <v>9</v>
      </c>
      <c r="D861">
        <v>7</v>
      </c>
      <c r="E861" t="b">
        <v>0</v>
      </c>
      <c r="F861" s="22" t="str">
        <f t="shared" si="42"/>
        <v/>
      </c>
      <c r="G861" s="23" t="s">
        <v>169</v>
      </c>
      <c r="H861" s="23" t="s">
        <v>230</v>
      </c>
      <c r="I861" s="23" t="s">
        <v>25</v>
      </c>
      <c r="J861" t="s">
        <v>30</v>
      </c>
      <c r="K861" s="22" t="e">
        <f t="shared" si="43"/>
        <v>#N/A</v>
      </c>
      <c r="L861" s="22" t="str">
        <f t="shared" si="44"/>
        <v/>
      </c>
    </row>
    <row r="862" spans="1:12" x14ac:dyDescent="0.25">
      <c r="A862">
        <v>11</v>
      </c>
      <c r="B862">
        <v>4</v>
      </c>
      <c r="C862">
        <v>9</v>
      </c>
      <c r="D862">
        <v>8</v>
      </c>
      <c r="E862" t="b">
        <v>0</v>
      </c>
      <c r="F862" s="22" t="str">
        <f t="shared" si="42"/>
        <v/>
      </c>
      <c r="G862" s="23" t="s">
        <v>169</v>
      </c>
      <c r="H862" s="23" t="s">
        <v>231</v>
      </c>
      <c r="I862" s="23" t="s">
        <v>25</v>
      </c>
      <c r="J862" t="s">
        <v>31</v>
      </c>
      <c r="K862" s="22" t="e">
        <f t="shared" si="43"/>
        <v>#N/A</v>
      </c>
      <c r="L862" s="22" t="str">
        <f t="shared" si="44"/>
        <v/>
      </c>
    </row>
    <row r="863" spans="1:12" x14ac:dyDescent="0.25">
      <c r="A863">
        <v>11</v>
      </c>
      <c r="B863">
        <v>4</v>
      </c>
      <c r="C863">
        <v>9</v>
      </c>
      <c r="D863">
        <v>9</v>
      </c>
      <c r="E863" t="b">
        <v>1</v>
      </c>
      <c r="F863" s="22" t="str">
        <f t="shared" si="42"/>
        <v/>
      </c>
      <c r="G863" s="23" t="s">
        <v>169</v>
      </c>
      <c r="H863" s="23" t="s">
        <v>232</v>
      </c>
      <c r="I863" s="23" t="s">
        <v>25</v>
      </c>
      <c r="J863" t="s">
        <v>43</v>
      </c>
      <c r="K863" s="22" t="e">
        <f t="shared" si="43"/>
        <v>#N/A</v>
      </c>
      <c r="L863" s="22" t="str">
        <f t="shared" si="44"/>
        <v/>
      </c>
    </row>
    <row r="864" spans="1:12" x14ac:dyDescent="0.25">
      <c r="A864">
        <v>11</v>
      </c>
      <c r="B864">
        <v>5</v>
      </c>
      <c r="C864">
        <v>9</v>
      </c>
      <c r="D864">
        <v>1</v>
      </c>
      <c r="E864" t="b">
        <v>0</v>
      </c>
      <c r="F864" s="22" t="str">
        <f t="shared" si="42"/>
        <v/>
      </c>
      <c r="G864" s="23" t="s">
        <v>166</v>
      </c>
      <c r="H864" s="23" t="s">
        <v>233</v>
      </c>
      <c r="I864" s="23" t="s">
        <v>32</v>
      </c>
      <c r="J864" t="s">
        <v>33</v>
      </c>
      <c r="K864" s="22" t="e">
        <f t="shared" si="43"/>
        <v>#N/A</v>
      </c>
      <c r="L864" s="22" t="str">
        <f t="shared" si="44"/>
        <v/>
      </c>
    </row>
    <row r="865" spans="1:12" x14ac:dyDescent="0.25">
      <c r="A865">
        <v>11</v>
      </c>
      <c r="B865">
        <v>5</v>
      </c>
      <c r="C865">
        <v>9</v>
      </c>
      <c r="D865">
        <v>2</v>
      </c>
      <c r="E865" t="b">
        <v>0</v>
      </c>
      <c r="F865" s="22" t="str">
        <f t="shared" si="42"/>
        <v/>
      </c>
      <c r="G865" s="23" t="s">
        <v>166</v>
      </c>
      <c r="H865" s="23" t="s">
        <v>234</v>
      </c>
      <c r="I865" s="23" t="s">
        <v>32</v>
      </c>
      <c r="J865" t="s">
        <v>34</v>
      </c>
      <c r="K865" s="22" t="e">
        <f t="shared" si="43"/>
        <v>#N/A</v>
      </c>
      <c r="L865" s="22" t="str">
        <f t="shared" si="44"/>
        <v/>
      </c>
    </row>
    <row r="866" spans="1:12" x14ac:dyDescent="0.25">
      <c r="A866">
        <v>11</v>
      </c>
      <c r="B866">
        <v>5</v>
      </c>
      <c r="C866">
        <v>9</v>
      </c>
      <c r="D866">
        <v>3</v>
      </c>
      <c r="E866" t="b">
        <v>0</v>
      </c>
      <c r="F866" s="22" t="str">
        <f t="shared" si="42"/>
        <v/>
      </c>
      <c r="G866" s="23" t="s">
        <v>166</v>
      </c>
      <c r="H866" s="23" t="s">
        <v>235</v>
      </c>
      <c r="I866" s="23" t="s">
        <v>32</v>
      </c>
      <c r="J866" t="s">
        <v>35</v>
      </c>
      <c r="K866" s="22" t="e">
        <f t="shared" si="43"/>
        <v>#N/A</v>
      </c>
      <c r="L866" s="22" t="str">
        <f t="shared" si="44"/>
        <v/>
      </c>
    </row>
    <row r="867" spans="1:12" x14ac:dyDescent="0.25">
      <c r="A867">
        <v>11</v>
      </c>
      <c r="B867">
        <v>5</v>
      </c>
      <c r="C867">
        <v>9</v>
      </c>
      <c r="D867">
        <v>4</v>
      </c>
      <c r="E867" t="b">
        <v>0</v>
      </c>
      <c r="F867" s="22" t="str">
        <f t="shared" si="42"/>
        <v/>
      </c>
      <c r="G867" s="23" t="s">
        <v>166</v>
      </c>
      <c r="H867" s="23" t="s">
        <v>236</v>
      </c>
      <c r="I867" s="23" t="s">
        <v>32</v>
      </c>
      <c r="J867" t="s">
        <v>123</v>
      </c>
      <c r="K867" s="22" t="e">
        <f t="shared" si="43"/>
        <v>#N/A</v>
      </c>
      <c r="L867" s="22" t="str">
        <f t="shared" si="44"/>
        <v/>
      </c>
    </row>
    <row r="868" spans="1:12" x14ac:dyDescent="0.25">
      <c r="A868">
        <v>11</v>
      </c>
      <c r="B868">
        <v>5</v>
      </c>
      <c r="C868">
        <v>9</v>
      </c>
      <c r="D868">
        <v>5</v>
      </c>
      <c r="E868" t="b">
        <v>0</v>
      </c>
      <c r="F868" s="22" t="str">
        <f t="shared" si="42"/>
        <v/>
      </c>
      <c r="G868" s="23" t="s">
        <v>166</v>
      </c>
      <c r="H868" s="23" t="s">
        <v>237</v>
      </c>
      <c r="I868" s="23" t="s">
        <v>32</v>
      </c>
      <c r="J868" t="s">
        <v>124</v>
      </c>
      <c r="K868" s="22" t="e">
        <f t="shared" si="43"/>
        <v>#N/A</v>
      </c>
      <c r="L868" s="22" t="str">
        <f t="shared" si="44"/>
        <v/>
      </c>
    </row>
    <row r="869" spans="1:12" x14ac:dyDescent="0.25">
      <c r="A869">
        <v>11</v>
      </c>
      <c r="B869">
        <v>5</v>
      </c>
      <c r="C869">
        <v>9</v>
      </c>
      <c r="D869">
        <v>6</v>
      </c>
      <c r="E869" t="b">
        <v>0</v>
      </c>
      <c r="F869" s="22" t="str">
        <f t="shared" si="42"/>
        <v/>
      </c>
      <c r="G869" s="23" t="s">
        <v>166</v>
      </c>
      <c r="H869" s="23" t="s">
        <v>238</v>
      </c>
      <c r="I869" s="23" t="s">
        <v>32</v>
      </c>
      <c r="J869" t="s">
        <v>129</v>
      </c>
      <c r="K869" s="22" t="e">
        <f t="shared" si="43"/>
        <v>#N/A</v>
      </c>
      <c r="L869" s="22" t="str">
        <f t="shared" si="44"/>
        <v/>
      </c>
    </row>
    <row r="870" spans="1:12" x14ac:dyDescent="0.25">
      <c r="A870">
        <v>11</v>
      </c>
      <c r="B870">
        <v>5</v>
      </c>
      <c r="C870">
        <v>9</v>
      </c>
      <c r="D870">
        <v>7</v>
      </c>
      <c r="E870" t="b">
        <v>0</v>
      </c>
      <c r="F870" s="22" t="str">
        <f t="shared" si="42"/>
        <v/>
      </c>
      <c r="G870" s="23" t="s">
        <v>166</v>
      </c>
      <c r="H870" s="23" t="s">
        <v>239</v>
      </c>
      <c r="I870" s="23" t="s">
        <v>32</v>
      </c>
      <c r="J870" t="s">
        <v>125</v>
      </c>
      <c r="K870" s="22" t="e">
        <f t="shared" si="43"/>
        <v>#N/A</v>
      </c>
      <c r="L870" s="22" t="str">
        <f t="shared" si="44"/>
        <v/>
      </c>
    </row>
    <row r="871" spans="1:12" x14ac:dyDescent="0.25">
      <c r="A871">
        <v>11</v>
      </c>
      <c r="B871">
        <v>5</v>
      </c>
      <c r="C871">
        <v>9</v>
      </c>
      <c r="D871">
        <v>8</v>
      </c>
      <c r="E871" t="b">
        <v>0</v>
      </c>
      <c r="F871" s="22" t="str">
        <f t="shared" si="42"/>
        <v/>
      </c>
      <c r="G871" s="23" t="s">
        <v>166</v>
      </c>
      <c r="H871" s="23" t="s">
        <v>240</v>
      </c>
      <c r="I871" s="23" t="s">
        <v>32</v>
      </c>
      <c r="J871" t="s">
        <v>36</v>
      </c>
      <c r="K871" s="22" t="e">
        <f t="shared" si="43"/>
        <v>#N/A</v>
      </c>
      <c r="L871" s="22" t="str">
        <f t="shared" si="44"/>
        <v/>
      </c>
    </row>
    <row r="872" spans="1:12" x14ac:dyDescent="0.25">
      <c r="A872">
        <v>11</v>
      </c>
      <c r="B872">
        <v>5</v>
      </c>
      <c r="C872">
        <v>9</v>
      </c>
      <c r="D872">
        <v>9</v>
      </c>
      <c r="E872" t="b">
        <v>1</v>
      </c>
      <c r="F872" s="22" t="str">
        <f t="shared" si="42"/>
        <v/>
      </c>
      <c r="G872" s="23" t="s">
        <v>166</v>
      </c>
      <c r="H872" s="23" t="s">
        <v>241</v>
      </c>
      <c r="I872" s="23" t="s">
        <v>32</v>
      </c>
      <c r="J872" t="s">
        <v>47</v>
      </c>
      <c r="K872" s="22" t="e">
        <f t="shared" si="43"/>
        <v>#N/A</v>
      </c>
      <c r="L872" s="22" t="str">
        <f t="shared" si="44"/>
        <v/>
      </c>
    </row>
    <row r="873" spans="1:12" x14ac:dyDescent="0.25">
      <c r="A873">
        <v>11</v>
      </c>
      <c r="B873">
        <v>6</v>
      </c>
      <c r="C873">
        <v>11</v>
      </c>
      <c r="D873">
        <v>1</v>
      </c>
      <c r="E873" t="b">
        <v>0</v>
      </c>
      <c r="F873" s="22" t="str">
        <f t="shared" si="42"/>
        <v/>
      </c>
      <c r="G873" s="23" t="s">
        <v>170</v>
      </c>
      <c r="H873" s="23" t="s">
        <v>242</v>
      </c>
      <c r="I873" s="23" t="s">
        <v>149</v>
      </c>
      <c r="J873" t="s">
        <v>150</v>
      </c>
      <c r="K873" s="22" t="e">
        <f t="shared" si="43"/>
        <v>#N/A</v>
      </c>
      <c r="L873" s="22" t="str">
        <f t="shared" si="44"/>
        <v/>
      </c>
    </row>
    <row r="874" spans="1:12" x14ac:dyDescent="0.25">
      <c r="A874">
        <v>11</v>
      </c>
      <c r="B874">
        <v>6</v>
      </c>
      <c r="C874">
        <v>11</v>
      </c>
      <c r="D874">
        <v>2</v>
      </c>
      <c r="E874" t="b">
        <v>0</v>
      </c>
      <c r="F874" s="22" t="str">
        <f t="shared" si="42"/>
        <v/>
      </c>
      <c r="G874" s="23" t="s">
        <v>170</v>
      </c>
      <c r="H874" s="23" t="s">
        <v>243</v>
      </c>
      <c r="I874" s="23" t="s">
        <v>149</v>
      </c>
      <c r="J874" t="s">
        <v>151</v>
      </c>
      <c r="K874" s="22" t="e">
        <f t="shared" si="43"/>
        <v>#N/A</v>
      </c>
      <c r="L874" s="22" t="str">
        <f t="shared" si="44"/>
        <v/>
      </c>
    </row>
    <row r="875" spans="1:12" x14ac:dyDescent="0.25">
      <c r="A875">
        <v>11</v>
      </c>
      <c r="B875">
        <v>6</v>
      </c>
      <c r="C875">
        <v>11</v>
      </c>
      <c r="D875">
        <v>3</v>
      </c>
      <c r="E875" t="b">
        <v>0</v>
      </c>
      <c r="F875" s="22" t="str">
        <f t="shared" si="42"/>
        <v/>
      </c>
      <c r="G875" s="23" t="s">
        <v>170</v>
      </c>
      <c r="H875" s="23" t="s">
        <v>244</v>
      </c>
      <c r="I875" s="23" t="s">
        <v>149</v>
      </c>
      <c r="J875" t="s">
        <v>152</v>
      </c>
      <c r="K875" s="22" t="e">
        <f t="shared" si="43"/>
        <v>#N/A</v>
      </c>
      <c r="L875" s="22" t="str">
        <f t="shared" si="44"/>
        <v/>
      </c>
    </row>
    <row r="876" spans="1:12" x14ac:dyDescent="0.25">
      <c r="A876">
        <v>11</v>
      </c>
      <c r="B876">
        <v>6</v>
      </c>
      <c r="C876">
        <v>11</v>
      </c>
      <c r="D876">
        <v>4</v>
      </c>
      <c r="E876" t="b">
        <v>0</v>
      </c>
      <c r="F876" s="22" t="str">
        <f t="shared" si="42"/>
        <v/>
      </c>
      <c r="G876" s="23" t="s">
        <v>170</v>
      </c>
      <c r="H876" s="23" t="s">
        <v>245</v>
      </c>
      <c r="I876" s="23" t="s">
        <v>149</v>
      </c>
      <c r="J876" t="s">
        <v>153</v>
      </c>
      <c r="K876" s="22" t="e">
        <f t="shared" si="43"/>
        <v>#N/A</v>
      </c>
      <c r="L876" s="22" t="str">
        <f t="shared" si="44"/>
        <v/>
      </c>
    </row>
    <row r="877" spans="1:12" x14ac:dyDescent="0.25">
      <c r="A877">
        <v>11</v>
      </c>
      <c r="B877">
        <v>6</v>
      </c>
      <c r="C877">
        <v>11</v>
      </c>
      <c r="D877">
        <v>5</v>
      </c>
      <c r="E877" t="b">
        <v>0</v>
      </c>
      <c r="F877" s="22" t="str">
        <f t="shared" si="42"/>
        <v/>
      </c>
      <c r="G877" s="23" t="s">
        <v>170</v>
      </c>
      <c r="H877" s="23" t="s">
        <v>246</v>
      </c>
      <c r="I877" s="23" t="s">
        <v>149</v>
      </c>
      <c r="J877" t="s">
        <v>154</v>
      </c>
      <c r="K877" s="22" t="e">
        <f t="shared" si="43"/>
        <v>#N/A</v>
      </c>
      <c r="L877" s="22" t="str">
        <f t="shared" si="44"/>
        <v/>
      </c>
    </row>
    <row r="878" spans="1:12" x14ac:dyDescent="0.25">
      <c r="A878">
        <v>11</v>
      </c>
      <c r="B878">
        <v>6</v>
      </c>
      <c r="C878">
        <v>11</v>
      </c>
      <c r="D878">
        <v>6</v>
      </c>
      <c r="E878" t="b">
        <v>0</v>
      </c>
      <c r="F878" s="22" t="str">
        <f t="shared" si="42"/>
        <v/>
      </c>
      <c r="G878" s="23" t="s">
        <v>170</v>
      </c>
      <c r="H878" s="23" t="s">
        <v>247</v>
      </c>
      <c r="I878" s="23" t="s">
        <v>149</v>
      </c>
      <c r="J878" t="s">
        <v>155</v>
      </c>
      <c r="K878" s="22" t="e">
        <f t="shared" si="43"/>
        <v>#N/A</v>
      </c>
      <c r="L878" s="22" t="str">
        <f t="shared" si="44"/>
        <v/>
      </c>
    </row>
    <row r="879" spans="1:12" x14ac:dyDescent="0.25">
      <c r="A879">
        <v>11</v>
      </c>
      <c r="B879">
        <v>6</v>
      </c>
      <c r="C879">
        <v>11</v>
      </c>
      <c r="D879">
        <v>7</v>
      </c>
      <c r="E879" t="b">
        <v>0</v>
      </c>
      <c r="F879" s="22" t="str">
        <f t="shared" si="42"/>
        <v/>
      </c>
      <c r="G879" s="23" t="s">
        <v>170</v>
      </c>
      <c r="H879" s="23" t="s">
        <v>248</v>
      </c>
      <c r="I879" s="23" t="s">
        <v>149</v>
      </c>
      <c r="J879" t="s">
        <v>156</v>
      </c>
      <c r="K879" s="22" t="e">
        <f t="shared" si="43"/>
        <v>#N/A</v>
      </c>
      <c r="L879" s="22" t="str">
        <f t="shared" si="44"/>
        <v/>
      </c>
    </row>
    <row r="880" spans="1:12" x14ac:dyDescent="0.25">
      <c r="A880">
        <v>11</v>
      </c>
      <c r="B880">
        <v>6</v>
      </c>
      <c r="C880">
        <v>11</v>
      </c>
      <c r="D880">
        <v>8</v>
      </c>
      <c r="E880" t="b">
        <v>0</v>
      </c>
      <c r="F880" s="22" t="str">
        <f t="shared" si="42"/>
        <v/>
      </c>
      <c r="G880" s="23" t="s">
        <v>170</v>
      </c>
      <c r="H880" s="23" t="s">
        <v>249</v>
      </c>
      <c r="I880" s="23" t="s">
        <v>149</v>
      </c>
      <c r="J880" t="s">
        <v>157</v>
      </c>
      <c r="K880" s="22" t="e">
        <f t="shared" si="43"/>
        <v>#N/A</v>
      </c>
      <c r="L880" s="22" t="str">
        <f t="shared" si="44"/>
        <v/>
      </c>
    </row>
    <row r="881" spans="1:12" x14ac:dyDescent="0.25">
      <c r="A881">
        <v>11</v>
      </c>
      <c r="B881">
        <v>6</v>
      </c>
      <c r="C881">
        <v>11</v>
      </c>
      <c r="D881">
        <v>9</v>
      </c>
      <c r="E881" t="b">
        <v>0</v>
      </c>
      <c r="F881" s="22" t="str">
        <f t="shared" si="42"/>
        <v/>
      </c>
      <c r="G881" s="23" t="s">
        <v>170</v>
      </c>
      <c r="H881" s="23" t="s">
        <v>250</v>
      </c>
      <c r="I881" s="23" t="s">
        <v>149</v>
      </c>
      <c r="J881" t="s">
        <v>158</v>
      </c>
      <c r="K881" s="22" t="e">
        <f t="shared" si="43"/>
        <v>#N/A</v>
      </c>
      <c r="L881" s="22" t="str">
        <f t="shared" si="44"/>
        <v/>
      </c>
    </row>
    <row r="882" spans="1:12" x14ac:dyDescent="0.25">
      <c r="A882">
        <v>11</v>
      </c>
      <c r="B882">
        <v>6</v>
      </c>
      <c r="C882">
        <v>11</v>
      </c>
      <c r="D882">
        <v>10</v>
      </c>
      <c r="E882" t="b">
        <v>0</v>
      </c>
      <c r="F882" s="22" t="str">
        <f t="shared" si="42"/>
        <v/>
      </c>
      <c r="G882" s="23" t="s">
        <v>170</v>
      </c>
      <c r="H882" s="23" t="s">
        <v>251</v>
      </c>
      <c r="I882" s="23" t="s">
        <v>149</v>
      </c>
      <c r="J882" t="s">
        <v>159</v>
      </c>
      <c r="K882" s="22" t="e">
        <f t="shared" si="43"/>
        <v>#N/A</v>
      </c>
      <c r="L882" s="22" t="str">
        <f t="shared" si="44"/>
        <v/>
      </c>
    </row>
    <row r="883" spans="1:12" x14ac:dyDescent="0.25">
      <c r="A883">
        <v>11</v>
      </c>
      <c r="B883">
        <v>6</v>
      </c>
      <c r="C883">
        <v>11</v>
      </c>
      <c r="D883">
        <v>11</v>
      </c>
      <c r="E883" t="b">
        <v>1</v>
      </c>
      <c r="F883" s="22" t="str">
        <f t="shared" si="42"/>
        <v/>
      </c>
      <c r="G883" s="23" t="s">
        <v>170</v>
      </c>
      <c r="H883" s="23" t="s">
        <v>252</v>
      </c>
      <c r="I883" s="23" t="s">
        <v>149</v>
      </c>
      <c r="J883" t="s">
        <v>160</v>
      </c>
      <c r="K883" s="22" t="e">
        <f t="shared" si="43"/>
        <v>#N/A</v>
      </c>
      <c r="L883" s="22" t="str">
        <f t="shared" si="44"/>
        <v/>
      </c>
    </row>
    <row r="884" spans="1:12" x14ac:dyDescent="0.25">
      <c r="A884">
        <v>12</v>
      </c>
      <c r="B884">
        <v>1</v>
      </c>
      <c r="C884">
        <v>18</v>
      </c>
      <c r="D884">
        <v>1</v>
      </c>
      <c r="E884" t="b">
        <v>0</v>
      </c>
      <c r="F884" s="22" t="str">
        <f t="shared" si="42"/>
        <v/>
      </c>
      <c r="G884" s="23" t="s">
        <v>167</v>
      </c>
      <c r="H884" s="23" t="s">
        <v>253</v>
      </c>
      <c r="I884" s="23" t="s">
        <v>2</v>
      </c>
      <c r="J884" t="s">
        <v>3</v>
      </c>
      <c r="K884" s="22" t="e">
        <f t="shared" si="43"/>
        <v>#N/A</v>
      </c>
      <c r="L884" s="22" t="str">
        <f t="shared" si="44"/>
        <v/>
      </c>
    </row>
    <row r="885" spans="1:12" x14ac:dyDescent="0.25">
      <c r="A885">
        <v>12</v>
      </c>
      <c r="B885">
        <v>1</v>
      </c>
      <c r="C885">
        <v>18</v>
      </c>
      <c r="D885">
        <v>2</v>
      </c>
      <c r="E885" t="b">
        <v>0</v>
      </c>
      <c r="F885" s="22" t="str">
        <f t="shared" si="42"/>
        <v/>
      </c>
      <c r="G885" s="23" t="s">
        <v>167</v>
      </c>
      <c r="H885" s="23" t="s">
        <v>254</v>
      </c>
      <c r="I885" s="23" t="s">
        <v>2</v>
      </c>
      <c r="J885" t="s">
        <v>4</v>
      </c>
      <c r="K885" s="22" t="e">
        <f t="shared" si="43"/>
        <v>#N/A</v>
      </c>
      <c r="L885" s="22" t="str">
        <f t="shared" si="44"/>
        <v/>
      </c>
    </row>
    <row r="886" spans="1:12" x14ac:dyDescent="0.25">
      <c r="A886">
        <v>12</v>
      </c>
      <c r="B886">
        <v>1</v>
      </c>
      <c r="C886">
        <v>18</v>
      </c>
      <c r="D886">
        <v>3</v>
      </c>
      <c r="E886" t="b">
        <v>0</v>
      </c>
      <c r="F886" s="22" t="str">
        <f t="shared" si="42"/>
        <v/>
      </c>
      <c r="G886" s="23" t="s">
        <v>167</v>
      </c>
      <c r="H886" s="23" t="s">
        <v>175</v>
      </c>
      <c r="I886" s="23" t="s">
        <v>2</v>
      </c>
      <c r="J886" t="s">
        <v>5</v>
      </c>
      <c r="K886" s="22" t="e">
        <f t="shared" si="43"/>
        <v>#N/A</v>
      </c>
      <c r="L886" s="22" t="str">
        <f t="shared" si="44"/>
        <v/>
      </c>
    </row>
    <row r="887" spans="1:12" x14ac:dyDescent="0.25">
      <c r="A887">
        <v>12</v>
      </c>
      <c r="B887">
        <v>1</v>
      </c>
      <c r="C887">
        <v>18</v>
      </c>
      <c r="D887">
        <v>4</v>
      </c>
      <c r="E887" t="b">
        <v>0</v>
      </c>
      <c r="F887" s="22" t="str">
        <f t="shared" si="42"/>
        <v/>
      </c>
      <c r="G887" s="23" t="s">
        <v>167</v>
      </c>
      <c r="H887" s="23" t="s">
        <v>176</v>
      </c>
      <c r="I887" s="23" t="s">
        <v>2</v>
      </c>
      <c r="J887" t="s">
        <v>6</v>
      </c>
      <c r="K887" s="22" t="e">
        <f t="shared" si="43"/>
        <v>#N/A</v>
      </c>
      <c r="L887" s="22" t="str">
        <f t="shared" si="44"/>
        <v/>
      </c>
    </row>
    <row r="888" spans="1:12" x14ac:dyDescent="0.25">
      <c r="A888">
        <v>12</v>
      </c>
      <c r="B888">
        <v>1</v>
      </c>
      <c r="C888">
        <v>18</v>
      </c>
      <c r="D888">
        <v>5</v>
      </c>
      <c r="E888" t="b">
        <v>0</v>
      </c>
      <c r="F888" s="22" t="str">
        <f t="shared" si="42"/>
        <v/>
      </c>
      <c r="G888" s="23" t="s">
        <v>167</v>
      </c>
      <c r="H888" s="23" t="s">
        <v>177</v>
      </c>
      <c r="I888" s="23" t="s">
        <v>2</v>
      </c>
      <c r="J888" t="s">
        <v>44</v>
      </c>
      <c r="K888" s="22" t="e">
        <f t="shared" si="43"/>
        <v>#N/A</v>
      </c>
      <c r="L888" s="22" t="str">
        <f t="shared" si="44"/>
        <v/>
      </c>
    </row>
    <row r="889" spans="1:12" x14ac:dyDescent="0.25">
      <c r="A889">
        <v>12</v>
      </c>
      <c r="B889">
        <v>1</v>
      </c>
      <c r="C889">
        <v>18</v>
      </c>
      <c r="D889">
        <v>6</v>
      </c>
      <c r="E889" t="b">
        <v>0</v>
      </c>
      <c r="F889" s="22" t="str">
        <f t="shared" si="42"/>
        <v/>
      </c>
      <c r="G889" s="23" t="s">
        <v>167</v>
      </c>
      <c r="H889" s="23" t="s">
        <v>178</v>
      </c>
      <c r="I889" s="23" t="s">
        <v>2</v>
      </c>
      <c r="J889" t="s">
        <v>102</v>
      </c>
      <c r="K889" s="22" t="e">
        <f t="shared" si="43"/>
        <v>#N/A</v>
      </c>
      <c r="L889" s="22" t="str">
        <f t="shared" si="44"/>
        <v/>
      </c>
    </row>
    <row r="890" spans="1:12" x14ac:dyDescent="0.25">
      <c r="A890">
        <v>12</v>
      </c>
      <c r="B890">
        <v>1</v>
      </c>
      <c r="C890">
        <v>18</v>
      </c>
      <c r="D890">
        <v>7</v>
      </c>
      <c r="E890" t="b">
        <v>0</v>
      </c>
      <c r="F890" s="22" t="str">
        <f t="shared" si="42"/>
        <v/>
      </c>
      <c r="G890" s="23" t="s">
        <v>167</v>
      </c>
      <c r="H890" s="23" t="s">
        <v>179</v>
      </c>
      <c r="I890" s="23" t="s">
        <v>2</v>
      </c>
      <c r="J890" t="s">
        <v>103</v>
      </c>
      <c r="K890" s="22" t="e">
        <f t="shared" si="43"/>
        <v>#N/A</v>
      </c>
      <c r="L890" s="22" t="str">
        <f t="shared" si="44"/>
        <v/>
      </c>
    </row>
    <row r="891" spans="1:12" x14ac:dyDescent="0.25">
      <c r="A891">
        <v>12</v>
      </c>
      <c r="B891">
        <v>1</v>
      </c>
      <c r="C891">
        <v>18</v>
      </c>
      <c r="D891">
        <v>8</v>
      </c>
      <c r="E891" t="b">
        <v>0</v>
      </c>
      <c r="F891" s="22" t="str">
        <f t="shared" si="42"/>
        <v/>
      </c>
      <c r="G891" s="23" t="s">
        <v>167</v>
      </c>
      <c r="H891" s="23" t="s">
        <v>180</v>
      </c>
      <c r="I891" s="23" t="s">
        <v>2</v>
      </c>
      <c r="J891" t="s">
        <v>7</v>
      </c>
      <c r="K891" s="22" t="e">
        <f t="shared" si="43"/>
        <v>#N/A</v>
      </c>
      <c r="L891" s="22" t="str">
        <f t="shared" si="44"/>
        <v/>
      </c>
    </row>
    <row r="892" spans="1:12" x14ac:dyDescent="0.25">
      <c r="A892">
        <v>12</v>
      </c>
      <c r="B892">
        <v>1</v>
      </c>
      <c r="C892">
        <v>18</v>
      </c>
      <c r="D892">
        <v>9</v>
      </c>
      <c r="E892" t="b">
        <v>0</v>
      </c>
      <c r="F892" s="22" t="str">
        <f t="shared" si="42"/>
        <v/>
      </c>
      <c r="G892" s="23" t="s">
        <v>167</v>
      </c>
      <c r="H892" s="23" t="s">
        <v>181</v>
      </c>
      <c r="I892" s="23" t="s">
        <v>2</v>
      </c>
      <c r="J892" t="s">
        <v>104</v>
      </c>
      <c r="K892" s="22" t="e">
        <f t="shared" si="43"/>
        <v>#N/A</v>
      </c>
      <c r="L892" s="22" t="str">
        <f t="shared" si="44"/>
        <v/>
      </c>
    </row>
    <row r="893" spans="1:12" x14ac:dyDescent="0.25">
      <c r="A893">
        <v>12</v>
      </c>
      <c r="B893">
        <v>1</v>
      </c>
      <c r="C893">
        <v>18</v>
      </c>
      <c r="D893">
        <v>10</v>
      </c>
      <c r="E893" t="b">
        <v>0</v>
      </c>
      <c r="F893" s="22" t="str">
        <f t="shared" si="42"/>
        <v/>
      </c>
      <c r="G893" s="23" t="s">
        <v>167</v>
      </c>
      <c r="H893" s="23" t="s">
        <v>182</v>
      </c>
      <c r="I893" s="23" t="s">
        <v>2</v>
      </c>
      <c r="J893" t="s">
        <v>8</v>
      </c>
      <c r="K893" s="22" t="e">
        <f t="shared" si="43"/>
        <v>#N/A</v>
      </c>
      <c r="L893" s="22" t="str">
        <f t="shared" si="44"/>
        <v/>
      </c>
    </row>
    <row r="894" spans="1:12" x14ac:dyDescent="0.25">
      <c r="A894">
        <v>12</v>
      </c>
      <c r="B894">
        <v>1</v>
      </c>
      <c r="C894">
        <v>18</v>
      </c>
      <c r="D894">
        <v>11</v>
      </c>
      <c r="E894" t="b">
        <v>0</v>
      </c>
      <c r="F894" s="22" t="str">
        <f t="shared" si="42"/>
        <v/>
      </c>
      <c r="G894" s="23" t="s">
        <v>167</v>
      </c>
      <c r="H894" s="23" t="s">
        <v>183</v>
      </c>
      <c r="I894" s="23" t="s">
        <v>2</v>
      </c>
      <c r="J894" t="s">
        <v>105</v>
      </c>
      <c r="K894" s="22" t="e">
        <f t="shared" si="43"/>
        <v>#N/A</v>
      </c>
      <c r="L894" s="22" t="str">
        <f t="shared" si="44"/>
        <v/>
      </c>
    </row>
    <row r="895" spans="1:12" x14ac:dyDescent="0.25">
      <c r="A895">
        <v>12</v>
      </c>
      <c r="B895">
        <v>1</v>
      </c>
      <c r="C895">
        <v>18</v>
      </c>
      <c r="D895">
        <v>12</v>
      </c>
      <c r="E895" t="b">
        <v>0</v>
      </c>
      <c r="F895" s="22" t="str">
        <f t="shared" si="42"/>
        <v/>
      </c>
      <c r="G895" s="23" t="s">
        <v>167</v>
      </c>
      <c r="H895" s="23" t="s">
        <v>184</v>
      </c>
      <c r="I895" s="23" t="s">
        <v>2</v>
      </c>
      <c r="J895" t="s">
        <v>106</v>
      </c>
      <c r="K895" s="22" t="e">
        <f t="shared" si="43"/>
        <v>#N/A</v>
      </c>
      <c r="L895" s="22" t="str">
        <f t="shared" si="44"/>
        <v/>
      </c>
    </row>
    <row r="896" spans="1:12" x14ac:dyDescent="0.25">
      <c r="A896">
        <v>12</v>
      </c>
      <c r="B896">
        <v>1</v>
      </c>
      <c r="C896">
        <v>18</v>
      </c>
      <c r="D896">
        <v>13</v>
      </c>
      <c r="E896" t="b">
        <v>0</v>
      </c>
      <c r="F896" s="22" t="str">
        <f t="shared" si="42"/>
        <v/>
      </c>
      <c r="G896" s="23" t="s">
        <v>167</v>
      </c>
      <c r="H896" s="23" t="s">
        <v>185</v>
      </c>
      <c r="I896" s="23" t="s">
        <v>2</v>
      </c>
      <c r="J896" t="s">
        <v>107</v>
      </c>
      <c r="K896" s="22" t="e">
        <f t="shared" si="43"/>
        <v>#N/A</v>
      </c>
      <c r="L896" s="22" t="str">
        <f t="shared" si="44"/>
        <v/>
      </c>
    </row>
    <row r="897" spans="1:12" x14ac:dyDescent="0.25">
      <c r="A897">
        <v>12</v>
      </c>
      <c r="B897">
        <v>1</v>
      </c>
      <c r="C897">
        <v>18</v>
      </c>
      <c r="D897">
        <v>14</v>
      </c>
      <c r="E897" t="b">
        <v>0</v>
      </c>
      <c r="F897" s="22" t="str">
        <f t="shared" si="42"/>
        <v/>
      </c>
      <c r="G897" s="23" t="s">
        <v>167</v>
      </c>
      <c r="H897" s="23" t="s">
        <v>186</v>
      </c>
      <c r="I897" s="23" t="s">
        <v>2</v>
      </c>
      <c r="J897" t="s">
        <v>108</v>
      </c>
      <c r="K897" s="22" t="e">
        <f t="shared" si="43"/>
        <v>#N/A</v>
      </c>
      <c r="L897" s="22" t="str">
        <f t="shared" si="44"/>
        <v/>
      </c>
    </row>
    <row r="898" spans="1:12" x14ac:dyDescent="0.25">
      <c r="A898">
        <v>12</v>
      </c>
      <c r="B898">
        <v>1</v>
      </c>
      <c r="C898">
        <v>18</v>
      </c>
      <c r="D898">
        <v>15</v>
      </c>
      <c r="E898" t="b">
        <v>0</v>
      </c>
      <c r="F898" s="22" t="str">
        <f t="shared" si="42"/>
        <v/>
      </c>
      <c r="G898" s="23" t="s">
        <v>167</v>
      </c>
      <c r="H898" s="23" t="s">
        <v>187</v>
      </c>
      <c r="I898" s="23" t="s">
        <v>2</v>
      </c>
      <c r="J898" t="s">
        <v>109</v>
      </c>
      <c r="K898" s="22" t="e">
        <f t="shared" si="43"/>
        <v>#N/A</v>
      </c>
      <c r="L898" s="22" t="str">
        <f t="shared" si="44"/>
        <v/>
      </c>
    </row>
    <row r="899" spans="1:12" x14ac:dyDescent="0.25">
      <c r="A899">
        <v>12</v>
      </c>
      <c r="B899">
        <v>1</v>
      </c>
      <c r="C899">
        <v>18</v>
      </c>
      <c r="D899">
        <v>16</v>
      </c>
      <c r="E899" t="b">
        <v>0</v>
      </c>
      <c r="F899" s="22" t="str">
        <f t="shared" si="42"/>
        <v/>
      </c>
      <c r="G899" s="23" t="s">
        <v>167</v>
      </c>
      <c r="H899" s="23" t="s">
        <v>188</v>
      </c>
      <c r="I899" s="23" t="s">
        <v>2</v>
      </c>
      <c r="J899" t="s">
        <v>110</v>
      </c>
      <c r="K899" s="22" t="e">
        <f t="shared" si="43"/>
        <v>#N/A</v>
      </c>
      <c r="L899" s="22" t="str">
        <f t="shared" si="44"/>
        <v/>
      </c>
    </row>
    <row r="900" spans="1:12" x14ac:dyDescent="0.25">
      <c r="A900">
        <v>12</v>
      </c>
      <c r="B900">
        <v>1</v>
      </c>
      <c r="C900">
        <v>18</v>
      </c>
      <c r="D900">
        <v>17</v>
      </c>
      <c r="E900" t="b">
        <v>0</v>
      </c>
      <c r="F900" s="22" t="str">
        <f t="shared" ref="F900:F963" si="45">VLOOKUP("Assessment #"&amp;$A900, DateMeta, MATCH("DisplDate", DateMeta_H, 0), 0)</f>
        <v/>
      </c>
      <c r="G900" s="23" t="s">
        <v>167</v>
      </c>
      <c r="H900" s="23" t="s">
        <v>189</v>
      </c>
      <c r="I900" s="23" t="s">
        <v>2</v>
      </c>
      <c r="J900" t="s">
        <v>23</v>
      </c>
      <c r="K900" s="22" t="e">
        <f t="shared" ref="K900:K963" si="46">IF(INDEX(Assess, MATCH($J900, ItemLong, 0), MATCH("Assessment #"&amp;$A900, Assess_H, 0))="", "", INDEX(Assess, MATCH($J900, ItemLong, 0), MATCH("Assessment #"&amp;$A900, Assess_H, 0)))</f>
        <v>#N/A</v>
      </c>
      <c r="L900" s="22" t="str">
        <f t="shared" si="44"/>
        <v/>
      </c>
    </row>
    <row r="901" spans="1:12" x14ac:dyDescent="0.25">
      <c r="A901">
        <v>12</v>
      </c>
      <c r="B901">
        <v>1</v>
      </c>
      <c r="C901">
        <v>18</v>
      </c>
      <c r="D901">
        <v>18</v>
      </c>
      <c r="E901" t="b">
        <v>1</v>
      </c>
      <c r="F901" s="22" t="str">
        <f t="shared" si="45"/>
        <v/>
      </c>
      <c r="G901" s="23" t="s">
        <v>167</v>
      </c>
      <c r="H901" s="23" t="s">
        <v>190</v>
      </c>
      <c r="I901" s="23" t="s">
        <v>2</v>
      </c>
      <c r="J901" t="s">
        <v>24</v>
      </c>
      <c r="K901" s="22" t="e">
        <f t="shared" si="46"/>
        <v>#N/A</v>
      </c>
      <c r="L901" s="22" t="str">
        <f t="shared" ref="L901:L964" si="47">IF(ISNUMBER(K901), IF(K901&gt;=2, 1, 0), "")</f>
        <v/>
      </c>
    </row>
    <row r="902" spans="1:12" x14ac:dyDescent="0.25">
      <c r="A902">
        <v>12</v>
      </c>
      <c r="B902">
        <v>2</v>
      </c>
      <c r="C902">
        <v>16</v>
      </c>
      <c r="D902">
        <v>1</v>
      </c>
      <c r="E902" t="b">
        <v>0</v>
      </c>
      <c r="F902" s="22" t="str">
        <f t="shared" si="45"/>
        <v/>
      </c>
      <c r="G902" s="23" t="s">
        <v>165</v>
      </c>
      <c r="H902" s="23" t="s">
        <v>191</v>
      </c>
      <c r="I902" s="23" t="s">
        <v>9</v>
      </c>
      <c r="J902" t="s">
        <v>10</v>
      </c>
      <c r="K902" s="22" t="e">
        <f t="shared" si="46"/>
        <v>#N/A</v>
      </c>
      <c r="L902" s="22" t="str">
        <f t="shared" si="47"/>
        <v/>
      </c>
    </row>
    <row r="903" spans="1:12" x14ac:dyDescent="0.25">
      <c r="A903">
        <v>12</v>
      </c>
      <c r="B903">
        <v>2</v>
      </c>
      <c r="C903">
        <v>16</v>
      </c>
      <c r="D903">
        <v>2</v>
      </c>
      <c r="E903" t="b">
        <v>0</v>
      </c>
      <c r="F903" s="22" t="str">
        <f t="shared" si="45"/>
        <v/>
      </c>
      <c r="G903" s="23" t="s">
        <v>165</v>
      </c>
      <c r="H903" s="23" t="s">
        <v>192</v>
      </c>
      <c r="I903" s="23" t="s">
        <v>9</v>
      </c>
      <c r="J903" t="s">
        <v>11</v>
      </c>
      <c r="K903" s="22" t="e">
        <f t="shared" si="46"/>
        <v>#N/A</v>
      </c>
      <c r="L903" s="22" t="str">
        <f t="shared" si="47"/>
        <v/>
      </c>
    </row>
    <row r="904" spans="1:12" x14ac:dyDescent="0.25">
      <c r="A904">
        <v>12</v>
      </c>
      <c r="B904">
        <v>2</v>
      </c>
      <c r="C904">
        <v>16</v>
      </c>
      <c r="D904">
        <v>3</v>
      </c>
      <c r="E904" t="b">
        <v>0</v>
      </c>
      <c r="F904" s="22" t="str">
        <f t="shared" si="45"/>
        <v/>
      </c>
      <c r="G904" s="23" t="s">
        <v>165</v>
      </c>
      <c r="H904" s="23" t="s">
        <v>193</v>
      </c>
      <c r="I904" s="23" t="s">
        <v>9</v>
      </c>
      <c r="J904" t="s">
        <v>12</v>
      </c>
      <c r="K904" s="22" t="e">
        <f t="shared" si="46"/>
        <v>#N/A</v>
      </c>
      <c r="L904" s="22" t="str">
        <f t="shared" si="47"/>
        <v/>
      </c>
    </row>
    <row r="905" spans="1:12" x14ac:dyDescent="0.25">
      <c r="A905">
        <v>12</v>
      </c>
      <c r="B905">
        <v>2</v>
      </c>
      <c r="C905">
        <v>16</v>
      </c>
      <c r="D905">
        <v>4</v>
      </c>
      <c r="E905" t="b">
        <v>0</v>
      </c>
      <c r="F905" s="22" t="str">
        <f t="shared" si="45"/>
        <v/>
      </c>
      <c r="G905" s="23" t="s">
        <v>165</v>
      </c>
      <c r="H905" s="23" t="s">
        <v>194</v>
      </c>
      <c r="I905" s="23" t="s">
        <v>9</v>
      </c>
      <c r="J905" t="s">
        <v>13</v>
      </c>
      <c r="K905" s="22" t="e">
        <f t="shared" si="46"/>
        <v>#N/A</v>
      </c>
      <c r="L905" s="22" t="str">
        <f t="shared" si="47"/>
        <v/>
      </c>
    </row>
    <row r="906" spans="1:12" x14ac:dyDescent="0.25">
      <c r="A906">
        <v>12</v>
      </c>
      <c r="B906">
        <v>2</v>
      </c>
      <c r="C906">
        <v>16</v>
      </c>
      <c r="D906">
        <v>5</v>
      </c>
      <c r="E906" t="b">
        <v>0</v>
      </c>
      <c r="F906" s="22" t="str">
        <f t="shared" si="45"/>
        <v/>
      </c>
      <c r="G906" s="23" t="s">
        <v>165</v>
      </c>
      <c r="H906" s="23" t="s">
        <v>195</v>
      </c>
      <c r="I906" s="23" t="s">
        <v>9</v>
      </c>
      <c r="J906" t="s">
        <v>14</v>
      </c>
      <c r="K906" s="22" t="e">
        <f t="shared" si="46"/>
        <v>#N/A</v>
      </c>
      <c r="L906" s="22" t="str">
        <f t="shared" si="47"/>
        <v/>
      </c>
    </row>
    <row r="907" spans="1:12" x14ac:dyDescent="0.25">
      <c r="A907">
        <v>12</v>
      </c>
      <c r="B907">
        <v>2</v>
      </c>
      <c r="C907">
        <v>16</v>
      </c>
      <c r="D907">
        <v>6</v>
      </c>
      <c r="E907" t="b">
        <v>0</v>
      </c>
      <c r="F907" s="22" t="str">
        <f t="shared" si="45"/>
        <v/>
      </c>
      <c r="G907" s="23" t="s">
        <v>165</v>
      </c>
      <c r="H907" s="23" t="s">
        <v>196</v>
      </c>
      <c r="I907" s="23" t="s">
        <v>9</v>
      </c>
      <c r="J907" t="s">
        <v>15</v>
      </c>
      <c r="K907" s="22" t="e">
        <f t="shared" si="46"/>
        <v>#N/A</v>
      </c>
      <c r="L907" s="22" t="str">
        <f t="shared" si="47"/>
        <v/>
      </c>
    </row>
    <row r="908" spans="1:12" x14ac:dyDescent="0.25">
      <c r="A908">
        <v>12</v>
      </c>
      <c r="B908">
        <v>2</v>
      </c>
      <c r="C908">
        <v>16</v>
      </c>
      <c r="D908">
        <v>7</v>
      </c>
      <c r="E908" t="b">
        <v>0</v>
      </c>
      <c r="F908" s="22" t="str">
        <f t="shared" si="45"/>
        <v/>
      </c>
      <c r="G908" s="23" t="s">
        <v>165</v>
      </c>
      <c r="H908" s="23" t="s">
        <v>197</v>
      </c>
      <c r="I908" s="23" t="s">
        <v>9</v>
      </c>
      <c r="J908" t="s">
        <v>16</v>
      </c>
      <c r="K908" s="22" t="e">
        <f t="shared" si="46"/>
        <v>#N/A</v>
      </c>
      <c r="L908" s="22" t="str">
        <f t="shared" si="47"/>
        <v/>
      </c>
    </row>
    <row r="909" spans="1:12" x14ac:dyDescent="0.25">
      <c r="A909">
        <v>12</v>
      </c>
      <c r="B909">
        <v>2</v>
      </c>
      <c r="C909">
        <v>16</v>
      </c>
      <c r="D909">
        <v>8</v>
      </c>
      <c r="E909" t="b">
        <v>0</v>
      </c>
      <c r="F909" s="22" t="str">
        <f t="shared" si="45"/>
        <v/>
      </c>
      <c r="G909" s="23" t="s">
        <v>165</v>
      </c>
      <c r="H909" s="23" t="s">
        <v>198</v>
      </c>
      <c r="I909" s="23" t="s">
        <v>9</v>
      </c>
      <c r="J909" t="s">
        <v>17</v>
      </c>
      <c r="K909" s="22" t="e">
        <f t="shared" si="46"/>
        <v>#N/A</v>
      </c>
      <c r="L909" s="22" t="str">
        <f t="shared" si="47"/>
        <v/>
      </c>
    </row>
    <row r="910" spans="1:12" x14ac:dyDescent="0.25">
      <c r="A910">
        <v>12</v>
      </c>
      <c r="B910">
        <v>2</v>
      </c>
      <c r="C910">
        <v>16</v>
      </c>
      <c r="D910">
        <v>9</v>
      </c>
      <c r="E910" t="b">
        <v>0</v>
      </c>
      <c r="F910" s="22" t="str">
        <f t="shared" si="45"/>
        <v/>
      </c>
      <c r="G910" s="23" t="s">
        <v>165</v>
      </c>
      <c r="H910" s="23" t="s">
        <v>199</v>
      </c>
      <c r="I910" s="23" t="s">
        <v>9</v>
      </c>
      <c r="J910" t="s">
        <v>18</v>
      </c>
      <c r="K910" s="22" t="e">
        <f t="shared" si="46"/>
        <v>#N/A</v>
      </c>
      <c r="L910" s="22" t="str">
        <f t="shared" si="47"/>
        <v/>
      </c>
    </row>
    <row r="911" spans="1:12" x14ac:dyDescent="0.25">
      <c r="A911">
        <v>12</v>
      </c>
      <c r="B911">
        <v>2</v>
      </c>
      <c r="C911">
        <v>16</v>
      </c>
      <c r="D911">
        <v>10</v>
      </c>
      <c r="E911" t="b">
        <v>0</v>
      </c>
      <c r="F911" s="22" t="str">
        <f t="shared" si="45"/>
        <v/>
      </c>
      <c r="G911" s="23" t="s">
        <v>165</v>
      </c>
      <c r="H911" s="23" t="s">
        <v>200</v>
      </c>
      <c r="I911" s="23" t="s">
        <v>9</v>
      </c>
      <c r="J911" t="s">
        <v>19</v>
      </c>
      <c r="K911" s="22" t="e">
        <f t="shared" si="46"/>
        <v>#N/A</v>
      </c>
      <c r="L911" s="22" t="str">
        <f t="shared" si="47"/>
        <v/>
      </c>
    </row>
    <row r="912" spans="1:12" x14ac:dyDescent="0.25">
      <c r="A912">
        <v>12</v>
      </c>
      <c r="B912">
        <v>2</v>
      </c>
      <c r="C912">
        <v>16</v>
      </c>
      <c r="D912">
        <v>11</v>
      </c>
      <c r="E912" t="b">
        <v>0</v>
      </c>
      <c r="F912" s="22" t="str">
        <f t="shared" si="45"/>
        <v/>
      </c>
      <c r="G912" s="23" t="s">
        <v>165</v>
      </c>
      <c r="H912" s="23" t="s">
        <v>201</v>
      </c>
      <c r="I912" s="23" t="s">
        <v>9</v>
      </c>
      <c r="J912" t="s">
        <v>20</v>
      </c>
      <c r="K912" s="22" t="e">
        <f t="shared" si="46"/>
        <v>#N/A</v>
      </c>
      <c r="L912" s="22" t="str">
        <f t="shared" si="47"/>
        <v/>
      </c>
    </row>
    <row r="913" spans="1:12" x14ac:dyDescent="0.25">
      <c r="A913">
        <v>12</v>
      </c>
      <c r="B913">
        <v>2</v>
      </c>
      <c r="C913">
        <v>16</v>
      </c>
      <c r="D913">
        <v>12</v>
      </c>
      <c r="E913" t="b">
        <v>0</v>
      </c>
      <c r="F913" s="22" t="str">
        <f t="shared" si="45"/>
        <v/>
      </c>
      <c r="G913" s="23" t="s">
        <v>165</v>
      </c>
      <c r="H913" s="23" t="s">
        <v>202</v>
      </c>
      <c r="I913" s="23" t="s">
        <v>9</v>
      </c>
      <c r="J913" t="s">
        <v>21</v>
      </c>
      <c r="K913" s="22" t="e">
        <f t="shared" si="46"/>
        <v>#N/A</v>
      </c>
      <c r="L913" s="22" t="str">
        <f t="shared" si="47"/>
        <v/>
      </c>
    </row>
    <row r="914" spans="1:12" x14ac:dyDescent="0.25">
      <c r="A914">
        <v>12</v>
      </c>
      <c r="B914">
        <v>2</v>
      </c>
      <c r="C914">
        <v>16</v>
      </c>
      <c r="D914">
        <v>13</v>
      </c>
      <c r="E914" t="b">
        <v>0</v>
      </c>
      <c r="F914" s="22" t="str">
        <f t="shared" si="45"/>
        <v/>
      </c>
      <c r="G914" s="23" t="s">
        <v>165</v>
      </c>
      <c r="H914" s="23" t="s">
        <v>203</v>
      </c>
      <c r="I914" s="23" t="s">
        <v>9</v>
      </c>
      <c r="J914" t="s">
        <v>22</v>
      </c>
      <c r="K914" s="22" t="e">
        <f t="shared" si="46"/>
        <v>#N/A</v>
      </c>
      <c r="L914" s="22" t="str">
        <f t="shared" si="47"/>
        <v/>
      </c>
    </row>
    <row r="915" spans="1:12" x14ac:dyDescent="0.25">
      <c r="A915">
        <v>12</v>
      </c>
      <c r="B915">
        <v>2</v>
      </c>
      <c r="C915">
        <v>16</v>
      </c>
      <c r="D915">
        <v>14</v>
      </c>
      <c r="E915" t="b">
        <v>0</v>
      </c>
      <c r="F915" s="22" t="str">
        <f t="shared" si="45"/>
        <v/>
      </c>
      <c r="G915" s="23" t="s">
        <v>165</v>
      </c>
      <c r="H915" s="23" t="s">
        <v>204</v>
      </c>
      <c r="I915" s="23" t="s">
        <v>9</v>
      </c>
      <c r="J915" t="s">
        <v>111</v>
      </c>
      <c r="K915" s="22" t="e">
        <f t="shared" si="46"/>
        <v>#N/A</v>
      </c>
      <c r="L915" s="22" t="str">
        <f t="shared" si="47"/>
        <v/>
      </c>
    </row>
    <row r="916" spans="1:12" x14ac:dyDescent="0.25">
      <c r="A916">
        <v>12</v>
      </c>
      <c r="B916">
        <v>2</v>
      </c>
      <c r="C916">
        <v>16</v>
      </c>
      <c r="D916">
        <v>15</v>
      </c>
      <c r="E916" t="b">
        <v>0</v>
      </c>
      <c r="F916" s="22" t="str">
        <f t="shared" si="45"/>
        <v/>
      </c>
      <c r="G916" s="23" t="s">
        <v>165</v>
      </c>
      <c r="H916" s="23" t="s">
        <v>205</v>
      </c>
      <c r="I916" s="23" t="s">
        <v>9</v>
      </c>
      <c r="J916" t="s">
        <v>112</v>
      </c>
      <c r="K916" s="22" t="e">
        <f t="shared" si="46"/>
        <v>#N/A</v>
      </c>
      <c r="L916" s="22" t="str">
        <f t="shared" si="47"/>
        <v/>
      </c>
    </row>
    <row r="917" spans="1:12" x14ac:dyDescent="0.25">
      <c r="A917">
        <v>12</v>
      </c>
      <c r="B917">
        <v>2</v>
      </c>
      <c r="C917">
        <v>16</v>
      </c>
      <c r="D917">
        <v>16</v>
      </c>
      <c r="E917" t="b">
        <v>1</v>
      </c>
      <c r="F917" s="22" t="str">
        <f t="shared" si="45"/>
        <v/>
      </c>
      <c r="G917" s="23" t="s">
        <v>165</v>
      </c>
      <c r="H917" s="23" t="s">
        <v>206</v>
      </c>
      <c r="I917" s="23" t="s">
        <v>9</v>
      </c>
      <c r="J917" t="s">
        <v>113</v>
      </c>
      <c r="K917" s="22" t="e">
        <f t="shared" si="46"/>
        <v>#N/A</v>
      </c>
      <c r="L917" s="22" t="str">
        <f t="shared" si="47"/>
        <v/>
      </c>
    </row>
    <row r="918" spans="1:12" x14ac:dyDescent="0.25">
      <c r="A918">
        <v>12</v>
      </c>
      <c r="B918">
        <v>3</v>
      </c>
      <c r="C918">
        <v>17</v>
      </c>
      <c r="D918">
        <v>1</v>
      </c>
      <c r="E918" t="b">
        <v>0</v>
      </c>
      <c r="F918" s="22" t="str">
        <f t="shared" si="45"/>
        <v/>
      </c>
      <c r="G918" s="23" t="s">
        <v>168</v>
      </c>
      <c r="H918" s="23" t="s">
        <v>207</v>
      </c>
      <c r="I918" s="23" t="s">
        <v>37</v>
      </c>
      <c r="J918" t="s">
        <v>114</v>
      </c>
      <c r="K918" s="22" t="e">
        <f t="shared" si="46"/>
        <v>#N/A</v>
      </c>
      <c r="L918" s="22" t="str">
        <f t="shared" si="47"/>
        <v/>
      </c>
    </row>
    <row r="919" spans="1:12" x14ac:dyDescent="0.25">
      <c r="A919">
        <v>12</v>
      </c>
      <c r="B919">
        <v>3</v>
      </c>
      <c r="C919">
        <v>17</v>
      </c>
      <c r="D919">
        <v>2</v>
      </c>
      <c r="E919" t="b">
        <v>0</v>
      </c>
      <c r="F919" s="22" t="str">
        <f t="shared" si="45"/>
        <v/>
      </c>
      <c r="G919" s="23" t="s">
        <v>168</v>
      </c>
      <c r="H919" s="23" t="s">
        <v>208</v>
      </c>
      <c r="I919" s="23" t="s">
        <v>37</v>
      </c>
      <c r="J919" t="s">
        <v>39</v>
      </c>
      <c r="K919" s="22" t="e">
        <f t="shared" si="46"/>
        <v>#N/A</v>
      </c>
      <c r="L919" s="22" t="str">
        <f t="shared" si="47"/>
        <v/>
      </c>
    </row>
    <row r="920" spans="1:12" x14ac:dyDescent="0.25">
      <c r="A920">
        <v>12</v>
      </c>
      <c r="B920">
        <v>3</v>
      </c>
      <c r="C920">
        <v>17</v>
      </c>
      <c r="D920">
        <v>3</v>
      </c>
      <c r="E920" t="b">
        <v>0</v>
      </c>
      <c r="F920" s="22" t="str">
        <f t="shared" si="45"/>
        <v/>
      </c>
      <c r="G920" s="23" t="s">
        <v>168</v>
      </c>
      <c r="H920" s="23" t="s">
        <v>209</v>
      </c>
      <c r="I920" s="23" t="s">
        <v>37</v>
      </c>
      <c r="J920" t="s">
        <v>40</v>
      </c>
      <c r="K920" s="22" t="e">
        <f t="shared" si="46"/>
        <v>#N/A</v>
      </c>
      <c r="L920" s="22" t="str">
        <f t="shared" si="47"/>
        <v/>
      </c>
    </row>
    <row r="921" spans="1:12" x14ac:dyDescent="0.25">
      <c r="A921">
        <v>12</v>
      </c>
      <c r="B921">
        <v>3</v>
      </c>
      <c r="C921">
        <v>17</v>
      </c>
      <c r="D921">
        <v>4</v>
      </c>
      <c r="E921" t="b">
        <v>0</v>
      </c>
      <c r="F921" s="22" t="str">
        <f t="shared" si="45"/>
        <v/>
      </c>
      <c r="G921" s="23" t="s">
        <v>168</v>
      </c>
      <c r="H921" s="23" t="s">
        <v>210</v>
      </c>
      <c r="I921" s="23" t="s">
        <v>37</v>
      </c>
      <c r="J921" t="s">
        <v>41</v>
      </c>
      <c r="K921" s="22" t="e">
        <f t="shared" si="46"/>
        <v>#N/A</v>
      </c>
      <c r="L921" s="22" t="str">
        <f t="shared" si="47"/>
        <v/>
      </c>
    </row>
    <row r="922" spans="1:12" x14ac:dyDescent="0.25">
      <c r="A922">
        <v>12</v>
      </c>
      <c r="B922">
        <v>3</v>
      </c>
      <c r="C922">
        <v>17</v>
      </c>
      <c r="D922">
        <v>5</v>
      </c>
      <c r="E922" t="b">
        <v>0</v>
      </c>
      <c r="F922" s="22" t="str">
        <f t="shared" si="45"/>
        <v/>
      </c>
      <c r="G922" s="23" t="s">
        <v>168</v>
      </c>
      <c r="H922" s="23" t="s">
        <v>211</v>
      </c>
      <c r="I922" s="23" t="s">
        <v>37</v>
      </c>
      <c r="J922" t="s">
        <v>38</v>
      </c>
      <c r="K922" s="22" t="e">
        <f t="shared" si="46"/>
        <v>#N/A</v>
      </c>
      <c r="L922" s="22" t="str">
        <f t="shared" si="47"/>
        <v/>
      </c>
    </row>
    <row r="923" spans="1:12" x14ac:dyDescent="0.25">
      <c r="A923">
        <v>12</v>
      </c>
      <c r="B923">
        <v>3</v>
      </c>
      <c r="C923">
        <v>17</v>
      </c>
      <c r="D923">
        <v>6</v>
      </c>
      <c r="E923" t="b">
        <v>0</v>
      </c>
      <c r="F923" s="22" t="str">
        <f t="shared" si="45"/>
        <v/>
      </c>
      <c r="G923" s="23" t="s">
        <v>168</v>
      </c>
      <c r="H923" s="23" t="s">
        <v>212</v>
      </c>
      <c r="I923" s="23" t="s">
        <v>37</v>
      </c>
      <c r="J923" t="s">
        <v>115</v>
      </c>
      <c r="K923" s="22" t="e">
        <f t="shared" si="46"/>
        <v>#N/A</v>
      </c>
      <c r="L923" s="22" t="str">
        <f t="shared" si="47"/>
        <v/>
      </c>
    </row>
    <row r="924" spans="1:12" x14ac:dyDescent="0.25">
      <c r="A924">
        <v>12</v>
      </c>
      <c r="B924">
        <v>3</v>
      </c>
      <c r="C924">
        <v>17</v>
      </c>
      <c r="D924">
        <v>7</v>
      </c>
      <c r="E924" t="b">
        <v>0</v>
      </c>
      <c r="F924" s="22" t="str">
        <f t="shared" si="45"/>
        <v/>
      </c>
      <c r="G924" s="23" t="s">
        <v>168</v>
      </c>
      <c r="H924" s="23" t="s">
        <v>213</v>
      </c>
      <c r="I924" s="23" t="s">
        <v>37</v>
      </c>
      <c r="J924" t="s">
        <v>116</v>
      </c>
      <c r="K924" s="22" t="e">
        <f t="shared" si="46"/>
        <v>#N/A</v>
      </c>
      <c r="L924" s="22" t="str">
        <f t="shared" si="47"/>
        <v/>
      </c>
    </row>
    <row r="925" spans="1:12" x14ac:dyDescent="0.25">
      <c r="A925">
        <v>12</v>
      </c>
      <c r="B925">
        <v>3</v>
      </c>
      <c r="C925">
        <v>17</v>
      </c>
      <c r="D925">
        <v>8</v>
      </c>
      <c r="E925" t="b">
        <v>0</v>
      </c>
      <c r="F925" s="22" t="str">
        <f t="shared" si="45"/>
        <v/>
      </c>
      <c r="G925" s="23" t="s">
        <v>168</v>
      </c>
      <c r="H925" s="23" t="s">
        <v>214</v>
      </c>
      <c r="I925" s="23" t="s">
        <v>37</v>
      </c>
      <c r="J925" t="s">
        <v>126</v>
      </c>
      <c r="K925" s="22" t="e">
        <f t="shared" si="46"/>
        <v>#N/A</v>
      </c>
      <c r="L925" s="22" t="str">
        <f t="shared" si="47"/>
        <v/>
      </c>
    </row>
    <row r="926" spans="1:12" x14ac:dyDescent="0.25">
      <c r="A926">
        <v>12</v>
      </c>
      <c r="B926">
        <v>3</v>
      </c>
      <c r="C926">
        <v>17</v>
      </c>
      <c r="D926">
        <v>9</v>
      </c>
      <c r="E926" t="b">
        <v>0</v>
      </c>
      <c r="F926" s="22" t="str">
        <f t="shared" si="45"/>
        <v/>
      </c>
      <c r="G926" s="23" t="s">
        <v>168</v>
      </c>
      <c r="H926" s="23" t="s">
        <v>215</v>
      </c>
      <c r="I926" s="23" t="s">
        <v>37</v>
      </c>
      <c r="J926" t="s">
        <v>45</v>
      </c>
      <c r="K926" s="22" t="e">
        <f t="shared" si="46"/>
        <v>#N/A</v>
      </c>
      <c r="L926" s="22" t="str">
        <f t="shared" si="47"/>
        <v/>
      </c>
    </row>
    <row r="927" spans="1:12" x14ac:dyDescent="0.25">
      <c r="A927">
        <v>12</v>
      </c>
      <c r="B927">
        <v>3</v>
      </c>
      <c r="C927">
        <v>17</v>
      </c>
      <c r="D927">
        <v>10</v>
      </c>
      <c r="E927" t="b">
        <v>0</v>
      </c>
      <c r="F927" s="22" t="str">
        <f t="shared" si="45"/>
        <v/>
      </c>
      <c r="G927" s="23" t="s">
        <v>168</v>
      </c>
      <c r="H927" s="23" t="s">
        <v>216</v>
      </c>
      <c r="I927" s="23" t="s">
        <v>37</v>
      </c>
      <c r="J927" t="s">
        <v>117</v>
      </c>
      <c r="K927" s="22" t="e">
        <f t="shared" si="46"/>
        <v>#N/A</v>
      </c>
      <c r="L927" s="22" t="str">
        <f t="shared" si="47"/>
        <v/>
      </c>
    </row>
    <row r="928" spans="1:12" x14ac:dyDescent="0.25">
      <c r="A928">
        <v>12</v>
      </c>
      <c r="B928">
        <v>3</v>
      </c>
      <c r="C928">
        <v>17</v>
      </c>
      <c r="D928">
        <v>11</v>
      </c>
      <c r="E928" t="b">
        <v>0</v>
      </c>
      <c r="F928" s="22" t="str">
        <f t="shared" si="45"/>
        <v/>
      </c>
      <c r="G928" s="23" t="s">
        <v>168</v>
      </c>
      <c r="H928" s="23" t="s">
        <v>217</v>
      </c>
      <c r="I928" s="23" t="s">
        <v>37</v>
      </c>
      <c r="J928" t="s">
        <v>118</v>
      </c>
      <c r="K928" s="22" t="e">
        <f t="shared" si="46"/>
        <v>#N/A</v>
      </c>
      <c r="L928" s="22" t="str">
        <f t="shared" si="47"/>
        <v/>
      </c>
    </row>
    <row r="929" spans="1:12" x14ac:dyDescent="0.25">
      <c r="A929">
        <v>12</v>
      </c>
      <c r="B929">
        <v>3</v>
      </c>
      <c r="C929">
        <v>17</v>
      </c>
      <c r="D929">
        <v>12</v>
      </c>
      <c r="E929" t="b">
        <v>0</v>
      </c>
      <c r="F929" s="22" t="str">
        <f t="shared" si="45"/>
        <v/>
      </c>
      <c r="G929" s="23" t="s">
        <v>168</v>
      </c>
      <c r="H929" s="23" t="s">
        <v>218</v>
      </c>
      <c r="I929" s="23" t="s">
        <v>37</v>
      </c>
      <c r="J929" t="s">
        <v>119</v>
      </c>
      <c r="K929" s="22" t="e">
        <f t="shared" si="46"/>
        <v>#N/A</v>
      </c>
      <c r="L929" s="22" t="str">
        <f t="shared" si="47"/>
        <v/>
      </c>
    </row>
    <row r="930" spans="1:12" x14ac:dyDescent="0.25">
      <c r="A930">
        <v>12</v>
      </c>
      <c r="B930">
        <v>3</v>
      </c>
      <c r="C930">
        <v>17</v>
      </c>
      <c r="D930">
        <v>13</v>
      </c>
      <c r="E930" t="b">
        <v>0</v>
      </c>
      <c r="F930" s="22" t="str">
        <f t="shared" si="45"/>
        <v/>
      </c>
      <c r="G930" s="23" t="s">
        <v>168</v>
      </c>
      <c r="H930" s="23" t="s">
        <v>219</v>
      </c>
      <c r="I930" s="23" t="s">
        <v>37</v>
      </c>
      <c r="J930" t="s">
        <v>127</v>
      </c>
      <c r="K930" s="22" t="e">
        <f t="shared" si="46"/>
        <v>#N/A</v>
      </c>
      <c r="L930" s="22" t="str">
        <f t="shared" si="47"/>
        <v/>
      </c>
    </row>
    <row r="931" spans="1:12" x14ac:dyDescent="0.25">
      <c r="A931">
        <v>12</v>
      </c>
      <c r="B931">
        <v>3</v>
      </c>
      <c r="C931">
        <v>17</v>
      </c>
      <c r="D931">
        <v>14</v>
      </c>
      <c r="E931" t="b">
        <v>0</v>
      </c>
      <c r="F931" s="22" t="str">
        <f t="shared" si="45"/>
        <v/>
      </c>
      <c r="G931" s="23" t="s">
        <v>168</v>
      </c>
      <c r="H931" s="23" t="s">
        <v>220</v>
      </c>
      <c r="I931" s="23" t="s">
        <v>37</v>
      </c>
      <c r="J931" t="s">
        <v>120</v>
      </c>
      <c r="K931" s="22" t="e">
        <f t="shared" si="46"/>
        <v>#N/A</v>
      </c>
      <c r="L931" s="22" t="str">
        <f t="shared" si="47"/>
        <v/>
      </c>
    </row>
    <row r="932" spans="1:12" x14ac:dyDescent="0.25">
      <c r="A932">
        <v>12</v>
      </c>
      <c r="B932">
        <v>3</v>
      </c>
      <c r="C932">
        <v>17</v>
      </c>
      <c r="D932">
        <v>15</v>
      </c>
      <c r="E932" t="b">
        <v>0</v>
      </c>
      <c r="F932" s="22" t="str">
        <f t="shared" si="45"/>
        <v/>
      </c>
      <c r="G932" s="23" t="s">
        <v>168</v>
      </c>
      <c r="H932" s="23" t="s">
        <v>221</v>
      </c>
      <c r="I932" s="23" t="s">
        <v>37</v>
      </c>
      <c r="J932" t="s">
        <v>42</v>
      </c>
      <c r="K932" s="22" t="e">
        <f t="shared" si="46"/>
        <v>#N/A</v>
      </c>
      <c r="L932" s="22" t="str">
        <f t="shared" si="47"/>
        <v/>
      </c>
    </row>
    <row r="933" spans="1:12" x14ac:dyDescent="0.25">
      <c r="A933">
        <v>12</v>
      </c>
      <c r="B933">
        <v>3</v>
      </c>
      <c r="C933">
        <v>17</v>
      </c>
      <c r="D933">
        <v>16</v>
      </c>
      <c r="E933" t="b">
        <v>0</v>
      </c>
      <c r="F933" s="22" t="str">
        <f t="shared" si="45"/>
        <v/>
      </c>
      <c r="G933" s="23" t="s">
        <v>168</v>
      </c>
      <c r="H933" s="23" t="s">
        <v>222</v>
      </c>
      <c r="I933" s="23" t="s">
        <v>37</v>
      </c>
      <c r="J933" t="s">
        <v>121</v>
      </c>
      <c r="K933" s="22" t="e">
        <f t="shared" si="46"/>
        <v>#N/A</v>
      </c>
      <c r="L933" s="22" t="str">
        <f t="shared" si="47"/>
        <v/>
      </c>
    </row>
    <row r="934" spans="1:12" x14ac:dyDescent="0.25">
      <c r="A934">
        <v>12</v>
      </c>
      <c r="B934">
        <v>3</v>
      </c>
      <c r="C934">
        <v>17</v>
      </c>
      <c r="D934">
        <v>17</v>
      </c>
      <c r="E934" t="b">
        <v>1</v>
      </c>
      <c r="F934" s="22" t="str">
        <f t="shared" si="45"/>
        <v/>
      </c>
      <c r="G934" s="23" t="s">
        <v>168</v>
      </c>
      <c r="H934" s="23" t="s">
        <v>223</v>
      </c>
      <c r="I934" s="23" t="s">
        <v>37</v>
      </c>
      <c r="J934" t="s">
        <v>44</v>
      </c>
      <c r="K934" s="22" t="e">
        <f t="shared" si="46"/>
        <v>#N/A</v>
      </c>
      <c r="L934" s="22" t="str">
        <f t="shared" si="47"/>
        <v/>
      </c>
    </row>
    <row r="935" spans="1:12" x14ac:dyDescent="0.25">
      <c r="A935">
        <v>12</v>
      </c>
      <c r="B935">
        <v>4</v>
      </c>
      <c r="C935">
        <v>9</v>
      </c>
      <c r="D935">
        <v>1</v>
      </c>
      <c r="E935" t="b">
        <v>0</v>
      </c>
      <c r="F935" s="22" t="str">
        <f t="shared" si="45"/>
        <v/>
      </c>
      <c r="G935" s="23" t="s">
        <v>169</v>
      </c>
      <c r="H935" s="23" t="s">
        <v>224</v>
      </c>
      <c r="I935" s="23" t="s">
        <v>25</v>
      </c>
      <c r="J935" t="s">
        <v>122</v>
      </c>
      <c r="K935" s="22" t="e">
        <f t="shared" si="46"/>
        <v>#N/A</v>
      </c>
      <c r="L935" s="22" t="str">
        <f t="shared" si="47"/>
        <v/>
      </c>
    </row>
    <row r="936" spans="1:12" x14ac:dyDescent="0.25">
      <c r="A936">
        <v>12</v>
      </c>
      <c r="B936">
        <v>4</v>
      </c>
      <c r="C936">
        <v>9</v>
      </c>
      <c r="D936">
        <v>2</v>
      </c>
      <c r="E936" t="b">
        <v>0</v>
      </c>
      <c r="F936" s="22" t="str">
        <f t="shared" si="45"/>
        <v/>
      </c>
      <c r="G936" s="23" t="s">
        <v>169</v>
      </c>
      <c r="H936" s="23" t="s">
        <v>225</v>
      </c>
      <c r="I936" s="23" t="s">
        <v>25</v>
      </c>
      <c r="J936" t="s">
        <v>26</v>
      </c>
      <c r="K936" s="22" t="e">
        <f t="shared" si="46"/>
        <v>#N/A</v>
      </c>
      <c r="L936" s="22" t="str">
        <f t="shared" si="47"/>
        <v/>
      </c>
    </row>
    <row r="937" spans="1:12" x14ac:dyDescent="0.25">
      <c r="A937">
        <v>12</v>
      </c>
      <c r="B937">
        <v>4</v>
      </c>
      <c r="C937">
        <v>9</v>
      </c>
      <c r="D937">
        <v>3</v>
      </c>
      <c r="E937" t="b">
        <v>0</v>
      </c>
      <c r="F937" s="22" t="str">
        <f t="shared" si="45"/>
        <v/>
      </c>
      <c r="G937" s="23" t="s">
        <v>169</v>
      </c>
      <c r="H937" s="23" t="s">
        <v>226</v>
      </c>
      <c r="I937" s="23" t="s">
        <v>25</v>
      </c>
      <c r="J937" t="s">
        <v>27</v>
      </c>
      <c r="K937" s="22" t="e">
        <f t="shared" si="46"/>
        <v>#N/A</v>
      </c>
      <c r="L937" s="22" t="str">
        <f t="shared" si="47"/>
        <v/>
      </c>
    </row>
    <row r="938" spans="1:12" x14ac:dyDescent="0.25">
      <c r="A938">
        <v>12</v>
      </c>
      <c r="B938">
        <v>4</v>
      </c>
      <c r="C938">
        <v>9</v>
      </c>
      <c r="D938">
        <v>4</v>
      </c>
      <c r="E938" t="b">
        <v>0</v>
      </c>
      <c r="F938" s="22" t="str">
        <f t="shared" si="45"/>
        <v/>
      </c>
      <c r="G938" s="23" t="s">
        <v>169</v>
      </c>
      <c r="H938" s="23" t="s">
        <v>227</v>
      </c>
      <c r="I938" s="23" t="s">
        <v>25</v>
      </c>
      <c r="J938" t="s">
        <v>28</v>
      </c>
      <c r="K938" s="22" t="e">
        <f t="shared" si="46"/>
        <v>#N/A</v>
      </c>
      <c r="L938" s="22" t="str">
        <f t="shared" si="47"/>
        <v/>
      </c>
    </row>
    <row r="939" spans="1:12" x14ac:dyDescent="0.25">
      <c r="A939">
        <v>12</v>
      </c>
      <c r="B939">
        <v>4</v>
      </c>
      <c r="C939">
        <v>9</v>
      </c>
      <c r="D939">
        <v>5</v>
      </c>
      <c r="E939" t="b">
        <v>0</v>
      </c>
      <c r="F939" s="22" t="str">
        <f t="shared" si="45"/>
        <v/>
      </c>
      <c r="G939" s="23" t="s">
        <v>169</v>
      </c>
      <c r="H939" s="23" t="s">
        <v>228</v>
      </c>
      <c r="I939" s="23" t="s">
        <v>25</v>
      </c>
      <c r="J939" t="s">
        <v>128</v>
      </c>
      <c r="K939" s="22" t="e">
        <f t="shared" si="46"/>
        <v>#N/A</v>
      </c>
      <c r="L939" s="22" t="str">
        <f t="shared" si="47"/>
        <v/>
      </c>
    </row>
    <row r="940" spans="1:12" x14ac:dyDescent="0.25">
      <c r="A940">
        <v>12</v>
      </c>
      <c r="B940">
        <v>4</v>
      </c>
      <c r="C940">
        <v>9</v>
      </c>
      <c r="D940">
        <v>6</v>
      </c>
      <c r="E940" t="b">
        <v>0</v>
      </c>
      <c r="F940" s="22" t="str">
        <f t="shared" si="45"/>
        <v/>
      </c>
      <c r="G940" s="23" t="s">
        <v>169</v>
      </c>
      <c r="H940" s="23" t="s">
        <v>229</v>
      </c>
      <c r="I940" s="23" t="s">
        <v>25</v>
      </c>
      <c r="J940" t="s">
        <v>29</v>
      </c>
      <c r="K940" s="22" t="e">
        <f t="shared" si="46"/>
        <v>#N/A</v>
      </c>
      <c r="L940" s="22" t="str">
        <f t="shared" si="47"/>
        <v/>
      </c>
    </row>
    <row r="941" spans="1:12" x14ac:dyDescent="0.25">
      <c r="A941">
        <v>12</v>
      </c>
      <c r="B941">
        <v>4</v>
      </c>
      <c r="C941">
        <v>9</v>
      </c>
      <c r="D941">
        <v>7</v>
      </c>
      <c r="E941" t="b">
        <v>0</v>
      </c>
      <c r="F941" s="22" t="str">
        <f t="shared" si="45"/>
        <v/>
      </c>
      <c r="G941" s="23" t="s">
        <v>169</v>
      </c>
      <c r="H941" s="23" t="s">
        <v>230</v>
      </c>
      <c r="I941" s="23" t="s">
        <v>25</v>
      </c>
      <c r="J941" t="s">
        <v>30</v>
      </c>
      <c r="K941" s="22" t="e">
        <f t="shared" si="46"/>
        <v>#N/A</v>
      </c>
      <c r="L941" s="22" t="str">
        <f t="shared" si="47"/>
        <v/>
      </c>
    </row>
    <row r="942" spans="1:12" x14ac:dyDescent="0.25">
      <c r="A942">
        <v>12</v>
      </c>
      <c r="B942">
        <v>4</v>
      </c>
      <c r="C942">
        <v>9</v>
      </c>
      <c r="D942">
        <v>8</v>
      </c>
      <c r="E942" t="b">
        <v>0</v>
      </c>
      <c r="F942" s="22" t="str">
        <f t="shared" si="45"/>
        <v/>
      </c>
      <c r="G942" s="23" t="s">
        <v>169</v>
      </c>
      <c r="H942" s="23" t="s">
        <v>231</v>
      </c>
      <c r="I942" s="23" t="s">
        <v>25</v>
      </c>
      <c r="J942" t="s">
        <v>31</v>
      </c>
      <c r="K942" s="22" t="e">
        <f t="shared" si="46"/>
        <v>#N/A</v>
      </c>
      <c r="L942" s="22" t="str">
        <f t="shared" si="47"/>
        <v/>
      </c>
    </row>
    <row r="943" spans="1:12" x14ac:dyDescent="0.25">
      <c r="A943">
        <v>12</v>
      </c>
      <c r="B943">
        <v>4</v>
      </c>
      <c r="C943">
        <v>9</v>
      </c>
      <c r="D943">
        <v>9</v>
      </c>
      <c r="E943" t="b">
        <v>1</v>
      </c>
      <c r="F943" s="22" t="str">
        <f t="shared" si="45"/>
        <v/>
      </c>
      <c r="G943" s="23" t="s">
        <v>169</v>
      </c>
      <c r="H943" s="23" t="s">
        <v>232</v>
      </c>
      <c r="I943" s="23" t="s">
        <v>25</v>
      </c>
      <c r="J943" t="s">
        <v>43</v>
      </c>
      <c r="K943" s="22" t="e">
        <f t="shared" si="46"/>
        <v>#N/A</v>
      </c>
      <c r="L943" s="22" t="str">
        <f t="shared" si="47"/>
        <v/>
      </c>
    </row>
    <row r="944" spans="1:12" x14ac:dyDescent="0.25">
      <c r="A944">
        <v>12</v>
      </c>
      <c r="B944">
        <v>5</v>
      </c>
      <c r="C944">
        <v>9</v>
      </c>
      <c r="D944">
        <v>1</v>
      </c>
      <c r="E944" t="b">
        <v>0</v>
      </c>
      <c r="F944" s="22" t="str">
        <f t="shared" si="45"/>
        <v/>
      </c>
      <c r="G944" s="23" t="s">
        <v>166</v>
      </c>
      <c r="H944" s="23" t="s">
        <v>233</v>
      </c>
      <c r="I944" s="23" t="s">
        <v>32</v>
      </c>
      <c r="J944" t="s">
        <v>33</v>
      </c>
      <c r="K944" s="22" t="e">
        <f t="shared" si="46"/>
        <v>#N/A</v>
      </c>
      <c r="L944" s="22" t="str">
        <f t="shared" si="47"/>
        <v/>
      </c>
    </row>
    <row r="945" spans="1:12" x14ac:dyDescent="0.25">
      <c r="A945">
        <v>12</v>
      </c>
      <c r="B945">
        <v>5</v>
      </c>
      <c r="C945">
        <v>9</v>
      </c>
      <c r="D945">
        <v>2</v>
      </c>
      <c r="E945" t="b">
        <v>0</v>
      </c>
      <c r="F945" s="22" t="str">
        <f t="shared" si="45"/>
        <v/>
      </c>
      <c r="G945" s="23" t="s">
        <v>166</v>
      </c>
      <c r="H945" s="23" t="s">
        <v>234</v>
      </c>
      <c r="I945" s="23" t="s">
        <v>32</v>
      </c>
      <c r="J945" t="s">
        <v>34</v>
      </c>
      <c r="K945" s="22" t="e">
        <f t="shared" si="46"/>
        <v>#N/A</v>
      </c>
      <c r="L945" s="22" t="str">
        <f t="shared" si="47"/>
        <v/>
      </c>
    </row>
    <row r="946" spans="1:12" x14ac:dyDescent="0.25">
      <c r="A946">
        <v>12</v>
      </c>
      <c r="B946">
        <v>5</v>
      </c>
      <c r="C946">
        <v>9</v>
      </c>
      <c r="D946">
        <v>3</v>
      </c>
      <c r="E946" t="b">
        <v>0</v>
      </c>
      <c r="F946" s="22" t="str">
        <f t="shared" si="45"/>
        <v/>
      </c>
      <c r="G946" s="23" t="s">
        <v>166</v>
      </c>
      <c r="H946" s="23" t="s">
        <v>235</v>
      </c>
      <c r="I946" s="23" t="s">
        <v>32</v>
      </c>
      <c r="J946" t="s">
        <v>35</v>
      </c>
      <c r="K946" s="22" t="e">
        <f t="shared" si="46"/>
        <v>#N/A</v>
      </c>
      <c r="L946" s="22" t="str">
        <f t="shared" si="47"/>
        <v/>
      </c>
    </row>
    <row r="947" spans="1:12" x14ac:dyDescent="0.25">
      <c r="A947">
        <v>12</v>
      </c>
      <c r="B947">
        <v>5</v>
      </c>
      <c r="C947">
        <v>9</v>
      </c>
      <c r="D947">
        <v>4</v>
      </c>
      <c r="E947" t="b">
        <v>0</v>
      </c>
      <c r="F947" s="22" t="str">
        <f t="shared" si="45"/>
        <v/>
      </c>
      <c r="G947" s="23" t="s">
        <v>166</v>
      </c>
      <c r="H947" s="23" t="s">
        <v>236</v>
      </c>
      <c r="I947" s="23" t="s">
        <v>32</v>
      </c>
      <c r="J947" t="s">
        <v>123</v>
      </c>
      <c r="K947" s="22" t="e">
        <f t="shared" si="46"/>
        <v>#N/A</v>
      </c>
      <c r="L947" s="22" t="str">
        <f t="shared" si="47"/>
        <v/>
      </c>
    </row>
    <row r="948" spans="1:12" x14ac:dyDescent="0.25">
      <c r="A948">
        <v>12</v>
      </c>
      <c r="B948">
        <v>5</v>
      </c>
      <c r="C948">
        <v>9</v>
      </c>
      <c r="D948">
        <v>5</v>
      </c>
      <c r="E948" t="b">
        <v>0</v>
      </c>
      <c r="F948" s="22" t="str">
        <f t="shared" si="45"/>
        <v/>
      </c>
      <c r="G948" s="23" t="s">
        <v>166</v>
      </c>
      <c r="H948" s="23" t="s">
        <v>237</v>
      </c>
      <c r="I948" s="23" t="s">
        <v>32</v>
      </c>
      <c r="J948" t="s">
        <v>124</v>
      </c>
      <c r="K948" s="22" t="e">
        <f t="shared" si="46"/>
        <v>#N/A</v>
      </c>
      <c r="L948" s="22" t="str">
        <f t="shared" si="47"/>
        <v/>
      </c>
    </row>
    <row r="949" spans="1:12" x14ac:dyDescent="0.25">
      <c r="A949">
        <v>12</v>
      </c>
      <c r="B949">
        <v>5</v>
      </c>
      <c r="C949">
        <v>9</v>
      </c>
      <c r="D949">
        <v>6</v>
      </c>
      <c r="E949" t="b">
        <v>0</v>
      </c>
      <c r="F949" s="22" t="str">
        <f t="shared" si="45"/>
        <v/>
      </c>
      <c r="G949" s="23" t="s">
        <v>166</v>
      </c>
      <c r="H949" s="23" t="s">
        <v>238</v>
      </c>
      <c r="I949" s="23" t="s">
        <v>32</v>
      </c>
      <c r="J949" t="s">
        <v>129</v>
      </c>
      <c r="K949" s="22" t="e">
        <f t="shared" si="46"/>
        <v>#N/A</v>
      </c>
      <c r="L949" s="22" t="str">
        <f t="shared" si="47"/>
        <v/>
      </c>
    </row>
    <row r="950" spans="1:12" x14ac:dyDescent="0.25">
      <c r="A950">
        <v>12</v>
      </c>
      <c r="B950">
        <v>5</v>
      </c>
      <c r="C950">
        <v>9</v>
      </c>
      <c r="D950">
        <v>7</v>
      </c>
      <c r="E950" t="b">
        <v>0</v>
      </c>
      <c r="F950" s="22" t="str">
        <f t="shared" si="45"/>
        <v/>
      </c>
      <c r="G950" s="23" t="s">
        <v>166</v>
      </c>
      <c r="H950" s="23" t="s">
        <v>239</v>
      </c>
      <c r="I950" s="23" t="s">
        <v>32</v>
      </c>
      <c r="J950" t="s">
        <v>125</v>
      </c>
      <c r="K950" s="22" t="e">
        <f t="shared" si="46"/>
        <v>#N/A</v>
      </c>
      <c r="L950" s="22" t="str">
        <f t="shared" si="47"/>
        <v/>
      </c>
    </row>
    <row r="951" spans="1:12" x14ac:dyDescent="0.25">
      <c r="A951">
        <v>12</v>
      </c>
      <c r="B951">
        <v>5</v>
      </c>
      <c r="C951">
        <v>9</v>
      </c>
      <c r="D951">
        <v>8</v>
      </c>
      <c r="E951" t="b">
        <v>0</v>
      </c>
      <c r="F951" s="22" t="str">
        <f t="shared" si="45"/>
        <v/>
      </c>
      <c r="G951" s="23" t="s">
        <v>166</v>
      </c>
      <c r="H951" s="23" t="s">
        <v>240</v>
      </c>
      <c r="I951" s="23" t="s">
        <v>32</v>
      </c>
      <c r="J951" t="s">
        <v>36</v>
      </c>
      <c r="K951" s="22" t="e">
        <f t="shared" si="46"/>
        <v>#N/A</v>
      </c>
      <c r="L951" s="22" t="str">
        <f t="shared" si="47"/>
        <v/>
      </c>
    </row>
    <row r="952" spans="1:12" x14ac:dyDescent="0.25">
      <c r="A952">
        <v>12</v>
      </c>
      <c r="B952">
        <v>5</v>
      </c>
      <c r="C952">
        <v>9</v>
      </c>
      <c r="D952">
        <v>9</v>
      </c>
      <c r="E952" t="b">
        <v>1</v>
      </c>
      <c r="F952" s="22" t="str">
        <f t="shared" si="45"/>
        <v/>
      </c>
      <c r="G952" s="23" t="s">
        <v>166</v>
      </c>
      <c r="H952" s="23" t="s">
        <v>241</v>
      </c>
      <c r="I952" s="23" t="s">
        <v>32</v>
      </c>
      <c r="J952" t="s">
        <v>47</v>
      </c>
      <c r="K952" s="22" t="e">
        <f t="shared" si="46"/>
        <v>#N/A</v>
      </c>
      <c r="L952" s="22" t="str">
        <f t="shared" si="47"/>
        <v/>
      </c>
    </row>
    <row r="953" spans="1:12" x14ac:dyDescent="0.25">
      <c r="A953">
        <v>12</v>
      </c>
      <c r="B953">
        <v>6</v>
      </c>
      <c r="C953">
        <v>11</v>
      </c>
      <c r="D953">
        <v>1</v>
      </c>
      <c r="E953" t="b">
        <v>0</v>
      </c>
      <c r="F953" s="22" t="str">
        <f t="shared" si="45"/>
        <v/>
      </c>
      <c r="G953" s="23" t="s">
        <v>170</v>
      </c>
      <c r="H953" s="23" t="s">
        <v>242</v>
      </c>
      <c r="I953" s="23" t="s">
        <v>149</v>
      </c>
      <c r="J953" t="s">
        <v>150</v>
      </c>
      <c r="K953" s="22" t="e">
        <f t="shared" si="46"/>
        <v>#N/A</v>
      </c>
      <c r="L953" s="22" t="str">
        <f t="shared" si="47"/>
        <v/>
      </c>
    </row>
    <row r="954" spans="1:12" x14ac:dyDescent="0.25">
      <c r="A954">
        <v>12</v>
      </c>
      <c r="B954">
        <v>6</v>
      </c>
      <c r="C954">
        <v>11</v>
      </c>
      <c r="D954">
        <v>2</v>
      </c>
      <c r="E954" t="b">
        <v>0</v>
      </c>
      <c r="F954" s="22" t="str">
        <f t="shared" si="45"/>
        <v/>
      </c>
      <c r="G954" s="23" t="s">
        <v>170</v>
      </c>
      <c r="H954" s="23" t="s">
        <v>243</v>
      </c>
      <c r="I954" s="23" t="s">
        <v>149</v>
      </c>
      <c r="J954" t="s">
        <v>151</v>
      </c>
      <c r="K954" s="22" t="e">
        <f t="shared" si="46"/>
        <v>#N/A</v>
      </c>
      <c r="L954" s="22" t="str">
        <f t="shared" si="47"/>
        <v/>
      </c>
    </row>
    <row r="955" spans="1:12" x14ac:dyDescent="0.25">
      <c r="A955">
        <v>12</v>
      </c>
      <c r="B955">
        <v>6</v>
      </c>
      <c r="C955">
        <v>11</v>
      </c>
      <c r="D955">
        <v>3</v>
      </c>
      <c r="E955" t="b">
        <v>0</v>
      </c>
      <c r="F955" s="22" t="str">
        <f t="shared" si="45"/>
        <v/>
      </c>
      <c r="G955" s="23" t="s">
        <v>170</v>
      </c>
      <c r="H955" s="23" t="s">
        <v>244</v>
      </c>
      <c r="I955" s="23" t="s">
        <v>149</v>
      </c>
      <c r="J955" t="s">
        <v>152</v>
      </c>
      <c r="K955" s="22" t="e">
        <f t="shared" si="46"/>
        <v>#N/A</v>
      </c>
      <c r="L955" s="22" t="str">
        <f t="shared" si="47"/>
        <v/>
      </c>
    </row>
    <row r="956" spans="1:12" x14ac:dyDescent="0.25">
      <c r="A956">
        <v>12</v>
      </c>
      <c r="B956">
        <v>6</v>
      </c>
      <c r="C956">
        <v>11</v>
      </c>
      <c r="D956">
        <v>4</v>
      </c>
      <c r="E956" t="b">
        <v>0</v>
      </c>
      <c r="F956" s="22" t="str">
        <f t="shared" si="45"/>
        <v/>
      </c>
      <c r="G956" s="23" t="s">
        <v>170</v>
      </c>
      <c r="H956" s="23" t="s">
        <v>245</v>
      </c>
      <c r="I956" s="23" t="s">
        <v>149</v>
      </c>
      <c r="J956" t="s">
        <v>153</v>
      </c>
      <c r="K956" s="22" t="e">
        <f t="shared" si="46"/>
        <v>#N/A</v>
      </c>
      <c r="L956" s="22" t="str">
        <f t="shared" si="47"/>
        <v/>
      </c>
    </row>
    <row r="957" spans="1:12" x14ac:dyDescent="0.25">
      <c r="A957">
        <v>12</v>
      </c>
      <c r="B957">
        <v>6</v>
      </c>
      <c r="C957">
        <v>11</v>
      </c>
      <c r="D957">
        <v>5</v>
      </c>
      <c r="E957" t="b">
        <v>0</v>
      </c>
      <c r="F957" s="22" t="str">
        <f t="shared" si="45"/>
        <v/>
      </c>
      <c r="G957" s="23" t="s">
        <v>170</v>
      </c>
      <c r="H957" s="23" t="s">
        <v>246</v>
      </c>
      <c r="I957" s="23" t="s">
        <v>149</v>
      </c>
      <c r="J957" t="s">
        <v>154</v>
      </c>
      <c r="K957" s="22" t="e">
        <f t="shared" si="46"/>
        <v>#N/A</v>
      </c>
      <c r="L957" s="22" t="str">
        <f t="shared" si="47"/>
        <v/>
      </c>
    </row>
    <row r="958" spans="1:12" x14ac:dyDescent="0.25">
      <c r="A958">
        <v>12</v>
      </c>
      <c r="B958">
        <v>6</v>
      </c>
      <c r="C958">
        <v>11</v>
      </c>
      <c r="D958">
        <v>6</v>
      </c>
      <c r="E958" t="b">
        <v>0</v>
      </c>
      <c r="F958" s="22" t="str">
        <f t="shared" si="45"/>
        <v/>
      </c>
      <c r="G958" s="23" t="s">
        <v>170</v>
      </c>
      <c r="H958" s="23" t="s">
        <v>247</v>
      </c>
      <c r="I958" s="23" t="s">
        <v>149</v>
      </c>
      <c r="J958" t="s">
        <v>155</v>
      </c>
      <c r="K958" s="22" t="e">
        <f t="shared" si="46"/>
        <v>#N/A</v>
      </c>
      <c r="L958" s="22" t="str">
        <f t="shared" si="47"/>
        <v/>
      </c>
    </row>
    <row r="959" spans="1:12" x14ac:dyDescent="0.25">
      <c r="A959">
        <v>12</v>
      </c>
      <c r="B959">
        <v>6</v>
      </c>
      <c r="C959">
        <v>11</v>
      </c>
      <c r="D959">
        <v>7</v>
      </c>
      <c r="E959" t="b">
        <v>0</v>
      </c>
      <c r="F959" s="22" t="str">
        <f t="shared" si="45"/>
        <v/>
      </c>
      <c r="G959" s="23" t="s">
        <v>170</v>
      </c>
      <c r="H959" s="23" t="s">
        <v>248</v>
      </c>
      <c r="I959" s="23" t="s">
        <v>149</v>
      </c>
      <c r="J959" t="s">
        <v>156</v>
      </c>
      <c r="K959" s="22" t="e">
        <f t="shared" si="46"/>
        <v>#N/A</v>
      </c>
      <c r="L959" s="22" t="str">
        <f t="shared" si="47"/>
        <v/>
      </c>
    </row>
    <row r="960" spans="1:12" x14ac:dyDescent="0.25">
      <c r="A960">
        <v>12</v>
      </c>
      <c r="B960">
        <v>6</v>
      </c>
      <c r="C960">
        <v>11</v>
      </c>
      <c r="D960">
        <v>8</v>
      </c>
      <c r="E960" t="b">
        <v>0</v>
      </c>
      <c r="F960" s="22" t="str">
        <f t="shared" si="45"/>
        <v/>
      </c>
      <c r="G960" s="23" t="s">
        <v>170</v>
      </c>
      <c r="H960" s="23" t="s">
        <v>249</v>
      </c>
      <c r="I960" s="23" t="s">
        <v>149</v>
      </c>
      <c r="J960" t="s">
        <v>157</v>
      </c>
      <c r="K960" s="22" t="e">
        <f t="shared" si="46"/>
        <v>#N/A</v>
      </c>
      <c r="L960" s="22" t="str">
        <f t="shared" si="47"/>
        <v/>
      </c>
    </row>
    <row r="961" spans="1:12" x14ac:dyDescent="0.25">
      <c r="A961">
        <v>12</v>
      </c>
      <c r="B961">
        <v>6</v>
      </c>
      <c r="C961">
        <v>11</v>
      </c>
      <c r="D961">
        <v>9</v>
      </c>
      <c r="E961" t="b">
        <v>0</v>
      </c>
      <c r="F961" s="22" t="str">
        <f t="shared" si="45"/>
        <v/>
      </c>
      <c r="G961" s="23" t="s">
        <v>170</v>
      </c>
      <c r="H961" s="23" t="s">
        <v>250</v>
      </c>
      <c r="I961" s="23" t="s">
        <v>149</v>
      </c>
      <c r="J961" t="s">
        <v>158</v>
      </c>
      <c r="K961" s="22" t="e">
        <f t="shared" si="46"/>
        <v>#N/A</v>
      </c>
      <c r="L961" s="22" t="str">
        <f t="shared" si="47"/>
        <v/>
      </c>
    </row>
    <row r="962" spans="1:12" x14ac:dyDescent="0.25">
      <c r="A962">
        <v>12</v>
      </c>
      <c r="B962">
        <v>6</v>
      </c>
      <c r="C962">
        <v>11</v>
      </c>
      <c r="D962">
        <v>10</v>
      </c>
      <c r="E962" t="b">
        <v>0</v>
      </c>
      <c r="F962" s="22" t="str">
        <f t="shared" si="45"/>
        <v/>
      </c>
      <c r="G962" s="23" t="s">
        <v>170</v>
      </c>
      <c r="H962" s="23" t="s">
        <v>251</v>
      </c>
      <c r="I962" s="23" t="s">
        <v>149</v>
      </c>
      <c r="J962" t="s">
        <v>159</v>
      </c>
      <c r="K962" s="22" t="e">
        <f t="shared" si="46"/>
        <v>#N/A</v>
      </c>
      <c r="L962" s="22" t="str">
        <f t="shared" si="47"/>
        <v/>
      </c>
    </row>
    <row r="963" spans="1:12" x14ac:dyDescent="0.25">
      <c r="A963">
        <v>12</v>
      </c>
      <c r="B963">
        <v>6</v>
      </c>
      <c r="C963">
        <v>11</v>
      </c>
      <c r="D963">
        <v>11</v>
      </c>
      <c r="E963" t="b">
        <v>1</v>
      </c>
      <c r="F963" s="22" t="str">
        <f t="shared" si="45"/>
        <v/>
      </c>
      <c r="G963" s="23" t="s">
        <v>170</v>
      </c>
      <c r="H963" s="23" t="s">
        <v>252</v>
      </c>
      <c r="I963" s="23" t="s">
        <v>149</v>
      </c>
      <c r="J963" t="s">
        <v>160</v>
      </c>
      <c r="K963" s="22" t="e">
        <f t="shared" si="46"/>
        <v>#N/A</v>
      </c>
      <c r="L963" s="22" t="str">
        <f t="shared" si="47"/>
        <v/>
      </c>
    </row>
    <row r="964" spans="1:12" x14ac:dyDescent="0.25">
      <c r="A964">
        <v>13</v>
      </c>
      <c r="B964">
        <v>1</v>
      </c>
      <c r="C964">
        <v>18</v>
      </c>
      <c r="D964">
        <v>1</v>
      </c>
      <c r="E964" t="b">
        <v>0</v>
      </c>
      <c r="F964" s="22" t="str">
        <f t="shared" ref="F964:F1027" si="48">VLOOKUP("Assessment #"&amp;$A964, DateMeta, MATCH("DisplDate", DateMeta_H, 0), 0)</f>
        <v/>
      </c>
      <c r="G964" s="23" t="s">
        <v>167</v>
      </c>
      <c r="H964" s="23" t="s">
        <v>253</v>
      </c>
      <c r="I964" s="23" t="s">
        <v>2</v>
      </c>
      <c r="J964" t="s">
        <v>3</v>
      </c>
      <c r="K964" s="22" t="e">
        <f t="shared" ref="K964:K1027" si="49">IF(INDEX(Assess, MATCH($J964, ItemLong, 0), MATCH("Assessment #"&amp;$A964, Assess_H, 0))="", "", INDEX(Assess, MATCH($J964, ItemLong, 0), MATCH("Assessment #"&amp;$A964, Assess_H, 0)))</f>
        <v>#N/A</v>
      </c>
      <c r="L964" s="22" t="str">
        <f t="shared" si="47"/>
        <v/>
      </c>
    </row>
    <row r="965" spans="1:12" x14ac:dyDescent="0.25">
      <c r="A965">
        <v>13</v>
      </c>
      <c r="B965">
        <v>1</v>
      </c>
      <c r="C965">
        <v>18</v>
      </c>
      <c r="D965">
        <v>2</v>
      </c>
      <c r="E965" t="b">
        <v>0</v>
      </c>
      <c r="F965" s="22" t="str">
        <f t="shared" si="48"/>
        <v/>
      </c>
      <c r="G965" s="23" t="s">
        <v>167</v>
      </c>
      <c r="H965" s="23" t="s">
        <v>254</v>
      </c>
      <c r="I965" s="23" t="s">
        <v>2</v>
      </c>
      <c r="J965" t="s">
        <v>4</v>
      </c>
      <c r="K965" s="22" t="e">
        <f t="shared" si="49"/>
        <v>#N/A</v>
      </c>
      <c r="L965" s="22" t="str">
        <f t="shared" ref="L965:L1028" si="50">IF(ISNUMBER(K965), IF(K965&gt;=2, 1, 0), "")</f>
        <v/>
      </c>
    </row>
    <row r="966" spans="1:12" x14ac:dyDescent="0.25">
      <c r="A966">
        <v>13</v>
      </c>
      <c r="B966">
        <v>1</v>
      </c>
      <c r="C966">
        <v>18</v>
      </c>
      <c r="D966">
        <v>3</v>
      </c>
      <c r="E966" t="b">
        <v>0</v>
      </c>
      <c r="F966" s="22" t="str">
        <f t="shared" si="48"/>
        <v/>
      </c>
      <c r="G966" s="23" t="s">
        <v>167</v>
      </c>
      <c r="H966" s="23" t="s">
        <v>175</v>
      </c>
      <c r="I966" s="23" t="s">
        <v>2</v>
      </c>
      <c r="J966" t="s">
        <v>5</v>
      </c>
      <c r="K966" s="22" t="e">
        <f t="shared" si="49"/>
        <v>#N/A</v>
      </c>
      <c r="L966" s="22" t="str">
        <f t="shared" si="50"/>
        <v/>
      </c>
    </row>
    <row r="967" spans="1:12" x14ac:dyDescent="0.25">
      <c r="A967">
        <v>13</v>
      </c>
      <c r="B967">
        <v>1</v>
      </c>
      <c r="C967">
        <v>18</v>
      </c>
      <c r="D967">
        <v>4</v>
      </c>
      <c r="E967" t="b">
        <v>0</v>
      </c>
      <c r="F967" s="22" t="str">
        <f t="shared" si="48"/>
        <v/>
      </c>
      <c r="G967" s="23" t="s">
        <v>167</v>
      </c>
      <c r="H967" s="23" t="s">
        <v>176</v>
      </c>
      <c r="I967" s="23" t="s">
        <v>2</v>
      </c>
      <c r="J967" t="s">
        <v>6</v>
      </c>
      <c r="K967" s="22" t="e">
        <f t="shared" si="49"/>
        <v>#N/A</v>
      </c>
      <c r="L967" s="22" t="str">
        <f t="shared" si="50"/>
        <v/>
      </c>
    </row>
    <row r="968" spans="1:12" x14ac:dyDescent="0.25">
      <c r="A968">
        <v>13</v>
      </c>
      <c r="B968">
        <v>1</v>
      </c>
      <c r="C968">
        <v>18</v>
      </c>
      <c r="D968">
        <v>5</v>
      </c>
      <c r="E968" t="b">
        <v>0</v>
      </c>
      <c r="F968" s="22" t="str">
        <f t="shared" si="48"/>
        <v/>
      </c>
      <c r="G968" s="23" t="s">
        <v>167</v>
      </c>
      <c r="H968" s="23" t="s">
        <v>177</v>
      </c>
      <c r="I968" s="23" t="s">
        <v>2</v>
      </c>
      <c r="J968" t="s">
        <v>44</v>
      </c>
      <c r="K968" s="22" t="e">
        <f t="shared" si="49"/>
        <v>#N/A</v>
      </c>
      <c r="L968" s="22" t="str">
        <f t="shared" si="50"/>
        <v/>
      </c>
    </row>
    <row r="969" spans="1:12" x14ac:dyDescent="0.25">
      <c r="A969">
        <v>13</v>
      </c>
      <c r="B969">
        <v>1</v>
      </c>
      <c r="C969">
        <v>18</v>
      </c>
      <c r="D969">
        <v>6</v>
      </c>
      <c r="E969" t="b">
        <v>0</v>
      </c>
      <c r="F969" s="22" t="str">
        <f t="shared" si="48"/>
        <v/>
      </c>
      <c r="G969" s="23" t="s">
        <v>167</v>
      </c>
      <c r="H969" s="23" t="s">
        <v>178</v>
      </c>
      <c r="I969" s="23" t="s">
        <v>2</v>
      </c>
      <c r="J969" t="s">
        <v>102</v>
      </c>
      <c r="K969" s="22" t="e">
        <f t="shared" si="49"/>
        <v>#N/A</v>
      </c>
      <c r="L969" s="22" t="str">
        <f t="shared" si="50"/>
        <v/>
      </c>
    </row>
    <row r="970" spans="1:12" x14ac:dyDescent="0.25">
      <c r="A970">
        <v>13</v>
      </c>
      <c r="B970">
        <v>1</v>
      </c>
      <c r="C970">
        <v>18</v>
      </c>
      <c r="D970">
        <v>7</v>
      </c>
      <c r="E970" t="b">
        <v>0</v>
      </c>
      <c r="F970" s="22" t="str">
        <f t="shared" si="48"/>
        <v/>
      </c>
      <c r="G970" s="23" t="s">
        <v>167</v>
      </c>
      <c r="H970" s="23" t="s">
        <v>179</v>
      </c>
      <c r="I970" s="23" t="s">
        <v>2</v>
      </c>
      <c r="J970" t="s">
        <v>103</v>
      </c>
      <c r="K970" s="22" t="e">
        <f t="shared" si="49"/>
        <v>#N/A</v>
      </c>
      <c r="L970" s="22" t="str">
        <f t="shared" si="50"/>
        <v/>
      </c>
    </row>
    <row r="971" spans="1:12" x14ac:dyDescent="0.25">
      <c r="A971">
        <v>13</v>
      </c>
      <c r="B971">
        <v>1</v>
      </c>
      <c r="C971">
        <v>18</v>
      </c>
      <c r="D971">
        <v>8</v>
      </c>
      <c r="E971" t="b">
        <v>0</v>
      </c>
      <c r="F971" s="22" t="str">
        <f t="shared" si="48"/>
        <v/>
      </c>
      <c r="G971" s="23" t="s">
        <v>167</v>
      </c>
      <c r="H971" s="23" t="s">
        <v>180</v>
      </c>
      <c r="I971" s="23" t="s">
        <v>2</v>
      </c>
      <c r="J971" t="s">
        <v>7</v>
      </c>
      <c r="K971" s="22" t="e">
        <f t="shared" si="49"/>
        <v>#N/A</v>
      </c>
      <c r="L971" s="22" t="str">
        <f t="shared" si="50"/>
        <v/>
      </c>
    </row>
    <row r="972" spans="1:12" x14ac:dyDescent="0.25">
      <c r="A972">
        <v>13</v>
      </c>
      <c r="B972">
        <v>1</v>
      </c>
      <c r="C972">
        <v>18</v>
      </c>
      <c r="D972">
        <v>9</v>
      </c>
      <c r="E972" t="b">
        <v>0</v>
      </c>
      <c r="F972" s="22" t="str">
        <f t="shared" si="48"/>
        <v/>
      </c>
      <c r="G972" s="23" t="s">
        <v>167</v>
      </c>
      <c r="H972" s="23" t="s">
        <v>181</v>
      </c>
      <c r="I972" s="23" t="s">
        <v>2</v>
      </c>
      <c r="J972" t="s">
        <v>104</v>
      </c>
      <c r="K972" s="22" t="e">
        <f t="shared" si="49"/>
        <v>#N/A</v>
      </c>
      <c r="L972" s="22" t="str">
        <f t="shared" si="50"/>
        <v/>
      </c>
    </row>
    <row r="973" spans="1:12" x14ac:dyDescent="0.25">
      <c r="A973">
        <v>13</v>
      </c>
      <c r="B973">
        <v>1</v>
      </c>
      <c r="C973">
        <v>18</v>
      </c>
      <c r="D973">
        <v>10</v>
      </c>
      <c r="E973" t="b">
        <v>0</v>
      </c>
      <c r="F973" s="22" t="str">
        <f t="shared" si="48"/>
        <v/>
      </c>
      <c r="G973" s="23" t="s">
        <v>167</v>
      </c>
      <c r="H973" s="23" t="s">
        <v>182</v>
      </c>
      <c r="I973" s="23" t="s">
        <v>2</v>
      </c>
      <c r="J973" t="s">
        <v>8</v>
      </c>
      <c r="K973" s="22" t="e">
        <f t="shared" si="49"/>
        <v>#N/A</v>
      </c>
      <c r="L973" s="22" t="str">
        <f t="shared" si="50"/>
        <v/>
      </c>
    </row>
    <row r="974" spans="1:12" x14ac:dyDescent="0.25">
      <c r="A974">
        <v>13</v>
      </c>
      <c r="B974">
        <v>1</v>
      </c>
      <c r="C974">
        <v>18</v>
      </c>
      <c r="D974">
        <v>11</v>
      </c>
      <c r="E974" t="b">
        <v>0</v>
      </c>
      <c r="F974" s="22" t="str">
        <f t="shared" si="48"/>
        <v/>
      </c>
      <c r="G974" s="23" t="s">
        <v>167</v>
      </c>
      <c r="H974" s="23" t="s">
        <v>183</v>
      </c>
      <c r="I974" s="23" t="s">
        <v>2</v>
      </c>
      <c r="J974" t="s">
        <v>105</v>
      </c>
      <c r="K974" s="22" t="e">
        <f t="shared" si="49"/>
        <v>#N/A</v>
      </c>
      <c r="L974" s="22" t="str">
        <f t="shared" si="50"/>
        <v/>
      </c>
    </row>
    <row r="975" spans="1:12" x14ac:dyDescent="0.25">
      <c r="A975">
        <v>13</v>
      </c>
      <c r="B975">
        <v>1</v>
      </c>
      <c r="C975">
        <v>18</v>
      </c>
      <c r="D975">
        <v>12</v>
      </c>
      <c r="E975" t="b">
        <v>0</v>
      </c>
      <c r="F975" s="22" t="str">
        <f t="shared" si="48"/>
        <v/>
      </c>
      <c r="G975" s="23" t="s">
        <v>167</v>
      </c>
      <c r="H975" s="23" t="s">
        <v>184</v>
      </c>
      <c r="I975" s="23" t="s">
        <v>2</v>
      </c>
      <c r="J975" t="s">
        <v>106</v>
      </c>
      <c r="K975" s="22" t="e">
        <f t="shared" si="49"/>
        <v>#N/A</v>
      </c>
      <c r="L975" s="22" t="str">
        <f t="shared" si="50"/>
        <v/>
      </c>
    </row>
    <row r="976" spans="1:12" x14ac:dyDescent="0.25">
      <c r="A976">
        <v>13</v>
      </c>
      <c r="B976">
        <v>1</v>
      </c>
      <c r="C976">
        <v>18</v>
      </c>
      <c r="D976">
        <v>13</v>
      </c>
      <c r="E976" t="b">
        <v>0</v>
      </c>
      <c r="F976" s="22" t="str">
        <f t="shared" si="48"/>
        <v/>
      </c>
      <c r="G976" s="23" t="s">
        <v>167</v>
      </c>
      <c r="H976" s="23" t="s">
        <v>185</v>
      </c>
      <c r="I976" s="23" t="s">
        <v>2</v>
      </c>
      <c r="J976" t="s">
        <v>107</v>
      </c>
      <c r="K976" s="22" t="e">
        <f t="shared" si="49"/>
        <v>#N/A</v>
      </c>
      <c r="L976" s="22" t="str">
        <f t="shared" si="50"/>
        <v/>
      </c>
    </row>
    <row r="977" spans="1:12" x14ac:dyDescent="0.25">
      <c r="A977">
        <v>13</v>
      </c>
      <c r="B977">
        <v>1</v>
      </c>
      <c r="C977">
        <v>18</v>
      </c>
      <c r="D977">
        <v>14</v>
      </c>
      <c r="E977" t="b">
        <v>0</v>
      </c>
      <c r="F977" s="22" t="str">
        <f t="shared" si="48"/>
        <v/>
      </c>
      <c r="G977" s="23" t="s">
        <v>167</v>
      </c>
      <c r="H977" s="23" t="s">
        <v>186</v>
      </c>
      <c r="I977" s="23" t="s">
        <v>2</v>
      </c>
      <c r="J977" t="s">
        <v>108</v>
      </c>
      <c r="K977" s="22" t="e">
        <f t="shared" si="49"/>
        <v>#N/A</v>
      </c>
      <c r="L977" s="22" t="str">
        <f t="shared" si="50"/>
        <v/>
      </c>
    </row>
    <row r="978" spans="1:12" x14ac:dyDescent="0.25">
      <c r="A978">
        <v>13</v>
      </c>
      <c r="B978">
        <v>1</v>
      </c>
      <c r="C978">
        <v>18</v>
      </c>
      <c r="D978">
        <v>15</v>
      </c>
      <c r="E978" t="b">
        <v>0</v>
      </c>
      <c r="F978" s="22" t="str">
        <f t="shared" si="48"/>
        <v/>
      </c>
      <c r="G978" s="23" t="s">
        <v>167</v>
      </c>
      <c r="H978" s="23" t="s">
        <v>187</v>
      </c>
      <c r="I978" s="23" t="s">
        <v>2</v>
      </c>
      <c r="J978" t="s">
        <v>109</v>
      </c>
      <c r="K978" s="22" t="e">
        <f t="shared" si="49"/>
        <v>#N/A</v>
      </c>
      <c r="L978" s="22" t="str">
        <f t="shared" si="50"/>
        <v/>
      </c>
    </row>
    <row r="979" spans="1:12" x14ac:dyDescent="0.25">
      <c r="A979">
        <v>13</v>
      </c>
      <c r="B979">
        <v>1</v>
      </c>
      <c r="C979">
        <v>18</v>
      </c>
      <c r="D979">
        <v>16</v>
      </c>
      <c r="E979" t="b">
        <v>0</v>
      </c>
      <c r="F979" s="22" t="str">
        <f t="shared" si="48"/>
        <v/>
      </c>
      <c r="G979" s="23" t="s">
        <v>167</v>
      </c>
      <c r="H979" s="23" t="s">
        <v>188</v>
      </c>
      <c r="I979" s="23" t="s">
        <v>2</v>
      </c>
      <c r="J979" t="s">
        <v>110</v>
      </c>
      <c r="K979" s="22" t="e">
        <f t="shared" si="49"/>
        <v>#N/A</v>
      </c>
      <c r="L979" s="22" t="str">
        <f t="shared" si="50"/>
        <v/>
      </c>
    </row>
    <row r="980" spans="1:12" x14ac:dyDescent="0.25">
      <c r="A980">
        <v>13</v>
      </c>
      <c r="B980">
        <v>1</v>
      </c>
      <c r="C980">
        <v>18</v>
      </c>
      <c r="D980">
        <v>17</v>
      </c>
      <c r="E980" t="b">
        <v>0</v>
      </c>
      <c r="F980" s="22" t="str">
        <f t="shared" si="48"/>
        <v/>
      </c>
      <c r="G980" s="23" t="s">
        <v>167</v>
      </c>
      <c r="H980" s="23" t="s">
        <v>189</v>
      </c>
      <c r="I980" s="23" t="s">
        <v>2</v>
      </c>
      <c r="J980" t="s">
        <v>23</v>
      </c>
      <c r="K980" s="22" t="e">
        <f t="shared" si="49"/>
        <v>#N/A</v>
      </c>
      <c r="L980" s="22" t="str">
        <f t="shared" si="50"/>
        <v/>
      </c>
    </row>
    <row r="981" spans="1:12" x14ac:dyDescent="0.25">
      <c r="A981">
        <v>13</v>
      </c>
      <c r="B981">
        <v>1</v>
      </c>
      <c r="C981">
        <v>18</v>
      </c>
      <c r="D981">
        <v>18</v>
      </c>
      <c r="E981" t="b">
        <v>1</v>
      </c>
      <c r="F981" s="22" t="str">
        <f t="shared" si="48"/>
        <v/>
      </c>
      <c r="G981" s="23" t="s">
        <v>167</v>
      </c>
      <c r="H981" s="23" t="s">
        <v>190</v>
      </c>
      <c r="I981" s="23" t="s">
        <v>2</v>
      </c>
      <c r="J981" t="s">
        <v>24</v>
      </c>
      <c r="K981" s="22" t="e">
        <f t="shared" si="49"/>
        <v>#N/A</v>
      </c>
      <c r="L981" s="22" t="str">
        <f t="shared" si="50"/>
        <v/>
      </c>
    </row>
    <row r="982" spans="1:12" x14ac:dyDescent="0.25">
      <c r="A982">
        <v>13</v>
      </c>
      <c r="B982">
        <v>2</v>
      </c>
      <c r="C982">
        <v>16</v>
      </c>
      <c r="D982">
        <v>1</v>
      </c>
      <c r="E982" t="b">
        <v>0</v>
      </c>
      <c r="F982" s="22" t="str">
        <f t="shared" si="48"/>
        <v/>
      </c>
      <c r="G982" s="23" t="s">
        <v>165</v>
      </c>
      <c r="H982" s="23" t="s">
        <v>191</v>
      </c>
      <c r="I982" s="23" t="s">
        <v>9</v>
      </c>
      <c r="J982" t="s">
        <v>10</v>
      </c>
      <c r="K982" s="22" t="e">
        <f t="shared" si="49"/>
        <v>#N/A</v>
      </c>
      <c r="L982" s="22" t="str">
        <f t="shared" si="50"/>
        <v/>
      </c>
    </row>
    <row r="983" spans="1:12" x14ac:dyDescent="0.25">
      <c r="A983">
        <v>13</v>
      </c>
      <c r="B983">
        <v>2</v>
      </c>
      <c r="C983">
        <v>16</v>
      </c>
      <c r="D983">
        <v>2</v>
      </c>
      <c r="E983" t="b">
        <v>0</v>
      </c>
      <c r="F983" s="22" t="str">
        <f t="shared" si="48"/>
        <v/>
      </c>
      <c r="G983" s="23" t="s">
        <v>165</v>
      </c>
      <c r="H983" s="23" t="s">
        <v>192</v>
      </c>
      <c r="I983" s="23" t="s">
        <v>9</v>
      </c>
      <c r="J983" t="s">
        <v>11</v>
      </c>
      <c r="K983" s="22" t="e">
        <f t="shared" si="49"/>
        <v>#N/A</v>
      </c>
      <c r="L983" s="22" t="str">
        <f t="shared" si="50"/>
        <v/>
      </c>
    </row>
    <row r="984" spans="1:12" x14ac:dyDescent="0.25">
      <c r="A984">
        <v>13</v>
      </c>
      <c r="B984">
        <v>2</v>
      </c>
      <c r="C984">
        <v>16</v>
      </c>
      <c r="D984">
        <v>3</v>
      </c>
      <c r="E984" t="b">
        <v>0</v>
      </c>
      <c r="F984" s="22" t="str">
        <f t="shared" si="48"/>
        <v/>
      </c>
      <c r="G984" s="23" t="s">
        <v>165</v>
      </c>
      <c r="H984" s="23" t="s">
        <v>193</v>
      </c>
      <c r="I984" s="23" t="s">
        <v>9</v>
      </c>
      <c r="J984" t="s">
        <v>12</v>
      </c>
      <c r="K984" s="22" t="e">
        <f t="shared" si="49"/>
        <v>#N/A</v>
      </c>
      <c r="L984" s="22" t="str">
        <f t="shared" si="50"/>
        <v/>
      </c>
    </row>
    <row r="985" spans="1:12" x14ac:dyDescent="0.25">
      <c r="A985">
        <v>13</v>
      </c>
      <c r="B985">
        <v>2</v>
      </c>
      <c r="C985">
        <v>16</v>
      </c>
      <c r="D985">
        <v>4</v>
      </c>
      <c r="E985" t="b">
        <v>0</v>
      </c>
      <c r="F985" s="22" t="str">
        <f t="shared" si="48"/>
        <v/>
      </c>
      <c r="G985" s="23" t="s">
        <v>165</v>
      </c>
      <c r="H985" s="23" t="s">
        <v>194</v>
      </c>
      <c r="I985" s="23" t="s">
        <v>9</v>
      </c>
      <c r="J985" t="s">
        <v>13</v>
      </c>
      <c r="K985" s="22" t="e">
        <f t="shared" si="49"/>
        <v>#N/A</v>
      </c>
      <c r="L985" s="22" t="str">
        <f t="shared" si="50"/>
        <v/>
      </c>
    </row>
    <row r="986" spans="1:12" x14ac:dyDescent="0.25">
      <c r="A986">
        <v>13</v>
      </c>
      <c r="B986">
        <v>2</v>
      </c>
      <c r="C986">
        <v>16</v>
      </c>
      <c r="D986">
        <v>5</v>
      </c>
      <c r="E986" t="b">
        <v>0</v>
      </c>
      <c r="F986" s="22" t="str">
        <f t="shared" si="48"/>
        <v/>
      </c>
      <c r="G986" s="23" t="s">
        <v>165</v>
      </c>
      <c r="H986" s="23" t="s">
        <v>195</v>
      </c>
      <c r="I986" s="23" t="s">
        <v>9</v>
      </c>
      <c r="J986" t="s">
        <v>14</v>
      </c>
      <c r="K986" s="22" t="e">
        <f t="shared" si="49"/>
        <v>#N/A</v>
      </c>
      <c r="L986" s="22" t="str">
        <f t="shared" si="50"/>
        <v/>
      </c>
    </row>
    <row r="987" spans="1:12" x14ac:dyDescent="0.25">
      <c r="A987">
        <v>13</v>
      </c>
      <c r="B987">
        <v>2</v>
      </c>
      <c r="C987">
        <v>16</v>
      </c>
      <c r="D987">
        <v>6</v>
      </c>
      <c r="E987" t="b">
        <v>0</v>
      </c>
      <c r="F987" s="22" t="str">
        <f t="shared" si="48"/>
        <v/>
      </c>
      <c r="G987" s="23" t="s">
        <v>165</v>
      </c>
      <c r="H987" s="23" t="s">
        <v>196</v>
      </c>
      <c r="I987" s="23" t="s">
        <v>9</v>
      </c>
      <c r="J987" t="s">
        <v>15</v>
      </c>
      <c r="K987" s="22" t="e">
        <f t="shared" si="49"/>
        <v>#N/A</v>
      </c>
      <c r="L987" s="22" t="str">
        <f t="shared" si="50"/>
        <v/>
      </c>
    </row>
    <row r="988" spans="1:12" x14ac:dyDescent="0.25">
      <c r="A988">
        <v>13</v>
      </c>
      <c r="B988">
        <v>2</v>
      </c>
      <c r="C988">
        <v>16</v>
      </c>
      <c r="D988">
        <v>7</v>
      </c>
      <c r="E988" t="b">
        <v>0</v>
      </c>
      <c r="F988" s="22" t="str">
        <f t="shared" si="48"/>
        <v/>
      </c>
      <c r="G988" s="23" t="s">
        <v>165</v>
      </c>
      <c r="H988" s="23" t="s">
        <v>197</v>
      </c>
      <c r="I988" s="23" t="s">
        <v>9</v>
      </c>
      <c r="J988" t="s">
        <v>16</v>
      </c>
      <c r="K988" s="22" t="e">
        <f t="shared" si="49"/>
        <v>#N/A</v>
      </c>
      <c r="L988" s="22" t="str">
        <f t="shared" si="50"/>
        <v/>
      </c>
    </row>
    <row r="989" spans="1:12" x14ac:dyDescent="0.25">
      <c r="A989">
        <v>13</v>
      </c>
      <c r="B989">
        <v>2</v>
      </c>
      <c r="C989">
        <v>16</v>
      </c>
      <c r="D989">
        <v>8</v>
      </c>
      <c r="E989" t="b">
        <v>0</v>
      </c>
      <c r="F989" s="22" t="str">
        <f t="shared" si="48"/>
        <v/>
      </c>
      <c r="G989" s="23" t="s">
        <v>165</v>
      </c>
      <c r="H989" s="23" t="s">
        <v>198</v>
      </c>
      <c r="I989" s="23" t="s">
        <v>9</v>
      </c>
      <c r="J989" t="s">
        <v>17</v>
      </c>
      <c r="K989" s="22" t="e">
        <f t="shared" si="49"/>
        <v>#N/A</v>
      </c>
      <c r="L989" s="22" t="str">
        <f t="shared" si="50"/>
        <v/>
      </c>
    </row>
    <row r="990" spans="1:12" x14ac:dyDescent="0.25">
      <c r="A990">
        <v>13</v>
      </c>
      <c r="B990">
        <v>2</v>
      </c>
      <c r="C990">
        <v>16</v>
      </c>
      <c r="D990">
        <v>9</v>
      </c>
      <c r="E990" t="b">
        <v>0</v>
      </c>
      <c r="F990" s="22" t="str">
        <f t="shared" si="48"/>
        <v/>
      </c>
      <c r="G990" s="23" t="s">
        <v>165</v>
      </c>
      <c r="H990" s="23" t="s">
        <v>199</v>
      </c>
      <c r="I990" s="23" t="s">
        <v>9</v>
      </c>
      <c r="J990" t="s">
        <v>18</v>
      </c>
      <c r="K990" s="22" t="e">
        <f t="shared" si="49"/>
        <v>#N/A</v>
      </c>
      <c r="L990" s="22" t="str">
        <f t="shared" si="50"/>
        <v/>
      </c>
    </row>
    <row r="991" spans="1:12" x14ac:dyDescent="0.25">
      <c r="A991">
        <v>13</v>
      </c>
      <c r="B991">
        <v>2</v>
      </c>
      <c r="C991">
        <v>16</v>
      </c>
      <c r="D991">
        <v>10</v>
      </c>
      <c r="E991" t="b">
        <v>0</v>
      </c>
      <c r="F991" s="22" t="str">
        <f t="shared" si="48"/>
        <v/>
      </c>
      <c r="G991" s="23" t="s">
        <v>165</v>
      </c>
      <c r="H991" s="23" t="s">
        <v>200</v>
      </c>
      <c r="I991" s="23" t="s">
        <v>9</v>
      </c>
      <c r="J991" t="s">
        <v>19</v>
      </c>
      <c r="K991" s="22" t="e">
        <f t="shared" si="49"/>
        <v>#N/A</v>
      </c>
      <c r="L991" s="22" t="str">
        <f t="shared" si="50"/>
        <v/>
      </c>
    </row>
    <row r="992" spans="1:12" x14ac:dyDescent="0.25">
      <c r="A992">
        <v>13</v>
      </c>
      <c r="B992">
        <v>2</v>
      </c>
      <c r="C992">
        <v>16</v>
      </c>
      <c r="D992">
        <v>11</v>
      </c>
      <c r="E992" t="b">
        <v>0</v>
      </c>
      <c r="F992" s="22" t="str">
        <f t="shared" si="48"/>
        <v/>
      </c>
      <c r="G992" s="23" t="s">
        <v>165</v>
      </c>
      <c r="H992" s="23" t="s">
        <v>201</v>
      </c>
      <c r="I992" s="23" t="s">
        <v>9</v>
      </c>
      <c r="J992" t="s">
        <v>20</v>
      </c>
      <c r="K992" s="22" t="e">
        <f t="shared" si="49"/>
        <v>#N/A</v>
      </c>
      <c r="L992" s="22" t="str">
        <f t="shared" si="50"/>
        <v/>
      </c>
    </row>
    <row r="993" spans="1:12" x14ac:dyDescent="0.25">
      <c r="A993">
        <v>13</v>
      </c>
      <c r="B993">
        <v>2</v>
      </c>
      <c r="C993">
        <v>16</v>
      </c>
      <c r="D993">
        <v>12</v>
      </c>
      <c r="E993" t="b">
        <v>0</v>
      </c>
      <c r="F993" s="22" t="str">
        <f t="shared" si="48"/>
        <v/>
      </c>
      <c r="G993" s="23" t="s">
        <v>165</v>
      </c>
      <c r="H993" s="23" t="s">
        <v>202</v>
      </c>
      <c r="I993" s="23" t="s">
        <v>9</v>
      </c>
      <c r="J993" t="s">
        <v>21</v>
      </c>
      <c r="K993" s="22" t="e">
        <f t="shared" si="49"/>
        <v>#N/A</v>
      </c>
      <c r="L993" s="22" t="str">
        <f t="shared" si="50"/>
        <v/>
      </c>
    </row>
    <row r="994" spans="1:12" x14ac:dyDescent="0.25">
      <c r="A994">
        <v>13</v>
      </c>
      <c r="B994">
        <v>2</v>
      </c>
      <c r="C994">
        <v>16</v>
      </c>
      <c r="D994">
        <v>13</v>
      </c>
      <c r="E994" t="b">
        <v>0</v>
      </c>
      <c r="F994" s="22" t="str">
        <f t="shared" si="48"/>
        <v/>
      </c>
      <c r="G994" s="23" t="s">
        <v>165</v>
      </c>
      <c r="H994" s="23" t="s">
        <v>203</v>
      </c>
      <c r="I994" s="23" t="s">
        <v>9</v>
      </c>
      <c r="J994" t="s">
        <v>22</v>
      </c>
      <c r="K994" s="22" t="e">
        <f t="shared" si="49"/>
        <v>#N/A</v>
      </c>
      <c r="L994" s="22" t="str">
        <f t="shared" si="50"/>
        <v/>
      </c>
    </row>
    <row r="995" spans="1:12" x14ac:dyDescent="0.25">
      <c r="A995">
        <v>13</v>
      </c>
      <c r="B995">
        <v>2</v>
      </c>
      <c r="C995">
        <v>16</v>
      </c>
      <c r="D995">
        <v>14</v>
      </c>
      <c r="E995" t="b">
        <v>0</v>
      </c>
      <c r="F995" s="22" t="str">
        <f t="shared" si="48"/>
        <v/>
      </c>
      <c r="G995" s="23" t="s">
        <v>165</v>
      </c>
      <c r="H995" s="23" t="s">
        <v>204</v>
      </c>
      <c r="I995" s="23" t="s">
        <v>9</v>
      </c>
      <c r="J995" t="s">
        <v>111</v>
      </c>
      <c r="K995" s="22" t="e">
        <f t="shared" si="49"/>
        <v>#N/A</v>
      </c>
      <c r="L995" s="22" t="str">
        <f t="shared" si="50"/>
        <v/>
      </c>
    </row>
    <row r="996" spans="1:12" x14ac:dyDescent="0.25">
      <c r="A996">
        <v>13</v>
      </c>
      <c r="B996">
        <v>2</v>
      </c>
      <c r="C996">
        <v>16</v>
      </c>
      <c r="D996">
        <v>15</v>
      </c>
      <c r="E996" t="b">
        <v>0</v>
      </c>
      <c r="F996" s="22" t="str">
        <f t="shared" si="48"/>
        <v/>
      </c>
      <c r="G996" s="23" t="s">
        <v>165</v>
      </c>
      <c r="H996" s="23" t="s">
        <v>205</v>
      </c>
      <c r="I996" s="23" t="s">
        <v>9</v>
      </c>
      <c r="J996" t="s">
        <v>112</v>
      </c>
      <c r="K996" s="22" t="e">
        <f t="shared" si="49"/>
        <v>#N/A</v>
      </c>
      <c r="L996" s="22" t="str">
        <f t="shared" si="50"/>
        <v/>
      </c>
    </row>
    <row r="997" spans="1:12" x14ac:dyDescent="0.25">
      <c r="A997">
        <v>13</v>
      </c>
      <c r="B997">
        <v>2</v>
      </c>
      <c r="C997">
        <v>16</v>
      </c>
      <c r="D997">
        <v>16</v>
      </c>
      <c r="E997" t="b">
        <v>1</v>
      </c>
      <c r="F997" s="22" t="str">
        <f t="shared" si="48"/>
        <v/>
      </c>
      <c r="G997" s="23" t="s">
        <v>165</v>
      </c>
      <c r="H997" s="23" t="s">
        <v>206</v>
      </c>
      <c r="I997" s="23" t="s">
        <v>9</v>
      </c>
      <c r="J997" t="s">
        <v>113</v>
      </c>
      <c r="K997" s="22" t="e">
        <f t="shared" si="49"/>
        <v>#N/A</v>
      </c>
      <c r="L997" s="22" t="str">
        <f t="shared" si="50"/>
        <v/>
      </c>
    </row>
    <row r="998" spans="1:12" x14ac:dyDescent="0.25">
      <c r="A998">
        <v>13</v>
      </c>
      <c r="B998">
        <v>3</v>
      </c>
      <c r="C998">
        <v>17</v>
      </c>
      <c r="D998">
        <v>1</v>
      </c>
      <c r="E998" t="b">
        <v>0</v>
      </c>
      <c r="F998" s="22" t="str">
        <f t="shared" si="48"/>
        <v/>
      </c>
      <c r="G998" s="23" t="s">
        <v>168</v>
      </c>
      <c r="H998" s="23" t="s">
        <v>207</v>
      </c>
      <c r="I998" s="23" t="s">
        <v>37</v>
      </c>
      <c r="J998" t="s">
        <v>114</v>
      </c>
      <c r="K998" s="22" t="e">
        <f t="shared" si="49"/>
        <v>#N/A</v>
      </c>
      <c r="L998" s="22" t="str">
        <f t="shared" si="50"/>
        <v/>
      </c>
    </row>
    <row r="999" spans="1:12" x14ac:dyDescent="0.25">
      <c r="A999">
        <v>13</v>
      </c>
      <c r="B999">
        <v>3</v>
      </c>
      <c r="C999">
        <v>17</v>
      </c>
      <c r="D999">
        <v>2</v>
      </c>
      <c r="E999" t="b">
        <v>0</v>
      </c>
      <c r="F999" s="22" t="str">
        <f t="shared" si="48"/>
        <v/>
      </c>
      <c r="G999" s="23" t="s">
        <v>168</v>
      </c>
      <c r="H999" s="23" t="s">
        <v>208</v>
      </c>
      <c r="I999" s="23" t="s">
        <v>37</v>
      </c>
      <c r="J999" t="s">
        <v>39</v>
      </c>
      <c r="K999" s="22" t="e">
        <f t="shared" si="49"/>
        <v>#N/A</v>
      </c>
      <c r="L999" s="22" t="str">
        <f t="shared" si="50"/>
        <v/>
      </c>
    </row>
    <row r="1000" spans="1:12" x14ac:dyDescent="0.25">
      <c r="A1000">
        <v>13</v>
      </c>
      <c r="B1000">
        <v>3</v>
      </c>
      <c r="C1000">
        <v>17</v>
      </c>
      <c r="D1000">
        <v>3</v>
      </c>
      <c r="E1000" t="b">
        <v>0</v>
      </c>
      <c r="F1000" s="22" t="str">
        <f t="shared" si="48"/>
        <v/>
      </c>
      <c r="G1000" s="23" t="s">
        <v>168</v>
      </c>
      <c r="H1000" s="23" t="s">
        <v>209</v>
      </c>
      <c r="I1000" s="23" t="s">
        <v>37</v>
      </c>
      <c r="J1000" t="s">
        <v>40</v>
      </c>
      <c r="K1000" s="22" t="e">
        <f t="shared" si="49"/>
        <v>#N/A</v>
      </c>
      <c r="L1000" s="22" t="str">
        <f t="shared" si="50"/>
        <v/>
      </c>
    </row>
    <row r="1001" spans="1:12" x14ac:dyDescent="0.25">
      <c r="A1001">
        <v>13</v>
      </c>
      <c r="B1001">
        <v>3</v>
      </c>
      <c r="C1001">
        <v>17</v>
      </c>
      <c r="D1001">
        <v>4</v>
      </c>
      <c r="E1001" t="b">
        <v>0</v>
      </c>
      <c r="F1001" s="22" t="str">
        <f t="shared" si="48"/>
        <v/>
      </c>
      <c r="G1001" s="23" t="s">
        <v>168</v>
      </c>
      <c r="H1001" s="23" t="s">
        <v>210</v>
      </c>
      <c r="I1001" s="23" t="s">
        <v>37</v>
      </c>
      <c r="J1001" t="s">
        <v>41</v>
      </c>
      <c r="K1001" s="22" t="e">
        <f t="shared" si="49"/>
        <v>#N/A</v>
      </c>
      <c r="L1001" s="22" t="str">
        <f t="shared" si="50"/>
        <v/>
      </c>
    </row>
    <row r="1002" spans="1:12" x14ac:dyDescent="0.25">
      <c r="A1002">
        <v>13</v>
      </c>
      <c r="B1002">
        <v>3</v>
      </c>
      <c r="C1002">
        <v>17</v>
      </c>
      <c r="D1002">
        <v>5</v>
      </c>
      <c r="E1002" t="b">
        <v>0</v>
      </c>
      <c r="F1002" s="22" t="str">
        <f t="shared" si="48"/>
        <v/>
      </c>
      <c r="G1002" s="23" t="s">
        <v>168</v>
      </c>
      <c r="H1002" s="23" t="s">
        <v>211</v>
      </c>
      <c r="I1002" s="23" t="s">
        <v>37</v>
      </c>
      <c r="J1002" t="s">
        <v>38</v>
      </c>
      <c r="K1002" s="22" t="e">
        <f t="shared" si="49"/>
        <v>#N/A</v>
      </c>
      <c r="L1002" s="22" t="str">
        <f t="shared" si="50"/>
        <v/>
      </c>
    </row>
    <row r="1003" spans="1:12" x14ac:dyDescent="0.25">
      <c r="A1003">
        <v>13</v>
      </c>
      <c r="B1003">
        <v>3</v>
      </c>
      <c r="C1003">
        <v>17</v>
      </c>
      <c r="D1003">
        <v>6</v>
      </c>
      <c r="E1003" t="b">
        <v>0</v>
      </c>
      <c r="F1003" s="22" t="str">
        <f t="shared" si="48"/>
        <v/>
      </c>
      <c r="G1003" s="23" t="s">
        <v>168</v>
      </c>
      <c r="H1003" s="23" t="s">
        <v>212</v>
      </c>
      <c r="I1003" s="23" t="s">
        <v>37</v>
      </c>
      <c r="J1003" t="s">
        <v>115</v>
      </c>
      <c r="K1003" s="22" t="e">
        <f t="shared" si="49"/>
        <v>#N/A</v>
      </c>
      <c r="L1003" s="22" t="str">
        <f t="shared" si="50"/>
        <v/>
      </c>
    </row>
    <row r="1004" spans="1:12" x14ac:dyDescent="0.25">
      <c r="A1004">
        <v>13</v>
      </c>
      <c r="B1004">
        <v>3</v>
      </c>
      <c r="C1004">
        <v>17</v>
      </c>
      <c r="D1004">
        <v>7</v>
      </c>
      <c r="E1004" t="b">
        <v>0</v>
      </c>
      <c r="F1004" s="22" t="str">
        <f t="shared" si="48"/>
        <v/>
      </c>
      <c r="G1004" s="23" t="s">
        <v>168</v>
      </c>
      <c r="H1004" s="23" t="s">
        <v>213</v>
      </c>
      <c r="I1004" s="23" t="s">
        <v>37</v>
      </c>
      <c r="J1004" t="s">
        <v>116</v>
      </c>
      <c r="K1004" s="22" t="e">
        <f t="shared" si="49"/>
        <v>#N/A</v>
      </c>
      <c r="L1004" s="22" t="str">
        <f t="shared" si="50"/>
        <v/>
      </c>
    </row>
    <row r="1005" spans="1:12" x14ac:dyDescent="0.25">
      <c r="A1005">
        <v>13</v>
      </c>
      <c r="B1005">
        <v>3</v>
      </c>
      <c r="C1005">
        <v>17</v>
      </c>
      <c r="D1005">
        <v>8</v>
      </c>
      <c r="E1005" t="b">
        <v>0</v>
      </c>
      <c r="F1005" s="22" t="str">
        <f t="shared" si="48"/>
        <v/>
      </c>
      <c r="G1005" s="23" t="s">
        <v>168</v>
      </c>
      <c r="H1005" s="23" t="s">
        <v>214</v>
      </c>
      <c r="I1005" s="23" t="s">
        <v>37</v>
      </c>
      <c r="J1005" t="s">
        <v>126</v>
      </c>
      <c r="K1005" s="22" t="e">
        <f t="shared" si="49"/>
        <v>#N/A</v>
      </c>
      <c r="L1005" s="22" t="str">
        <f t="shared" si="50"/>
        <v/>
      </c>
    </row>
    <row r="1006" spans="1:12" x14ac:dyDescent="0.25">
      <c r="A1006">
        <v>13</v>
      </c>
      <c r="B1006">
        <v>3</v>
      </c>
      <c r="C1006">
        <v>17</v>
      </c>
      <c r="D1006">
        <v>9</v>
      </c>
      <c r="E1006" t="b">
        <v>0</v>
      </c>
      <c r="F1006" s="22" t="str">
        <f t="shared" si="48"/>
        <v/>
      </c>
      <c r="G1006" s="23" t="s">
        <v>168</v>
      </c>
      <c r="H1006" s="23" t="s">
        <v>215</v>
      </c>
      <c r="I1006" s="23" t="s">
        <v>37</v>
      </c>
      <c r="J1006" t="s">
        <v>45</v>
      </c>
      <c r="K1006" s="22" t="e">
        <f t="shared" si="49"/>
        <v>#N/A</v>
      </c>
      <c r="L1006" s="22" t="str">
        <f t="shared" si="50"/>
        <v/>
      </c>
    </row>
    <row r="1007" spans="1:12" x14ac:dyDescent="0.25">
      <c r="A1007">
        <v>13</v>
      </c>
      <c r="B1007">
        <v>3</v>
      </c>
      <c r="C1007">
        <v>17</v>
      </c>
      <c r="D1007">
        <v>10</v>
      </c>
      <c r="E1007" t="b">
        <v>0</v>
      </c>
      <c r="F1007" s="22" t="str">
        <f t="shared" si="48"/>
        <v/>
      </c>
      <c r="G1007" s="23" t="s">
        <v>168</v>
      </c>
      <c r="H1007" s="23" t="s">
        <v>216</v>
      </c>
      <c r="I1007" s="23" t="s">
        <v>37</v>
      </c>
      <c r="J1007" t="s">
        <v>117</v>
      </c>
      <c r="K1007" s="22" t="e">
        <f t="shared" si="49"/>
        <v>#N/A</v>
      </c>
      <c r="L1007" s="22" t="str">
        <f t="shared" si="50"/>
        <v/>
      </c>
    </row>
    <row r="1008" spans="1:12" x14ac:dyDescent="0.25">
      <c r="A1008">
        <v>13</v>
      </c>
      <c r="B1008">
        <v>3</v>
      </c>
      <c r="C1008">
        <v>17</v>
      </c>
      <c r="D1008">
        <v>11</v>
      </c>
      <c r="E1008" t="b">
        <v>0</v>
      </c>
      <c r="F1008" s="22" t="str">
        <f t="shared" si="48"/>
        <v/>
      </c>
      <c r="G1008" s="23" t="s">
        <v>168</v>
      </c>
      <c r="H1008" s="23" t="s">
        <v>217</v>
      </c>
      <c r="I1008" s="23" t="s">
        <v>37</v>
      </c>
      <c r="J1008" t="s">
        <v>118</v>
      </c>
      <c r="K1008" s="22" t="e">
        <f t="shared" si="49"/>
        <v>#N/A</v>
      </c>
      <c r="L1008" s="22" t="str">
        <f t="shared" si="50"/>
        <v/>
      </c>
    </row>
    <row r="1009" spans="1:12" x14ac:dyDescent="0.25">
      <c r="A1009">
        <v>13</v>
      </c>
      <c r="B1009">
        <v>3</v>
      </c>
      <c r="C1009">
        <v>17</v>
      </c>
      <c r="D1009">
        <v>12</v>
      </c>
      <c r="E1009" t="b">
        <v>0</v>
      </c>
      <c r="F1009" s="22" t="str">
        <f t="shared" si="48"/>
        <v/>
      </c>
      <c r="G1009" s="23" t="s">
        <v>168</v>
      </c>
      <c r="H1009" s="23" t="s">
        <v>218</v>
      </c>
      <c r="I1009" s="23" t="s">
        <v>37</v>
      </c>
      <c r="J1009" t="s">
        <v>119</v>
      </c>
      <c r="K1009" s="22" t="e">
        <f t="shared" si="49"/>
        <v>#N/A</v>
      </c>
      <c r="L1009" s="22" t="str">
        <f t="shared" si="50"/>
        <v/>
      </c>
    </row>
    <row r="1010" spans="1:12" x14ac:dyDescent="0.25">
      <c r="A1010">
        <v>13</v>
      </c>
      <c r="B1010">
        <v>3</v>
      </c>
      <c r="C1010">
        <v>17</v>
      </c>
      <c r="D1010">
        <v>13</v>
      </c>
      <c r="E1010" t="b">
        <v>0</v>
      </c>
      <c r="F1010" s="22" t="str">
        <f t="shared" si="48"/>
        <v/>
      </c>
      <c r="G1010" s="23" t="s">
        <v>168</v>
      </c>
      <c r="H1010" s="23" t="s">
        <v>219</v>
      </c>
      <c r="I1010" s="23" t="s">
        <v>37</v>
      </c>
      <c r="J1010" t="s">
        <v>127</v>
      </c>
      <c r="K1010" s="22" t="e">
        <f t="shared" si="49"/>
        <v>#N/A</v>
      </c>
      <c r="L1010" s="22" t="str">
        <f t="shared" si="50"/>
        <v/>
      </c>
    </row>
    <row r="1011" spans="1:12" x14ac:dyDescent="0.25">
      <c r="A1011">
        <v>13</v>
      </c>
      <c r="B1011">
        <v>3</v>
      </c>
      <c r="C1011">
        <v>17</v>
      </c>
      <c r="D1011">
        <v>14</v>
      </c>
      <c r="E1011" t="b">
        <v>0</v>
      </c>
      <c r="F1011" s="22" t="str">
        <f t="shared" si="48"/>
        <v/>
      </c>
      <c r="G1011" s="23" t="s">
        <v>168</v>
      </c>
      <c r="H1011" s="23" t="s">
        <v>220</v>
      </c>
      <c r="I1011" s="23" t="s">
        <v>37</v>
      </c>
      <c r="J1011" t="s">
        <v>120</v>
      </c>
      <c r="K1011" s="22" t="e">
        <f t="shared" si="49"/>
        <v>#N/A</v>
      </c>
      <c r="L1011" s="22" t="str">
        <f t="shared" si="50"/>
        <v/>
      </c>
    </row>
    <row r="1012" spans="1:12" x14ac:dyDescent="0.25">
      <c r="A1012">
        <v>13</v>
      </c>
      <c r="B1012">
        <v>3</v>
      </c>
      <c r="C1012">
        <v>17</v>
      </c>
      <c r="D1012">
        <v>15</v>
      </c>
      <c r="E1012" t="b">
        <v>0</v>
      </c>
      <c r="F1012" s="22" t="str">
        <f t="shared" si="48"/>
        <v/>
      </c>
      <c r="G1012" s="23" t="s">
        <v>168</v>
      </c>
      <c r="H1012" s="23" t="s">
        <v>221</v>
      </c>
      <c r="I1012" s="23" t="s">
        <v>37</v>
      </c>
      <c r="J1012" t="s">
        <v>42</v>
      </c>
      <c r="K1012" s="22" t="e">
        <f t="shared" si="49"/>
        <v>#N/A</v>
      </c>
      <c r="L1012" s="22" t="str">
        <f t="shared" si="50"/>
        <v/>
      </c>
    </row>
    <row r="1013" spans="1:12" x14ac:dyDescent="0.25">
      <c r="A1013">
        <v>13</v>
      </c>
      <c r="B1013">
        <v>3</v>
      </c>
      <c r="C1013">
        <v>17</v>
      </c>
      <c r="D1013">
        <v>16</v>
      </c>
      <c r="E1013" t="b">
        <v>0</v>
      </c>
      <c r="F1013" s="22" t="str">
        <f t="shared" si="48"/>
        <v/>
      </c>
      <c r="G1013" s="23" t="s">
        <v>168</v>
      </c>
      <c r="H1013" s="23" t="s">
        <v>222</v>
      </c>
      <c r="I1013" s="23" t="s">
        <v>37</v>
      </c>
      <c r="J1013" t="s">
        <v>121</v>
      </c>
      <c r="K1013" s="22" t="e">
        <f t="shared" si="49"/>
        <v>#N/A</v>
      </c>
      <c r="L1013" s="22" t="str">
        <f t="shared" si="50"/>
        <v/>
      </c>
    </row>
    <row r="1014" spans="1:12" x14ac:dyDescent="0.25">
      <c r="A1014">
        <v>13</v>
      </c>
      <c r="B1014">
        <v>3</v>
      </c>
      <c r="C1014">
        <v>17</v>
      </c>
      <c r="D1014">
        <v>17</v>
      </c>
      <c r="E1014" t="b">
        <v>1</v>
      </c>
      <c r="F1014" s="22" t="str">
        <f t="shared" si="48"/>
        <v/>
      </c>
      <c r="G1014" s="23" t="s">
        <v>168</v>
      </c>
      <c r="H1014" s="23" t="s">
        <v>223</v>
      </c>
      <c r="I1014" s="23" t="s">
        <v>37</v>
      </c>
      <c r="J1014" t="s">
        <v>44</v>
      </c>
      <c r="K1014" s="22" t="e">
        <f t="shared" si="49"/>
        <v>#N/A</v>
      </c>
      <c r="L1014" s="22" t="str">
        <f t="shared" si="50"/>
        <v/>
      </c>
    </row>
    <row r="1015" spans="1:12" x14ac:dyDescent="0.25">
      <c r="A1015">
        <v>13</v>
      </c>
      <c r="B1015">
        <v>4</v>
      </c>
      <c r="C1015">
        <v>9</v>
      </c>
      <c r="D1015">
        <v>1</v>
      </c>
      <c r="E1015" t="b">
        <v>0</v>
      </c>
      <c r="F1015" s="22" t="str">
        <f t="shared" si="48"/>
        <v/>
      </c>
      <c r="G1015" s="23" t="s">
        <v>169</v>
      </c>
      <c r="H1015" s="23" t="s">
        <v>224</v>
      </c>
      <c r="I1015" s="23" t="s">
        <v>25</v>
      </c>
      <c r="J1015" t="s">
        <v>122</v>
      </c>
      <c r="K1015" s="22" t="e">
        <f t="shared" si="49"/>
        <v>#N/A</v>
      </c>
      <c r="L1015" s="22" t="str">
        <f t="shared" si="50"/>
        <v/>
      </c>
    </row>
    <row r="1016" spans="1:12" x14ac:dyDescent="0.25">
      <c r="A1016">
        <v>13</v>
      </c>
      <c r="B1016">
        <v>4</v>
      </c>
      <c r="C1016">
        <v>9</v>
      </c>
      <c r="D1016">
        <v>2</v>
      </c>
      <c r="E1016" t="b">
        <v>0</v>
      </c>
      <c r="F1016" s="22" t="str">
        <f t="shared" si="48"/>
        <v/>
      </c>
      <c r="G1016" s="23" t="s">
        <v>169</v>
      </c>
      <c r="H1016" s="23" t="s">
        <v>225</v>
      </c>
      <c r="I1016" s="23" t="s">
        <v>25</v>
      </c>
      <c r="J1016" t="s">
        <v>26</v>
      </c>
      <c r="K1016" s="22" t="e">
        <f t="shared" si="49"/>
        <v>#N/A</v>
      </c>
      <c r="L1016" s="22" t="str">
        <f t="shared" si="50"/>
        <v/>
      </c>
    </row>
    <row r="1017" spans="1:12" x14ac:dyDescent="0.25">
      <c r="A1017">
        <v>13</v>
      </c>
      <c r="B1017">
        <v>4</v>
      </c>
      <c r="C1017">
        <v>9</v>
      </c>
      <c r="D1017">
        <v>3</v>
      </c>
      <c r="E1017" t="b">
        <v>0</v>
      </c>
      <c r="F1017" s="22" t="str">
        <f t="shared" si="48"/>
        <v/>
      </c>
      <c r="G1017" s="23" t="s">
        <v>169</v>
      </c>
      <c r="H1017" s="23" t="s">
        <v>226</v>
      </c>
      <c r="I1017" s="23" t="s">
        <v>25</v>
      </c>
      <c r="J1017" t="s">
        <v>27</v>
      </c>
      <c r="K1017" s="22" t="e">
        <f t="shared" si="49"/>
        <v>#N/A</v>
      </c>
      <c r="L1017" s="22" t="str">
        <f t="shared" si="50"/>
        <v/>
      </c>
    </row>
    <row r="1018" spans="1:12" x14ac:dyDescent="0.25">
      <c r="A1018">
        <v>13</v>
      </c>
      <c r="B1018">
        <v>4</v>
      </c>
      <c r="C1018">
        <v>9</v>
      </c>
      <c r="D1018">
        <v>4</v>
      </c>
      <c r="E1018" t="b">
        <v>0</v>
      </c>
      <c r="F1018" s="22" t="str">
        <f t="shared" si="48"/>
        <v/>
      </c>
      <c r="G1018" s="23" t="s">
        <v>169</v>
      </c>
      <c r="H1018" s="23" t="s">
        <v>227</v>
      </c>
      <c r="I1018" s="23" t="s">
        <v>25</v>
      </c>
      <c r="J1018" t="s">
        <v>28</v>
      </c>
      <c r="K1018" s="22" t="e">
        <f t="shared" si="49"/>
        <v>#N/A</v>
      </c>
      <c r="L1018" s="22" t="str">
        <f t="shared" si="50"/>
        <v/>
      </c>
    </row>
    <row r="1019" spans="1:12" x14ac:dyDescent="0.25">
      <c r="A1019">
        <v>13</v>
      </c>
      <c r="B1019">
        <v>4</v>
      </c>
      <c r="C1019">
        <v>9</v>
      </c>
      <c r="D1019">
        <v>5</v>
      </c>
      <c r="E1019" t="b">
        <v>0</v>
      </c>
      <c r="F1019" s="22" t="str">
        <f t="shared" si="48"/>
        <v/>
      </c>
      <c r="G1019" s="23" t="s">
        <v>169</v>
      </c>
      <c r="H1019" s="23" t="s">
        <v>228</v>
      </c>
      <c r="I1019" s="23" t="s">
        <v>25</v>
      </c>
      <c r="J1019" t="s">
        <v>128</v>
      </c>
      <c r="K1019" s="22" t="e">
        <f t="shared" si="49"/>
        <v>#N/A</v>
      </c>
      <c r="L1019" s="22" t="str">
        <f t="shared" si="50"/>
        <v/>
      </c>
    </row>
    <row r="1020" spans="1:12" x14ac:dyDescent="0.25">
      <c r="A1020">
        <v>13</v>
      </c>
      <c r="B1020">
        <v>4</v>
      </c>
      <c r="C1020">
        <v>9</v>
      </c>
      <c r="D1020">
        <v>6</v>
      </c>
      <c r="E1020" t="b">
        <v>0</v>
      </c>
      <c r="F1020" s="22" t="str">
        <f t="shared" si="48"/>
        <v/>
      </c>
      <c r="G1020" s="23" t="s">
        <v>169</v>
      </c>
      <c r="H1020" s="23" t="s">
        <v>229</v>
      </c>
      <c r="I1020" s="23" t="s">
        <v>25</v>
      </c>
      <c r="J1020" t="s">
        <v>29</v>
      </c>
      <c r="K1020" s="22" t="e">
        <f t="shared" si="49"/>
        <v>#N/A</v>
      </c>
      <c r="L1020" s="22" t="str">
        <f t="shared" si="50"/>
        <v/>
      </c>
    </row>
    <row r="1021" spans="1:12" x14ac:dyDescent="0.25">
      <c r="A1021">
        <v>13</v>
      </c>
      <c r="B1021">
        <v>4</v>
      </c>
      <c r="C1021">
        <v>9</v>
      </c>
      <c r="D1021">
        <v>7</v>
      </c>
      <c r="E1021" t="b">
        <v>0</v>
      </c>
      <c r="F1021" s="22" t="str">
        <f t="shared" si="48"/>
        <v/>
      </c>
      <c r="G1021" s="23" t="s">
        <v>169</v>
      </c>
      <c r="H1021" s="23" t="s">
        <v>230</v>
      </c>
      <c r="I1021" s="23" t="s">
        <v>25</v>
      </c>
      <c r="J1021" t="s">
        <v>30</v>
      </c>
      <c r="K1021" s="22" t="e">
        <f t="shared" si="49"/>
        <v>#N/A</v>
      </c>
      <c r="L1021" s="22" t="str">
        <f t="shared" si="50"/>
        <v/>
      </c>
    </row>
    <row r="1022" spans="1:12" x14ac:dyDescent="0.25">
      <c r="A1022">
        <v>13</v>
      </c>
      <c r="B1022">
        <v>4</v>
      </c>
      <c r="C1022">
        <v>9</v>
      </c>
      <c r="D1022">
        <v>8</v>
      </c>
      <c r="E1022" t="b">
        <v>0</v>
      </c>
      <c r="F1022" s="22" t="str">
        <f t="shared" si="48"/>
        <v/>
      </c>
      <c r="G1022" s="23" t="s">
        <v>169</v>
      </c>
      <c r="H1022" s="23" t="s">
        <v>231</v>
      </c>
      <c r="I1022" s="23" t="s">
        <v>25</v>
      </c>
      <c r="J1022" t="s">
        <v>31</v>
      </c>
      <c r="K1022" s="22" t="e">
        <f t="shared" si="49"/>
        <v>#N/A</v>
      </c>
      <c r="L1022" s="22" t="str">
        <f t="shared" si="50"/>
        <v/>
      </c>
    </row>
    <row r="1023" spans="1:12" x14ac:dyDescent="0.25">
      <c r="A1023">
        <v>13</v>
      </c>
      <c r="B1023">
        <v>4</v>
      </c>
      <c r="C1023">
        <v>9</v>
      </c>
      <c r="D1023">
        <v>9</v>
      </c>
      <c r="E1023" t="b">
        <v>1</v>
      </c>
      <c r="F1023" s="22" t="str">
        <f t="shared" si="48"/>
        <v/>
      </c>
      <c r="G1023" s="23" t="s">
        <v>169</v>
      </c>
      <c r="H1023" s="23" t="s">
        <v>232</v>
      </c>
      <c r="I1023" s="23" t="s">
        <v>25</v>
      </c>
      <c r="J1023" t="s">
        <v>43</v>
      </c>
      <c r="K1023" s="22" t="e">
        <f t="shared" si="49"/>
        <v>#N/A</v>
      </c>
      <c r="L1023" s="22" t="str">
        <f t="shared" si="50"/>
        <v/>
      </c>
    </row>
    <row r="1024" spans="1:12" x14ac:dyDescent="0.25">
      <c r="A1024">
        <v>13</v>
      </c>
      <c r="B1024">
        <v>5</v>
      </c>
      <c r="C1024">
        <v>9</v>
      </c>
      <c r="D1024">
        <v>1</v>
      </c>
      <c r="E1024" t="b">
        <v>0</v>
      </c>
      <c r="F1024" s="22" t="str">
        <f t="shared" si="48"/>
        <v/>
      </c>
      <c r="G1024" s="23" t="s">
        <v>166</v>
      </c>
      <c r="H1024" s="23" t="s">
        <v>233</v>
      </c>
      <c r="I1024" s="23" t="s">
        <v>32</v>
      </c>
      <c r="J1024" t="s">
        <v>33</v>
      </c>
      <c r="K1024" s="22" t="e">
        <f t="shared" si="49"/>
        <v>#N/A</v>
      </c>
      <c r="L1024" s="22" t="str">
        <f t="shared" si="50"/>
        <v/>
      </c>
    </row>
    <row r="1025" spans="1:12" x14ac:dyDescent="0.25">
      <c r="A1025">
        <v>13</v>
      </c>
      <c r="B1025">
        <v>5</v>
      </c>
      <c r="C1025">
        <v>9</v>
      </c>
      <c r="D1025">
        <v>2</v>
      </c>
      <c r="E1025" t="b">
        <v>0</v>
      </c>
      <c r="F1025" s="22" t="str">
        <f t="shared" si="48"/>
        <v/>
      </c>
      <c r="G1025" s="23" t="s">
        <v>166</v>
      </c>
      <c r="H1025" s="23" t="s">
        <v>234</v>
      </c>
      <c r="I1025" s="23" t="s">
        <v>32</v>
      </c>
      <c r="J1025" t="s">
        <v>34</v>
      </c>
      <c r="K1025" s="22" t="e">
        <f t="shared" si="49"/>
        <v>#N/A</v>
      </c>
      <c r="L1025" s="22" t="str">
        <f t="shared" si="50"/>
        <v/>
      </c>
    </row>
    <row r="1026" spans="1:12" x14ac:dyDescent="0.25">
      <c r="A1026">
        <v>13</v>
      </c>
      <c r="B1026">
        <v>5</v>
      </c>
      <c r="C1026">
        <v>9</v>
      </c>
      <c r="D1026">
        <v>3</v>
      </c>
      <c r="E1026" t="b">
        <v>0</v>
      </c>
      <c r="F1026" s="22" t="str">
        <f t="shared" si="48"/>
        <v/>
      </c>
      <c r="G1026" s="23" t="s">
        <v>166</v>
      </c>
      <c r="H1026" s="23" t="s">
        <v>235</v>
      </c>
      <c r="I1026" s="23" t="s">
        <v>32</v>
      </c>
      <c r="J1026" t="s">
        <v>35</v>
      </c>
      <c r="K1026" s="22" t="e">
        <f t="shared" si="49"/>
        <v>#N/A</v>
      </c>
      <c r="L1026" s="22" t="str">
        <f t="shared" si="50"/>
        <v/>
      </c>
    </row>
    <row r="1027" spans="1:12" x14ac:dyDescent="0.25">
      <c r="A1027">
        <v>13</v>
      </c>
      <c r="B1027">
        <v>5</v>
      </c>
      <c r="C1027">
        <v>9</v>
      </c>
      <c r="D1027">
        <v>4</v>
      </c>
      <c r="E1027" t="b">
        <v>0</v>
      </c>
      <c r="F1027" s="22" t="str">
        <f t="shared" si="48"/>
        <v/>
      </c>
      <c r="G1027" s="23" t="s">
        <v>166</v>
      </c>
      <c r="H1027" s="23" t="s">
        <v>236</v>
      </c>
      <c r="I1027" s="23" t="s">
        <v>32</v>
      </c>
      <c r="J1027" t="s">
        <v>123</v>
      </c>
      <c r="K1027" s="22" t="e">
        <f t="shared" si="49"/>
        <v>#N/A</v>
      </c>
      <c r="L1027" s="22" t="str">
        <f t="shared" si="50"/>
        <v/>
      </c>
    </row>
    <row r="1028" spans="1:12" x14ac:dyDescent="0.25">
      <c r="A1028">
        <v>13</v>
      </c>
      <c r="B1028">
        <v>5</v>
      </c>
      <c r="C1028">
        <v>9</v>
      </c>
      <c r="D1028">
        <v>5</v>
      </c>
      <c r="E1028" t="b">
        <v>0</v>
      </c>
      <c r="F1028" s="22" t="str">
        <f t="shared" ref="F1028:F1043" si="51">VLOOKUP("Assessment #"&amp;$A1028, DateMeta, MATCH("DisplDate", DateMeta_H, 0), 0)</f>
        <v/>
      </c>
      <c r="G1028" s="23" t="s">
        <v>166</v>
      </c>
      <c r="H1028" s="23" t="s">
        <v>237</v>
      </c>
      <c r="I1028" s="23" t="s">
        <v>32</v>
      </c>
      <c r="J1028" t="s">
        <v>124</v>
      </c>
      <c r="K1028" s="22" t="e">
        <f t="shared" ref="K1028:K1043" si="52">IF(INDEX(Assess, MATCH($J1028, ItemLong, 0), MATCH("Assessment #"&amp;$A1028, Assess_H, 0))="", "", INDEX(Assess, MATCH($J1028, ItemLong, 0), MATCH("Assessment #"&amp;$A1028, Assess_H, 0)))</f>
        <v>#N/A</v>
      </c>
      <c r="L1028" s="22" t="str">
        <f t="shared" si="50"/>
        <v/>
      </c>
    </row>
    <row r="1029" spans="1:12" x14ac:dyDescent="0.25">
      <c r="A1029">
        <v>13</v>
      </c>
      <c r="B1029">
        <v>5</v>
      </c>
      <c r="C1029">
        <v>9</v>
      </c>
      <c r="D1029">
        <v>6</v>
      </c>
      <c r="E1029" t="b">
        <v>0</v>
      </c>
      <c r="F1029" s="22" t="str">
        <f t="shared" si="51"/>
        <v/>
      </c>
      <c r="G1029" s="23" t="s">
        <v>166</v>
      </c>
      <c r="H1029" s="23" t="s">
        <v>238</v>
      </c>
      <c r="I1029" s="23" t="s">
        <v>32</v>
      </c>
      <c r="J1029" t="s">
        <v>129</v>
      </c>
      <c r="K1029" s="22" t="e">
        <f t="shared" si="52"/>
        <v>#N/A</v>
      </c>
      <c r="L1029" s="22" t="str">
        <f t="shared" ref="L1029:L1043" si="53">IF(ISNUMBER(K1029), IF(K1029&gt;=2, 1, 0), "")</f>
        <v/>
      </c>
    </row>
    <row r="1030" spans="1:12" x14ac:dyDescent="0.25">
      <c r="A1030">
        <v>13</v>
      </c>
      <c r="B1030">
        <v>5</v>
      </c>
      <c r="C1030">
        <v>9</v>
      </c>
      <c r="D1030">
        <v>7</v>
      </c>
      <c r="E1030" t="b">
        <v>0</v>
      </c>
      <c r="F1030" s="22" t="str">
        <f t="shared" si="51"/>
        <v/>
      </c>
      <c r="G1030" s="23" t="s">
        <v>166</v>
      </c>
      <c r="H1030" s="23" t="s">
        <v>239</v>
      </c>
      <c r="I1030" s="23" t="s">
        <v>32</v>
      </c>
      <c r="J1030" t="s">
        <v>125</v>
      </c>
      <c r="K1030" s="22" t="e">
        <f t="shared" si="52"/>
        <v>#N/A</v>
      </c>
      <c r="L1030" s="22" t="str">
        <f t="shared" si="53"/>
        <v/>
      </c>
    </row>
    <row r="1031" spans="1:12" x14ac:dyDescent="0.25">
      <c r="A1031">
        <v>13</v>
      </c>
      <c r="B1031">
        <v>5</v>
      </c>
      <c r="C1031">
        <v>9</v>
      </c>
      <c r="D1031">
        <v>8</v>
      </c>
      <c r="E1031" t="b">
        <v>0</v>
      </c>
      <c r="F1031" s="22" t="str">
        <f t="shared" si="51"/>
        <v/>
      </c>
      <c r="G1031" s="23" t="s">
        <v>166</v>
      </c>
      <c r="H1031" s="23" t="s">
        <v>240</v>
      </c>
      <c r="I1031" s="23" t="s">
        <v>32</v>
      </c>
      <c r="J1031" t="s">
        <v>36</v>
      </c>
      <c r="K1031" s="22" t="e">
        <f t="shared" si="52"/>
        <v>#N/A</v>
      </c>
      <c r="L1031" s="22" t="str">
        <f t="shared" si="53"/>
        <v/>
      </c>
    </row>
    <row r="1032" spans="1:12" x14ac:dyDescent="0.25">
      <c r="A1032">
        <v>13</v>
      </c>
      <c r="B1032">
        <v>5</v>
      </c>
      <c r="C1032">
        <v>9</v>
      </c>
      <c r="D1032">
        <v>9</v>
      </c>
      <c r="E1032" t="b">
        <v>1</v>
      </c>
      <c r="F1032" s="22" t="str">
        <f t="shared" si="51"/>
        <v/>
      </c>
      <c r="G1032" s="23" t="s">
        <v>166</v>
      </c>
      <c r="H1032" s="23" t="s">
        <v>241</v>
      </c>
      <c r="I1032" s="23" t="s">
        <v>32</v>
      </c>
      <c r="J1032" t="s">
        <v>47</v>
      </c>
      <c r="K1032" s="22" t="e">
        <f t="shared" si="52"/>
        <v>#N/A</v>
      </c>
      <c r="L1032" s="22" t="str">
        <f t="shared" si="53"/>
        <v/>
      </c>
    </row>
    <row r="1033" spans="1:12" x14ac:dyDescent="0.25">
      <c r="A1033">
        <v>13</v>
      </c>
      <c r="B1033">
        <v>6</v>
      </c>
      <c r="C1033">
        <v>11</v>
      </c>
      <c r="D1033">
        <v>1</v>
      </c>
      <c r="E1033" t="b">
        <v>0</v>
      </c>
      <c r="F1033" s="22" t="str">
        <f t="shared" si="51"/>
        <v/>
      </c>
      <c r="G1033" s="23" t="s">
        <v>170</v>
      </c>
      <c r="H1033" s="23" t="s">
        <v>242</v>
      </c>
      <c r="I1033" s="23" t="s">
        <v>149</v>
      </c>
      <c r="J1033" t="s">
        <v>150</v>
      </c>
      <c r="K1033" s="22" t="e">
        <f t="shared" si="52"/>
        <v>#N/A</v>
      </c>
      <c r="L1033" s="22" t="str">
        <f t="shared" si="53"/>
        <v/>
      </c>
    </row>
    <row r="1034" spans="1:12" x14ac:dyDescent="0.25">
      <c r="A1034">
        <v>13</v>
      </c>
      <c r="B1034">
        <v>6</v>
      </c>
      <c r="C1034">
        <v>11</v>
      </c>
      <c r="D1034">
        <v>2</v>
      </c>
      <c r="E1034" t="b">
        <v>0</v>
      </c>
      <c r="F1034" s="22" t="str">
        <f t="shared" si="51"/>
        <v/>
      </c>
      <c r="G1034" s="23" t="s">
        <v>170</v>
      </c>
      <c r="H1034" s="23" t="s">
        <v>243</v>
      </c>
      <c r="I1034" s="23" t="s">
        <v>149</v>
      </c>
      <c r="J1034" t="s">
        <v>151</v>
      </c>
      <c r="K1034" s="22" t="e">
        <f t="shared" si="52"/>
        <v>#N/A</v>
      </c>
      <c r="L1034" s="22" t="str">
        <f t="shared" si="53"/>
        <v/>
      </c>
    </row>
    <row r="1035" spans="1:12" x14ac:dyDescent="0.25">
      <c r="A1035">
        <v>13</v>
      </c>
      <c r="B1035">
        <v>6</v>
      </c>
      <c r="C1035">
        <v>11</v>
      </c>
      <c r="D1035">
        <v>3</v>
      </c>
      <c r="E1035" t="b">
        <v>0</v>
      </c>
      <c r="F1035" s="22" t="str">
        <f t="shared" si="51"/>
        <v/>
      </c>
      <c r="G1035" s="23" t="s">
        <v>170</v>
      </c>
      <c r="H1035" s="23" t="s">
        <v>244</v>
      </c>
      <c r="I1035" s="23" t="s">
        <v>149</v>
      </c>
      <c r="J1035" t="s">
        <v>152</v>
      </c>
      <c r="K1035" s="22" t="e">
        <f t="shared" si="52"/>
        <v>#N/A</v>
      </c>
      <c r="L1035" s="22" t="str">
        <f t="shared" si="53"/>
        <v/>
      </c>
    </row>
    <row r="1036" spans="1:12" x14ac:dyDescent="0.25">
      <c r="A1036">
        <v>13</v>
      </c>
      <c r="B1036">
        <v>6</v>
      </c>
      <c r="C1036">
        <v>11</v>
      </c>
      <c r="D1036">
        <v>4</v>
      </c>
      <c r="E1036" t="b">
        <v>0</v>
      </c>
      <c r="F1036" s="22" t="str">
        <f t="shared" si="51"/>
        <v/>
      </c>
      <c r="G1036" s="23" t="s">
        <v>170</v>
      </c>
      <c r="H1036" s="23" t="s">
        <v>245</v>
      </c>
      <c r="I1036" s="23" t="s">
        <v>149</v>
      </c>
      <c r="J1036" t="s">
        <v>153</v>
      </c>
      <c r="K1036" s="22" t="e">
        <f t="shared" si="52"/>
        <v>#N/A</v>
      </c>
      <c r="L1036" s="22" t="str">
        <f t="shared" si="53"/>
        <v/>
      </c>
    </row>
    <row r="1037" spans="1:12" x14ac:dyDescent="0.25">
      <c r="A1037">
        <v>13</v>
      </c>
      <c r="B1037">
        <v>6</v>
      </c>
      <c r="C1037">
        <v>11</v>
      </c>
      <c r="D1037">
        <v>5</v>
      </c>
      <c r="E1037" t="b">
        <v>0</v>
      </c>
      <c r="F1037" s="22" t="str">
        <f t="shared" si="51"/>
        <v/>
      </c>
      <c r="G1037" s="23" t="s">
        <v>170</v>
      </c>
      <c r="H1037" s="23" t="s">
        <v>246</v>
      </c>
      <c r="I1037" s="23" t="s">
        <v>149</v>
      </c>
      <c r="J1037" t="s">
        <v>154</v>
      </c>
      <c r="K1037" s="22" t="e">
        <f t="shared" si="52"/>
        <v>#N/A</v>
      </c>
      <c r="L1037" s="22" t="str">
        <f t="shared" si="53"/>
        <v/>
      </c>
    </row>
    <row r="1038" spans="1:12" x14ac:dyDescent="0.25">
      <c r="A1038">
        <v>13</v>
      </c>
      <c r="B1038">
        <v>6</v>
      </c>
      <c r="C1038">
        <v>11</v>
      </c>
      <c r="D1038">
        <v>6</v>
      </c>
      <c r="E1038" t="b">
        <v>0</v>
      </c>
      <c r="F1038" s="22" t="str">
        <f t="shared" si="51"/>
        <v/>
      </c>
      <c r="G1038" s="23" t="s">
        <v>170</v>
      </c>
      <c r="H1038" s="23" t="s">
        <v>247</v>
      </c>
      <c r="I1038" s="23" t="s">
        <v>149</v>
      </c>
      <c r="J1038" t="s">
        <v>155</v>
      </c>
      <c r="K1038" s="22" t="e">
        <f t="shared" si="52"/>
        <v>#N/A</v>
      </c>
      <c r="L1038" s="22" t="str">
        <f t="shared" si="53"/>
        <v/>
      </c>
    </row>
    <row r="1039" spans="1:12" x14ac:dyDescent="0.25">
      <c r="A1039">
        <v>13</v>
      </c>
      <c r="B1039">
        <v>6</v>
      </c>
      <c r="C1039">
        <v>11</v>
      </c>
      <c r="D1039">
        <v>7</v>
      </c>
      <c r="E1039" t="b">
        <v>0</v>
      </c>
      <c r="F1039" s="22" t="str">
        <f t="shared" si="51"/>
        <v/>
      </c>
      <c r="G1039" s="23" t="s">
        <v>170</v>
      </c>
      <c r="H1039" s="23" t="s">
        <v>248</v>
      </c>
      <c r="I1039" s="23" t="s">
        <v>149</v>
      </c>
      <c r="J1039" t="s">
        <v>156</v>
      </c>
      <c r="K1039" s="22" t="e">
        <f t="shared" si="52"/>
        <v>#N/A</v>
      </c>
      <c r="L1039" s="22" t="str">
        <f t="shared" si="53"/>
        <v/>
      </c>
    </row>
    <row r="1040" spans="1:12" x14ac:dyDescent="0.25">
      <c r="A1040">
        <v>13</v>
      </c>
      <c r="B1040">
        <v>6</v>
      </c>
      <c r="C1040">
        <v>11</v>
      </c>
      <c r="D1040">
        <v>8</v>
      </c>
      <c r="E1040" t="b">
        <v>0</v>
      </c>
      <c r="F1040" s="22" t="str">
        <f t="shared" si="51"/>
        <v/>
      </c>
      <c r="G1040" s="23" t="s">
        <v>170</v>
      </c>
      <c r="H1040" s="23" t="s">
        <v>249</v>
      </c>
      <c r="I1040" s="23" t="s">
        <v>149</v>
      </c>
      <c r="J1040" t="s">
        <v>157</v>
      </c>
      <c r="K1040" s="22" t="e">
        <f t="shared" si="52"/>
        <v>#N/A</v>
      </c>
      <c r="L1040" s="22" t="str">
        <f t="shared" si="53"/>
        <v/>
      </c>
    </row>
    <row r="1041" spans="1:12" x14ac:dyDescent="0.25">
      <c r="A1041">
        <v>13</v>
      </c>
      <c r="B1041">
        <v>6</v>
      </c>
      <c r="C1041">
        <v>11</v>
      </c>
      <c r="D1041">
        <v>9</v>
      </c>
      <c r="E1041" t="b">
        <v>0</v>
      </c>
      <c r="F1041" s="22" t="str">
        <f t="shared" si="51"/>
        <v/>
      </c>
      <c r="G1041" s="23" t="s">
        <v>170</v>
      </c>
      <c r="H1041" s="23" t="s">
        <v>250</v>
      </c>
      <c r="I1041" s="23" t="s">
        <v>149</v>
      </c>
      <c r="J1041" t="s">
        <v>158</v>
      </c>
      <c r="K1041" s="22" t="e">
        <f t="shared" si="52"/>
        <v>#N/A</v>
      </c>
      <c r="L1041" s="22" t="str">
        <f t="shared" si="53"/>
        <v/>
      </c>
    </row>
    <row r="1042" spans="1:12" x14ac:dyDescent="0.25">
      <c r="A1042">
        <v>13</v>
      </c>
      <c r="B1042">
        <v>6</v>
      </c>
      <c r="C1042">
        <v>11</v>
      </c>
      <c r="D1042">
        <v>10</v>
      </c>
      <c r="E1042" t="b">
        <v>0</v>
      </c>
      <c r="F1042" s="22" t="str">
        <f t="shared" si="51"/>
        <v/>
      </c>
      <c r="G1042" s="23" t="s">
        <v>170</v>
      </c>
      <c r="H1042" s="23" t="s">
        <v>251</v>
      </c>
      <c r="I1042" s="23" t="s">
        <v>149</v>
      </c>
      <c r="J1042" t="s">
        <v>159</v>
      </c>
      <c r="K1042" s="22" t="e">
        <f t="shared" si="52"/>
        <v>#N/A</v>
      </c>
      <c r="L1042" s="22" t="str">
        <f t="shared" si="53"/>
        <v/>
      </c>
    </row>
    <row r="1043" spans="1:12" x14ac:dyDescent="0.25">
      <c r="A1043">
        <v>13</v>
      </c>
      <c r="B1043">
        <v>6</v>
      </c>
      <c r="C1043">
        <v>11</v>
      </c>
      <c r="D1043">
        <v>11</v>
      </c>
      <c r="E1043" t="b">
        <v>1</v>
      </c>
      <c r="F1043" s="22" t="str">
        <f t="shared" si="51"/>
        <v/>
      </c>
      <c r="G1043" s="23" t="s">
        <v>170</v>
      </c>
      <c r="H1043" s="23" t="s">
        <v>252</v>
      </c>
      <c r="I1043" s="23" t="s">
        <v>149</v>
      </c>
      <c r="J1043" t="s">
        <v>160</v>
      </c>
      <c r="K1043" s="22" t="e">
        <f t="shared" si="52"/>
        <v>#N/A</v>
      </c>
      <c r="L1043" s="22"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3" sqref="C3"/>
    </sheetView>
  </sheetViews>
  <sheetFormatPr defaultRowHeight="15" x14ac:dyDescent="0.25"/>
  <cols>
    <col min="1" max="1" width="3.7109375" style="140" customWidth="1"/>
    <col min="2" max="2" width="76.7109375" style="179" hidden="1" customWidth="1"/>
    <col min="3" max="3" width="32.28515625" style="140" customWidth="1"/>
    <col min="4" max="5" width="38.7109375" style="140" customWidth="1"/>
    <col min="6" max="6" width="4.85546875" style="140" customWidth="1"/>
    <col min="7" max="7" width="9.140625" style="140"/>
    <col min="8" max="11" width="9.140625" style="140" customWidth="1"/>
    <col min="12" max="16384" width="9.140625" style="140"/>
  </cols>
  <sheetData>
    <row r="1" spans="1:6" ht="28.5" x14ac:dyDescent="0.45">
      <c r="A1" s="235" t="s">
        <v>304</v>
      </c>
      <c r="B1" s="162"/>
      <c r="C1" s="234"/>
      <c r="D1" s="163"/>
      <c r="E1" s="163"/>
      <c r="F1" s="163"/>
    </row>
    <row r="2" spans="1:6" x14ac:dyDescent="0.25">
      <c r="A2" s="164"/>
      <c r="B2" s="165"/>
      <c r="C2" s="168" t="s">
        <v>305</v>
      </c>
      <c r="D2" s="168" t="str">
        <f>FamilyName&amp;""</f>
        <v/>
      </c>
      <c r="E2" s="166"/>
      <c r="F2" s="164"/>
    </row>
    <row r="3" spans="1:6" x14ac:dyDescent="0.25">
      <c r="A3" s="153"/>
      <c r="B3" s="167"/>
      <c r="C3" s="168" t="str">
        <f>"Information from latest assessment: "&amp;TEXT(dateLastAssess, "M/D/YYYY")</f>
        <v xml:space="preserve">Information from latest assessment: </v>
      </c>
      <c r="D3" s="169"/>
      <c r="E3" s="166"/>
      <c r="F3" s="153"/>
    </row>
    <row r="4" spans="1:6" x14ac:dyDescent="0.25">
      <c r="A4" s="153"/>
      <c r="B4" s="167"/>
      <c r="C4" s="168"/>
      <c r="D4" s="169"/>
      <c r="E4" s="166"/>
      <c r="F4" s="153"/>
    </row>
    <row r="5" spans="1:6" x14ac:dyDescent="0.25">
      <c r="A5" s="153"/>
      <c r="B5" s="170" t="s">
        <v>681</v>
      </c>
      <c r="C5" s="171"/>
      <c r="D5" s="172" t="s">
        <v>258</v>
      </c>
      <c r="E5" s="172" t="s">
        <v>259</v>
      </c>
      <c r="F5" s="153"/>
    </row>
    <row r="6" spans="1:6" x14ac:dyDescent="0.25">
      <c r="A6" s="153"/>
      <c r="B6" s="167" t="s">
        <v>3</v>
      </c>
      <c r="C6" s="241" t="s">
        <v>3</v>
      </c>
      <c r="D6" s="173" t="str">
        <f t="shared" ref="D6:D17" ca="1" si="0">INDEX(ActionNeeds, MATCH($B6, LastDomainItem, 0))&amp;""</f>
        <v/>
      </c>
      <c r="E6" s="173" t="str">
        <f t="shared" ref="E6:E17" ca="1" si="1">INDEX(IActionNeeds, MATCH($B6, LastDomainItem, 0))&amp;""</f>
        <v/>
      </c>
      <c r="F6" s="153"/>
    </row>
    <row r="7" spans="1:6" x14ac:dyDescent="0.25">
      <c r="A7" s="153"/>
      <c r="B7" s="167" t="s">
        <v>306</v>
      </c>
      <c r="C7" s="241" t="s">
        <v>306</v>
      </c>
      <c r="D7" s="173" t="str">
        <f t="shared" ca="1" si="0"/>
        <v/>
      </c>
      <c r="E7" s="173" t="str">
        <f t="shared" ca="1" si="1"/>
        <v/>
      </c>
      <c r="F7" s="153"/>
    </row>
    <row r="8" spans="1:6" x14ac:dyDescent="0.25">
      <c r="A8" s="153"/>
      <c r="B8" s="167" t="s">
        <v>324</v>
      </c>
      <c r="C8" s="241" t="str">
        <f>"Caregiver Functioning - "&amp;CGName1</f>
        <v xml:space="preserve">Caregiver Functioning - </v>
      </c>
      <c r="D8" s="173" t="str">
        <f t="shared" ca="1" si="0"/>
        <v/>
      </c>
      <c r="E8" s="173" t="str">
        <f t="shared" ca="1" si="1"/>
        <v/>
      </c>
      <c r="F8" s="153"/>
    </row>
    <row r="9" spans="1:6" x14ac:dyDescent="0.25">
      <c r="A9" s="153"/>
      <c r="B9" s="167" t="s">
        <v>325</v>
      </c>
      <c r="C9" s="241" t="str">
        <f>"Caregiver Functioning - "&amp;CGName2</f>
        <v xml:space="preserve">Caregiver Functioning - </v>
      </c>
      <c r="D9" s="173" t="str">
        <f t="shared" ca="1" si="0"/>
        <v/>
      </c>
      <c r="E9" s="173" t="str">
        <f t="shared" ca="1" si="1"/>
        <v/>
      </c>
      <c r="F9" s="153"/>
    </row>
    <row r="10" spans="1:6" x14ac:dyDescent="0.25">
      <c r="A10" s="153"/>
      <c r="B10" s="167" t="s">
        <v>668</v>
      </c>
      <c r="C10" s="241" t="str">
        <f>"Caregiver Functioning - "&amp;CGName3</f>
        <v xml:space="preserve">Caregiver Functioning - </v>
      </c>
      <c r="D10" s="173" t="str">
        <f t="shared" ca="1" si="0"/>
        <v/>
      </c>
      <c r="E10" s="173" t="str">
        <f t="shared" ca="1" si="1"/>
        <v/>
      </c>
      <c r="F10" s="153"/>
    </row>
    <row r="11" spans="1:6" x14ac:dyDescent="0.25">
      <c r="A11" s="153"/>
      <c r="B11" s="167" t="s">
        <v>669</v>
      </c>
      <c r="C11" s="241" t="str">
        <f>"Caregiver Functioning - "&amp;CGName4</f>
        <v xml:space="preserve">Caregiver Functioning - </v>
      </c>
      <c r="D11" s="173" t="str">
        <f t="shared" ca="1" si="0"/>
        <v/>
      </c>
      <c r="E11" s="173" t="str">
        <f t="shared" ca="1" si="1"/>
        <v/>
      </c>
      <c r="F11" s="153"/>
    </row>
    <row r="12" spans="1:6" x14ac:dyDescent="0.25">
      <c r="A12" s="153"/>
      <c r="B12" s="167" t="s">
        <v>326</v>
      </c>
      <c r="C12" s="241" t="str">
        <f>"Child Functioning - "&amp;ChildName1</f>
        <v xml:space="preserve">Child Functioning - </v>
      </c>
      <c r="D12" s="173" t="str">
        <f t="shared" ca="1" si="0"/>
        <v/>
      </c>
      <c r="E12" s="173" t="str">
        <f t="shared" ca="1" si="1"/>
        <v/>
      </c>
      <c r="F12" s="153"/>
    </row>
    <row r="13" spans="1:6" x14ac:dyDescent="0.25">
      <c r="A13" s="153"/>
      <c r="B13" s="167" t="s">
        <v>327</v>
      </c>
      <c r="C13" s="241" t="str">
        <f>"Child Functioning - "&amp;ChildName2</f>
        <v xml:space="preserve">Child Functioning - </v>
      </c>
      <c r="D13" s="173" t="str">
        <f t="shared" ca="1" si="0"/>
        <v/>
      </c>
      <c r="E13" s="173" t="str">
        <f t="shared" ca="1" si="1"/>
        <v/>
      </c>
      <c r="F13" s="153"/>
    </row>
    <row r="14" spans="1:6" x14ac:dyDescent="0.25">
      <c r="A14" s="153"/>
      <c r="B14" s="167" t="s">
        <v>328</v>
      </c>
      <c r="C14" s="241" t="str">
        <f>"Child Functioning - "&amp;ChildName3</f>
        <v xml:space="preserve">Child Functioning - </v>
      </c>
      <c r="D14" s="173" t="str">
        <f t="shared" ca="1" si="0"/>
        <v/>
      </c>
      <c r="E14" s="173" t="str">
        <f t="shared" ca="1" si="1"/>
        <v/>
      </c>
      <c r="F14" s="153"/>
    </row>
    <row r="15" spans="1:6" x14ac:dyDescent="0.25">
      <c r="A15" s="153"/>
      <c r="B15" s="167" t="s">
        <v>329</v>
      </c>
      <c r="C15" s="241" t="str">
        <f>"Child Functioning - "&amp;ChildName4</f>
        <v xml:space="preserve">Child Functioning - </v>
      </c>
      <c r="D15" s="173" t="str">
        <f t="shared" ca="1" si="0"/>
        <v/>
      </c>
      <c r="E15" s="173" t="str">
        <f t="shared" ca="1" si="1"/>
        <v/>
      </c>
      <c r="F15" s="153"/>
    </row>
    <row r="16" spans="1:6" x14ac:dyDescent="0.25">
      <c r="A16" s="153"/>
      <c r="B16" s="167" t="s">
        <v>330</v>
      </c>
      <c r="C16" s="241" t="str">
        <f>"Child Functioning - "&amp;ChildName5</f>
        <v xml:space="preserve">Child Functioning - </v>
      </c>
      <c r="D16" s="173" t="str">
        <f t="shared" ca="1" si="0"/>
        <v/>
      </c>
      <c r="E16" s="173" t="str">
        <f t="shared" ca="1" si="1"/>
        <v/>
      </c>
      <c r="F16" s="153"/>
    </row>
    <row r="17" spans="1:6" x14ac:dyDescent="0.25">
      <c r="A17" s="153"/>
      <c r="B17" s="167" t="s">
        <v>331</v>
      </c>
      <c r="C17" s="241" t="str">
        <f>"Child Functioning - "&amp;ChildName6</f>
        <v xml:space="preserve">Child Functioning - </v>
      </c>
      <c r="D17" s="173" t="str">
        <f t="shared" ca="1" si="0"/>
        <v/>
      </c>
      <c r="E17" s="173" t="str">
        <f t="shared" ca="1" si="1"/>
        <v/>
      </c>
      <c r="F17" s="153"/>
    </row>
    <row r="18" spans="1:6" x14ac:dyDescent="0.25">
      <c r="A18" s="153"/>
      <c r="B18" s="167"/>
      <c r="C18" s="174"/>
      <c r="D18" s="175" t="s">
        <v>307</v>
      </c>
      <c r="E18" s="175" t="s">
        <v>308</v>
      </c>
      <c r="F18" s="153"/>
    </row>
    <row r="19" spans="1:6" x14ac:dyDescent="0.25">
      <c r="A19" s="153"/>
      <c r="B19" s="167" t="s">
        <v>683</v>
      </c>
      <c r="C19" s="241" t="s">
        <v>10</v>
      </c>
      <c r="D19" s="173" t="str">
        <f ca="1">INDEX(USList, MATCH($B19, LastDomShortItem, 0))&amp;""</f>
        <v/>
      </c>
      <c r="E19" s="173" t="str">
        <f ca="1">INDEX(SBList, MATCH($B19, LastDomShortItem, 0))&amp;""</f>
        <v/>
      </c>
      <c r="F19" s="153"/>
    </row>
    <row r="20" spans="1:6" x14ac:dyDescent="0.25">
      <c r="A20" s="153"/>
      <c r="B20" s="167" t="s">
        <v>666</v>
      </c>
      <c r="C20" s="241" t="s">
        <v>309</v>
      </c>
      <c r="D20" s="173" t="str">
        <f ca="1">INDEX(USList, MATCH($B20, LastDomShortItem, 0))&amp;""</f>
        <v/>
      </c>
      <c r="E20" s="173" t="str">
        <f ca="1">INDEX(SBList, MATCH($B20, LastDomShortItem, 0))&amp;""</f>
        <v/>
      </c>
      <c r="F20" s="153"/>
    </row>
    <row r="21" spans="1:6" x14ac:dyDescent="0.25">
      <c r="A21" s="153"/>
      <c r="B21" s="167" t="s">
        <v>667</v>
      </c>
      <c r="C21" s="241" t="s">
        <v>310</v>
      </c>
      <c r="D21" s="173" t="str">
        <f ca="1">INDEX(USList, MATCH($B21, LastDomShortItem, 0))&amp;""</f>
        <v/>
      </c>
      <c r="E21" s="173" t="str">
        <f ca="1">INDEX(SBList, MATCH($B21, LastDomShortItem, 0))&amp;""</f>
        <v/>
      </c>
      <c r="F21" s="153"/>
    </row>
    <row r="22" spans="1:6" x14ac:dyDescent="0.25">
      <c r="A22" s="153"/>
      <c r="B22" s="153"/>
      <c r="C22" s="153"/>
      <c r="D22" s="153"/>
      <c r="E22" s="153"/>
      <c r="F22" s="153"/>
    </row>
    <row r="23" spans="1:6" x14ac:dyDescent="0.25">
      <c r="A23" s="153"/>
      <c r="B23" s="170" t="s">
        <v>684</v>
      </c>
      <c r="C23" s="176" t="s">
        <v>311</v>
      </c>
      <c r="D23" s="177"/>
      <c r="E23" s="177"/>
      <c r="F23" s="153"/>
    </row>
    <row r="24" spans="1:6" x14ac:dyDescent="0.25">
      <c r="A24" s="153"/>
      <c r="B24" s="178">
        <f>FamilyGoals</f>
        <v>0</v>
      </c>
      <c r="C24" s="241" t="s">
        <v>312</v>
      </c>
      <c r="D24" s="274" t="str">
        <f>FamilyGoals &amp; ""</f>
        <v/>
      </c>
      <c r="E24" s="274"/>
      <c r="F24" s="153"/>
    </row>
    <row r="25" spans="1:6" x14ac:dyDescent="0.25">
      <c r="A25" s="153"/>
      <c r="B25" s="178">
        <f>FamilyStrengths</f>
        <v>0</v>
      </c>
      <c r="C25" s="241" t="s">
        <v>10</v>
      </c>
      <c r="D25" s="274" t="str">
        <f>FamilyStrengths &amp; ""</f>
        <v/>
      </c>
      <c r="E25" s="274"/>
      <c r="F25" s="153"/>
    </row>
    <row r="26" spans="1:6" x14ac:dyDescent="0.25">
      <c r="A26" s="153"/>
      <c r="B26" s="167"/>
      <c r="C26" s="153"/>
      <c r="D26" s="153"/>
      <c r="E26" s="153"/>
      <c r="F26" s="153"/>
    </row>
  </sheetData>
  <sheetProtection sheet="1" objects="1" scenarios="1" selectLockedCells="1"/>
  <mergeCells count="2">
    <mergeCell ref="D24:E24"/>
    <mergeCell ref="D25:E25"/>
  </mergeCells>
  <pageMargins left="0.7" right="0.7" top="0.75" bottom="0.75" header="0.3" footer="0.3"/>
  <pageSetup scale="77"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2"/>
    <col min="13" max="13" width="30.140625" bestFit="1" customWidth="1"/>
    <col min="14" max="14" width="9.7109375" bestFit="1" customWidth="1"/>
    <col min="15" max="16" width="9.28515625" bestFit="1" customWidth="1"/>
    <col min="18" max="18" width="25.5703125" bestFit="1" customWidth="1"/>
    <col min="21" max="21" width="30.140625" style="22" bestFit="1" customWidth="1"/>
    <col min="22" max="22" width="9.7109375" bestFit="1" customWidth="1"/>
    <col min="23" max="24" width="9.28515625" bestFit="1" customWidth="1"/>
  </cols>
  <sheetData>
    <row r="1" spans="2:24" x14ac:dyDescent="0.25">
      <c r="B1" s="16" t="s">
        <v>3</v>
      </c>
      <c r="J1" s="16" t="str">
        <f>"Caregiver Functioning - "&amp;IF(CGName1="", "&lt;No name provided&gt;", CGName1)</f>
        <v>Caregiver Functioning - &lt;No name provided&gt;</v>
      </c>
      <c r="R1" s="16" t="str">
        <f>"Child Functioning -- "&amp;IF(ChildName1="", "&lt;No name provided&gt;", ChildName1&amp;", ID: "&amp;ChildID1)</f>
        <v>Child Functioning -- &lt;No name provided&gt;</v>
      </c>
    </row>
    <row r="2" spans="2:24" x14ac:dyDescent="0.25">
      <c r="F2" s="250" t="str">
        <f>IF(dateAssess1="", "&lt;No 1st Assm't&gt;", dateAssess1)</f>
        <v>&lt;No 1st Assm't&gt;</v>
      </c>
      <c r="G2" s="19" t="str">
        <f>IF(dateAssess2="", "&lt;No 2nd Assm't&gt;", dateAssess2)</f>
        <v>&lt;No 2nd Assm't&gt;</v>
      </c>
      <c r="H2" s="19" t="str">
        <f>IF(dateAssess3="", "&lt;No 3rd Assm't&gt;", dateAssess3)</f>
        <v>&lt;No 3rd Assm't&gt;</v>
      </c>
      <c r="N2" s="250" t="str">
        <f>IF(dateAssess1="", "&lt;No 1st Assm't&gt;", dateAssess1)</f>
        <v>&lt;No 1st Assm't&gt;</v>
      </c>
      <c r="O2" s="19" t="str">
        <f>IF(dateAssess2="", "&lt;No 2nd Assm't&gt;", dateAssess2)</f>
        <v>&lt;No 2nd Assm't&gt;</v>
      </c>
      <c r="P2" s="19" t="str">
        <f>IF(dateAssess3="", "&lt;No 3rd Assm't&gt;", dateAssess3)</f>
        <v>&lt;No 3rd Assm't&gt;</v>
      </c>
      <c r="V2" s="250" t="str">
        <f>IF(dateAssess1="", "&lt;No 1st Assm't&gt;", dateAssess1)</f>
        <v>&lt;No 1st Assm't&gt;</v>
      </c>
      <c r="W2" s="19" t="str">
        <f>IF(dateAssess2="", "&lt;No 2nd Assm't&gt;", dateAssess2)</f>
        <v>&lt;No 2nd Assm't&gt;</v>
      </c>
      <c r="X2" s="19"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#N/A</v>
      </c>
      <c r="G3" t="e">
        <f t="shared" si="1"/>
        <v>#N/A</v>
      </c>
      <c r="H3" t="e">
        <f t="shared" si="1"/>
        <v>#N/A</v>
      </c>
      <c r="J3" s="54" t="s">
        <v>324</v>
      </c>
      <c r="K3">
        <v>1</v>
      </c>
      <c r="L3" s="22" t="str">
        <f>J3&amp;"_"&amp;K3</f>
        <v>Caregiver Functioning - Caregiver #1_1</v>
      </c>
      <c r="M3" s="22" t="str">
        <f t="shared" ref="M3:M16" si="2">INDEX(ItemShort, MATCH($L3, ItemLookup, 0))</f>
        <v>Involvement with Services</v>
      </c>
      <c r="N3" t="e">
        <f t="shared" ref="N3:P16" si="3">IFERROR(VALUE(INDEX(Assess, MATCH($L3, ItemLookup, 0), MATCH(N$2, DatesRow, 0))&amp;""), NA())</f>
        <v>#N/A</v>
      </c>
      <c r="O3" t="e">
        <f t="shared" si="3"/>
        <v>#N/A</v>
      </c>
      <c r="P3" t="e">
        <f t="shared" si="3"/>
        <v>#N/A</v>
      </c>
      <c r="R3" s="54" t="s">
        <v>326</v>
      </c>
      <c r="S3">
        <v>1</v>
      </c>
      <c r="T3" s="22" t="str">
        <f>R3&amp;"_"&amp;S3</f>
        <v>Child Functioning -- Child #1_1</v>
      </c>
      <c r="U3" s="22"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#N/A</v>
      </c>
      <c r="G4" t="e">
        <f t="shared" si="1"/>
        <v>#N/A</v>
      </c>
      <c r="H4" t="e">
        <f t="shared" si="1"/>
        <v>#N/A</v>
      </c>
      <c r="J4" s="54" t="s">
        <v>324</v>
      </c>
      <c r="K4">
        <f>K3+1</f>
        <v>2</v>
      </c>
      <c r="L4" s="22" t="str">
        <f t="shared" ref="L4:L12" si="7">J4&amp;"_"&amp;K4</f>
        <v>Caregiver Functioning - Caregiver #1_2</v>
      </c>
      <c r="M4" s="22" t="str">
        <f t="shared" si="2"/>
        <v>Distress Tolerance</v>
      </c>
      <c r="N4" t="e">
        <f t="shared" si="3"/>
        <v>#N/A</v>
      </c>
      <c r="O4" t="e">
        <f t="shared" si="3"/>
        <v>#N/A</v>
      </c>
      <c r="P4" t="e">
        <f t="shared" si="3"/>
        <v>#N/A</v>
      </c>
      <c r="R4" s="54" t="s">
        <v>326</v>
      </c>
      <c r="S4">
        <f>S3+1</f>
        <v>2</v>
      </c>
      <c r="T4" s="22" t="str">
        <f t="shared" ref="T4:T15" si="8">R4&amp;"_"&amp;S4</f>
        <v>Child Functioning -- Child #1_2</v>
      </c>
      <c r="U4" s="22"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#N/A</v>
      </c>
      <c r="G5" t="e">
        <f t="shared" si="1"/>
        <v>#N/A</v>
      </c>
      <c r="H5" t="e">
        <f t="shared" si="1"/>
        <v>#N/A</v>
      </c>
      <c r="J5" s="54" t="s">
        <v>324</v>
      </c>
      <c r="K5">
        <f t="shared" ref="K5:K12" si="10">K4+1</f>
        <v>3</v>
      </c>
      <c r="L5" s="22" t="str">
        <f t="shared" si="7"/>
        <v>Caregiver Functioning - Caregiver #1_3</v>
      </c>
      <c r="M5" s="22" t="str">
        <f t="shared" si="2"/>
        <v>Supervision</v>
      </c>
      <c r="N5" t="e">
        <f t="shared" si="3"/>
        <v>#N/A</v>
      </c>
      <c r="O5" t="e">
        <f t="shared" si="3"/>
        <v>#N/A</v>
      </c>
      <c r="P5" t="e">
        <f t="shared" si="3"/>
        <v>#N/A</v>
      </c>
      <c r="R5" s="54" t="s">
        <v>326</v>
      </c>
      <c r="S5">
        <f t="shared" ref="S5:S15" si="11">S4+1</f>
        <v>3</v>
      </c>
      <c r="T5" s="22" t="str">
        <f t="shared" si="8"/>
        <v>Child Functioning -- Child #1_3</v>
      </c>
      <c r="U5" s="22"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#N/A</v>
      </c>
      <c r="G6" t="e">
        <f t="shared" si="1"/>
        <v>#N/A</v>
      </c>
      <c r="H6" t="e">
        <f t="shared" si="1"/>
        <v>#N/A</v>
      </c>
      <c r="J6" s="54" t="s">
        <v>324</v>
      </c>
      <c r="K6">
        <f t="shared" si="10"/>
        <v>4</v>
      </c>
      <c r="L6" s="22" t="str">
        <f t="shared" si="7"/>
        <v>Caregiver Functioning - Caregiver #1_4</v>
      </c>
      <c r="M6" s="22" t="str">
        <f t="shared" si="2"/>
        <v>Discipline</v>
      </c>
      <c r="N6" t="e">
        <f t="shared" si="3"/>
        <v>#N/A</v>
      </c>
      <c r="O6" t="e">
        <f t="shared" si="3"/>
        <v>#N/A</v>
      </c>
      <c r="P6" t="e">
        <f t="shared" si="3"/>
        <v>#N/A</v>
      </c>
      <c r="R6" s="54" t="s">
        <v>326</v>
      </c>
      <c r="S6">
        <f t="shared" si="11"/>
        <v>4</v>
      </c>
      <c r="T6" s="22" t="str">
        <f t="shared" si="8"/>
        <v>Child Functioning -- Child #1_4</v>
      </c>
      <c r="U6" s="22"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#N/A</v>
      </c>
      <c r="G7" t="e">
        <f t="shared" si="1"/>
        <v>#N/A</v>
      </c>
      <c r="H7" t="e">
        <f t="shared" si="1"/>
        <v>#N/A</v>
      </c>
      <c r="J7" s="54" t="s">
        <v>324</v>
      </c>
      <c r="K7">
        <f t="shared" si="10"/>
        <v>5</v>
      </c>
      <c r="L7" s="22" t="str">
        <f t="shared" si="7"/>
        <v>Caregiver Functioning - Caregiver #1_5</v>
      </c>
      <c r="M7" s="22" t="str">
        <f t="shared" si="2"/>
        <v>Mental Health</v>
      </c>
      <c r="N7" t="e">
        <f t="shared" si="3"/>
        <v>#N/A</v>
      </c>
      <c r="O7" t="e">
        <f t="shared" si="3"/>
        <v>#N/A</v>
      </c>
      <c r="P7" t="e">
        <f t="shared" si="3"/>
        <v>#N/A</v>
      </c>
      <c r="R7" s="54" t="s">
        <v>326</v>
      </c>
      <c r="S7">
        <f t="shared" si="11"/>
        <v>5</v>
      </c>
      <c r="T7" s="22" t="str">
        <f t="shared" si="8"/>
        <v>Child Functioning -- Child #1_5</v>
      </c>
      <c r="U7" s="22"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#N/A</v>
      </c>
      <c r="G8" t="e">
        <f t="shared" si="1"/>
        <v>#N/A</v>
      </c>
      <c r="H8" t="e">
        <f t="shared" si="1"/>
        <v>#N/A</v>
      </c>
      <c r="J8" s="54" t="s">
        <v>324</v>
      </c>
      <c r="K8">
        <f t="shared" si="10"/>
        <v>6</v>
      </c>
      <c r="L8" s="22" t="str">
        <f t="shared" si="7"/>
        <v>Caregiver Functioning - Caregiver #1_6</v>
      </c>
      <c r="M8" s="22" t="str">
        <f t="shared" si="2"/>
        <v>Partner Relations</v>
      </c>
      <c r="N8" t="e">
        <f t="shared" si="3"/>
        <v>#N/A</v>
      </c>
      <c r="O8" t="e">
        <f t="shared" si="3"/>
        <v>#N/A</v>
      </c>
      <c r="P8" t="e">
        <f t="shared" si="3"/>
        <v>#N/A</v>
      </c>
      <c r="R8" s="54" t="s">
        <v>326</v>
      </c>
      <c r="S8">
        <f t="shared" si="11"/>
        <v>6</v>
      </c>
      <c r="T8" s="22" t="str">
        <f t="shared" si="8"/>
        <v>Child Functioning -- Child #1_6</v>
      </c>
      <c r="U8" s="22"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#N/A</v>
      </c>
      <c r="G9" t="e">
        <f t="shared" si="1"/>
        <v>#N/A</v>
      </c>
      <c r="H9" t="e">
        <f t="shared" si="1"/>
        <v>#N/A</v>
      </c>
      <c r="J9" s="54" t="s">
        <v>324</v>
      </c>
      <c r="K9">
        <f t="shared" si="10"/>
        <v>7</v>
      </c>
      <c r="L9" s="22" t="str">
        <f t="shared" si="7"/>
        <v>Caregiver Functioning - Caregiver #1_7</v>
      </c>
      <c r="M9" s="22" t="str">
        <f t="shared" si="2"/>
        <v>Substance Abuse</v>
      </c>
      <c r="N9" t="e">
        <f t="shared" si="3"/>
        <v>#N/A</v>
      </c>
      <c r="O9" t="e">
        <f t="shared" si="3"/>
        <v>#N/A</v>
      </c>
      <c r="P9" t="e">
        <f t="shared" si="3"/>
        <v>#N/A</v>
      </c>
      <c r="R9" s="54" t="s">
        <v>326</v>
      </c>
      <c r="S9">
        <f t="shared" si="11"/>
        <v>7</v>
      </c>
      <c r="T9" s="22" t="str">
        <f t="shared" si="8"/>
        <v>Child Functioning -- Child #1_7</v>
      </c>
      <c r="U9" s="22"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#N/A</v>
      </c>
      <c r="G10" t="e">
        <f t="shared" si="1"/>
        <v>#N/A</v>
      </c>
      <c r="H10" t="e">
        <f t="shared" si="1"/>
        <v>#N/A</v>
      </c>
      <c r="J10" s="54" t="s">
        <v>324</v>
      </c>
      <c r="K10">
        <f t="shared" si="10"/>
        <v>8</v>
      </c>
      <c r="L10" s="22" t="str">
        <f t="shared" si="7"/>
        <v>Caregiver Functioning - Caregiver #1_8</v>
      </c>
      <c r="M10" s="22" t="str">
        <f t="shared" si="2"/>
        <v>Physical Health</v>
      </c>
      <c r="N10" t="e">
        <f t="shared" si="3"/>
        <v>#N/A</v>
      </c>
      <c r="O10" t="e">
        <f t="shared" si="3"/>
        <v>#N/A</v>
      </c>
      <c r="P10" t="e">
        <f t="shared" si="3"/>
        <v>#N/A</v>
      </c>
      <c r="R10" s="54" t="s">
        <v>326</v>
      </c>
      <c r="S10">
        <f t="shared" si="11"/>
        <v>8</v>
      </c>
      <c r="T10" s="22" t="str">
        <f t="shared" si="8"/>
        <v>Child Functioning -- Child #1_8</v>
      </c>
      <c r="U10" s="22"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#N/A</v>
      </c>
      <c r="G11" t="e">
        <f t="shared" si="1"/>
        <v>#N/A</v>
      </c>
      <c r="H11" t="e">
        <f t="shared" si="1"/>
        <v>#N/A</v>
      </c>
      <c r="J11" s="54" t="s">
        <v>324</v>
      </c>
      <c r="K11">
        <f t="shared" si="10"/>
        <v>9</v>
      </c>
      <c r="L11" s="22" t="str">
        <f t="shared" si="7"/>
        <v>Caregiver Functioning - Caregiver #1_9</v>
      </c>
      <c r="M11" s="22" t="str">
        <f t="shared" si="2"/>
        <v>Organization</v>
      </c>
      <c r="N11" t="e">
        <f t="shared" si="3"/>
        <v>#N/A</v>
      </c>
      <c r="O11" t="e">
        <f t="shared" si="3"/>
        <v>#N/A</v>
      </c>
      <c r="P11" t="e">
        <f t="shared" si="3"/>
        <v>#N/A</v>
      </c>
      <c r="R11" s="54" t="s">
        <v>326</v>
      </c>
      <c r="S11">
        <f t="shared" si="11"/>
        <v>9</v>
      </c>
      <c r="T11" s="22" t="str">
        <f t="shared" si="8"/>
        <v>Child Functioning -- Child #1_9</v>
      </c>
      <c r="U11" s="22"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#N/A</v>
      </c>
      <c r="G12" t="e">
        <f t="shared" si="1"/>
        <v>#N/A</v>
      </c>
      <c r="H12" t="e">
        <f t="shared" si="1"/>
        <v>#N/A</v>
      </c>
      <c r="J12" s="54" t="s">
        <v>324</v>
      </c>
      <c r="K12">
        <f t="shared" si="10"/>
        <v>10</v>
      </c>
      <c r="L12" s="22" t="str">
        <f t="shared" si="7"/>
        <v>Caregiver Functioning - Caregiver #1_10</v>
      </c>
      <c r="M12" s="22" t="str">
        <f t="shared" si="2"/>
        <v>Parental Attribution</v>
      </c>
      <c r="N12" t="e">
        <f t="shared" si="3"/>
        <v>#N/A</v>
      </c>
      <c r="O12" t="e">
        <f t="shared" si="3"/>
        <v>#N/A</v>
      </c>
      <c r="P12" t="e">
        <f t="shared" si="3"/>
        <v>#N/A</v>
      </c>
      <c r="R12" s="54" t="s">
        <v>326</v>
      </c>
      <c r="S12">
        <f t="shared" si="11"/>
        <v>10</v>
      </c>
      <c r="T12" s="22" t="str">
        <f t="shared" si="8"/>
        <v>Child Functioning -- Child #1_10</v>
      </c>
      <c r="U12" s="22" t="str">
        <f t="shared" si="4"/>
        <v>Medical / Physical</v>
      </c>
      <c r="V12" t="e">
        <f t="shared" si="5"/>
        <v>#N/A</v>
      </c>
      <c r="W12" t="e">
        <f t="shared" si="5"/>
        <v>#N/A</v>
      </c>
      <c r="X12" t="e">
        <f t="shared" si="5"/>
        <v>#N/A</v>
      </c>
    </row>
    <row r="13" spans="2:24" x14ac:dyDescent="0.25">
      <c r="J13" s="54" t="s">
        <v>324</v>
      </c>
      <c r="K13">
        <f>K12+1</f>
        <v>11</v>
      </c>
      <c r="L13" s="22" t="str">
        <f>J13&amp;"_"&amp;K13</f>
        <v>Caregiver Functioning - Caregiver #1_11</v>
      </c>
      <c r="M13" s="22" t="str">
        <f t="shared" si="2"/>
        <v>Emotional Responsiveness</v>
      </c>
      <c r="N13" t="e">
        <f t="shared" si="3"/>
        <v>#N/A</v>
      </c>
      <c r="O13" t="e">
        <f t="shared" si="3"/>
        <v>#N/A</v>
      </c>
      <c r="P13" t="e">
        <f t="shared" si="3"/>
        <v>#N/A</v>
      </c>
      <c r="R13" s="54" t="s">
        <v>326</v>
      </c>
      <c r="S13">
        <f t="shared" si="11"/>
        <v>11</v>
      </c>
      <c r="T13" s="22" t="str">
        <f t="shared" si="8"/>
        <v>Child Functioning -- Child #1_11</v>
      </c>
      <c r="U13" s="22" t="str">
        <f t="shared" si="4"/>
        <v>Sleeping</v>
      </c>
      <c r="V13" t="e">
        <f t="shared" si="5"/>
        <v>#N/A</v>
      </c>
      <c r="W13" t="e">
        <f t="shared" si="5"/>
        <v>#N/A</v>
      </c>
      <c r="X13" t="e">
        <f t="shared" si="5"/>
        <v>#N/A</v>
      </c>
    </row>
    <row r="14" spans="2:24" x14ac:dyDescent="0.25">
      <c r="B14" s="16" t="s">
        <v>306</v>
      </c>
      <c r="J14" s="54" t="s">
        <v>324</v>
      </c>
      <c r="K14">
        <f>K13+1</f>
        <v>12</v>
      </c>
      <c r="L14" s="22" t="str">
        <f>J14&amp;"_"&amp;K14</f>
        <v>Caregiver Functioning - Caregiver #1_12</v>
      </c>
      <c r="M14" s="22" t="str">
        <f t="shared" si="2"/>
        <v>Caregiver Posttraumatic Reactions</v>
      </c>
      <c r="N14" t="e">
        <f t="shared" si="3"/>
        <v>#N/A</v>
      </c>
      <c r="O14" t="e">
        <f t="shared" si="3"/>
        <v>#N/A</v>
      </c>
      <c r="P14" t="e">
        <f t="shared" si="3"/>
        <v>#N/A</v>
      </c>
      <c r="R14" s="54" t="s">
        <v>326</v>
      </c>
      <c r="S14">
        <f t="shared" si="11"/>
        <v>12</v>
      </c>
      <c r="T14" s="22" t="str">
        <f t="shared" si="8"/>
        <v>Child Functioning -- Child #1_12</v>
      </c>
      <c r="U14" s="22" t="str">
        <f t="shared" si="4"/>
        <v>Cognitive Skills</v>
      </c>
      <c r="V14" t="e">
        <f t="shared" si="5"/>
        <v>#N/A</v>
      </c>
      <c r="W14" t="e">
        <f t="shared" si="5"/>
        <v>#N/A</v>
      </c>
      <c r="X14" t="e">
        <f t="shared" si="5"/>
        <v>#N/A</v>
      </c>
    </row>
    <row r="15" spans="2:24" x14ac:dyDescent="0.25">
      <c r="B15" s="16"/>
      <c r="F15" s="250" t="str">
        <f>IF(dateAssess1="", "&lt;No 1st Assm't&gt;", dateAssess1)</f>
        <v>&lt;No 1st Assm't&gt;</v>
      </c>
      <c r="G15" s="19" t="str">
        <f>IF(dateAssess2="", "&lt;No 2nd Assm't&gt;", dateAssess2)</f>
        <v>&lt;No 2nd Assm't&gt;</v>
      </c>
      <c r="H15" s="19" t="str">
        <f>IF(dateAssess3="", "&lt;No 3rd Assm't&gt;", dateAssess3)</f>
        <v>&lt;No 3rd Assm't&gt;</v>
      </c>
      <c r="J15" s="54" t="s">
        <v>324</v>
      </c>
      <c r="K15">
        <f>K14+1</f>
        <v>13</v>
      </c>
      <c r="L15" s="22" t="str">
        <f>J15&amp;"_"&amp;K15</f>
        <v>Caregiver Functioning - Caregiver #1_13</v>
      </c>
      <c r="M15" s="22" t="str">
        <f t="shared" si="2"/>
        <v>Family Stress</v>
      </c>
      <c r="N15" t="e">
        <f t="shared" si="3"/>
        <v>#N/A</v>
      </c>
      <c r="O15" t="e">
        <f t="shared" si="3"/>
        <v>#N/A</v>
      </c>
      <c r="P15" t="e">
        <f t="shared" si="3"/>
        <v>#N/A</v>
      </c>
      <c r="R15" s="54" t="s">
        <v>326</v>
      </c>
      <c r="S15">
        <f t="shared" si="11"/>
        <v>13</v>
      </c>
      <c r="T15" s="22" t="str">
        <f t="shared" si="8"/>
        <v>Child Functioning -- Child #1_13</v>
      </c>
      <c r="U15" s="22" t="str">
        <f t="shared" si="4"/>
        <v>Social Functioning</v>
      </c>
      <c r="V15" t="e">
        <f t="shared" si="5"/>
        <v>#N/A</v>
      </c>
      <c r="W15" t="e">
        <f t="shared" si="5"/>
        <v>#N/A</v>
      </c>
      <c r="X15" t="e">
        <f t="shared" si="5"/>
        <v>#N/A</v>
      </c>
    </row>
    <row r="16" spans="2:24" x14ac:dyDescent="0.25">
      <c r="B16" t="s">
        <v>306</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#N/A</v>
      </c>
      <c r="G16" t="e">
        <f t="shared" si="14"/>
        <v>#N/A</v>
      </c>
      <c r="H16" t="e">
        <f t="shared" si="14"/>
        <v>#N/A</v>
      </c>
      <c r="J16" s="54" t="s">
        <v>324</v>
      </c>
      <c r="K16">
        <f>K15+1</f>
        <v>14</v>
      </c>
      <c r="L16" s="22" t="str">
        <f>J16&amp;"_"&amp;K16</f>
        <v>Caregiver Functioning - Caregiver #1_14</v>
      </c>
      <c r="M16" s="22" t="str">
        <f t="shared" si="2"/>
        <v>Boundaries</v>
      </c>
      <c r="N16" t="e">
        <f t="shared" si="3"/>
        <v>#N/A</v>
      </c>
      <c r="O16" t="e">
        <f t="shared" si="3"/>
        <v>#N/A</v>
      </c>
      <c r="P16" t="e">
        <f t="shared" si="3"/>
        <v>#N/A</v>
      </c>
      <c r="R16" s="54" t="s">
        <v>326</v>
      </c>
      <c r="S16">
        <f>S15+1</f>
        <v>14</v>
      </c>
      <c r="T16" s="22" t="str">
        <f>R16&amp;"_"&amp;S16</f>
        <v>Child Functioning -- Child #1_14</v>
      </c>
      <c r="U16" s="22" t="str">
        <f t="shared" si="4"/>
        <v>Educational Status</v>
      </c>
      <c r="V16" t="e">
        <f t="shared" si="5"/>
        <v>#N/A</v>
      </c>
      <c r="W16" t="e">
        <f t="shared" si="5"/>
        <v>#N/A</v>
      </c>
      <c r="X16" t="e">
        <f t="shared" si="5"/>
        <v>#N/A</v>
      </c>
    </row>
    <row r="17" spans="2:24" x14ac:dyDescent="0.25">
      <c r="B17" t="s">
        <v>306</v>
      </c>
      <c r="C17">
        <f>C16+1</f>
        <v>2</v>
      </c>
      <c r="D17" t="str">
        <f t="shared" si="12"/>
        <v>Caregiver Advocacy_2</v>
      </c>
      <c r="E17" t="str">
        <f t="shared" si="13"/>
        <v>Knowledge of Service Options</v>
      </c>
      <c r="F17" t="e">
        <f t="shared" si="14"/>
        <v>#N/A</v>
      </c>
      <c r="G17" t="e">
        <f t="shared" si="14"/>
        <v>#N/A</v>
      </c>
      <c r="H17" t="e">
        <f t="shared" si="14"/>
        <v>#N/A</v>
      </c>
      <c r="R17" s="54" t="s">
        <v>326</v>
      </c>
      <c r="S17">
        <f>S16+1</f>
        <v>15</v>
      </c>
      <c r="T17" s="22" t="str">
        <f>R17&amp;"_"&amp;S17</f>
        <v>Child Functioning -- Child #1_15</v>
      </c>
      <c r="U17" s="22" t="str">
        <f t="shared" si="4"/>
        <v>Risk Behaviors</v>
      </c>
      <c r="V17" t="e">
        <f t="shared" si="5"/>
        <v>#N/A</v>
      </c>
      <c r="W17" t="e">
        <f t="shared" si="5"/>
        <v>#N/A</v>
      </c>
      <c r="X17" t="e">
        <f t="shared" si="5"/>
        <v>#N/A</v>
      </c>
    </row>
    <row r="18" spans="2:24" x14ac:dyDescent="0.25">
      <c r="B18" t="s">
        <v>306</v>
      </c>
      <c r="C18">
        <f t="shared" ref="C18:C23" si="15">C17+1</f>
        <v>3</v>
      </c>
      <c r="D18" t="str">
        <f t="shared" si="12"/>
        <v>Caregiver Advocacy_3</v>
      </c>
      <c r="E18" t="str">
        <f t="shared" si="13"/>
        <v>Knowledge of Rights And Responsibilities</v>
      </c>
      <c r="F18" t="e">
        <f t="shared" si="14"/>
        <v>#N/A</v>
      </c>
      <c r="G18" t="e">
        <f t="shared" si="14"/>
        <v>#N/A</v>
      </c>
      <c r="H18" t="e">
        <f t="shared" si="14"/>
        <v>#N/A</v>
      </c>
      <c r="J18" s="16" t="str">
        <f>"Caregiver Functioning - "&amp;IF(CGName2="", "&lt;No name provided&gt;", CGName2)</f>
        <v>Caregiver Functioning - &lt;No name provided&gt;</v>
      </c>
    </row>
    <row r="19" spans="2:24" x14ac:dyDescent="0.25">
      <c r="B19" t="s">
        <v>306</v>
      </c>
      <c r="C19">
        <f t="shared" si="15"/>
        <v>4</v>
      </c>
      <c r="D19" t="str">
        <f t="shared" si="12"/>
        <v>Caregiver Advocacy_4</v>
      </c>
      <c r="E19" t="str">
        <f t="shared" si="13"/>
        <v>Ability to Listen</v>
      </c>
      <c r="F19" t="e">
        <f t="shared" si="14"/>
        <v>#N/A</v>
      </c>
      <c r="G19" t="e">
        <f t="shared" si="14"/>
        <v>#N/A</v>
      </c>
      <c r="H19" t="e">
        <f t="shared" si="14"/>
        <v>#N/A</v>
      </c>
      <c r="J19" s="16"/>
      <c r="N19" s="250" t="str">
        <f>IF(dateAssess1="", "&lt;No 1st Assm't&gt;", dateAssess1)</f>
        <v>&lt;No 1st Assm't&gt;</v>
      </c>
      <c r="O19" s="19" t="str">
        <f>IF(dateAssess2="", "&lt;No 2nd Assm't&gt;", dateAssess2)</f>
        <v>&lt;No 2nd Assm't&gt;</v>
      </c>
      <c r="P19" s="19" t="str">
        <f>IF(dateAssess3="", "&lt;No 3rd Assm't&gt;", dateAssess3)</f>
        <v>&lt;No 3rd Assm't&gt;</v>
      </c>
      <c r="R19" s="16" t="str">
        <f>"Child Functioning -- "&amp;IF(ChildName2="", "&lt;No name provided&gt;", ChildName2 &amp;", ID: "&amp;ChildID2)</f>
        <v>Child Functioning -- &lt;No name provided&gt;</v>
      </c>
    </row>
    <row r="20" spans="2:24" x14ac:dyDescent="0.25">
      <c r="B20" t="s">
        <v>306</v>
      </c>
      <c r="C20">
        <f t="shared" si="15"/>
        <v>5</v>
      </c>
      <c r="D20" t="str">
        <f t="shared" si="12"/>
        <v>Caregiver Advocacy_5</v>
      </c>
      <c r="E20" t="str">
        <f t="shared" si="13"/>
        <v>Ability to Communicate</v>
      </c>
      <c r="F20" t="e">
        <f t="shared" si="14"/>
        <v>#N/A</v>
      </c>
      <c r="G20" t="e">
        <f t="shared" si="14"/>
        <v>#N/A</v>
      </c>
      <c r="H20" t="e">
        <f t="shared" si="14"/>
        <v>#N/A</v>
      </c>
      <c r="J20" s="54" t="s">
        <v>325</v>
      </c>
      <c r="K20">
        <v>1</v>
      </c>
      <c r="L20" s="22" t="str">
        <f>J20&amp;"_"&amp;K20</f>
        <v>Caregiver Functioning - Caregiver #2_1</v>
      </c>
      <c r="M20" s="22"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6"/>
      <c r="V20" s="250" t="str">
        <f>IF(dateAssess1="", "&lt;No 1st Assm't&gt;", dateAssess1)</f>
        <v>&lt;No 1st Assm't&gt;</v>
      </c>
      <c r="W20" s="19" t="str">
        <f>IF(dateAssess2="", "&lt;No 2nd Assm't&gt;", dateAssess2)</f>
        <v>&lt;No 2nd Assm't&gt;</v>
      </c>
      <c r="X20" s="19" t="str">
        <f>IF(dateAssess3="", "&lt;No 3rd Assm't&gt;", dateAssess3)</f>
        <v>&lt;No 3rd Assm't&gt;</v>
      </c>
    </row>
    <row r="21" spans="2:24" x14ac:dyDescent="0.25">
      <c r="B21" t="s">
        <v>306</v>
      </c>
      <c r="C21">
        <f t="shared" si="15"/>
        <v>6</v>
      </c>
      <c r="D21" t="str">
        <f t="shared" si="12"/>
        <v>Caregiver Advocacy_6</v>
      </c>
      <c r="E21" t="str">
        <f t="shared" si="13"/>
        <v>Natural Supports</v>
      </c>
      <c r="F21" t="e">
        <f t="shared" si="14"/>
        <v>#N/A</v>
      </c>
      <c r="G21" t="e">
        <f t="shared" si="14"/>
        <v>#N/A</v>
      </c>
      <c r="H21" t="e">
        <f t="shared" si="14"/>
        <v>#N/A</v>
      </c>
      <c r="J21" s="54" t="s">
        <v>325</v>
      </c>
      <c r="K21">
        <f>K20+1</f>
        <v>2</v>
      </c>
      <c r="L21" s="22" t="str">
        <f t="shared" ref="L21:L29" si="18">J21&amp;"_"&amp;K21</f>
        <v>Caregiver Functioning - Caregiver #2_2</v>
      </c>
      <c r="M21" s="22" t="str">
        <f t="shared" si="16"/>
        <v>Distress Tolerance</v>
      </c>
      <c r="N21" t="e">
        <f t="shared" si="17"/>
        <v>#N/A</v>
      </c>
      <c r="O21" t="e">
        <f t="shared" si="17"/>
        <v>#N/A</v>
      </c>
      <c r="P21" t="e">
        <f t="shared" si="17"/>
        <v>#N/A</v>
      </c>
      <c r="R21" s="54" t="s">
        <v>327</v>
      </c>
      <c r="S21">
        <v>1</v>
      </c>
      <c r="T21" s="22" t="str">
        <f>R21&amp;"_"&amp;S21</f>
        <v>Child Functioning -- Child #2_1</v>
      </c>
      <c r="U21" s="22"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306</v>
      </c>
      <c r="C22">
        <f t="shared" si="15"/>
        <v>7</v>
      </c>
      <c r="D22" t="str">
        <f t="shared" si="12"/>
        <v>Caregiver Advocacy_7</v>
      </c>
      <c r="E22" t="str">
        <f t="shared" si="13"/>
        <v>Satisfaction With Child’s Living Arrangement</v>
      </c>
      <c r="F22" t="e">
        <f t="shared" si="14"/>
        <v>#N/A</v>
      </c>
      <c r="G22" t="e">
        <f t="shared" si="14"/>
        <v>#N/A</v>
      </c>
      <c r="H22" t="e">
        <f t="shared" si="14"/>
        <v>#N/A</v>
      </c>
      <c r="J22" s="54" t="s">
        <v>325</v>
      </c>
      <c r="K22">
        <f t="shared" ref="K22:K29" si="21">K21+1</f>
        <v>3</v>
      </c>
      <c r="L22" s="22" t="str">
        <f t="shared" si="18"/>
        <v>Caregiver Functioning - Caregiver #2_3</v>
      </c>
      <c r="M22" s="22" t="str">
        <f t="shared" si="16"/>
        <v>Supervision</v>
      </c>
      <c r="N22" t="e">
        <f t="shared" si="17"/>
        <v>#N/A</v>
      </c>
      <c r="O22" t="e">
        <f t="shared" si="17"/>
        <v>#N/A</v>
      </c>
      <c r="P22" t="e">
        <f t="shared" si="17"/>
        <v>#N/A</v>
      </c>
      <c r="R22" s="54" t="s">
        <v>327</v>
      </c>
      <c r="S22">
        <f>S21+1</f>
        <v>2</v>
      </c>
      <c r="T22" s="22" t="str">
        <f t="shared" ref="T22:T33" si="22">R22&amp;"_"&amp;S22</f>
        <v>Child Functioning -- Child #2_2</v>
      </c>
      <c r="U22" s="22" t="str">
        <f t="shared" si="19"/>
        <v>Adjustment to Trauma</v>
      </c>
      <c r="V22" t="e">
        <f t="shared" si="20"/>
        <v>#N/A</v>
      </c>
      <c r="W22" t="e">
        <f t="shared" si="20"/>
        <v>#N/A</v>
      </c>
      <c r="X22" t="e">
        <f t="shared" si="20"/>
        <v>#N/A</v>
      </c>
    </row>
    <row r="23" spans="2:24" x14ac:dyDescent="0.25">
      <c r="B23" t="s">
        <v>306</v>
      </c>
      <c r="C23">
        <f t="shared" si="15"/>
        <v>8</v>
      </c>
      <c r="D23" t="str">
        <f t="shared" si="12"/>
        <v>Caregiver Advocacy_8</v>
      </c>
      <c r="E23" t="str">
        <f t="shared" si="13"/>
        <v>Satisfaction With Educational Arrangement</v>
      </c>
      <c r="F23" t="e">
        <f t="shared" si="14"/>
        <v>#N/A</v>
      </c>
      <c r="G23" t="e">
        <f t="shared" si="14"/>
        <v>#N/A</v>
      </c>
      <c r="H23" t="e">
        <f t="shared" si="14"/>
        <v>#N/A</v>
      </c>
      <c r="J23" s="54" t="s">
        <v>325</v>
      </c>
      <c r="K23">
        <f t="shared" si="21"/>
        <v>4</v>
      </c>
      <c r="L23" s="22" t="str">
        <f t="shared" si="18"/>
        <v>Caregiver Functioning - Caregiver #2_4</v>
      </c>
      <c r="M23" s="22" t="str">
        <f t="shared" si="16"/>
        <v>Discipline</v>
      </c>
      <c r="N23" t="e">
        <f t="shared" si="17"/>
        <v>#N/A</v>
      </c>
      <c r="O23" t="e">
        <f t="shared" si="17"/>
        <v>#N/A</v>
      </c>
      <c r="P23" t="e">
        <f t="shared" si="17"/>
        <v>#N/A</v>
      </c>
      <c r="R23" s="54" t="s">
        <v>327</v>
      </c>
      <c r="S23">
        <f t="shared" ref="S23:S33" si="23">S22+1</f>
        <v>3</v>
      </c>
      <c r="T23" s="22" t="str">
        <f t="shared" si="22"/>
        <v>Child Functioning -- Child #2_3</v>
      </c>
      <c r="U23" s="22" t="str">
        <f t="shared" si="19"/>
        <v>Recreation / Play</v>
      </c>
      <c r="V23" t="e">
        <f t="shared" si="20"/>
        <v>#N/A</v>
      </c>
      <c r="W23" t="e">
        <f t="shared" si="20"/>
        <v>#N/A</v>
      </c>
      <c r="X23" t="e">
        <f t="shared" si="20"/>
        <v>#N/A</v>
      </c>
    </row>
    <row r="24" spans="2:24" x14ac:dyDescent="0.25">
      <c r="J24" s="54" t="s">
        <v>325</v>
      </c>
      <c r="K24">
        <f t="shared" si="21"/>
        <v>5</v>
      </c>
      <c r="L24" s="22" t="str">
        <f t="shared" si="18"/>
        <v>Caregiver Functioning - Caregiver #2_5</v>
      </c>
      <c r="M24" s="22" t="str">
        <f t="shared" si="16"/>
        <v>Mental Health</v>
      </c>
      <c r="N24" t="e">
        <f t="shared" si="17"/>
        <v>#N/A</v>
      </c>
      <c r="O24" t="e">
        <f t="shared" si="17"/>
        <v>#N/A</v>
      </c>
      <c r="P24" t="e">
        <f t="shared" si="17"/>
        <v>#N/A</v>
      </c>
      <c r="R24" s="54" t="s">
        <v>327</v>
      </c>
      <c r="S24">
        <f t="shared" si="23"/>
        <v>4</v>
      </c>
      <c r="T24" s="22" t="str">
        <f t="shared" si="22"/>
        <v>Child Functioning -- Child #2_4</v>
      </c>
      <c r="U24" s="22" t="str">
        <f t="shared" si="19"/>
        <v>Attachment – Birth to 5</v>
      </c>
      <c r="V24" t="e">
        <f t="shared" si="20"/>
        <v>#N/A</v>
      </c>
      <c r="W24" t="e">
        <f t="shared" si="20"/>
        <v>#N/A</v>
      </c>
      <c r="X24" t="e">
        <f t="shared" si="20"/>
        <v>#N/A</v>
      </c>
    </row>
    <row r="25" spans="2:24" x14ac:dyDescent="0.25">
      <c r="J25" s="54" t="s">
        <v>325</v>
      </c>
      <c r="K25">
        <f t="shared" si="21"/>
        <v>6</v>
      </c>
      <c r="L25" s="22" t="str">
        <f t="shared" si="18"/>
        <v>Caregiver Functioning - Caregiver #2_6</v>
      </c>
      <c r="M25" s="22" t="str">
        <f t="shared" si="16"/>
        <v>Partner Relations</v>
      </c>
      <c r="N25" t="e">
        <f t="shared" si="17"/>
        <v>#N/A</v>
      </c>
      <c r="O25" t="e">
        <f t="shared" si="17"/>
        <v>#N/A</v>
      </c>
      <c r="P25" t="e">
        <f t="shared" si="17"/>
        <v>#N/A</v>
      </c>
      <c r="R25" s="54" t="s">
        <v>327</v>
      </c>
      <c r="S25">
        <f t="shared" si="23"/>
        <v>5</v>
      </c>
      <c r="T25" s="22" t="str">
        <f t="shared" si="22"/>
        <v>Child Functioning -- Child #2_5</v>
      </c>
      <c r="U25" s="22" t="str">
        <f t="shared" si="19"/>
        <v>Relationship with Biological Mother</v>
      </c>
      <c r="V25" t="e">
        <f t="shared" si="20"/>
        <v>#N/A</v>
      </c>
      <c r="W25" t="e">
        <f t="shared" si="20"/>
        <v>#N/A</v>
      </c>
      <c r="X25" t="e">
        <f t="shared" si="20"/>
        <v>#N/A</v>
      </c>
    </row>
    <row r="26" spans="2:24" x14ac:dyDescent="0.25">
      <c r="J26" s="54" t="s">
        <v>325</v>
      </c>
      <c r="K26">
        <f t="shared" si="21"/>
        <v>7</v>
      </c>
      <c r="L26" s="22" t="str">
        <f t="shared" si="18"/>
        <v>Caregiver Functioning - Caregiver #2_7</v>
      </c>
      <c r="M26" s="22" t="str">
        <f t="shared" si="16"/>
        <v>Substance Abuse</v>
      </c>
      <c r="N26" t="e">
        <f t="shared" si="17"/>
        <v>#N/A</v>
      </c>
      <c r="O26" t="e">
        <f t="shared" si="17"/>
        <v>#N/A</v>
      </c>
      <c r="P26" t="e">
        <f t="shared" si="17"/>
        <v>#N/A</v>
      </c>
      <c r="R26" s="54" t="s">
        <v>327</v>
      </c>
      <c r="S26">
        <f t="shared" si="23"/>
        <v>6</v>
      </c>
      <c r="T26" s="22" t="str">
        <f t="shared" si="22"/>
        <v>Child Functioning -- Child #2_6</v>
      </c>
      <c r="U26" s="22" t="str">
        <f t="shared" si="19"/>
        <v>Relationship with Biological Father</v>
      </c>
      <c r="V26" t="e">
        <f t="shared" si="20"/>
        <v>#N/A</v>
      </c>
      <c r="W26" t="e">
        <f t="shared" si="20"/>
        <v>#N/A</v>
      </c>
      <c r="X26" t="e">
        <f t="shared" si="20"/>
        <v>#N/A</v>
      </c>
    </row>
    <row r="27" spans="2:24" x14ac:dyDescent="0.25">
      <c r="J27" s="54" t="s">
        <v>325</v>
      </c>
      <c r="K27">
        <f t="shared" si="21"/>
        <v>8</v>
      </c>
      <c r="L27" s="22" t="str">
        <f t="shared" si="18"/>
        <v>Caregiver Functioning - Caregiver #2_8</v>
      </c>
      <c r="M27" s="22" t="str">
        <f t="shared" si="16"/>
        <v>Physical Health</v>
      </c>
      <c r="N27" t="e">
        <f t="shared" si="17"/>
        <v>#N/A</v>
      </c>
      <c r="O27" t="e">
        <f t="shared" si="17"/>
        <v>#N/A</v>
      </c>
      <c r="P27" t="e">
        <f t="shared" si="17"/>
        <v>#N/A</v>
      </c>
      <c r="R27" s="54" t="s">
        <v>327</v>
      </c>
      <c r="S27">
        <f t="shared" si="23"/>
        <v>7</v>
      </c>
      <c r="T27" s="22" t="str">
        <f t="shared" si="22"/>
        <v>Child Functioning -- Child #2_7</v>
      </c>
      <c r="U27" s="22" t="str">
        <f t="shared" si="19"/>
        <v>Relationship with Primary Caregiver</v>
      </c>
      <c r="V27" t="e">
        <f t="shared" si="20"/>
        <v>#N/A</v>
      </c>
      <c r="W27" t="e">
        <f t="shared" si="20"/>
        <v>#N/A</v>
      </c>
      <c r="X27" t="e">
        <f t="shared" si="20"/>
        <v>#N/A</v>
      </c>
    </row>
    <row r="28" spans="2:24" x14ac:dyDescent="0.25">
      <c r="J28" s="54" t="s">
        <v>325</v>
      </c>
      <c r="K28">
        <f t="shared" si="21"/>
        <v>9</v>
      </c>
      <c r="L28" s="22" t="str">
        <f t="shared" si="18"/>
        <v>Caregiver Functioning - Caregiver #2_9</v>
      </c>
      <c r="M28" s="22" t="str">
        <f t="shared" si="16"/>
        <v>Organization</v>
      </c>
      <c r="N28" t="e">
        <f t="shared" si="17"/>
        <v>#N/A</v>
      </c>
      <c r="O28" t="e">
        <f t="shared" si="17"/>
        <v>#N/A</v>
      </c>
      <c r="P28" t="e">
        <f t="shared" si="17"/>
        <v>#N/A</v>
      </c>
      <c r="R28" s="54" t="s">
        <v>327</v>
      </c>
      <c r="S28">
        <f t="shared" si="23"/>
        <v>8</v>
      </c>
      <c r="T28" s="22" t="str">
        <f t="shared" si="22"/>
        <v>Child Functioning -- Child #2_8</v>
      </c>
      <c r="U28" s="22" t="str">
        <f t="shared" si="19"/>
        <v>Relationship with Other Family Adults</v>
      </c>
      <c r="V28" t="e">
        <f t="shared" si="20"/>
        <v>#N/A</v>
      </c>
      <c r="W28" t="e">
        <f t="shared" si="20"/>
        <v>#N/A</v>
      </c>
      <c r="X28" t="e">
        <f t="shared" si="20"/>
        <v>#N/A</v>
      </c>
    </row>
    <row r="29" spans="2:24" x14ac:dyDescent="0.25">
      <c r="J29" s="54" t="s">
        <v>325</v>
      </c>
      <c r="K29">
        <f t="shared" si="21"/>
        <v>10</v>
      </c>
      <c r="L29" s="22" t="str">
        <f t="shared" si="18"/>
        <v>Caregiver Functioning - Caregiver #2_10</v>
      </c>
      <c r="M29" s="22" t="str">
        <f t="shared" si="16"/>
        <v>Parental Attribution</v>
      </c>
      <c r="N29" t="e">
        <f t="shared" si="17"/>
        <v>#N/A</v>
      </c>
      <c r="O29" t="e">
        <f t="shared" si="17"/>
        <v>#N/A</v>
      </c>
      <c r="P29" t="e">
        <f t="shared" si="17"/>
        <v>#N/A</v>
      </c>
      <c r="R29" s="54" t="s">
        <v>327</v>
      </c>
      <c r="S29">
        <f t="shared" si="23"/>
        <v>9</v>
      </c>
      <c r="T29" s="22" t="str">
        <f t="shared" si="22"/>
        <v>Child Functioning -- Child #2_9</v>
      </c>
      <c r="U29" s="22" t="str">
        <f t="shared" si="19"/>
        <v>Relationship with Siblings</v>
      </c>
      <c r="V29" t="e">
        <f t="shared" si="20"/>
        <v>#N/A</v>
      </c>
      <c r="W29" t="e">
        <f t="shared" si="20"/>
        <v>#N/A</v>
      </c>
      <c r="X29" t="e">
        <f t="shared" si="20"/>
        <v>#N/A</v>
      </c>
    </row>
    <row r="30" spans="2:24" x14ac:dyDescent="0.25">
      <c r="J30" s="54" t="s">
        <v>325</v>
      </c>
      <c r="K30">
        <f>K29+1</f>
        <v>11</v>
      </c>
      <c r="L30" s="22" t="str">
        <f>J30&amp;"_"&amp;K30</f>
        <v>Caregiver Functioning - Caregiver #2_11</v>
      </c>
      <c r="M30" s="22" t="str">
        <f t="shared" si="16"/>
        <v>Emotional Responsiveness</v>
      </c>
      <c r="N30" t="e">
        <f t="shared" si="17"/>
        <v>#N/A</v>
      </c>
      <c r="O30" t="e">
        <f t="shared" si="17"/>
        <v>#N/A</v>
      </c>
      <c r="P30" t="e">
        <f t="shared" si="17"/>
        <v>#N/A</v>
      </c>
      <c r="R30" s="54" t="s">
        <v>327</v>
      </c>
      <c r="S30">
        <f t="shared" si="23"/>
        <v>10</v>
      </c>
      <c r="T30" s="22" t="str">
        <f t="shared" si="22"/>
        <v>Child Functioning -- Child #2_10</v>
      </c>
      <c r="U30" s="22" t="str">
        <f t="shared" si="19"/>
        <v>Medical / Physical</v>
      </c>
      <c r="V30" t="e">
        <f t="shared" si="20"/>
        <v>#N/A</v>
      </c>
      <c r="W30" t="e">
        <f t="shared" si="20"/>
        <v>#N/A</v>
      </c>
      <c r="X30" t="e">
        <f t="shared" si="20"/>
        <v>#N/A</v>
      </c>
    </row>
    <row r="31" spans="2:24" x14ac:dyDescent="0.25">
      <c r="J31" s="54" t="s">
        <v>325</v>
      </c>
      <c r="K31">
        <f>K30+1</f>
        <v>12</v>
      </c>
      <c r="L31" s="22" t="str">
        <f>J31&amp;"_"&amp;K31</f>
        <v>Caregiver Functioning - Caregiver #2_12</v>
      </c>
      <c r="M31" s="22" t="str">
        <f t="shared" si="16"/>
        <v>Caregiver Posttraumatic Reactions</v>
      </c>
      <c r="N31" t="e">
        <f t="shared" si="17"/>
        <v>#N/A</v>
      </c>
      <c r="O31" t="e">
        <f t="shared" si="17"/>
        <v>#N/A</v>
      </c>
      <c r="P31" t="e">
        <f t="shared" si="17"/>
        <v>#N/A</v>
      </c>
      <c r="R31" s="54" t="s">
        <v>327</v>
      </c>
      <c r="S31">
        <f t="shared" si="23"/>
        <v>11</v>
      </c>
      <c r="T31" s="22" t="str">
        <f t="shared" si="22"/>
        <v>Child Functioning -- Child #2_11</v>
      </c>
      <c r="U31" s="22" t="str">
        <f t="shared" si="19"/>
        <v>Sleeping</v>
      </c>
      <c r="V31" t="e">
        <f t="shared" si="20"/>
        <v>#N/A</v>
      </c>
      <c r="W31" t="e">
        <f t="shared" si="20"/>
        <v>#N/A</v>
      </c>
      <c r="X31" t="e">
        <f t="shared" si="20"/>
        <v>#N/A</v>
      </c>
    </row>
    <row r="32" spans="2:24" x14ac:dyDescent="0.25">
      <c r="J32" s="54" t="s">
        <v>325</v>
      </c>
      <c r="K32">
        <f>K31+1</f>
        <v>13</v>
      </c>
      <c r="L32" s="22" t="str">
        <f>J32&amp;"_"&amp;K32</f>
        <v>Caregiver Functioning - Caregiver #2_13</v>
      </c>
      <c r="M32" s="22" t="str">
        <f t="shared" si="16"/>
        <v>Family Stress</v>
      </c>
      <c r="N32" t="e">
        <f t="shared" si="17"/>
        <v>#N/A</v>
      </c>
      <c r="O32" t="e">
        <f t="shared" si="17"/>
        <v>#N/A</v>
      </c>
      <c r="P32" t="e">
        <f t="shared" si="17"/>
        <v>#N/A</v>
      </c>
      <c r="R32" s="54" t="s">
        <v>327</v>
      </c>
      <c r="S32">
        <f t="shared" si="23"/>
        <v>12</v>
      </c>
      <c r="T32" s="22" t="str">
        <f t="shared" si="22"/>
        <v>Child Functioning -- Child #2_12</v>
      </c>
      <c r="U32" s="22" t="str">
        <f t="shared" si="19"/>
        <v>Cognitive Skills</v>
      </c>
      <c r="V32" t="e">
        <f t="shared" si="20"/>
        <v>#N/A</v>
      </c>
      <c r="W32" t="e">
        <f t="shared" si="20"/>
        <v>#N/A</v>
      </c>
      <c r="X32" t="e">
        <f t="shared" si="20"/>
        <v>#N/A</v>
      </c>
    </row>
    <row r="33" spans="10:24" x14ac:dyDescent="0.25">
      <c r="J33" s="54" t="s">
        <v>325</v>
      </c>
      <c r="K33">
        <f>K32+1</f>
        <v>14</v>
      </c>
      <c r="L33" s="22" t="str">
        <f>J33&amp;"_"&amp;K33</f>
        <v>Caregiver Functioning - Caregiver #2_14</v>
      </c>
      <c r="M33" s="22" t="str">
        <f t="shared" si="16"/>
        <v>Boundaries</v>
      </c>
      <c r="N33" t="e">
        <f t="shared" si="17"/>
        <v>#N/A</v>
      </c>
      <c r="O33" t="e">
        <f t="shared" si="17"/>
        <v>#N/A</v>
      </c>
      <c r="P33" t="e">
        <f t="shared" si="17"/>
        <v>#N/A</v>
      </c>
      <c r="R33" s="54" t="s">
        <v>327</v>
      </c>
      <c r="S33">
        <f t="shared" si="23"/>
        <v>13</v>
      </c>
      <c r="T33" s="22" t="str">
        <f t="shared" si="22"/>
        <v>Child Functioning -- Child #2_13</v>
      </c>
      <c r="U33" s="22" t="str">
        <f t="shared" si="19"/>
        <v>Social Functioning</v>
      </c>
      <c r="V33" t="e">
        <f t="shared" si="20"/>
        <v>#N/A</v>
      </c>
      <c r="W33" t="e">
        <f t="shared" si="20"/>
        <v>#N/A</v>
      </c>
      <c r="X33" t="e">
        <f t="shared" si="20"/>
        <v>#N/A</v>
      </c>
    </row>
    <row r="34" spans="10:24" x14ac:dyDescent="0.25">
      <c r="R34" s="54" t="s">
        <v>327</v>
      </c>
      <c r="S34">
        <f>S33+1</f>
        <v>14</v>
      </c>
      <c r="T34" s="22" t="str">
        <f>R34&amp;"_"&amp;S34</f>
        <v>Child Functioning -- Child #2_14</v>
      </c>
      <c r="U34" s="22" t="str">
        <f t="shared" si="19"/>
        <v>Educational Status</v>
      </c>
      <c r="V34" t="e">
        <f t="shared" si="20"/>
        <v>#N/A</v>
      </c>
      <c r="W34" t="e">
        <f t="shared" si="20"/>
        <v>#N/A</v>
      </c>
      <c r="X34" t="e">
        <f t="shared" si="20"/>
        <v>#N/A</v>
      </c>
    </row>
    <row r="35" spans="10:24" x14ac:dyDescent="0.25">
      <c r="J35" s="16" t="str">
        <f>"Caregiver Functioning - "&amp;IF(CGName3="", "&lt;No name provided&gt;", CGName3)</f>
        <v>Caregiver Functioning - &lt;No name provided&gt;</v>
      </c>
      <c r="R35" s="54" t="s">
        <v>327</v>
      </c>
      <c r="S35">
        <f>S34+1</f>
        <v>15</v>
      </c>
      <c r="T35" s="22" t="str">
        <f>R35&amp;"_"&amp;S35</f>
        <v>Child Functioning -- Child #2_15</v>
      </c>
      <c r="U35" s="22" t="str">
        <f t="shared" si="19"/>
        <v>Risk Behaviors</v>
      </c>
      <c r="V35" t="e">
        <f t="shared" si="20"/>
        <v>#N/A</v>
      </c>
      <c r="W35" t="e">
        <f t="shared" si="20"/>
        <v>#N/A</v>
      </c>
      <c r="X35" t="e">
        <f t="shared" si="20"/>
        <v>#N/A</v>
      </c>
    </row>
    <row r="36" spans="10:24" x14ac:dyDescent="0.25">
      <c r="J36" s="16"/>
      <c r="N36" s="250" t="str">
        <f>IF(dateAssess1="", "&lt;No 1st Assm't&gt;", dateAssess1)</f>
        <v>&lt;No 1st Assm't&gt;</v>
      </c>
      <c r="O36" s="19" t="str">
        <f>IF(dateAssess2="", "&lt;No 2nd Assm't&gt;", dateAssess2)</f>
        <v>&lt;No 2nd Assm't&gt;</v>
      </c>
      <c r="P36" s="19" t="str">
        <f>IF(dateAssess3="", "&lt;No 3rd Assm't&gt;", dateAssess3)</f>
        <v>&lt;No 3rd Assm't&gt;</v>
      </c>
    </row>
    <row r="37" spans="10:24" x14ac:dyDescent="0.25">
      <c r="J37" s="54" t="s">
        <v>668</v>
      </c>
      <c r="K37">
        <v>1</v>
      </c>
      <c r="L37" s="22" t="str">
        <f>J37&amp;"_"&amp;K37</f>
        <v>Caregiver Functioning - Caregiver #3_1</v>
      </c>
      <c r="M37" s="22"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6" t="str">
        <f>"Child Functioning -- "&amp;IF(ChildName3="", "&lt;No name provided&gt;", ChildName3&amp;", ID: "&amp;ChildID3)</f>
        <v>Child Functioning -- &lt;No name provided&gt;</v>
      </c>
    </row>
    <row r="38" spans="10:24" x14ac:dyDescent="0.25">
      <c r="J38" s="54" t="s">
        <v>668</v>
      </c>
      <c r="K38">
        <f>K37+1</f>
        <v>2</v>
      </c>
      <c r="L38" s="22" t="str">
        <f t="shared" ref="L38:L47" si="26">J38&amp;"_"&amp;K38</f>
        <v>Caregiver Functioning - Caregiver #3_2</v>
      </c>
      <c r="M38" s="22" t="str">
        <f t="shared" si="24"/>
        <v>Distress Tolerance</v>
      </c>
      <c r="N38" t="e">
        <f t="shared" si="25"/>
        <v>#N/A</v>
      </c>
      <c r="O38" t="e">
        <f t="shared" si="25"/>
        <v>#N/A</v>
      </c>
      <c r="P38" t="e">
        <f t="shared" si="25"/>
        <v>#N/A</v>
      </c>
      <c r="R38" s="16"/>
      <c r="V38" s="250" t="str">
        <f>IF(dateAssess1="", "&lt;No 1st Assm't&gt;", dateAssess1)</f>
        <v>&lt;No 1st Assm't&gt;</v>
      </c>
      <c r="W38" s="19" t="str">
        <f>IF(dateAssess2="", "&lt;No 2nd Assm't&gt;", dateAssess2)</f>
        <v>&lt;No 2nd Assm't&gt;</v>
      </c>
      <c r="X38" s="19" t="str">
        <f>IF(dateAssess3="", "&lt;No 3rd Assm't&gt;", dateAssess3)</f>
        <v>&lt;No 3rd Assm't&gt;</v>
      </c>
    </row>
    <row r="39" spans="10:24" x14ac:dyDescent="0.25">
      <c r="J39" s="54" t="s">
        <v>668</v>
      </c>
      <c r="K39">
        <f t="shared" ref="K39:K47" si="27">K38+1</f>
        <v>3</v>
      </c>
      <c r="L39" s="22" t="str">
        <f t="shared" si="26"/>
        <v>Caregiver Functioning - Caregiver #3_3</v>
      </c>
      <c r="M39" s="22" t="str">
        <f t="shared" si="24"/>
        <v>Supervision</v>
      </c>
      <c r="N39" t="e">
        <f t="shared" si="25"/>
        <v>#N/A</v>
      </c>
      <c r="O39" t="e">
        <f t="shared" si="25"/>
        <v>#N/A</v>
      </c>
      <c r="P39" t="e">
        <f t="shared" si="25"/>
        <v>#N/A</v>
      </c>
      <c r="R39" s="54" t="s">
        <v>328</v>
      </c>
      <c r="S39">
        <v>1</v>
      </c>
      <c r="T39" s="22" t="str">
        <f>R39&amp;"_"&amp;S39</f>
        <v>Child Functioning -- Child #3_1</v>
      </c>
      <c r="U39" s="22"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4" t="s">
        <v>668</v>
      </c>
      <c r="K40">
        <f t="shared" si="27"/>
        <v>4</v>
      </c>
      <c r="L40" s="22" t="str">
        <f t="shared" si="26"/>
        <v>Caregiver Functioning - Caregiver #3_4</v>
      </c>
      <c r="M40" s="22" t="str">
        <f t="shared" si="24"/>
        <v>Discipline</v>
      </c>
      <c r="N40" t="e">
        <f t="shared" si="25"/>
        <v>#N/A</v>
      </c>
      <c r="O40" t="e">
        <f t="shared" si="25"/>
        <v>#N/A</v>
      </c>
      <c r="P40" t="e">
        <f t="shared" si="25"/>
        <v>#N/A</v>
      </c>
      <c r="R40" s="54" t="s">
        <v>328</v>
      </c>
      <c r="S40">
        <f>S39+1</f>
        <v>2</v>
      </c>
      <c r="T40" s="22" t="str">
        <f t="shared" ref="T40:T51" si="30">R40&amp;"_"&amp;S40</f>
        <v>Child Functioning -- Child #3_2</v>
      </c>
      <c r="U40" s="22" t="str">
        <f t="shared" si="28"/>
        <v>Adjustment to Trauma</v>
      </c>
      <c r="V40" t="e">
        <f t="shared" si="29"/>
        <v>#N/A</v>
      </c>
      <c r="W40" t="e">
        <f t="shared" si="29"/>
        <v>#N/A</v>
      </c>
      <c r="X40" t="e">
        <f t="shared" si="29"/>
        <v>#N/A</v>
      </c>
    </row>
    <row r="41" spans="10:24" x14ac:dyDescent="0.25">
      <c r="J41" s="54" t="s">
        <v>668</v>
      </c>
      <c r="K41">
        <f t="shared" si="27"/>
        <v>5</v>
      </c>
      <c r="L41" s="22" t="str">
        <f t="shared" si="26"/>
        <v>Caregiver Functioning - Caregiver #3_5</v>
      </c>
      <c r="M41" s="22" t="str">
        <f t="shared" si="24"/>
        <v>Mental Health</v>
      </c>
      <c r="N41" t="e">
        <f t="shared" si="25"/>
        <v>#N/A</v>
      </c>
      <c r="O41" t="e">
        <f t="shared" si="25"/>
        <v>#N/A</v>
      </c>
      <c r="P41" t="e">
        <f t="shared" si="25"/>
        <v>#N/A</v>
      </c>
      <c r="R41" s="54" t="s">
        <v>328</v>
      </c>
      <c r="S41">
        <f t="shared" ref="S41:S51" si="31">S40+1</f>
        <v>3</v>
      </c>
      <c r="T41" s="22" t="str">
        <f t="shared" si="30"/>
        <v>Child Functioning -- Child #3_3</v>
      </c>
      <c r="U41" s="22" t="str">
        <f t="shared" si="28"/>
        <v>Recreation / Play</v>
      </c>
      <c r="V41" t="e">
        <f t="shared" si="29"/>
        <v>#N/A</v>
      </c>
      <c r="W41" t="e">
        <f t="shared" si="29"/>
        <v>#N/A</v>
      </c>
      <c r="X41" t="e">
        <f t="shared" si="29"/>
        <v>#N/A</v>
      </c>
    </row>
    <row r="42" spans="10:24" x14ac:dyDescent="0.25">
      <c r="J42" s="54" t="s">
        <v>668</v>
      </c>
      <c r="K42">
        <f t="shared" si="27"/>
        <v>6</v>
      </c>
      <c r="L42" s="22" t="str">
        <f t="shared" si="26"/>
        <v>Caregiver Functioning - Caregiver #3_6</v>
      </c>
      <c r="M42" s="22" t="str">
        <f t="shared" si="24"/>
        <v>Partner Relations</v>
      </c>
      <c r="N42" t="e">
        <f t="shared" si="25"/>
        <v>#N/A</v>
      </c>
      <c r="O42" t="e">
        <f t="shared" si="25"/>
        <v>#N/A</v>
      </c>
      <c r="P42" t="e">
        <f t="shared" si="25"/>
        <v>#N/A</v>
      </c>
      <c r="R42" s="54" t="s">
        <v>328</v>
      </c>
      <c r="S42">
        <f t="shared" si="31"/>
        <v>4</v>
      </c>
      <c r="T42" s="22" t="str">
        <f t="shared" si="30"/>
        <v>Child Functioning -- Child #3_4</v>
      </c>
      <c r="U42" s="22" t="str">
        <f t="shared" si="28"/>
        <v>Attachment – Birth to 5</v>
      </c>
      <c r="V42" t="e">
        <f t="shared" si="29"/>
        <v>#N/A</v>
      </c>
      <c r="W42" t="e">
        <f t="shared" si="29"/>
        <v>#N/A</v>
      </c>
      <c r="X42" t="e">
        <f t="shared" si="29"/>
        <v>#N/A</v>
      </c>
    </row>
    <row r="43" spans="10:24" x14ac:dyDescent="0.25">
      <c r="J43" s="54" t="s">
        <v>668</v>
      </c>
      <c r="K43">
        <f t="shared" si="27"/>
        <v>7</v>
      </c>
      <c r="L43" s="22" t="str">
        <f t="shared" si="26"/>
        <v>Caregiver Functioning - Caregiver #3_7</v>
      </c>
      <c r="M43" s="22" t="str">
        <f t="shared" si="24"/>
        <v>Substance Abuse</v>
      </c>
      <c r="N43" t="e">
        <f t="shared" si="25"/>
        <v>#N/A</v>
      </c>
      <c r="O43" t="e">
        <f t="shared" si="25"/>
        <v>#N/A</v>
      </c>
      <c r="P43" t="e">
        <f t="shared" si="25"/>
        <v>#N/A</v>
      </c>
      <c r="R43" s="54" t="s">
        <v>328</v>
      </c>
      <c r="S43">
        <f t="shared" si="31"/>
        <v>5</v>
      </c>
      <c r="T43" s="22" t="str">
        <f t="shared" si="30"/>
        <v>Child Functioning -- Child #3_5</v>
      </c>
      <c r="U43" s="22" t="str">
        <f t="shared" si="28"/>
        <v>Relationship with Biological Mother</v>
      </c>
      <c r="V43" t="e">
        <f t="shared" si="29"/>
        <v>#N/A</v>
      </c>
      <c r="W43" t="e">
        <f t="shared" si="29"/>
        <v>#N/A</v>
      </c>
      <c r="X43" t="e">
        <f t="shared" si="29"/>
        <v>#N/A</v>
      </c>
    </row>
    <row r="44" spans="10:24" x14ac:dyDescent="0.25">
      <c r="J44" s="54" t="s">
        <v>668</v>
      </c>
      <c r="K44">
        <f t="shared" si="27"/>
        <v>8</v>
      </c>
      <c r="L44" s="22" t="str">
        <f t="shared" si="26"/>
        <v>Caregiver Functioning - Caregiver #3_8</v>
      </c>
      <c r="M44" s="22" t="str">
        <f t="shared" si="24"/>
        <v>Physical Health</v>
      </c>
      <c r="N44" t="e">
        <f t="shared" si="25"/>
        <v>#N/A</v>
      </c>
      <c r="O44" t="e">
        <f t="shared" si="25"/>
        <v>#N/A</v>
      </c>
      <c r="P44" t="e">
        <f t="shared" si="25"/>
        <v>#N/A</v>
      </c>
      <c r="R44" s="54" t="s">
        <v>328</v>
      </c>
      <c r="S44">
        <f t="shared" si="31"/>
        <v>6</v>
      </c>
      <c r="T44" s="22" t="str">
        <f t="shared" si="30"/>
        <v>Child Functioning -- Child #3_6</v>
      </c>
      <c r="U44" s="22" t="str">
        <f t="shared" si="28"/>
        <v>Relationship with Biological Father</v>
      </c>
      <c r="V44" t="e">
        <f t="shared" si="29"/>
        <v>#N/A</v>
      </c>
      <c r="W44" t="e">
        <f t="shared" si="29"/>
        <v>#N/A</v>
      </c>
      <c r="X44" t="e">
        <f t="shared" si="29"/>
        <v>#N/A</v>
      </c>
    </row>
    <row r="45" spans="10:24" x14ac:dyDescent="0.25">
      <c r="J45" s="54" t="s">
        <v>668</v>
      </c>
      <c r="K45">
        <f t="shared" si="27"/>
        <v>9</v>
      </c>
      <c r="L45" s="22" t="str">
        <f t="shared" si="26"/>
        <v>Caregiver Functioning - Caregiver #3_9</v>
      </c>
      <c r="M45" s="22" t="str">
        <f t="shared" si="24"/>
        <v>Organization</v>
      </c>
      <c r="N45" t="e">
        <f t="shared" si="25"/>
        <v>#N/A</v>
      </c>
      <c r="O45" t="e">
        <f t="shared" si="25"/>
        <v>#N/A</v>
      </c>
      <c r="P45" t="e">
        <f t="shared" si="25"/>
        <v>#N/A</v>
      </c>
      <c r="R45" s="54" t="s">
        <v>328</v>
      </c>
      <c r="S45">
        <f t="shared" si="31"/>
        <v>7</v>
      </c>
      <c r="T45" s="22" t="str">
        <f t="shared" si="30"/>
        <v>Child Functioning -- Child #3_7</v>
      </c>
      <c r="U45" s="22" t="str">
        <f t="shared" si="28"/>
        <v>Relationship with Primary Caregiver</v>
      </c>
      <c r="V45" t="e">
        <f t="shared" si="29"/>
        <v>#N/A</v>
      </c>
      <c r="W45" t="e">
        <f t="shared" si="29"/>
        <v>#N/A</v>
      </c>
      <c r="X45" t="e">
        <f t="shared" si="29"/>
        <v>#N/A</v>
      </c>
    </row>
    <row r="46" spans="10:24" x14ac:dyDescent="0.25">
      <c r="J46" s="54" t="s">
        <v>668</v>
      </c>
      <c r="K46">
        <f t="shared" si="27"/>
        <v>10</v>
      </c>
      <c r="L46" s="22" t="str">
        <f t="shared" si="26"/>
        <v>Caregiver Functioning - Caregiver #3_10</v>
      </c>
      <c r="M46" s="22" t="str">
        <f t="shared" si="24"/>
        <v>Parental Attribution</v>
      </c>
      <c r="N46" t="e">
        <f t="shared" si="25"/>
        <v>#N/A</v>
      </c>
      <c r="O46" t="e">
        <f t="shared" si="25"/>
        <v>#N/A</v>
      </c>
      <c r="P46" t="e">
        <f t="shared" si="25"/>
        <v>#N/A</v>
      </c>
      <c r="R46" s="54" t="s">
        <v>328</v>
      </c>
      <c r="S46">
        <f t="shared" si="31"/>
        <v>8</v>
      </c>
      <c r="T46" s="22" t="str">
        <f t="shared" si="30"/>
        <v>Child Functioning -- Child #3_8</v>
      </c>
      <c r="U46" s="22" t="str">
        <f t="shared" si="28"/>
        <v>Relationship with Other Family Adults</v>
      </c>
      <c r="V46" t="e">
        <f t="shared" si="29"/>
        <v>#N/A</v>
      </c>
      <c r="W46" t="e">
        <f t="shared" si="29"/>
        <v>#N/A</v>
      </c>
      <c r="X46" t="e">
        <f t="shared" si="29"/>
        <v>#N/A</v>
      </c>
    </row>
    <row r="47" spans="10:24" x14ac:dyDescent="0.25">
      <c r="J47" s="54" t="s">
        <v>668</v>
      </c>
      <c r="K47">
        <f t="shared" si="27"/>
        <v>11</v>
      </c>
      <c r="L47" s="22" t="str">
        <f t="shared" si="26"/>
        <v>Caregiver Functioning - Caregiver #3_11</v>
      </c>
      <c r="M47" s="22" t="str">
        <f t="shared" si="24"/>
        <v>Emotional Responsiveness</v>
      </c>
      <c r="N47" t="e">
        <f t="shared" si="25"/>
        <v>#N/A</v>
      </c>
      <c r="O47" t="e">
        <f t="shared" si="25"/>
        <v>#N/A</v>
      </c>
      <c r="P47" t="e">
        <f t="shared" si="25"/>
        <v>#N/A</v>
      </c>
      <c r="R47" s="54" t="s">
        <v>328</v>
      </c>
      <c r="S47">
        <f t="shared" si="31"/>
        <v>9</v>
      </c>
      <c r="T47" s="22" t="str">
        <f t="shared" si="30"/>
        <v>Child Functioning -- Child #3_9</v>
      </c>
      <c r="U47" s="22" t="str">
        <f t="shared" si="28"/>
        <v>Relationship with Siblings</v>
      </c>
      <c r="V47" t="e">
        <f t="shared" si="29"/>
        <v>#N/A</v>
      </c>
      <c r="W47" t="e">
        <f t="shared" si="29"/>
        <v>#N/A</v>
      </c>
      <c r="X47" t="e">
        <f t="shared" si="29"/>
        <v>#N/A</v>
      </c>
    </row>
    <row r="48" spans="10:24" x14ac:dyDescent="0.25">
      <c r="J48" s="54" t="s">
        <v>668</v>
      </c>
      <c r="K48">
        <f>K47+1</f>
        <v>12</v>
      </c>
      <c r="L48" s="22" t="str">
        <f>J48&amp;"_"&amp;K48</f>
        <v>Caregiver Functioning - Caregiver #3_12</v>
      </c>
      <c r="M48" s="22" t="str">
        <f t="shared" si="24"/>
        <v>Caregiver Posttraumatic Reactions</v>
      </c>
      <c r="N48" t="e">
        <f t="shared" si="25"/>
        <v>#N/A</v>
      </c>
      <c r="O48" t="e">
        <f t="shared" si="25"/>
        <v>#N/A</v>
      </c>
      <c r="P48" t="e">
        <f t="shared" si="25"/>
        <v>#N/A</v>
      </c>
      <c r="R48" s="54" t="s">
        <v>328</v>
      </c>
      <c r="S48">
        <f t="shared" si="31"/>
        <v>10</v>
      </c>
      <c r="T48" s="22" t="str">
        <f t="shared" si="30"/>
        <v>Child Functioning -- Child #3_10</v>
      </c>
      <c r="U48" s="22" t="str">
        <f t="shared" si="28"/>
        <v>Medical / Physical</v>
      </c>
      <c r="V48" t="e">
        <f t="shared" si="29"/>
        <v>#N/A</v>
      </c>
      <c r="W48" t="e">
        <f t="shared" si="29"/>
        <v>#N/A</v>
      </c>
      <c r="X48" t="e">
        <f t="shared" si="29"/>
        <v>#N/A</v>
      </c>
    </row>
    <row r="49" spans="10:24" x14ac:dyDescent="0.25">
      <c r="J49" s="54" t="s">
        <v>668</v>
      </c>
      <c r="K49">
        <f>K48+1</f>
        <v>13</v>
      </c>
      <c r="L49" s="22" t="str">
        <f>J49&amp;"_"&amp;K49</f>
        <v>Caregiver Functioning - Caregiver #3_13</v>
      </c>
      <c r="M49" s="22" t="str">
        <f t="shared" si="24"/>
        <v>Family Stress</v>
      </c>
      <c r="N49" t="e">
        <f t="shared" si="25"/>
        <v>#N/A</v>
      </c>
      <c r="O49" t="e">
        <f t="shared" si="25"/>
        <v>#N/A</v>
      </c>
      <c r="P49" t="e">
        <f t="shared" si="25"/>
        <v>#N/A</v>
      </c>
      <c r="R49" s="54" t="s">
        <v>328</v>
      </c>
      <c r="S49">
        <f t="shared" si="31"/>
        <v>11</v>
      </c>
      <c r="T49" s="22" t="str">
        <f t="shared" si="30"/>
        <v>Child Functioning -- Child #3_11</v>
      </c>
      <c r="U49" s="22" t="str">
        <f t="shared" si="28"/>
        <v>Sleeping</v>
      </c>
      <c r="V49" t="e">
        <f t="shared" si="29"/>
        <v>#N/A</v>
      </c>
      <c r="W49" t="e">
        <f t="shared" si="29"/>
        <v>#N/A</v>
      </c>
      <c r="X49" t="e">
        <f t="shared" si="29"/>
        <v>#N/A</v>
      </c>
    </row>
    <row r="50" spans="10:24" x14ac:dyDescent="0.25">
      <c r="J50" s="54" t="s">
        <v>668</v>
      </c>
      <c r="K50">
        <f>K49+1</f>
        <v>14</v>
      </c>
      <c r="L50" s="22" t="str">
        <f>J50&amp;"_"&amp;K50</f>
        <v>Caregiver Functioning - Caregiver #3_14</v>
      </c>
      <c r="M50" s="22" t="str">
        <f t="shared" si="24"/>
        <v>Boundaries</v>
      </c>
      <c r="N50" t="e">
        <f t="shared" si="25"/>
        <v>#N/A</v>
      </c>
      <c r="O50" t="e">
        <f t="shared" si="25"/>
        <v>#N/A</v>
      </c>
      <c r="P50" t="e">
        <f t="shared" si="25"/>
        <v>#N/A</v>
      </c>
      <c r="R50" s="54" t="s">
        <v>328</v>
      </c>
      <c r="S50">
        <f t="shared" si="31"/>
        <v>12</v>
      </c>
      <c r="T50" s="22" t="str">
        <f t="shared" si="30"/>
        <v>Child Functioning -- Child #3_12</v>
      </c>
      <c r="U50" s="22" t="str">
        <f t="shared" si="28"/>
        <v>Cognitive Skills</v>
      </c>
      <c r="V50" t="e">
        <f t="shared" si="29"/>
        <v>#N/A</v>
      </c>
      <c r="W50" t="e">
        <f t="shared" si="29"/>
        <v>#N/A</v>
      </c>
      <c r="X50" t="e">
        <f t="shared" si="29"/>
        <v>#N/A</v>
      </c>
    </row>
    <row r="51" spans="10:24" x14ac:dyDescent="0.25">
      <c r="R51" s="54" t="s">
        <v>328</v>
      </c>
      <c r="S51">
        <f t="shared" si="31"/>
        <v>13</v>
      </c>
      <c r="T51" s="22" t="str">
        <f t="shared" si="30"/>
        <v>Child Functioning -- Child #3_13</v>
      </c>
      <c r="U51" s="22" t="str">
        <f t="shared" si="28"/>
        <v>Social Functioning</v>
      </c>
      <c r="V51" t="e">
        <f t="shared" si="29"/>
        <v>#N/A</v>
      </c>
      <c r="W51" t="e">
        <f t="shared" si="29"/>
        <v>#N/A</v>
      </c>
      <c r="X51" t="e">
        <f t="shared" si="29"/>
        <v>#N/A</v>
      </c>
    </row>
    <row r="52" spans="10:24" x14ac:dyDescent="0.25">
      <c r="J52" s="16" t="str">
        <f>"Caregiver Functioning - "&amp;IF(CGName4="", "&lt;No name provided&gt;", CGName4)</f>
        <v>Caregiver Functioning - &lt;No name provided&gt;</v>
      </c>
      <c r="R52" s="54" t="s">
        <v>328</v>
      </c>
      <c r="S52">
        <f>S51+1</f>
        <v>14</v>
      </c>
      <c r="T52" s="22" t="str">
        <f>R52&amp;"_"&amp;S52</f>
        <v>Child Functioning -- Child #3_14</v>
      </c>
      <c r="U52" s="22" t="str">
        <f t="shared" si="28"/>
        <v>Educational Status</v>
      </c>
      <c r="V52" t="e">
        <f t="shared" si="29"/>
        <v>#N/A</v>
      </c>
      <c r="W52" t="e">
        <f t="shared" si="29"/>
        <v>#N/A</v>
      </c>
      <c r="X52" t="e">
        <f t="shared" si="29"/>
        <v>#N/A</v>
      </c>
    </row>
    <row r="53" spans="10:24" x14ac:dyDescent="0.25">
      <c r="J53" s="16"/>
      <c r="N53" s="250" t="str">
        <f>IF(dateAssess1="", "&lt;No 1st Assm't&gt;", dateAssess1)</f>
        <v>&lt;No 1st Assm't&gt;</v>
      </c>
      <c r="O53" s="19" t="str">
        <f>IF(dateAssess2="", "&lt;No 2nd Assm't&gt;", dateAssess2)</f>
        <v>&lt;No 2nd Assm't&gt;</v>
      </c>
      <c r="P53" s="19" t="str">
        <f>IF(dateAssess3="", "&lt;No 3rd Assm't&gt;", dateAssess3)</f>
        <v>&lt;No 3rd Assm't&gt;</v>
      </c>
      <c r="R53" s="54" t="s">
        <v>328</v>
      </c>
      <c r="S53">
        <f>S52+1</f>
        <v>15</v>
      </c>
      <c r="T53" s="22" t="str">
        <f>R53&amp;"_"&amp;S53</f>
        <v>Child Functioning -- Child #3_15</v>
      </c>
      <c r="U53" s="22" t="str">
        <f t="shared" si="28"/>
        <v>Risk Behaviors</v>
      </c>
      <c r="V53" t="e">
        <f t="shared" si="29"/>
        <v>#N/A</v>
      </c>
      <c r="W53" t="e">
        <f t="shared" si="29"/>
        <v>#N/A</v>
      </c>
      <c r="X53" t="e">
        <f t="shared" si="29"/>
        <v>#N/A</v>
      </c>
    </row>
    <row r="54" spans="10:24" x14ac:dyDescent="0.25">
      <c r="J54" s="54" t="s">
        <v>669</v>
      </c>
      <c r="K54">
        <v>1</v>
      </c>
      <c r="L54" s="22" t="str">
        <f>J54&amp;"_"&amp;K54</f>
        <v>Caregiver Functioning - Caregiver #4_1</v>
      </c>
      <c r="M54" s="22"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4" t="s">
        <v>669</v>
      </c>
      <c r="K55">
        <f>K54+1</f>
        <v>2</v>
      </c>
      <c r="L55" s="22" t="str">
        <f t="shared" ref="L55:L63" si="34">J55&amp;"_"&amp;K55</f>
        <v>Caregiver Functioning - Caregiver #4_2</v>
      </c>
      <c r="M55" s="22" t="str">
        <f t="shared" si="32"/>
        <v>Distress Tolerance</v>
      </c>
      <c r="N55" t="e">
        <f t="shared" si="33"/>
        <v>#N/A</v>
      </c>
      <c r="O55" t="e">
        <f t="shared" si="33"/>
        <v>#N/A</v>
      </c>
      <c r="P55" t="e">
        <f t="shared" si="33"/>
        <v>#N/A</v>
      </c>
      <c r="R55" s="16" t="str">
        <f>"Child Functioning -- "&amp;IF(ChildName4="", "&lt;No name provided&gt;", ChildName4&amp;", ID: "&amp;ChildID4)</f>
        <v>Child Functioning -- &lt;No name provided&gt;</v>
      </c>
    </row>
    <row r="56" spans="10:24" x14ac:dyDescent="0.25">
      <c r="J56" s="54" t="s">
        <v>669</v>
      </c>
      <c r="K56">
        <f t="shared" ref="K56:K63" si="35">K55+1</f>
        <v>3</v>
      </c>
      <c r="L56" s="22" t="str">
        <f t="shared" si="34"/>
        <v>Caregiver Functioning - Caregiver #4_3</v>
      </c>
      <c r="M56" s="22" t="str">
        <f t="shared" si="32"/>
        <v>Supervision</v>
      </c>
      <c r="N56" t="e">
        <f t="shared" si="33"/>
        <v>#N/A</v>
      </c>
      <c r="O56" t="e">
        <f t="shared" si="33"/>
        <v>#N/A</v>
      </c>
      <c r="P56" t="e">
        <f t="shared" si="33"/>
        <v>#N/A</v>
      </c>
      <c r="R56" s="16"/>
      <c r="V56" s="250" t="str">
        <f>IF(dateAssess1="", "&lt;No 1st Assm't&gt;", dateAssess1)</f>
        <v>&lt;No 1st Assm't&gt;</v>
      </c>
      <c r="W56" s="19" t="str">
        <f>IF(dateAssess2="", "&lt;No 2nd Assm't&gt;", dateAssess2)</f>
        <v>&lt;No 2nd Assm't&gt;</v>
      </c>
      <c r="X56" s="19" t="str">
        <f>IF(dateAssess3="", "&lt;No 3rd Assm't&gt;", dateAssess3)</f>
        <v>&lt;No 3rd Assm't&gt;</v>
      </c>
    </row>
    <row r="57" spans="10:24" x14ac:dyDescent="0.25">
      <c r="J57" s="54" t="s">
        <v>669</v>
      </c>
      <c r="K57">
        <f t="shared" si="35"/>
        <v>4</v>
      </c>
      <c r="L57" s="22" t="str">
        <f t="shared" si="34"/>
        <v>Caregiver Functioning - Caregiver #4_4</v>
      </c>
      <c r="M57" s="22" t="str">
        <f t="shared" si="32"/>
        <v>Discipline</v>
      </c>
      <c r="N57" t="e">
        <f t="shared" si="33"/>
        <v>#N/A</v>
      </c>
      <c r="O57" t="e">
        <f t="shared" si="33"/>
        <v>#N/A</v>
      </c>
      <c r="P57" t="e">
        <f t="shared" si="33"/>
        <v>#N/A</v>
      </c>
      <c r="R57" s="54" t="s">
        <v>329</v>
      </c>
      <c r="S57">
        <v>1</v>
      </c>
      <c r="T57" s="22" t="str">
        <f>R57&amp;"_"&amp;S57</f>
        <v>Child Functioning -- Child #4_1</v>
      </c>
      <c r="U57" s="22"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4" t="s">
        <v>669</v>
      </c>
      <c r="K58">
        <f t="shared" si="35"/>
        <v>5</v>
      </c>
      <c r="L58" s="22" t="str">
        <f t="shared" si="34"/>
        <v>Caregiver Functioning - Caregiver #4_5</v>
      </c>
      <c r="M58" s="22" t="str">
        <f t="shared" si="32"/>
        <v>Mental Health</v>
      </c>
      <c r="N58" t="e">
        <f t="shared" si="33"/>
        <v>#N/A</v>
      </c>
      <c r="O58" t="e">
        <f t="shared" si="33"/>
        <v>#N/A</v>
      </c>
      <c r="P58" t="e">
        <f t="shared" si="33"/>
        <v>#N/A</v>
      </c>
      <c r="R58" s="54" t="s">
        <v>329</v>
      </c>
      <c r="S58">
        <f>S57+1</f>
        <v>2</v>
      </c>
      <c r="T58" s="22" t="str">
        <f t="shared" ref="T58:T69" si="38">R58&amp;"_"&amp;S58</f>
        <v>Child Functioning -- Child #4_2</v>
      </c>
      <c r="U58" s="22" t="str">
        <f t="shared" si="36"/>
        <v>Adjustment to Trauma</v>
      </c>
      <c r="V58" t="e">
        <f t="shared" si="37"/>
        <v>#N/A</v>
      </c>
      <c r="W58" t="e">
        <f t="shared" si="37"/>
        <v>#N/A</v>
      </c>
      <c r="X58" t="e">
        <f t="shared" si="37"/>
        <v>#N/A</v>
      </c>
    </row>
    <row r="59" spans="10:24" x14ac:dyDescent="0.25">
      <c r="J59" s="54" t="s">
        <v>669</v>
      </c>
      <c r="K59">
        <f t="shared" si="35"/>
        <v>6</v>
      </c>
      <c r="L59" s="22" t="str">
        <f t="shared" si="34"/>
        <v>Caregiver Functioning - Caregiver #4_6</v>
      </c>
      <c r="M59" s="22" t="str">
        <f t="shared" si="32"/>
        <v>Partner Relations</v>
      </c>
      <c r="N59" t="e">
        <f t="shared" si="33"/>
        <v>#N/A</v>
      </c>
      <c r="O59" t="e">
        <f t="shared" si="33"/>
        <v>#N/A</v>
      </c>
      <c r="P59" t="e">
        <f t="shared" si="33"/>
        <v>#N/A</v>
      </c>
      <c r="R59" s="54" t="s">
        <v>329</v>
      </c>
      <c r="S59">
        <f t="shared" ref="S59:S69" si="39">S58+1</f>
        <v>3</v>
      </c>
      <c r="T59" s="22" t="str">
        <f t="shared" si="38"/>
        <v>Child Functioning -- Child #4_3</v>
      </c>
      <c r="U59" s="22" t="str">
        <f t="shared" si="36"/>
        <v>Recreation / Play</v>
      </c>
      <c r="V59" t="e">
        <f t="shared" si="37"/>
        <v>#N/A</v>
      </c>
      <c r="W59" t="e">
        <f t="shared" si="37"/>
        <v>#N/A</v>
      </c>
      <c r="X59" t="e">
        <f t="shared" si="37"/>
        <v>#N/A</v>
      </c>
    </row>
    <row r="60" spans="10:24" x14ac:dyDescent="0.25">
      <c r="J60" s="54" t="s">
        <v>669</v>
      </c>
      <c r="K60">
        <f t="shared" si="35"/>
        <v>7</v>
      </c>
      <c r="L60" s="22" t="str">
        <f t="shared" si="34"/>
        <v>Caregiver Functioning - Caregiver #4_7</v>
      </c>
      <c r="M60" s="22" t="str">
        <f t="shared" si="32"/>
        <v>Substance Abuse</v>
      </c>
      <c r="N60" t="e">
        <f t="shared" si="33"/>
        <v>#N/A</v>
      </c>
      <c r="O60" t="e">
        <f t="shared" si="33"/>
        <v>#N/A</v>
      </c>
      <c r="P60" t="e">
        <f t="shared" si="33"/>
        <v>#N/A</v>
      </c>
      <c r="R60" s="54" t="s">
        <v>329</v>
      </c>
      <c r="S60">
        <f t="shared" si="39"/>
        <v>4</v>
      </c>
      <c r="T60" s="22" t="str">
        <f t="shared" si="38"/>
        <v>Child Functioning -- Child #4_4</v>
      </c>
      <c r="U60" s="22" t="str">
        <f t="shared" si="36"/>
        <v>Attachment – Birth to 5</v>
      </c>
      <c r="V60" t="e">
        <f t="shared" si="37"/>
        <v>#N/A</v>
      </c>
      <c r="W60" t="e">
        <f t="shared" si="37"/>
        <v>#N/A</v>
      </c>
      <c r="X60" t="e">
        <f t="shared" si="37"/>
        <v>#N/A</v>
      </c>
    </row>
    <row r="61" spans="10:24" x14ac:dyDescent="0.25">
      <c r="J61" s="54" t="s">
        <v>669</v>
      </c>
      <c r="K61">
        <f t="shared" si="35"/>
        <v>8</v>
      </c>
      <c r="L61" s="22" t="str">
        <f t="shared" si="34"/>
        <v>Caregiver Functioning - Caregiver #4_8</v>
      </c>
      <c r="M61" s="22" t="str">
        <f t="shared" si="32"/>
        <v>Physical Health</v>
      </c>
      <c r="N61" t="e">
        <f t="shared" si="33"/>
        <v>#N/A</v>
      </c>
      <c r="O61" t="e">
        <f t="shared" si="33"/>
        <v>#N/A</v>
      </c>
      <c r="P61" t="e">
        <f t="shared" si="33"/>
        <v>#N/A</v>
      </c>
      <c r="R61" s="54" t="s">
        <v>329</v>
      </c>
      <c r="S61">
        <f t="shared" si="39"/>
        <v>5</v>
      </c>
      <c r="T61" s="22" t="str">
        <f t="shared" si="38"/>
        <v>Child Functioning -- Child #4_5</v>
      </c>
      <c r="U61" s="22" t="str">
        <f t="shared" si="36"/>
        <v>Relationship with Biological Mother</v>
      </c>
      <c r="V61" t="e">
        <f t="shared" si="37"/>
        <v>#N/A</v>
      </c>
      <c r="W61" t="e">
        <f t="shared" si="37"/>
        <v>#N/A</v>
      </c>
      <c r="X61" t="e">
        <f t="shared" si="37"/>
        <v>#N/A</v>
      </c>
    </row>
    <row r="62" spans="10:24" x14ac:dyDescent="0.25">
      <c r="J62" s="54" t="s">
        <v>669</v>
      </c>
      <c r="K62">
        <f t="shared" si="35"/>
        <v>9</v>
      </c>
      <c r="L62" s="22" t="str">
        <f t="shared" si="34"/>
        <v>Caregiver Functioning - Caregiver #4_9</v>
      </c>
      <c r="M62" s="22" t="str">
        <f t="shared" si="32"/>
        <v>Organization</v>
      </c>
      <c r="N62" t="e">
        <f t="shared" si="33"/>
        <v>#N/A</v>
      </c>
      <c r="O62" t="e">
        <f t="shared" si="33"/>
        <v>#N/A</v>
      </c>
      <c r="P62" t="e">
        <f t="shared" si="33"/>
        <v>#N/A</v>
      </c>
      <c r="R62" s="54" t="s">
        <v>329</v>
      </c>
      <c r="S62">
        <f t="shared" si="39"/>
        <v>6</v>
      </c>
      <c r="T62" s="22" t="str">
        <f t="shared" si="38"/>
        <v>Child Functioning -- Child #4_6</v>
      </c>
      <c r="U62" s="22" t="str">
        <f t="shared" si="36"/>
        <v>Relationship with Biological Father</v>
      </c>
      <c r="V62" t="e">
        <f t="shared" si="37"/>
        <v>#N/A</v>
      </c>
      <c r="W62" t="e">
        <f t="shared" si="37"/>
        <v>#N/A</v>
      </c>
      <c r="X62" t="e">
        <f t="shared" si="37"/>
        <v>#N/A</v>
      </c>
    </row>
    <row r="63" spans="10:24" x14ac:dyDescent="0.25">
      <c r="J63" s="54" t="s">
        <v>669</v>
      </c>
      <c r="K63">
        <f t="shared" si="35"/>
        <v>10</v>
      </c>
      <c r="L63" s="22" t="str">
        <f t="shared" si="34"/>
        <v>Caregiver Functioning - Caregiver #4_10</v>
      </c>
      <c r="M63" s="22" t="str">
        <f t="shared" si="32"/>
        <v>Parental Attribution</v>
      </c>
      <c r="N63" t="e">
        <f t="shared" si="33"/>
        <v>#N/A</v>
      </c>
      <c r="O63" t="e">
        <f t="shared" si="33"/>
        <v>#N/A</v>
      </c>
      <c r="P63" t="e">
        <f t="shared" si="33"/>
        <v>#N/A</v>
      </c>
      <c r="R63" s="54" t="s">
        <v>329</v>
      </c>
      <c r="S63">
        <f t="shared" si="39"/>
        <v>7</v>
      </c>
      <c r="T63" s="22" t="str">
        <f t="shared" si="38"/>
        <v>Child Functioning -- Child #4_7</v>
      </c>
      <c r="U63" s="22" t="str">
        <f t="shared" si="36"/>
        <v>Relationship with Primary Caregiver</v>
      </c>
      <c r="V63" t="e">
        <f t="shared" si="37"/>
        <v>#N/A</v>
      </c>
      <c r="W63" t="e">
        <f t="shared" si="37"/>
        <v>#N/A</v>
      </c>
      <c r="X63" t="e">
        <f t="shared" si="37"/>
        <v>#N/A</v>
      </c>
    </row>
    <row r="64" spans="10:24" x14ac:dyDescent="0.25">
      <c r="J64" s="54" t="s">
        <v>669</v>
      </c>
      <c r="K64">
        <f>K63+1</f>
        <v>11</v>
      </c>
      <c r="L64" s="22" t="str">
        <f>J64&amp;"_"&amp;K64</f>
        <v>Caregiver Functioning - Caregiver #4_11</v>
      </c>
      <c r="M64" s="22" t="str">
        <f t="shared" si="32"/>
        <v>Emotional Responsiveness</v>
      </c>
      <c r="N64" t="e">
        <f t="shared" si="33"/>
        <v>#N/A</v>
      </c>
      <c r="O64" t="e">
        <f t="shared" si="33"/>
        <v>#N/A</v>
      </c>
      <c r="P64" t="e">
        <f t="shared" si="33"/>
        <v>#N/A</v>
      </c>
      <c r="R64" s="54" t="s">
        <v>329</v>
      </c>
      <c r="S64">
        <f t="shared" si="39"/>
        <v>8</v>
      </c>
      <c r="T64" s="22" t="str">
        <f t="shared" si="38"/>
        <v>Child Functioning -- Child #4_8</v>
      </c>
      <c r="U64" s="22" t="str">
        <f t="shared" si="36"/>
        <v>Relationship with Other Family Adults</v>
      </c>
      <c r="V64" t="e">
        <f t="shared" si="37"/>
        <v>#N/A</v>
      </c>
      <c r="W64" t="e">
        <f t="shared" si="37"/>
        <v>#N/A</v>
      </c>
      <c r="X64" t="e">
        <f t="shared" si="37"/>
        <v>#N/A</v>
      </c>
    </row>
    <row r="65" spans="10:24" x14ac:dyDescent="0.25">
      <c r="J65" s="54" t="s">
        <v>669</v>
      </c>
      <c r="K65">
        <f>K64+1</f>
        <v>12</v>
      </c>
      <c r="L65" s="22" t="str">
        <f>J65&amp;"_"&amp;K65</f>
        <v>Caregiver Functioning - Caregiver #4_12</v>
      </c>
      <c r="M65" s="22" t="str">
        <f t="shared" si="32"/>
        <v>Caregiver Posttraumatic Reactions</v>
      </c>
      <c r="N65" t="e">
        <f t="shared" si="33"/>
        <v>#N/A</v>
      </c>
      <c r="O65" t="e">
        <f t="shared" si="33"/>
        <v>#N/A</v>
      </c>
      <c r="P65" t="e">
        <f t="shared" si="33"/>
        <v>#N/A</v>
      </c>
      <c r="R65" s="54" t="s">
        <v>329</v>
      </c>
      <c r="S65">
        <f t="shared" si="39"/>
        <v>9</v>
      </c>
      <c r="T65" s="22" t="str">
        <f t="shared" si="38"/>
        <v>Child Functioning -- Child #4_9</v>
      </c>
      <c r="U65" s="22" t="str">
        <f t="shared" si="36"/>
        <v>Relationship with Siblings</v>
      </c>
      <c r="V65" t="e">
        <f t="shared" si="37"/>
        <v>#N/A</v>
      </c>
      <c r="W65" t="e">
        <f t="shared" si="37"/>
        <v>#N/A</v>
      </c>
      <c r="X65" t="e">
        <f t="shared" si="37"/>
        <v>#N/A</v>
      </c>
    </row>
    <row r="66" spans="10:24" x14ac:dyDescent="0.25">
      <c r="J66" s="54" t="s">
        <v>669</v>
      </c>
      <c r="K66">
        <f>K65+1</f>
        <v>13</v>
      </c>
      <c r="L66" s="22" t="str">
        <f>J66&amp;"_"&amp;K66</f>
        <v>Caregiver Functioning - Caregiver #4_13</v>
      </c>
      <c r="M66" s="22" t="str">
        <f t="shared" si="32"/>
        <v>Family Stress</v>
      </c>
      <c r="N66" t="e">
        <f t="shared" si="33"/>
        <v>#N/A</v>
      </c>
      <c r="O66" t="e">
        <f t="shared" si="33"/>
        <v>#N/A</v>
      </c>
      <c r="P66" t="e">
        <f t="shared" si="33"/>
        <v>#N/A</v>
      </c>
      <c r="R66" s="54" t="s">
        <v>329</v>
      </c>
      <c r="S66">
        <f t="shared" si="39"/>
        <v>10</v>
      </c>
      <c r="T66" s="22" t="str">
        <f t="shared" si="38"/>
        <v>Child Functioning -- Child #4_10</v>
      </c>
      <c r="U66" s="22" t="str">
        <f t="shared" si="36"/>
        <v>Medical / Physical</v>
      </c>
      <c r="V66" t="e">
        <f t="shared" si="37"/>
        <v>#N/A</v>
      </c>
      <c r="W66" t="e">
        <f t="shared" si="37"/>
        <v>#N/A</v>
      </c>
      <c r="X66" t="e">
        <f t="shared" si="37"/>
        <v>#N/A</v>
      </c>
    </row>
    <row r="67" spans="10:24" x14ac:dyDescent="0.25">
      <c r="J67" s="54" t="s">
        <v>669</v>
      </c>
      <c r="K67">
        <f>K66+1</f>
        <v>14</v>
      </c>
      <c r="L67" s="22" t="str">
        <f>J67&amp;"_"&amp;K67</f>
        <v>Caregiver Functioning - Caregiver #4_14</v>
      </c>
      <c r="M67" s="22" t="str">
        <f t="shared" si="32"/>
        <v>Boundaries</v>
      </c>
      <c r="N67" t="e">
        <f t="shared" si="33"/>
        <v>#N/A</v>
      </c>
      <c r="O67" t="e">
        <f t="shared" si="33"/>
        <v>#N/A</v>
      </c>
      <c r="P67" t="e">
        <f t="shared" si="33"/>
        <v>#N/A</v>
      </c>
      <c r="R67" s="54" t="s">
        <v>329</v>
      </c>
      <c r="S67">
        <f t="shared" si="39"/>
        <v>11</v>
      </c>
      <c r="T67" s="22" t="str">
        <f t="shared" si="38"/>
        <v>Child Functioning -- Child #4_11</v>
      </c>
      <c r="U67" s="22" t="str">
        <f t="shared" si="36"/>
        <v>Sleeping</v>
      </c>
      <c r="V67" t="e">
        <f t="shared" si="37"/>
        <v>#N/A</v>
      </c>
      <c r="W67" t="e">
        <f t="shared" si="37"/>
        <v>#N/A</v>
      </c>
      <c r="X67" t="e">
        <f t="shared" si="37"/>
        <v>#N/A</v>
      </c>
    </row>
    <row r="68" spans="10:24" x14ac:dyDescent="0.25">
      <c r="R68" s="54" t="s">
        <v>329</v>
      </c>
      <c r="S68">
        <f t="shared" si="39"/>
        <v>12</v>
      </c>
      <c r="T68" s="22" t="str">
        <f t="shared" si="38"/>
        <v>Child Functioning -- Child #4_12</v>
      </c>
      <c r="U68" s="22" t="str">
        <f t="shared" si="36"/>
        <v>Cognitive Skills</v>
      </c>
      <c r="V68" t="e">
        <f t="shared" si="37"/>
        <v>#N/A</v>
      </c>
      <c r="W68" t="e">
        <f t="shared" si="37"/>
        <v>#N/A</v>
      </c>
      <c r="X68" t="e">
        <f t="shared" si="37"/>
        <v>#N/A</v>
      </c>
    </row>
    <row r="69" spans="10:24" x14ac:dyDescent="0.25">
      <c r="R69" s="54" t="s">
        <v>329</v>
      </c>
      <c r="S69">
        <f t="shared" si="39"/>
        <v>13</v>
      </c>
      <c r="T69" s="22" t="str">
        <f t="shared" si="38"/>
        <v>Child Functioning -- Child #4_13</v>
      </c>
      <c r="U69" s="22" t="str">
        <f t="shared" si="36"/>
        <v>Social Functioning</v>
      </c>
      <c r="V69" t="e">
        <f t="shared" si="37"/>
        <v>#N/A</v>
      </c>
      <c r="W69" t="e">
        <f t="shared" si="37"/>
        <v>#N/A</v>
      </c>
      <c r="X69" t="e">
        <f t="shared" si="37"/>
        <v>#N/A</v>
      </c>
    </row>
    <row r="70" spans="10:24" x14ac:dyDescent="0.25">
      <c r="R70" s="54" t="s">
        <v>329</v>
      </c>
      <c r="S70">
        <f>S69+1</f>
        <v>14</v>
      </c>
      <c r="T70" s="22" t="str">
        <f>R70&amp;"_"&amp;S70</f>
        <v>Child Functioning -- Child #4_14</v>
      </c>
      <c r="U70" s="22" t="str">
        <f t="shared" si="36"/>
        <v>Educational Status</v>
      </c>
      <c r="V70" t="e">
        <f t="shared" si="37"/>
        <v>#N/A</v>
      </c>
      <c r="W70" t="e">
        <f t="shared" si="37"/>
        <v>#N/A</v>
      </c>
      <c r="X70" t="e">
        <f t="shared" si="37"/>
        <v>#N/A</v>
      </c>
    </row>
    <row r="71" spans="10:24" x14ac:dyDescent="0.25">
      <c r="R71" s="54" t="s">
        <v>329</v>
      </c>
      <c r="S71">
        <f>S70+1</f>
        <v>15</v>
      </c>
      <c r="T71" s="22" t="str">
        <f>R71&amp;"_"&amp;S71</f>
        <v>Child Functioning -- Child #4_15</v>
      </c>
      <c r="U71" s="22" t="str">
        <f t="shared" si="36"/>
        <v>Risk Behaviors</v>
      </c>
      <c r="V71" t="e">
        <f t="shared" si="37"/>
        <v>#N/A</v>
      </c>
      <c r="W71" t="e">
        <f t="shared" si="37"/>
        <v>#N/A</v>
      </c>
      <c r="X71" t="e">
        <f t="shared" si="37"/>
        <v>#N/A</v>
      </c>
    </row>
    <row r="73" spans="10:24" x14ac:dyDescent="0.25">
      <c r="R73" s="16" t="str">
        <f>"Child Functioning -- "&amp;IF(ChildName5="", "&lt;No name provided&gt;", ChildName5&amp;", ID: "&amp;ChildID5)</f>
        <v>Child Functioning -- &lt;No name provided&gt;</v>
      </c>
    </row>
    <row r="74" spans="10:24" x14ac:dyDescent="0.25">
      <c r="R74" s="16"/>
      <c r="V74" s="250" t="str">
        <f>IF(dateAssess1="", "&lt;No 1st Assm't&gt;", dateAssess1)</f>
        <v>&lt;No 1st Assm't&gt;</v>
      </c>
      <c r="W74" s="19" t="str">
        <f>IF(dateAssess2="", "&lt;No 2nd Assm't&gt;", dateAssess2)</f>
        <v>&lt;No 2nd Assm't&gt;</v>
      </c>
      <c r="X74" s="19" t="str">
        <f>IF(dateAssess3="", "&lt;No 3rd Assm't&gt;", dateAssess3)</f>
        <v>&lt;No 3rd Assm't&gt;</v>
      </c>
    </row>
    <row r="75" spans="10:24" x14ac:dyDescent="0.25">
      <c r="R75" s="54" t="s">
        <v>330</v>
      </c>
      <c r="S75">
        <v>1</v>
      </c>
      <c r="T75" s="22" t="str">
        <f>R75&amp;"_"&amp;S75</f>
        <v>Child Functioning -- Child #5_1</v>
      </c>
      <c r="U75" s="22"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4" t="s">
        <v>330</v>
      </c>
      <c r="S76">
        <f>S75+1</f>
        <v>2</v>
      </c>
      <c r="T76" s="22" t="str">
        <f t="shared" ref="T76:T87" si="42">R76&amp;"_"&amp;S76</f>
        <v>Child Functioning -- Child #5_2</v>
      </c>
      <c r="U76" s="22" t="str">
        <f t="shared" si="40"/>
        <v>Adjustment to Trauma</v>
      </c>
      <c r="V76" t="e">
        <f t="shared" si="41"/>
        <v>#N/A</v>
      </c>
      <c r="W76" t="e">
        <f t="shared" si="41"/>
        <v>#N/A</v>
      </c>
      <c r="X76" t="e">
        <f t="shared" si="41"/>
        <v>#N/A</v>
      </c>
    </row>
    <row r="77" spans="10:24" x14ac:dyDescent="0.25">
      <c r="R77" s="54" t="s">
        <v>330</v>
      </c>
      <c r="S77">
        <f t="shared" ref="S77:S87" si="43">S76+1</f>
        <v>3</v>
      </c>
      <c r="T77" s="22" t="str">
        <f t="shared" si="42"/>
        <v>Child Functioning -- Child #5_3</v>
      </c>
      <c r="U77" s="22" t="str">
        <f t="shared" si="40"/>
        <v>Recreation / Play</v>
      </c>
      <c r="V77" t="e">
        <f t="shared" si="41"/>
        <v>#N/A</v>
      </c>
      <c r="W77" t="e">
        <f t="shared" si="41"/>
        <v>#N/A</v>
      </c>
      <c r="X77" t="e">
        <f t="shared" si="41"/>
        <v>#N/A</v>
      </c>
    </row>
    <row r="78" spans="10:24" x14ac:dyDescent="0.25">
      <c r="R78" s="54" t="s">
        <v>330</v>
      </c>
      <c r="S78">
        <f t="shared" si="43"/>
        <v>4</v>
      </c>
      <c r="T78" s="22" t="str">
        <f t="shared" si="42"/>
        <v>Child Functioning -- Child #5_4</v>
      </c>
      <c r="U78" s="22" t="str">
        <f t="shared" si="40"/>
        <v>Attachment – Birth to 5</v>
      </c>
      <c r="V78" t="e">
        <f t="shared" si="41"/>
        <v>#N/A</v>
      </c>
      <c r="W78" t="e">
        <f t="shared" si="41"/>
        <v>#N/A</v>
      </c>
      <c r="X78" t="e">
        <f t="shared" si="41"/>
        <v>#N/A</v>
      </c>
    </row>
    <row r="79" spans="10:24" x14ac:dyDescent="0.25">
      <c r="R79" s="54" t="s">
        <v>330</v>
      </c>
      <c r="S79">
        <f t="shared" si="43"/>
        <v>5</v>
      </c>
      <c r="T79" s="22" t="str">
        <f t="shared" si="42"/>
        <v>Child Functioning -- Child #5_5</v>
      </c>
      <c r="U79" s="22" t="str">
        <f t="shared" si="40"/>
        <v>Relationship with Biological Mother</v>
      </c>
      <c r="V79" t="e">
        <f t="shared" si="41"/>
        <v>#N/A</v>
      </c>
      <c r="W79" t="e">
        <f t="shared" si="41"/>
        <v>#N/A</v>
      </c>
      <c r="X79" t="e">
        <f t="shared" si="41"/>
        <v>#N/A</v>
      </c>
    </row>
    <row r="80" spans="10:24" x14ac:dyDescent="0.25">
      <c r="R80" s="54" t="s">
        <v>330</v>
      </c>
      <c r="S80">
        <f t="shared" si="43"/>
        <v>6</v>
      </c>
      <c r="T80" s="22" t="str">
        <f t="shared" si="42"/>
        <v>Child Functioning -- Child #5_6</v>
      </c>
      <c r="U80" s="22" t="str">
        <f t="shared" si="40"/>
        <v>Relationship with Biological Father</v>
      </c>
      <c r="V80" t="e">
        <f t="shared" si="41"/>
        <v>#N/A</v>
      </c>
      <c r="W80" t="e">
        <f t="shared" si="41"/>
        <v>#N/A</v>
      </c>
      <c r="X80" t="e">
        <f t="shared" si="41"/>
        <v>#N/A</v>
      </c>
    </row>
    <row r="81" spans="18:24" x14ac:dyDescent="0.25">
      <c r="R81" s="54" t="s">
        <v>330</v>
      </c>
      <c r="S81">
        <f t="shared" si="43"/>
        <v>7</v>
      </c>
      <c r="T81" s="22" t="str">
        <f t="shared" si="42"/>
        <v>Child Functioning -- Child #5_7</v>
      </c>
      <c r="U81" s="22" t="str">
        <f t="shared" si="40"/>
        <v>Relationship with Primary Caregiver</v>
      </c>
      <c r="V81" t="e">
        <f t="shared" si="41"/>
        <v>#N/A</v>
      </c>
      <c r="W81" t="e">
        <f t="shared" si="41"/>
        <v>#N/A</v>
      </c>
      <c r="X81" t="e">
        <f t="shared" si="41"/>
        <v>#N/A</v>
      </c>
    </row>
    <row r="82" spans="18:24" x14ac:dyDescent="0.25">
      <c r="R82" s="54" t="s">
        <v>330</v>
      </c>
      <c r="S82">
        <f t="shared" si="43"/>
        <v>8</v>
      </c>
      <c r="T82" s="22" t="str">
        <f t="shared" si="42"/>
        <v>Child Functioning -- Child #5_8</v>
      </c>
      <c r="U82" s="22" t="str">
        <f t="shared" si="40"/>
        <v>Relationship with Other Family Adults</v>
      </c>
      <c r="V82" t="e">
        <f t="shared" si="41"/>
        <v>#N/A</v>
      </c>
      <c r="W82" t="e">
        <f t="shared" si="41"/>
        <v>#N/A</v>
      </c>
      <c r="X82" t="e">
        <f t="shared" si="41"/>
        <v>#N/A</v>
      </c>
    </row>
    <row r="83" spans="18:24" x14ac:dyDescent="0.25">
      <c r="R83" s="54" t="s">
        <v>330</v>
      </c>
      <c r="S83">
        <f t="shared" si="43"/>
        <v>9</v>
      </c>
      <c r="T83" s="22" t="str">
        <f t="shared" si="42"/>
        <v>Child Functioning -- Child #5_9</v>
      </c>
      <c r="U83" s="22" t="str">
        <f t="shared" si="40"/>
        <v>Relationship with Siblings</v>
      </c>
      <c r="V83" t="e">
        <f t="shared" si="41"/>
        <v>#N/A</v>
      </c>
      <c r="W83" t="e">
        <f t="shared" si="41"/>
        <v>#N/A</v>
      </c>
      <c r="X83" t="e">
        <f t="shared" si="41"/>
        <v>#N/A</v>
      </c>
    </row>
    <row r="84" spans="18:24" x14ac:dyDescent="0.25">
      <c r="R84" s="54" t="s">
        <v>330</v>
      </c>
      <c r="S84">
        <f t="shared" si="43"/>
        <v>10</v>
      </c>
      <c r="T84" s="22" t="str">
        <f t="shared" si="42"/>
        <v>Child Functioning -- Child #5_10</v>
      </c>
      <c r="U84" s="22" t="str">
        <f t="shared" si="40"/>
        <v>Medical / Physical</v>
      </c>
      <c r="V84" t="e">
        <f t="shared" si="41"/>
        <v>#N/A</v>
      </c>
      <c r="W84" t="e">
        <f t="shared" si="41"/>
        <v>#N/A</v>
      </c>
      <c r="X84" t="e">
        <f t="shared" si="41"/>
        <v>#N/A</v>
      </c>
    </row>
    <row r="85" spans="18:24" x14ac:dyDescent="0.25">
      <c r="R85" s="54" t="s">
        <v>330</v>
      </c>
      <c r="S85">
        <f t="shared" si="43"/>
        <v>11</v>
      </c>
      <c r="T85" s="22" t="str">
        <f t="shared" si="42"/>
        <v>Child Functioning -- Child #5_11</v>
      </c>
      <c r="U85" s="22" t="str">
        <f t="shared" si="40"/>
        <v>Sleeping</v>
      </c>
      <c r="V85" t="e">
        <f t="shared" si="41"/>
        <v>#N/A</v>
      </c>
      <c r="W85" t="e">
        <f t="shared" si="41"/>
        <v>#N/A</v>
      </c>
      <c r="X85" t="e">
        <f t="shared" si="41"/>
        <v>#N/A</v>
      </c>
    </row>
    <row r="86" spans="18:24" x14ac:dyDescent="0.25">
      <c r="R86" s="54" t="s">
        <v>330</v>
      </c>
      <c r="S86">
        <f t="shared" si="43"/>
        <v>12</v>
      </c>
      <c r="T86" s="22" t="str">
        <f t="shared" si="42"/>
        <v>Child Functioning -- Child #5_12</v>
      </c>
      <c r="U86" s="22" t="str">
        <f t="shared" si="40"/>
        <v>Cognitive Skills</v>
      </c>
      <c r="V86" t="e">
        <f t="shared" si="41"/>
        <v>#N/A</v>
      </c>
      <c r="W86" t="e">
        <f t="shared" si="41"/>
        <v>#N/A</v>
      </c>
      <c r="X86" t="e">
        <f t="shared" si="41"/>
        <v>#N/A</v>
      </c>
    </row>
    <row r="87" spans="18:24" x14ac:dyDescent="0.25">
      <c r="R87" s="54" t="s">
        <v>330</v>
      </c>
      <c r="S87">
        <f t="shared" si="43"/>
        <v>13</v>
      </c>
      <c r="T87" s="22" t="str">
        <f t="shared" si="42"/>
        <v>Child Functioning -- Child #5_13</v>
      </c>
      <c r="U87" s="22" t="str">
        <f t="shared" si="40"/>
        <v>Social Functioning</v>
      </c>
      <c r="V87" t="e">
        <f t="shared" si="41"/>
        <v>#N/A</v>
      </c>
      <c r="W87" t="e">
        <f t="shared" si="41"/>
        <v>#N/A</v>
      </c>
      <c r="X87" t="e">
        <f t="shared" si="41"/>
        <v>#N/A</v>
      </c>
    </row>
    <row r="88" spans="18:24" x14ac:dyDescent="0.25">
      <c r="R88" s="54" t="s">
        <v>330</v>
      </c>
      <c r="S88">
        <f>S87+1</f>
        <v>14</v>
      </c>
      <c r="T88" s="22" t="str">
        <f>R88&amp;"_"&amp;S88</f>
        <v>Child Functioning -- Child #5_14</v>
      </c>
      <c r="U88" s="22" t="str">
        <f t="shared" si="40"/>
        <v>Educational Status</v>
      </c>
      <c r="V88" t="e">
        <f t="shared" si="41"/>
        <v>#N/A</v>
      </c>
      <c r="W88" t="e">
        <f t="shared" si="41"/>
        <v>#N/A</v>
      </c>
      <c r="X88" t="e">
        <f t="shared" si="41"/>
        <v>#N/A</v>
      </c>
    </row>
    <row r="89" spans="18:24" x14ac:dyDescent="0.25">
      <c r="R89" s="54" t="s">
        <v>330</v>
      </c>
      <c r="S89">
        <f>S88+1</f>
        <v>15</v>
      </c>
      <c r="T89" s="22" t="str">
        <f>R89&amp;"_"&amp;S89</f>
        <v>Child Functioning -- Child #5_15</v>
      </c>
      <c r="U89" s="22" t="str">
        <f t="shared" si="40"/>
        <v>Risk Behaviors</v>
      </c>
      <c r="V89" t="e">
        <f t="shared" si="41"/>
        <v>#N/A</v>
      </c>
      <c r="W89" t="e">
        <f t="shared" si="41"/>
        <v>#N/A</v>
      </c>
      <c r="X89" t="e">
        <f t="shared" si="41"/>
        <v>#N/A</v>
      </c>
    </row>
    <row r="91" spans="18:24" x14ac:dyDescent="0.25">
      <c r="R91" s="16" t="str">
        <f>"Child Functioning -- "&amp;IF(ChildName6="", "&lt;No name provided&gt;", ChildName6&amp;", ID: "&amp;ChildID6)</f>
        <v>Child Functioning -- &lt;No name provided&gt;</v>
      </c>
    </row>
    <row r="92" spans="18:24" x14ac:dyDescent="0.25">
      <c r="R92" s="16"/>
      <c r="V92" s="250" t="str">
        <f>IF(dateAssess1="", "&lt;No 1st Assm't&gt;", dateAssess1)</f>
        <v>&lt;No 1st Assm't&gt;</v>
      </c>
      <c r="W92" s="19" t="str">
        <f>IF(dateAssess2="", "&lt;No 2nd Assm't&gt;", dateAssess2)</f>
        <v>&lt;No 2nd Assm't&gt;</v>
      </c>
      <c r="X92" s="19" t="str">
        <f>IF(dateAssess3="", "&lt;No 3rd Assm't&gt;", dateAssess3)</f>
        <v>&lt;No 3rd Assm't&gt;</v>
      </c>
    </row>
    <row r="93" spans="18:24" x14ac:dyDescent="0.25">
      <c r="R93" s="54" t="s">
        <v>331</v>
      </c>
      <c r="S93">
        <v>1</v>
      </c>
      <c r="T93" s="22" t="str">
        <f>R93&amp;"_"&amp;S93</f>
        <v>Child Functioning -- Child #6_1</v>
      </c>
      <c r="U93" s="22"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4" t="s">
        <v>331</v>
      </c>
      <c r="S94">
        <f>S93+1</f>
        <v>2</v>
      </c>
      <c r="T94" s="22" t="str">
        <f t="shared" ref="T94:T105" si="46">R94&amp;"_"&amp;S94</f>
        <v>Child Functioning -- Child #6_2</v>
      </c>
      <c r="U94" s="22" t="str">
        <f t="shared" si="44"/>
        <v>Adjustment to Trauma</v>
      </c>
      <c r="V94" t="e">
        <f t="shared" si="45"/>
        <v>#N/A</v>
      </c>
      <c r="W94" t="e">
        <f t="shared" si="45"/>
        <v>#N/A</v>
      </c>
      <c r="X94" t="e">
        <f t="shared" si="45"/>
        <v>#N/A</v>
      </c>
    </row>
    <row r="95" spans="18:24" x14ac:dyDescent="0.25">
      <c r="R95" s="54" t="s">
        <v>331</v>
      </c>
      <c r="S95">
        <f t="shared" ref="S95:S105" si="47">S94+1</f>
        <v>3</v>
      </c>
      <c r="T95" s="22" t="str">
        <f t="shared" si="46"/>
        <v>Child Functioning -- Child #6_3</v>
      </c>
      <c r="U95" s="22" t="str">
        <f t="shared" si="44"/>
        <v>Recreation / Play</v>
      </c>
      <c r="V95" t="e">
        <f t="shared" si="45"/>
        <v>#N/A</v>
      </c>
      <c r="W95" t="e">
        <f t="shared" si="45"/>
        <v>#N/A</v>
      </c>
      <c r="X95" t="e">
        <f t="shared" si="45"/>
        <v>#N/A</v>
      </c>
    </row>
    <row r="96" spans="18:24" x14ac:dyDescent="0.25">
      <c r="R96" s="54" t="s">
        <v>331</v>
      </c>
      <c r="S96">
        <f t="shared" si="47"/>
        <v>4</v>
      </c>
      <c r="T96" s="22" t="str">
        <f t="shared" si="46"/>
        <v>Child Functioning -- Child #6_4</v>
      </c>
      <c r="U96" s="22" t="str">
        <f t="shared" si="44"/>
        <v>Attachment – Birth to 5</v>
      </c>
      <c r="V96" t="e">
        <f t="shared" si="45"/>
        <v>#N/A</v>
      </c>
      <c r="W96" t="e">
        <f t="shared" si="45"/>
        <v>#N/A</v>
      </c>
      <c r="X96" t="e">
        <f t="shared" si="45"/>
        <v>#N/A</v>
      </c>
    </row>
    <row r="97" spans="18:24" x14ac:dyDescent="0.25">
      <c r="R97" s="54" t="s">
        <v>331</v>
      </c>
      <c r="S97">
        <f t="shared" si="47"/>
        <v>5</v>
      </c>
      <c r="T97" s="22" t="str">
        <f t="shared" si="46"/>
        <v>Child Functioning -- Child #6_5</v>
      </c>
      <c r="U97" s="22" t="str">
        <f t="shared" si="44"/>
        <v>Relationship with Biological Mother</v>
      </c>
      <c r="V97" t="e">
        <f t="shared" si="45"/>
        <v>#N/A</v>
      </c>
      <c r="W97" t="e">
        <f t="shared" si="45"/>
        <v>#N/A</v>
      </c>
      <c r="X97" t="e">
        <f t="shared" si="45"/>
        <v>#N/A</v>
      </c>
    </row>
    <row r="98" spans="18:24" x14ac:dyDescent="0.25">
      <c r="R98" s="54" t="s">
        <v>331</v>
      </c>
      <c r="S98">
        <f t="shared" si="47"/>
        <v>6</v>
      </c>
      <c r="T98" s="22" t="str">
        <f t="shared" si="46"/>
        <v>Child Functioning -- Child #6_6</v>
      </c>
      <c r="U98" s="22" t="str">
        <f t="shared" si="44"/>
        <v>Relationship with Biological Father</v>
      </c>
      <c r="V98" t="e">
        <f t="shared" si="45"/>
        <v>#N/A</v>
      </c>
      <c r="W98" t="e">
        <f t="shared" si="45"/>
        <v>#N/A</v>
      </c>
      <c r="X98" t="e">
        <f t="shared" si="45"/>
        <v>#N/A</v>
      </c>
    </row>
    <row r="99" spans="18:24" x14ac:dyDescent="0.25">
      <c r="R99" s="54" t="s">
        <v>331</v>
      </c>
      <c r="S99">
        <f t="shared" si="47"/>
        <v>7</v>
      </c>
      <c r="T99" s="22" t="str">
        <f t="shared" si="46"/>
        <v>Child Functioning -- Child #6_7</v>
      </c>
      <c r="U99" s="22" t="str">
        <f t="shared" si="44"/>
        <v>Relationship with Primary Caregiver</v>
      </c>
      <c r="V99" t="e">
        <f t="shared" si="45"/>
        <v>#N/A</v>
      </c>
      <c r="W99" t="e">
        <f t="shared" si="45"/>
        <v>#N/A</v>
      </c>
      <c r="X99" t="e">
        <f t="shared" si="45"/>
        <v>#N/A</v>
      </c>
    </row>
    <row r="100" spans="18:24" x14ac:dyDescent="0.25">
      <c r="R100" s="54" t="s">
        <v>331</v>
      </c>
      <c r="S100">
        <f t="shared" si="47"/>
        <v>8</v>
      </c>
      <c r="T100" s="22" t="str">
        <f t="shared" si="46"/>
        <v>Child Functioning -- Child #6_8</v>
      </c>
      <c r="U100" s="22" t="str">
        <f t="shared" si="44"/>
        <v>Relationship with Other Family Adults</v>
      </c>
      <c r="V100" t="e">
        <f t="shared" si="45"/>
        <v>#N/A</v>
      </c>
      <c r="W100" t="e">
        <f t="shared" si="45"/>
        <v>#N/A</v>
      </c>
      <c r="X100" t="e">
        <f t="shared" si="45"/>
        <v>#N/A</v>
      </c>
    </row>
    <row r="101" spans="18:24" x14ac:dyDescent="0.25">
      <c r="R101" s="54" t="s">
        <v>331</v>
      </c>
      <c r="S101">
        <f t="shared" si="47"/>
        <v>9</v>
      </c>
      <c r="T101" s="22" t="str">
        <f t="shared" si="46"/>
        <v>Child Functioning -- Child #6_9</v>
      </c>
      <c r="U101" s="22" t="str">
        <f t="shared" si="44"/>
        <v>Relationship with Siblings</v>
      </c>
      <c r="V101" t="e">
        <f t="shared" si="45"/>
        <v>#N/A</v>
      </c>
      <c r="W101" t="e">
        <f t="shared" si="45"/>
        <v>#N/A</v>
      </c>
      <c r="X101" t="e">
        <f t="shared" si="45"/>
        <v>#N/A</v>
      </c>
    </row>
    <row r="102" spans="18:24" x14ac:dyDescent="0.25">
      <c r="R102" s="54" t="s">
        <v>331</v>
      </c>
      <c r="S102">
        <f t="shared" si="47"/>
        <v>10</v>
      </c>
      <c r="T102" s="22" t="str">
        <f t="shared" si="46"/>
        <v>Child Functioning -- Child #6_10</v>
      </c>
      <c r="U102" s="22" t="str">
        <f t="shared" si="44"/>
        <v>Medical / Physical</v>
      </c>
      <c r="V102" t="e">
        <f t="shared" si="45"/>
        <v>#N/A</v>
      </c>
      <c r="W102" t="e">
        <f t="shared" si="45"/>
        <v>#N/A</v>
      </c>
      <c r="X102" t="e">
        <f t="shared" si="45"/>
        <v>#N/A</v>
      </c>
    </row>
    <row r="103" spans="18:24" x14ac:dyDescent="0.25">
      <c r="R103" s="54" t="s">
        <v>331</v>
      </c>
      <c r="S103">
        <f t="shared" si="47"/>
        <v>11</v>
      </c>
      <c r="T103" s="22" t="str">
        <f t="shared" si="46"/>
        <v>Child Functioning -- Child #6_11</v>
      </c>
      <c r="U103" s="22" t="str">
        <f t="shared" si="44"/>
        <v>Sleeping</v>
      </c>
      <c r="V103" t="e">
        <f t="shared" si="45"/>
        <v>#N/A</v>
      </c>
      <c r="W103" t="e">
        <f t="shared" si="45"/>
        <v>#N/A</v>
      </c>
      <c r="X103" t="e">
        <f t="shared" si="45"/>
        <v>#N/A</v>
      </c>
    </row>
    <row r="104" spans="18:24" x14ac:dyDescent="0.25">
      <c r="R104" s="54" t="s">
        <v>331</v>
      </c>
      <c r="S104">
        <f t="shared" si="47"/>
        <v>12</v>
      </c>
      <c r="T104" s="22" t="str">
        <f t="shared" si="46"/>
        <v>Child Functioning -- Child #6_12</v>
      </c>
      <c r="U104" s="22" t="str">
        <f t="shared" si="44"/>
        <v>Cognitive Skills</v>
      </c>
      <c r="V104" t="e">
        <f t="shared" si="45"/>
        <v>#N/A</v>
      </c>
      <c r="W104" t="e">
        <f t="shared" si="45"/>
        <v>#N/A</v>
      </c>
      <c r="X104" t="e">
        <f t="shared" si="45"/>
        <v>#N/A</v>
      </c>
    </row>
    <row r="105" spans="18:24" x14ac:dyDescent="0.25">
      <c r="R105" s="54" t="s">
        <v>331</v>
      </c>
      <c r="S105">
        <f t="shared" si="47"/>
        <v>13</v>
      </c>
      <c r="T105" s="22" t="str">
        <f t="shared" si="46"/>
        <v>Child Functioning -- Child #6_13</v>
      </c>
      <c r="U105" s="22" t="str">
        <f t="shared" si="44"/>
        <v>Social Functioning</v>
      </c>
      <c r="V105" t="e">
        <f t="shared" si="45"/>
        <v>#N/A</v>
      </c>
      <c r="W105" t="e">
        <f t="shared" si="45"/>
        <v>#N/A</v>
      </c>
      <c r="X105" t="e">
        <f t="shared" si="45"/>
        <v>#N/A</v>
      </c>
    </row>
    <row r="106" spans="18:24" x14ac:dyDescent="0.25">
      <c r="R106" s="54" t="s">
        <v>331</v>
      </c>
      <c r="S106">
        <f>S105+1</f>
        <v>14</v>
      </c>
      <c r="T106" s="22" t="str">
        <f>R106&amp;"_"&amp;S106</f>
        <v>Child Functioning -- Child #6_14</v>
      </c>
      <c r="U106" s="22" t="str">
        <f t="shared" si="44"/>
        <v>Educational Status</v>
      </c>
      <c r="V106" t="e">
        <f t="shared" si="45"/>
        <v>#N/A</v>
      </c>
      <c r="W106" t="e">
        <f t="shared" si="45"/>
        <v>#N/A</v>
      </c>
      <c r="X106" t="e">
        <f t="shared" si="45"/>
        <v>#N/A</v>
      </c>
    </row>
    <row r="107" spans="18:24" x14ac:dyDescent="0.25">
      <c r="R107" s="54" t="s">
        <v>331</v>
      </c>
      <c r="S107">
        <f>S106+1</f>
        <v>15</v>
      </c>
      <c r="T107" s="22" t="str">
        <f>R107&amp;"_"&amp;S107</f>
        <v>Child Functioning -- Child #6_15</v>
      </c>
      <c r="U107" s="22" t="str">
        <f t="shared" si="44"/>
        <v>Risk Behaviors</v>
      </c>
      <c r="V107" t="e">
        <f t="shared" si="45"/>
        <v>#N/A</v>
      </c>
      <c r="W107" t="e">
        <f t="shared" si="45"/>
        <v>#N/A</v>
      </c>
      <c r="X107" t="e">
        <f t="shared" si="45"/>
        <v>#N/A</v>
      </c>
    </row>
    <row r="1048576" spans="14:14" x14ac:dyDescent="0.25">
      <c r="N1048576" s="250"/>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E8" sqref="E8"/>
    </sheetView>
  </sheetViews>
  <sheetFormatPr defaultRowHeight="15" x14ac:dyDescent="0.25"/>
  <cols>
    <col min="1" max="16384" width="9.140625" style="6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T16" sqref="T16"/>
    </sheetView>
  </sheetViews>
  <sheetFormatPr defaultRowHeight="15" x14ac:dyDescent="0.25"/>
  <cols>
    <col min="1" max="16384" width="9.140625" style="6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18</xdr:col>
                    <xdr:colOff>323850</xdr:colOff>
                    <xdr:row>0</xdr:row>
                    <xdr:rowOff>171450</xdr:rowOff>
                  </from>
                  <to>
                    <xdr:col>20</xdr:col>
                    <xdr:colOff>333375</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J37" sqref="J37"/>
    </sheetView>
  </sheetViews>
  <sheetFormatPr defaultRowHeight="15" x14ac:dyDescent="0.25"/>
  <cols>
    <col min="1" max="8" width="9.140625" style="68"/>
    <col min="9" max="9" width="9.140625" style="68" customWidth="1"/>
    <col min="10" max="16384" width="9.140625" style="68"/>
  </cols>
  <sheetData/>
  <sheetProtection sheet="1" objects="1" scenarios="1" selectLockedCells="1"/>
  <pageMargins left="0.7" right="0.7" top="0.75" bottom="0.75" header="0.3" footer="0.3"/>
  <pageSetup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25</xdr:col>
                    <xdr:colOff>171450</xdr:colOff>
                    <xdr:row>1</xdr:row>
                    <xdr:rowOff>152400</xdr:rowOff>
                  </from>
                  <to>
                    <xdr:col>27</xdr:col>
                    <xdr:colOff>180975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pageSetUpPr fitToPage="1"/>
  </sheetPr>
  <dimension ref="A1:AC96"/>
  <sheetViews>
    <sheetView topLeftCell="C1" zoomScale="75" zoomScaleNormal="75" workbookViewId="0">
      <pane ySplit="1" topLeftCell="A2" activePane="bottomLeft" state="frozen"/>
      <selection activeCell="E8" sqref="E8"/>
      <selection pane="bottomLeft" activeCell="D5" sqref="D5:D10"/>
    </sheetView>
  </sheetViews>
  <sheetFormatPr defaultColWidth="9.140625" defaultRowHeight="15" zeroHeight="1" x14ac:dyDescent="0.25"/>
  <cols>
    <col min="1" max="1" width="13.5703125" style="141" hidden="1" customWidth="1"/>
    <col min="2" max="2" width="14.28515625" style="141" hidden="1" customWidth="1"/>
    <col min="3" max="3" width="3" style="151" customWidth="1"/>
    <col min="4" max="4" width="38.42578125" style="151" customWidth="1"/>
    <col min="5" max="5" width="17.7109375" style="151" customWidth="1"/>
    <col min="6" max="6" width="26.7109375" style="151" bestFit="1" customWidth="1"/>
    <col min="7" max="7" width="17.7109375" style="151" hidden="1" customWidth="1"/>
    <col min="8" max="8" width="26.7109375" style="151" hidden="1" customWidth="1"/>
    <col min="9" max="9" width="3" style="233" customWidth="1"/>
    <col min="10" max="10" width="29.5703125" style="151" customWidth="1"/>
    <col min="11" max="11" width="26.7109375" style="151" bestFit="1" customWidth="1"/>
    <col min="12" max="12" width="3" style="233" customWidth="1"/>
    <col min="13" max="13" width="30.140625" style="151" customWidth="1"/>
    <col min="14" max="14" width="3" style="233" customWidth="1"/>
    <col min="15" max="15" width="12.140625" style="151" customWidth="1"/>
    <col min="16" max="16" width="3.140625" style="151" customWidth="1"/>
    <col min="17" max="19" width="26.28515625" style="150" customWidth="1"/>
    <col min="20" max="20" width="4.28515625" style="140" customWidth="1"/>
    <col min="21" max="32" width="9.140625" style="140" customWidth="1"/>
    <col min="33" max="16384" width="9.140625" style="140"/>
  </cols>
  <sheetData>
    <row r="1" spans="1:29" ht="28.5" x14ac:dyDescent="0.25">
      <c r="A1" s="135"/>
      <c r="B1" s="135"/>
      <c r="C1" s="136" t="s">
        <v>93</v>
      </c>
      <c r="D1" s="137"/>
      <c r="E1" s="137"/>
      <c r="F1" s="137"/>
      <c r="G1" s="137"/>
      <c r="H1" s="137"/>
      <c r="I1" s="226"/>
      <c r="J1" s="137"/>
      <c r="K1" s="137"/>
      <c r="L1" s="226"/>
      <c r="M1" s="137"/>
      <c r="N1" s="226"/>
      <c r="O1" s="137"/>
      <c r="P1" s="137"/>
      <c r="Q1" s="138"/>
      <c r="R1" s="138"/>
      <c r="S1" s="138"/>
      <c r="T1" s="139"/>
      <c r="U1" s="139"/>
      <c r="V1" s="139"/>
      <c r="W1" s="139"/>
      <c r="X1" s="139"/>
      <c r="Y1" s="139"/>
      <c r="Z1" s="139"/>
      <c r="AA1" s="139"/>
      <c r="AB1" s="139"/>
      <c r="AC1" s="139"/>
    </row>
    <row r="2" spans="1:29" x14ac:dyDescent="0.25">
      <c r="C2" s="142"/>
      <c r="D2" s="142"/>
      <c r="E2" s="142"/>
      <c r="F2" s="142"/>
      <c r="G2" s="142"/>
      <c r="H2" s="142"/>
      <c r="I2" s="161"/>
      <c r="J2" s="142"/>
      <c r="K2" s="142"/>
      <c r="L2" s="161"/>
      <c r="M2" s="142"/>
      <c r="N2" s="161"/>
      <c r="O2" s="142"/>
      <c r="P2" s="142"/>
      <c r="Q2" s="143"/>
      <c r="R2" s="143"/>
      <c r="S2" s="143"/>
    </row>
    <row r="3" spans="1:29" ht="30" x14ac:dyDescent="0.25">
      <c r="A3" s="144"/>
      <c r="B3" s="141">
        <f t="array" ref="B3">MAX(IF(A:A=TRUE, ROW(A:A)))+7</f>
        <v>11</v>
      </c>
      <c r="C3" s="145"/>
      <c r="D3" s="188" t="s">
        <v>92</v>
      </c>
      <c r="E3" s="189"/>
      <c r="F3" s="189"/>
      <c r="G3" s="189"/>
      <c r="H3" s="189"/>
      <c r="I3" s="227"/>
      <c r="J3" s="189"/>
      <c r="K3" s="189"/>
      <c r="L3" s="227"/>
      <c r="M3" s="189"/>
      <c r="N3" s="227"/>
      <c r="O3" s="190"/>
      <c r="P3" s="146"/>
      <c r="Q3" s="147" t="s">
        <v>302</v>
      </c>
      <c r="R3" s="147" t="s">
        <v>301</v>
      </c>
      <c r="S3" s="147" t="s">
        <v>303</v>
      </c>
    </row>
    <row r="4" spans="1:29" x14ac:dyDescent="0.25">
      <c r="A4" s="141" t="b">
        <v>1</v>
      </c>
      <c r="C4" s="153"/>
      <c r="D4" s="154" t="s">
        <v>62</v>
      </c>
      <c r="E4" s="155" t="s">
        <v>934</v>
      </c>
      <c r="F4" s="156"/>
      <c r="G4" s="155" t="s">
        <v>935</v>
      </c>
      <c r="H4" s="156"/>
      <c r="I4" s="157" t="s">
        <v>63</v>
      </c>
      <c r="J4" s="156"/>
      <c r="K4" s="155" t="s">
        <v>936</v>
      </c>
      <c r="L4" s="157" t="s">
        <v>64</v>
      </c>
      <c r="M4" s="156"/>
      <c r="N4" s="157" t="s">
        <v>937</v>
      </c>
      <c r="O4" s="156"/>
      <c r="P4" s="153"/>
      <c r="Q4" s="215" t="str">
        <f t="shared" ref="Q4:Q35" ca="1" si="0">IFERROR(INDEX(Needs_Q, MATCH(ROW()-ROW(Q$3), Needs_Q_Ix, 0)), "")</f>
        <v/>
      </c>
      <c r="R4" s="215" t="str">
        <f t="shared" ref="R4:R35" ca="1" si="1">IFERROR(INDEX(US_Q, MATCH(ROW()-ROW(R$3), US_Q_Ix, 0)), "")</f>
        <v/>
      </c>
      <c r="S4" s="215" t="str">
        <f t="shared" ref="S4:S35" ca="1" si="2">IFERROR(INDEX(SB_Q, MATCH(ROW()-ROW(S$3), SB_Q_Ix, 0)), "")</f>
        <v/>
      </c>
    </row>
    <row r="5" spans="1:29" x14ac:dyDescent="0.25">
      <c r="B5" s="141" t="str">
        <f t="shared" ref="B5:B36" si="3">IFERROR(CHOOSE(MATCH(G5, Val_ResponseCat, 0), "IdentifiedNeeds", "IdentifiedUsefulStrengths", "IdentifiedStrengthsToBuild"), "")</f>
        <v/>
      </c>
      <c r="C5" s="153"/>
      <c r="D5" s="278"/>
      <c r="E5" s="218"/>
      <c r="F5" s="218"/>
      <c r="G5" s="218"/>
      <c r="H5" s="218"/>
      <c r="I5" s="257" t="s">
        <v>65</v>
      </c>
      <c r="J5" s="191"/>
      <c r="K5" s="218"/>
      <c r="L5" s="228" t="s">
        <v>65</v>
      </c>
      <c r="M5" s="191"/>
      <c r="N5" s="228" t="s">
        <v>65</v>
      </c>
      <c r="O5" s="192"/>
      <c r="P5" s="153"/>
      <c r="Q5" s="215" t="str">
        <f t="shared" ca="1" si="0"/>
        <v/>
      </c>
      <c r="R5" s="215" t="str">
        <f t="shared" ca="1" si="1"/>
        <v/>
      </c>
      <c r="S5" s="215" t="str">
        <f t="shared" ca="1" si="2"/>
        <v/>
      </c>
    </row>
    <row r="6" spans="1:29" x14ac:dyDescent="0.25">
      <c r="B6" s="141" t="str">
        <f t="shared" si="3"/>
        <v/>
      </c>
      <c r="C6" s="153"/>
      <c r="D6" s="279"/>
      <c r="E6" s="218"/>
      <c r="F6" s="218"/>
      <c r="G6" s="218"/>
      <c r="H6" s="218"/>
      <c r="I6" s="228" t="s">
        <v>66</v>
      </c>
      <c r="J6" s="191"/>
      <c r="K6" s="218"/>
      <c r="L6" s="228" t="s">
        <v>66</v>
      </c>
      <c r="M6" s="191"/>
      <c r="N6" s="228" t="s">
        <v>66</v>
      </c>
      <c r="O6" s="192"/>
      <c r="P6" s="153"/>
      <c r="Q6" s="215" t="str">
        <f t="shared" ca="1" si="0"/>
        <v/>
      </c>
      <c r="R6" s="215" t="str">
        <f t="shared" ca="1" si="1"/>
        <v/>
      </c>
      <c r="S6" s="215" t="str">
        <f t="shared" ca="1" si="2"/>
        <v/>
      </c>
    </row>
    <row r="7" spans="1:29" x14ac:dyDescent="0.25">
      <c r="B7" s="141" t="str">
        <f t="shared" si="3"/>
        <v/>
      </c>
      <c r="C7" s="153"/>
      <c r="D7" s="279"/>
      <c r="E7" s="218"/>
      <c r="F7" s="218"/>
      <c r="G7" s="218"/>
      <c r="H7" s="218"/>
      <c r="I7" s="228" t="s">
        <v>67</v>
      </c>
      <c r="J7" s="191"/>
      <c r="K7" s="218"/>
      <c r="L7" s="228" t="s">
        <v>67</v>
      </c>
      <c r="M7" s="191"/>
      <c r="N7" s="228" t="s">
        <v>67</v>
      </c>
      <c r="O7" s="192"/>
      <c r="P7" s="153"/>
      <c r="Q7" s="215" t="str">
        <f t="shared" ca="1" si="0"/>
        <v/>
      </c>
      <c r="R7" s="215" t="str">
        <f t="shared" ca="1" si="1"/>
        <v/>
      </c>
      <c r="S7" s="215" t="str">
        <f t="shared" ca="1" si="2"/>
        <v/>
      </c>
    </row>
    <row r="8" spans="1:29" x14ac:dyDescent="0.25">
      <c r="B8" s="141" t="str">
        <f t="shared" si="3"/>
        <v/>
      </c>
      <c r="C8" s="153"/>
      <c r="D8" s="279"/>
      <c r="E8" s="218"/>
      <c r="F8" s="218"/>
      <c r="G8" s="218"/>
      <c r="H8" s="218"/>
      <c r="I8" s="228" t="s">
        <v>68</v>
      </c>
      <c r="J8" s="191"/>
      <c r="K8" s="218"/>
      <c r="L8" s="228" t="s">
        <v>68</v>
      </c>
      <c r="M8" s="191"/>
      <c r="N8" s="228" t="s">
        <v>68</v>
      </c>
      <c r="O8" s="192"/>
      <c r="P8" s="153"/>
      <c r="Q8" s="215" t="str">
        <f t="shared" ca="1" si="0"/>
        <v/>
      </c>
      <c r="R8" s="215" t="str">
        <f t="shared" ca="1" si="1"/>
        <v/>
      </c>
      <c r="S8" s="215" t="str">
        <f t="shared" ca="1" si="2"/>
        <v/>
      </c>
    </row>
    <row r="9" spans="1:29" x14ac:dyDescent="0.25">
      <c r="B9" s="141" t="str">
        <f t="shared" si="3"/>
        <v/>
      </c>
      <c r="C9" s="153"/>
      <c r="D9" s="279"/>
      <c r="E9" s="218"/>
      <c r="F9" s="218"/>
      <c r="G9" s="218"/>
      <c r="H9" s="218"/>
      <c r="I9" s="228" t="s">
        <v>69</v>
      </c>
      <c r="J9" s="191"/>
      <c r="K9" s="218"/>
      <c r="L9" s="228" t="s">
        <v>69</v>
      </c>
      <c r="M9" s="191"/>
      <c r="N9" s="228" t="s">
        <v>69</v>
      </c>
      <c r="O9" s="192"/>
      <c r="P9" s="153"/>
      <c r="Q9" s="215" t="str">
        <f t="shared" ca="1" si="0"/>
        <v/>
      </c>
      <c r="R9" s="215" t="str">
        <f t="shared" ca="1" si="1"/>
        <v/>
      </c>
      <c r="S9" s="215" t="str">
        <f t="shared" ca="1" si="2"/>
        <v/>
      </c>
    </row>
    <row r="10" spans="1:29" x14ac:dyDescent="0.25">
      <c r="B10" s="141" t="str">
        <f t="shared" si="3"/>
        <v/>
      </c>
      <c r="C10" s="153"/>
      <c r="D10" s="280"/>
      <c r="E10" s="219"/>
      <c r="F10" s="219"/>
      <c r="G10" s="219"/>
      <c r="H10" s="219"/>
      <c r="I10" s="229" t="s">
        <v>70</v>
      </c>
      <c r="J10" s="193"/>
      <c r="K10" s="219"/>
      <c r="L10" s="229" t="s">
        <v>70</v>
      </c>
      <c r="M10" s="193"/>
      <c r="N10" s="229" t="s">
        <v>70</v>
      </c>
      <c r="O10" s="194"/>
      <c r="P10" s="153"/>
      <c r="Q10" s="215" t="str">
        <f t="shared" ca="1" si="0"/>
        <v/>
      </c>
      <c r="R10" s="215" t="str">
        <f t="shared" ca="1" si="1"/>
        <v/>
      </c>
      <c r="S10" s="215" t="str">
        <f t="shared" ca="1" si="2"/>
        <v/>
      </c>
    </row>
    <row r="11" spans="1:29" x14ac:dyDescent="0.25">
      <c r="B11" s="141" t="str">
        <f t="shared" si="3"/>
        <v/>
      </c>
      <c r="C11" s="153"/>
      <c r="D11" s="220"/>
      <c r="E11" s="220"/>
      <c r="F11" s="220"/>
      <c r="G11" s="220"/>
      <c r="H11" s="220"/>
      <c r="I11" s="221"/>
      <c r="J11" s="220"/>
      <c r="K11" s="220"/>
      <c r="L11" s="221"/>
      <c r="M11" s="220"/>
      <c r="N11" s="221"/>
      <c r="O11" s="220"/>
      <c r="P11" s="153"/>
      <c r="Q11" s="215" t="str">
        <f t="shared" ca="1" si="0"/>
        <v/>
      </c>
      <c r="R11" s="215" t="str">
        <f t="shared" ca="1" si="1"/>
        <v/>
      </c>
      <c r="S11" s="215" t="str">
        <f t="shared" ca="1" si="2"/>
        <v/>
      </c>
    </row>
    <row r="12" spans="1:29" ht="18.75" x14ac:dyDescent="0.25">
      <c r="A12" s="141" t="b">
        <v>0</v>
      </c>
      <c r="B12" s="141" t="str">
        <f t="shared" si="3"/>
        <v/>
      </c>
      <c r="C12" s="158"/>
      <c r="D12" s="154" t="s">
        <v>71</v>
      </c>
      <c r="E12" s="155" t="s">
        <v>934</v>
      </c>
      <c r="F12" s="156"/>
      <c r="G12" s="155" t="s">
        <v>935</v>
      </c>
      <c r="H12" s="156"/>
      <c r="I12" s="157" t="s">
        <v>63</v>
      </c>
      <c r="J12" s="156"/>
      <c r="K12" s="155" t="s">
        <v>936</v>
      </c>
      <c r="L12" s="157" t="s">
        <v>64</v>
      </c>
      <c r="M12" s="156"/>
      <c r="N12" s="157" t="s">
        <v>937</v>
      </c>
      <c r="O12" s="156"/>
      <c r="P12" s="158"/>
      <c r="Q12" s="215" t="str">
        <f t="shared" ca="1" si="0"/>
        <v/>
      </c>
      <c r="R12" s="215" t="str">
        <f t="shared" ca="1" si="1"/>
        <v/>
      </c>
      <c r="S12" s="215" t="str">
        <f t="shared" ca="1" si="2"/>
        <v/>
      </c>
    </row>
    <row r="13" spans="1:29" x14ac:dyDescent="0.25">
      <c r="B13" s="141" t="str">
        <f t="shared" si="3"/>
        <v/>
      </c>
      <c r="C13" s="153"/>
      <c r="D13" s="278"/>
      <c r="E13" s="218"/>
      <c r="F13" s="218"/>
      <c r="G13" s="218"/>
      <c r="H13" s="218"/>
      <c r="I13" s="228" t="s">
        <v>65</v>
      </c>
      <c r="J13" s="191"/>
      <c r="K13" s="218"/>
      <c r="L13" s="228" t="s">
        <v>65</v>
      </c>
      <c r="M13" s="191"/>
      <c r="N13" s="228" t="s">
        <v>65</v>
      </c>
      <c r="O13" s="192"/>
      <c r="P13" s="153"/>
      <c r="Q13" s="215" t="str">
        <f t="shared" ca="1" si="0"/>
        <v/>
      </c>
      <c r="R13" s="215" t="str">
        <f t="shared" ca="1" si="1"/>
        <v/>
      </c>
      <c r="S13" s="215" t="str">
        <f t="shared" ca="1" si="2"/>
        <v/>
      </c>
    </row>
    <row r="14" spans="1:29" x14ac:dyDescent="0.25">
      <c r="B14" s="141" t="str">
        <f t="shared" si="3"/>
        <v/>
      </c>
      <c r="C14" s="153"/>
      <c r="D14" s="279"/>
      <c r="E14" s="218"/>
      <c r="F14" s="218"/>
      <c r="G14" s="218"/>
      <c r="H14" s="218"/>
      <c r="I14" s="228" t="s">
        <v>66</v>
      </c>
      <c r="J14" s="191"/>
      <c r="K14" s="218"/>
      <c r="L14" s="228" t="s">
        <v>66</v>
      </c>
      <c r="M14" s="191"/>
      <c r="N14" s="228" t="s">
        <v>66</v>
      </c>
      <c r="O14" s="192"/>
      <c r="P14" s="153"/>
      <c r="Q14" s="215" t="str">
        <f t="shared" ca="1" si="0"/>
        <v/>
      </c>
      <c r="R14" s="215" t="str">
        <f t="shared" ca="1" si="1"/>
        <v/>
      </c>
      <c r="S14" s="215" t="str">
        <f t="shared" ca="1" si="2"/>
        <v/>
      </c>
    </row>
    <row r="15" spans="1:29" x14ac:dyDescent="0.25">
      <c r="B15" s="141" t="str">
        <f t="shared" si="3"/>
        <v/>
      </c>
      <c r="C15" s="153"/>
      <c r="D15" s="279"/>
      <c r="E15" s="218"/>
      <c r="F15" s="218"/>
      <c r="G15" s="218"/>
      <c r="H15" s="218"/>
      <c r="I15" s="228" t="s">
        <v>67</v>
      </c>
      <c r="J15" s="191"/>
      <c r="K15" s="218"/>
      <c r="L15" s="228" t="s">
        <v>67</v>
      </c>
      <c r="M15" s="191"/>
      <c r="N15" s="228" t="s">
        <v>67</v>
      </c>
      <c r="O15" s="192"/>
      <c r="P15" s="153"/>
      <c r="Q15" s="215" t="str">
        <f t="shared" ca="1" si="0"/>
        <v/>
      </c>
      <c r="R15" s="215" t="str">
        <f t="shared" ca="1" si="1"/>
        <v/>
      </c>
      <c r="S15" s="215" t="str">
        <f t="shared" ca="1" si="2"/>
        <v/>
      </c>
    </row>
    <row r="16" spans="1:29" x14ac:dyDescent="0.25">
      <c r="B16" s="141" t="str">
        <f t="shared" si="3"/>
        <v/>
      </c>
      <c r="C16" s="153"/>
      <c r="D16" s="279"/>
      <c r="E16" s="218"/>
      <c r="F16" s="218"/>
      <c r="G16" s="218"/>
      <c r="H16" s="218"/>
      <c r="I16" s="228" t="s">
        <v>68</v>
      </c>
      <c r="J16" s="191"/>
      <c r="K16" s="218"/>
      <c r="L16" s="228" t="s">
        <v>68</v>
      </c>
      <c r="M16" s="191"/>
      <c r="N16" s="228" t="s">
        <v>68</v>
      </c>
      <c r="O16" s="192"/>
      <c r="P16" s="153"/>
      <c r="Q16" s="215" t="str">
        <f t="shared" ca="1" si="0"/>
        <v/>
      </c>
      <c r="R16" s="215" t="str">
        <f t="shared" ca="1" si="1"/>
        <v/>
      </c>
      <c r="S16" s="215" t="str">
        <f t="shared" ca="1" si="2"/>
        <v/>
      </c>
    </row>
    <row r="17" spans="1:19" x14ac:dyDescent="0.25">
      <c r="B17" s="141" t="str">
        <f t="shared" si="3"/>
        <v/>
      </c>
      <c r="C17" s="153"/>
      <c r="D17" s="279"/>
      <c r="E17" s="218"/>
      <c r="F17" s="218"/>
      <c r="G17" s="218"/>
      <c r="H17" s="218"/>
      <c r="I17" s="228" t="s">
        <v>69</v>
      </c>
      <c r="J17" s="191"/>
      <c r="K17" s="218"/>
      <c r="L17" s="228" t="s">
        <v>69</v>
      </c>
      <c r="M17" s="191"/>
      <c r="N17" s="228" t="s">
        <v>69</v>
      </c>
      <c r="O17" s="192"/>
      <c r="P17" s="153"/>
      <c r="Q17" s="215" t="str">
        <f t="shared" ca="1" si="0"/>
        <v/>
      </c>
      <c r="R17" s="215" t="str">
        <f t="shared" ca="1" si="1"/>
        <v/>
      </c>
      <c r="S17" s="215" t="str">
        <f t="shared" ca="1" si="2"/>
        <v/>
      </c>
    </row>
    <row r="18" spans="1:19" x14ac:dyDescent="0.25">
      <c r="B18" s="141" t="str">
        <f t="shared" si="3"/>
        <v/>
      </c>
      <c r="C18" s="153"/>
      <c r="D18" s="280"/>
      <c r="E18" s="219"/>
      <c r="F18" s="219"/>
      <c r="G18" s="219"/>
      <c r="H18" s="219"/>
      <c r="I18" s="229" t="s">
        <v>70</v>
      </c>
      <c r="J18" s="193"/>
      <c r="K18" s="219"/>
      <c r="L18" s="229" t="s">
        <v>70</v>
      </c>
      <c r="M18" s="193"/>
      <c r="N18" s="229" t="s">
        <v>70</v>
      </c>
      <c r="O18" s="194"/>
      <c r="P18" s="153"/>
      <c r="Q18" s="215" t="str">
        <f t="shared" ca="1" si="0"/>
        <v/>
      </c>
      <c r="R18" s="215" t="str">
        <f t="shared" ca="1" si="1"/>
        <v/>
      </c>
      <c r="S18" s="215" t="str">
        <f t="shared" ca="1" si="2"/>
        <v/>
      </c>
    </row>
    <row r="19" spans="1:19" x14ac:dyDescent="0.25">
      <c r="B19" s="141" t="str">
        <f t="shared" si="3"/>
        <v/>
      </c>
      <c r="C19" s="153"/>
      <c r="D19" s="220"/>
      <c r="E19" s="222"/>
      <c r="F19" s="222"/>
      <c r="G19" s="222"/>
      <c r="H19" s="222"/>
      <c r="I19" s="223"/>
      <c r="J19" s="222"/>
      <c r="K19" s="222"/>
      <c r="L19" s="223"/>
      <c r="M19" s="222"/>
      <c r="N19" s="223"/>
      <c r="O19" s="222"/>
      <c r="P19" s="153"/>
      <c r="Q19" s="215" t="str">
        <f t="shared" ca="1" si="0"/>
        <v/>
      </c>
      <c r="R19" s="215" t="str">
        <f t="shared" ca="1" si="1"/>
        <v/>
      </c>
      <c r="S19" s="215" t="str">
        <f t="shared" ca="1" si="2"/>
        <v/>
      </c>
    </row>
    <row r="20" spans="1:19" x14ac:dyDescent="0.25">
      <c r="A20" s="141" t="b">
        <v>0</v>
      </c>
      <c r="B20" s="141" t="str">
        <f t="shared" si="3"/>
        <v/>
      </c>
      <c r="C20" s="159"/>
      <c r="D20" s="154" t="s">
        <v>72</v>
      </c>
      <c r="E20" s="155" t="s">
        <v>934</v>
      </c>
      <c r="F20" s="156"/>
      <c r="G20" s="155" t="s">
        <v>935</v>
      </c>
      <c r="H20" s="156"/>
      <c r="I20" s="157" t="s">
        <v>63</v>
      </c>
      <c r="J20" s="156"/>
      <c r="K20" s="155" t="s">
        <v>936</v>
      </c>
      <c r="L20" s="157" t="s">
        <v>64</v>
      </c>
      <c r="M20" s="156"/>
      <c r="N20" s="157" t="s">
        <v>937</v>
      </c>
      <c r="O20" s="156"/>
      <c r="P20" s="159"/>
      <c r="Q20" s="215" t="str">
        <f t="shared" ca="1" si="0"/>
        <v/>
      </c>
      <c r="R20" s="215" t="str">
        <f t="shared" ca="1" si="1"/>
        <v/>
      </c>
      <c r="S20" s="215" t="str">
        <f t="shared" ca="1" si="2"/>
        <v/>
      </c>
    </row>
    <row r="21" spans="1:19" x14ac:dyDescent="0.25">
      <c r="B21" s="141" t="str">
        <f t="shared" si="3"/>
        <v/>
      </c>
      <c r="C21" s="159"/>
      <c r="D21" s="278"/>
      <c r="E21" s="218"/>
      <c r="F21" s="218"/>
      <c r="G21" s="218"/>
      <c r="H21" s="218"/>
      <c r="I21" s="228" t="s">
        <v>65</v>
      </c>
      <c r="J21" s="191"/>
      <c r="K21" s="218"/>
      <c r="L21" s="228" t="s">
        <v>65</v>
      </c>
      <c r="M21" s="191"/>
      <c r="N21" s="228" t="s">
        <v>65</v>
      </c>
      <c r="O21" s="192"/>
      <c r="P21" s="159"/>
      <c r="Q21" s="215" t="str">
        <f t="shared" ca="1" si="0"/>
        <v/>
      </c>
      <c r="R21" s="215" t="str">
        <f t="shared" ca="1" si="1"/>
        <v/>
      </c>
      <c r="S21" s="215" t="str">
        <f t="shared" ca="1" si="2"/>
        <v/>
      </c>
    </row>
    <row r="22" spans="1:19" x14ac:dyDescent="0.25">
      <c r="B22" s="141" t="str">
        <f t="shared" si="3"/>
        <v/>
      </c>
      <c r="C22" s="159"/>
      <c r="D22" s="279"/>
      <c r="E22" s="218"/>
      <c r="F22" s="218"/>
      <c r="G22" s="218"/>
      <c r="H22" s="218"/>
      <c r="I22" s="228" t="s">
        <v>66</v>
      </c>
      <c r="J22" s="191"/>
      <c r="K22" s="218"/>
      <c r="L22" s="228" t="s">
        <v>66</v>
      </c>
      <c r="M22" s="191"/>
      <c r="N22" s="228" t="s">
        <v>66</v>
      </c>
      <c r="O22" s="192"/>
      <c r="P22" s="159"/>
      <c r="Q22" s="215" t="str">
        <f t="shared" ca="1" si="0"/>
        <v/>
      </c>
      <c r="R22" s="215" t="str">
        <f t="shared" ca="1" si="1"/>
        <v/>
      </c>
      <c r="S22" s="215" t="str">
        <f t="shared" ca="1" si="2"/>
        <v/>
      </c>
    </row>
    <row r="23" spans="1:19" x14ac:dyDescent="0.25">
      <c r="B23" s="141" t="str">
        <f t="shared" si="3"/>
        <v/>
      </c>
      <c r="C23" s="159"/>
      <c r="D23" s="279"/>
      <c r="E23" s="218"/>
      <c r="F23" s="218"/>
      <c r="G23" s="218"/>
      <c r="H23" s="218"/>
      <c r="I23" s="228" t="s">
        <v>67</v>
      </c>
      <c r="J23" s="191"/>
      <c r="K23" s="218"/>
      <c r="L23" s="228" t="s">
        <v>67</v>
      </c>
      <c r="M23" s="191"/>
      <c r="N23" s="228" t="s">
        <v>67</v>
      </c>
      <c r="O23" s="192"/>
      <c r="P23" s="159"/>
      <c r="Q23" s="215" t="str">
        <f t="shared" ca="1" si="0"/>
        <v/>
      </c>
      <c r="R23" s="215" t="str">
        <f t="shared" ca="1" si="1"/>
        <v/>
      </c>
      <c r="S23" s="215" t="str">
        <f t="shared" ca="1" si="2"/>
        <v/>
      </c>
    </row>
    <row r="24" spans="1:19" x14ac:dyDescent="0.25">
      <c r="B24" s="141" t="str">
        <f t="shared" si="3"/>
        <v/>
      </c>
      <c r="C24" s="159"/>
      <c r="D24" s="279"/>
      <c r="E24" s="218"/>
      <c r="F24" s="218"/>
      <c r="G24" s="218"/>
      <c r="H24" s="218"/>
      <c r="I24" s="228" t="s">
        <v>68</v>
      </c>
      <c r="J24" s="191"/>
      <c r="K24" s="218"/>
      <c r="L24" s="228" t="s">
        <v>68</v>
      </c>
      <c r="M24" s="191"/>
      <c r="N24" s="228" t="s">
        <v>68</v>
      </c>
      <c r="O24" s="192"/>
      <c r="P24" s="159"/>
      <c r="Q24" s="215" t="str">
        <f t="shared" ca="1" si="0"/>
        <v/>
      </c>
      <c r="R24" s="215" t="str">
        <f t="shared" ca="1" si="1"/>
        <v/>
      </c>
      <c r="S24" s="215" t="str">
        <f t="shared" ca="1" si="2"/>
        <v/>
      </c>
    </row>
    <row r="25" spans="1:19" x14ac:dyDescent="0.25">
      <c r="B25" s="141" t="str">
        <f t="shared" si="3"/>
        <v/>
      </c>
      <c r="C25" s="159"/>
      <c r="D25" s="279"/>
      <c r="E25" s="218"/>
      <c r="F25" s="218"/>
      <c r="G25" s="218"/>
      <c r="H25" s="218"/>
      <c r="I25" s="228" t="s">
        <v>69</v>
      </c>
      <c r="J25" s="191"/>
      <c r="K25" s="218"/>
      <c r="L25" s="228" t="s">
        <v>69</v>
      </c>
      <c r="M25" s="191"/>
      <c r="N25" s="228" t="s">
        <v>69</v>
      </c>
      <c r="O25" s="192"/>
      <c r="P25" s="159"/>
      <c r="Q25" s="215" t="str">
        <f t="shared" ca="1" si="0"/>
        <v/>
      </c>
      <c r="R25" s="215" t="str">
        <f t="shared" ca="1" si="1"/>
        <v/>
      </c>
      <c r="S25" s="215" t="str">
        <f t="shared" ca="1" si="2"/>
        <v/>
      </c>
    </row>
    <row r="26" spans="1:19" x14ac:dyDescent="0.25">
      <c r="B26" s="141" t="str">
        <f t="shared" si="3"/>
        <v/>
      </c>
      <c r="C26" s="159"/>
      <c r="D26" s="280"/>
      <c r="E26" s="219"/>
      <c r="F26" s="219"/>
      <c r="G26" s="219"/>
      <c r="H26" s="219"/>
      <c r="I26" s="229" t="s">
        <v>70</v>
      </c>
      <c r="J26" s="193"/>
      <c r="K26" s="219"/>
      <c r="L26" s="229" t="s">
        <v>70</v>
      </c>
      <c r="M26" s="193"/>
      <c r="N26" s="229" t="s">
        <v>70</v>
      </c>
      <c r="O26" s="194"/>
      <c r="P26" s="159"/>
      <c r="Q26" s="215" t="str">
        <f t="shared" ca="1" si="0"/>
        <v/>
      </c>
      <c r="R26" s="215" t="str">
        <f t="shared" ca="1" si="1"/>
        <v/>
      </c>
      <c r="S26" s="215" t="str">
        <f t="shared" ca="1" si="2"/>
        <v/>
      </c>
    </row>
    <row r="27" spans="1:19" x14ac:dyDescent="0.25">
      <c r="B27" s="141" t="str">
        <f t="shared" si="3"/>
        <v/>
      </c>
      <c r="C27" s="153"/>
      <c r="D27" s="220"/>
      <c r="E27" s="222"/>
      <c r="F27" s="222"/>
      <c r="G27" s="222"/>
      <c r="H27" s="222"/>
      <c r="I27" s="223"/>
      <c r="J27" s="222"/>
      <c r="K27" s="222"/>
      <c r="L27" s="223"/>
      <c r="M27" s="222"/>
      <c r="N27" s="223"/>
      <c r="O27" s="222"/>
      <c r="P27" s="153"/>
      <c r="Q27" s="215" t="str">
        <f t="shared" ca="1" si="0"/>
        <v/>
      </c>
      <c r="R27" s="215" t="str">
        <f t="shared" ca="1" si="1"/>
        <v/>
      </c>
      <c r="S27" s="215" t="str">
        <f t="shared" ca="1" si="2"/>
        <v/>
      </c>
    </row>
    <row r="28" spans="1:19" x14ac:dyDescent="0.25">
      <c r="A28" s="141" t="b">
        <v>0</v>
      </c>
      <c r="B28" s="141" t="str">
        <f t="shared" si="3"/>
        <v/>
      </c>
      <c r="C28" s="159"/>
      <c r="D28" s="154" t="s">
        <v>73</v>
      </c>
      <c r="E28" s="155" t="s">
        <v>934</v>
      </c>
      <c r="F28" s="156"/>
      <c r="G28" s="155" t="s">
        <v>935</v>
      </c>
      <c r="H28" s="156"/>
      <c r="I28" s="157" t="s">
        <v>63</v>
      </c>
      <c r="J28" s="156"/>
      <c r="K28" s="155" t="s">
        <v>936</v>
      </c>
      <c r="L28" s="157" t="s">
        <v>64</v>
      </c>
      <c r="M28" s="156"/>
      <c r="N28" s="157" t="s">
        <v>937</v>
      </c>
      <c r="O28" s="156"/>
      <c r="P28" s="159"/>
      <c r="Q28" s="215" t="str">
        <f t="shared" ca="1" si="0"/>
        <v/>
      </c>
      <c r="R28" s="215" t="str">
        <f t="shared" ca="1" si="1"/>
        <v/>
      </c>
      <c r="S28" s="215" t="str">
        <f t="shared" ca="1" si="2"/>
        <v/>
      </c>
    </row>
    <row r="29" spans="1:19" x14ac:dyDescent="0.25">
      <c r="B29" s="141" t="str">
        <f t="shared" si="3"/>
        <v/>
      </c>
      <c r="C29" s="159"/>
      <c r="D29" s="278"/>
      <c r="E29" s="218"/>
      <c r="F29" s="218"/>
      <c r="G29" s="218"/>
      <c r="H29" s="218"/>
      <c r="I29" s="228" t="s">
        <v>65</v>
      </c>
      <c r="J29" s="191"/>
      <c r="K29" s="218"/>
      <c r="L29" s="228" t="s">
        <v>65</v>
      </c>
      <c r="M29" s="191"/>
      <c r="N29" s="228" t="s">
        <v>65</v>
      </c>
      <c r="O29" s="192"/>
      <c r="P29" s="159"/>
      <c r="Q29" s="215" t="str">
        <f t="shared" ca="1" si="0"/>
        <v/>
      </c>
      <c r="R29" s="215" t="str">
        <f t="shared" ca="1" si="1"/>
        <v/>
      </c>
      <c r="S29" s="215" t="str">
        <f t="shared" ca="1" si="2"/>
        <v/>
      </c>
    </row>
    <row r="30" spans="1:19" x14ac:dyDescent="0.25">
      <c r="B30" s="141" t="str">
        <f t="shared" si="3"/>
        <v/>
      </c>
      <c r="C30" s="159"/>
      <c r="D30" s="279"/>
      <c r="E30" s="218"/>
      <c r="F30" s="218"/>
      <c r="G30" s="218"/>
      <c r="H30" s="218"/>
      <c r="I30" s="228" t="s">
        <v>66</v>
      </c>
      <c r="J30" s="191"/>
      <c r="K30" s="218"/>
      <c r="L30" s="228" t="s">
        <v>66</v>
      </c>
      <c r="M30" s="191"/>
      <c r="N30" s="228" t="s">
        <v>66</v>
      </c>
      <c r="O30" s="192"/>
      <c r="P30" s="159"/>
      <c r="Q30" s="215" t="str">
        <f t="shared" ca="1" si="0"/>
        <v/>
      </c>
      <c r="R30" s="215" t="str">
        <f t="shared" ca="1" si="1"/>
        <v/>
      </c>
      <c r="S30" s="215" t="str">
        <f t="shared" ca="1" si="2"/>
        <v/>
      </c>
    </row>
    <row r="31" spans="1:19" x14ac:dyDescent="0.25">
      <c r="B31" s="141" t="str">
        <f t="shared" si="3"/>
        <v/>
      </c>
      <c r="C31" s="159"/>
      <c r="D31" s="279"/>
      <c r="E31" s="218"/>
      <c r="F31" s="218"/>
      <c r="G31" s="218"/>
      <c r="H31" s="218"/>
      <c r="I31" s="228" t="s">
        <v>67</v>
      </c>
      <c r="J31" s="191"/>
      <c r="K31" s="218"/>
      <c r="L31" s="228" t="s">
        <v>67</v>
      </c>
      <c r="M31" s="191"/>
      <c r="N31" s="228" t="s">
        <v>67</v>
      </c>
      <c r="O31" s="192"/>
      <c r="P31" s="159"/>
      <c r="Q31" s="215" t="str">
        <f t="shared" ca="1" si="0"/>
        <v/>
      </c>
      <c r="R31" s="215" t="str">
        <f t="shared" ca="1" si="1"/>
        <v/>
      </c>
      <c r="S31" s="215" t="str">
        <f t="shared" ca="1" si="2"/>
        <v/>
      </c>
    </row>
    <row r="32" spans="1:19" x14ac:dyDescent="0.25">
      <c r="B32" s="141" t="str">
        <f t="shared" si="3"/>
        <v/>
      </c>
      <c r="C32" s="159"/>
      <c r="D32" s="279"/>
      <c r="E32" s="218"/>
      <c r="F32" s="218"/>
      <c r="G32" s="218"/>
      <c r="H32" s="218"/>
      <c r="I32" s="228" t="s">
        <v>68</v>
      </c>
      <c r="J32" s="191"/>
      <c r="K32" s="218"/>
      <c r="L32" s="228" t="s">
        <v>68</v>
      </c>
      <c r="M32" s="191"/>
      <c r="N32" s="228" t="s">
        <v>68</v>
      </c>
      <c r="O32" s="192"/>
      <c r="P32" s="159"/>
      <c r="Q32" s="215" t="str">
        <f t="shared" ca="1" si="0"/>
        <v/>
      </c>
      <c r="R32" s="215" t="str">
        <f t="shared" ca="1" si="1"/>
        <v/>
      </c>
      <c r="S32" s="215" t="str">
        <f t="shared" ca="1" si="2"/>
        <v/>
      </c>
    </row>
    <row r="33" spans="1:19" x14ac:dyDescent="0.25">
      <c r="B33" s="141" t="str">
        <f t="shared" si="3"/>
        <v/>
      </c>
      <c r="C33" s="159"/>
      <c r="D33" s="279"/>
      <c r="E33" s="218"/>
      <c r="F33" s="218"/>
      <c r="G33" s="218"/>
      <c r="H33" s="218"/>
      <c r="I33" s="228" t="s">
        <v>69</v>
      </c>
      <c r="J33" s="191"/>
      <c r="K33" s="218"/>
      <c r="L33" s="228" t="s">
        <v>69</v>
      </c>
      <c r="M33" s="191"/>
      <c r="N33" s="228" t="s">
        <v>69</v>
      </c>
      <c r="O33" s="192"/>
      <c r="P33" s="159"/>
      <c r="Q33" s="215" t="str">
        <f t="shared" ca="1" si="0"/>
        <v/>
      </c>
      <c r="R33" s="215" t="str">
        <f t="shared" ca="1" si="1"/>
        <v/>
      </c>
      <c r="S33" s="215" t="str">
        <f t="shared" ca="1" si="2"/>
        <v/>
      </c>
    </row>
    <row r="34" spans="1:19" x14ac:dyDescent="0.25">
      <c r="B34" s="141" t="str">
        <f t="shared" si="3"/>
        <v/>
      </c>
      <c r="C34" s="159"/>
      <c r="D34" s="280"/>
      <c r="E34" s="219"/>
      <c r="F34" s="219"/>
      <c r="G34" s="219"/>
      <c r="H34" s="219"/>
      <c r="I34" s="229" t="s">
        <v>70</v>
      </c>
      <c r="J34" s="193"/>
      <c r="K34" s="219"/>
      <c r="L34" s="229" t="s">
        <v>70</v>
      </c>
      <c r="M34" s="193"/>
      <c r="N34" s="229" t="s">
        <v>70</v>
      </c>
      <c r="O34" s="194"/>
      <c r="P34" s="159"/>
      <c r="Q34" s="215" t="str">
        <f t="shared" ca="1" si="0"/>
        <v/>
      </c>
      <c r="R34" s="215" t="str">
        <f t="shared" ca="1" si="1"/>
        <v/>
      </c>
      <c r="S34" s="215" t="str">
        <f t="shared" ca="1" si="2"/>
        <v/>
      </c>
    </row>
    <row r="35" spans="1:19" x14ac:dyDescent="0.25">
      <c r="B35" s="141" t="str">
        <f t="shared" si="3"/>
        <v/>
      </c>
      <c r="C35" s="159"/>
      <c r="D35" s="220"/>
      <c r="E35" s="222"/>
      <c r="F35" s="222"/>
      <c r="G35" s="222"/>
      <c r="H35" s="222"/>
      <c r="I35" s="223"/>
      <c r="J35" s="222"/>
      <c r="K35" s="222"/>
      <c r="L35" s="223"/>
      <c r="M35" s="222"/>
      <c r="N35" s="223"/>
      <c r="O35" s="222"/>
      <c r="P35" s="159"/>
      <c r="Q35" s="215" t="str">
        <f t="shared" ca="1" si="0"/>
        <v/>
      </c>
      <c r="R35" s="215" t="str">
        <f t="shared" ca="1" si="1"/>
        <v/>
      </c>
      <c r="S35" s="215" t="str">
        <f t="shared" ca="1" si="2"/>
        <v/>
      </c>
    </row>
    <row r="36" spans="1:19" x14ac:dyDescent="0.25">
      <c r="A36" s="141" t="b">
        <v>0</v>
      </c>
      <c r="B36" s="141" t="str">
        <f t="shared" si="3"/>
        <v/>
      </c>
      <c r="C36" s="142"/>
      <c r="D36" s="160" t="s">
        <v>74</v>
      </c>
      <c r="E36" s="155" t="s">
        <v>934</v>
      </c>
      <c r="F36" s="156"/>
      <c r="G36" s="155" t="s">
        <v>935</v>
      </c>
      <c r="H36" s="156"/>
      <c r="I36" s="157" t="s">
        <v>63</v>
      </c>
      <c r="J36" s="156"/>
      <c r="K36" s="155" t="s">
        <v>936</v>
      </c>
      <c r="L36" s="157" t="s">
        <v>64</v>
      </c>
      <c r="M36" s="156"/>
      <c r="N36" s="157" t="s">
        <v>937</v>
      </c>
      <c r="O36" s="156"/>
      <c r="P36" s="142"/>
      <c r="Q36" s="215" t="str">
        <f t="shared" ref="Q36:Q53" ca="1" si="4">IFERROR(INDEX(Needs_Q, MATCH(ROW()-ROW(Q$3), Needs_Q_Ix, 0)), "")</f>
        <v/>
      </c>
      <c r="R36" s="215" t="str">
        <f t="shared" ref="R36:R53" ca="1" si="5">IFERROR(INDEX(US_Q, MATCH(ROW()-ROW(R$3), US_Q_Ix, 0)), "")</f>
        <v/>
      </c>
      <c r="S36" s="215" t="str">
        <f t="shared" ref="S36:S53" ca="1" si="6">IFERROR(INDEX(SB_Q, MATCH(ROW()-ROW(S$3), SB_Q_Ix, 0)), "")</f>
        <v/>
      </c>
    </row>
    <row r="37" spans="1:19" x14ac:dyDescent="0.25">
      <c r="B37" s="141" t="str">
        <f t="shared" ref="B37:B68" si="7">IFERROR(CHOOSE(MATCH(G37, Val_ResponseCat, 0), "IdentifiedNeeds", "IdentifiedUsefulStrengths", "IdentifiedStrengthsToBuild"), "")</f>
        <v/>
      </c>
      <c r="C37" s="142"/>
      <c r="D37" s="278"/>
      <c r="E37" s="218"/>
      <c r="F37" s="218"/>
      <c r="G37" s="218"/>
      <c r="H37" s="218"/>
      <c r="I37" s="228" t="s">
        <v>65</v>
      </c>
      <c r="J37" s="191"/>
      <c r="K37" s="218"/>
      <c r="L37" s="228" t="s">
        <v>65</v>
      </c>
      <c r="M37" s="191"/>
      <c r="N37" s="228" t="s">
        <v>65</v>
      </c>
      <c r="O37" s="192"/>
      <c r="P37" s="142"/>
      <c r="Q37" s="215" t="str">
        <f t="shared" ca="1" si="4"/>
        <v/>
      </c>
      <c r="R37" s="215" t="str">
        <f t="shared" ca="1" si="5"/>
        <v/>
      </c>
      <c r="S37" s="215" t="str">
        <f t="shared" ca="1" si="6"/>
        <v/>
      </c>
    </row>
    <row r="38" spans="1:19" x14ac:dyDescent="0.25">
      <c r="B38" s="141" t="str">
        <f t="shared" si="7"/>
        <v/>
      </c>
      <c r="C38" s="142"/>
      <c r="D38" s="279"/>
      <c r="E38" s="218"/>
      <c r="F38" s="218"/>
      <c r="G38" s="218"/>
      <c r="H38" s="218"/>
      <c r="I38" s="228" t="s">
        <v>66</v>
      </c>
      <c r="J38" s="191"/>
      <c r="K38" s="218"/>
      <c r="L38" s="228" t="s">
        <v>66</v>
      </c>
      <c r="M38" s="191"/>
      <c r="N38" s="228" t="s">
        <v>66</v>
      </c>
      <c r="O38" s="192"/>
      <c r="P38" s="142"/>
      <c r="Q38" s="215" t="str">
        <f t="shared" ca="1" si="4"/>
        <v/>
      </c>
      <c r="R38" s="215" t="str">
        <f t="shared" ca="1" si="5"/>
        <v/>
      </c>
      <c r="S38" s="215" t="str">
        <f t="shared" ca="1" si="6"/>
        <v/>
      </c>
    </row>
    <row r="39" spans="1:19" x14ac:dyDescent="0.25">
      <c r="B39" s="141" t="str">
        <f t="shared" si="7"/>
        <v/>
      </c>
      <c r="C39" s="142"/>
      <c r="D39" s="279"/>
      <c r="E39" s="218"/>
      <c r="F39" s="218"/>
      <c r="G39" s="218"/>
      <c r="H39" s="218"/>
      <c r="I39" s="228" t="s">
        <v>67</v>
      </c>
      <c r="J39" s="191"/>
      <c r="K39" s="218"/>
      <c r="L39" s="228" t="s">
        <v>67</v>
      </c>
      <c r="M39" s="191"/>
      <c r="N39" s="228" t="s">
        <v>67</v>
      </c>
      <c r="O39" s="192"/>
      <c r="P39" s="142"/>
      <c r="Q39" s="215" t="str">
        <f t="shared" ca="1" si="4"/>
        <v/>
      </c>
      <c r="R39" s="215" t="str">
        <f t="shared" ca="1" si="5"/>
        <v/>
      </c>
      <c r="S39" s="215" t="str">
        <f t="shared" ca="1" si="6"/>
        <v/>
      </c>
    </row>
    <row r="40" spans="1:19" x14ac:dyDescent="0.25">
      <c r="B40" s="141" t="str">
        <f t="shared" si="7"/>
        <v/>
      </c>
      <c r="C40" s="142"/>
      <c r="D40" s="279"/>
      <c r="E40" s="218"/>
      <c r="F40" s="218"/>
      <c r="G40" s="218"/>
      <c r="H40" s="218"/>
      <c r="I40" s="228" t="s">
        <v>68</v>
      </c>
      <c r="J40" s="191"/>
      <c r="K40" s="218"/>
      <c r="L40" s="228" t="s">
        <v>68</v>
      </c>
      <c r="M40" s="191"/>
      <c r="N40" s="228" t="s">
        <v>68</v>
      </c>
      <c r="O40" s="192"/>
      <c r="P40" s="142"/>
      <c r="Q40" s="215" t="str">
        <f t="shared" ca="1" si="4"/>
        <v/>
      </c>
      <c r="R40" s="215" t="str">
        <f t="shared" ca="1" si="5"/>
        <v/>
      </c>
      <c r="S40" s="215" t="str">
        <f t="shared" ca="1" si="6"/>
        <v/>
      </c>
    </row>
    <row r="41" spans="1:19" x14ac:dyDescent="0.25">
      <c r="B41" s="141" t="str">
        <f t="shared" si="7"/>
        <v/>
      </c>
      <c r="C41" s="142"/>
      <c r="D41" s="279"/>
      <c r="E41" s="218"/>
      <c r="F41" s="218"/>
      <c r="G41" s="218"/>
      <c r="H41" s="218"/>
      <c r="I41" s="228" t="s">
        <v>69</v>
      </c>
      <c r="J41" s="191"/>
      <c r="K41" s="218"/>
      <c r="L41" s="228" t="s">
        <v>69</v>
      </c>
      <c r="M41" s="191"/>
      <c r="N41" s="228" t="s">
        <v>69</v>
      </c>
      <c r="O41" s="192"/>
      <c r="P41" s="142"/>
      <c r="Q41" s="215" t="str">
        <f t="shared" ca="1" si="4"/>
        <v/>
      </c>
      <c r="R41" s="215" t="str">
        <f t="shared" ca="1" si="5"/>
        <v/>
      </c>
      <c r="S41" s="215" t="str">
        <f t="shared" ca="1" si="6"/>
        <v/>
      </c>
    </row>
    <row r="42" spans="1:19" x14ac:dyDescent="0.25">
      <c r="B42" s="141" t="str">
        <f t="shared" si="7"/>
        <v/>
      </c>
      <c r="C42" s="142"/>
      <c r="D42" s="280"/>
      <c r="E42" s="219"/>
      <c r="F42" s="219"/>
      <c r="G42" s="219"/>
      <c r="H42" s="219"/>
      <c r="I42" s="229" t="s">
        <v>70</v>
      </c>
      <c r="J42" s="193"/>
      <c r="K42" s="219"/>
      <c r="L42" s="229" t="s">
        <v>70</v>
      </c>
      <c r="M42" s="193"/>
      <c r="N42" s="229" t="s">
        <v>70</v>
      </c>
      <c r="O42" s="194"/>
      <c r="P42" s="142"/>
      <c r="Q42" s="215" t="str">
        <f t="shared" ca="1" si="4"/>
        <v/>
      </c>
      <c r="R42" s="215" t="str">
        <f t="shared" ca="1" si="5"/>
        <v/>
      </c>
      <c r="S42" s="215" t="str">
        <f t="shared" ca="1" si="6"/>
        <v/>
      </c>
    </row>
    <row r="43" spans="1:19" x14ac:dyDescent="0.25">
      <c r="B43" s="141" t="str">
        <f t="shared" si="7"/>
        <v/>
      </c>
      <c r="C43" s="142"/>
      <c r="D43" s="224"/>
      <c r="E43" s="224"/>
      <c r="F43" s="224"/>
      <c r="G43" s="224"/>
      <c r="H43" s="224"/>
      <c r="I43" s="225"/>
      <c r="J43" s="224"/>
      <c r="K43" s="224"/>
      <c r="L43" s="225"/>
      <c r="M43" s="224"/>
      <c r="N43" s="225"/>
      <c r="O43" s="224"/>
      <c r="P43" s="142"/>
      <c r="Q43" s="215" t="str">
        <f t="shared" ca="1" si="4"/>
        <v/>
      </c>
      <c r="R43" s="215" t="str">
        <f t="shared" ca="1" si="5"/>
        <v/>
      </c>
      <c r="S43" s="215" t="str">
        <f t="shared" ca="1" si="6"/>
        <v/>
      </c>
    </row>
    <row r="44" spans="1:19" x14ac:dyDescent="0.25">
      <c r="A44" s="141" t="b">
        <v>0</v>
      </c>
      <c r="B44" s="141" t="str">
        <f t="shared" si="7"/>
        <v/>
      </c>
      <c r="C44" s="142"/>
      <c r="D44" s="160" t="s">
        <v>75</v>
      </c>
      <c r="E44" s="155" t="s">
        <v>934</v>
      </c>
      <c r="F44" s="156"/>
      <c r="G44" s="155" t="s">
        <v>935</v>
      </c>
      <c r="H44" s="156"/>
      <c r="I44" s="157" t="s">
        <v>63</v>
      </c>
      <c r="J44" s="156"/>
      <c r="K44" s="155" t="s">
        <v>936</v>
      </c>
      <c r="L44" s="157" t="s">
        <v>64</v>
      </c>
      <c r="M44" s="156"/>
      <c r="N44" s="157" t="s">
        <v>937</v>
      </c>
      <c r="O44" s="156"/>
      <c r="P44" s="142"/>
      <c r="Q44" s="215" t="str">
        <f t="shared" ca="1" si="4"/>
        <v/>
      </c>
      <c r="R44" s="215" t="str">
        <f t="shared" ca="1" si="5"/>
        <v/>
      </c>
      <c r="S44" s="215" t="str">
        <f t="shared" ca="1" si="6"/>
        <v/>
      </c>
    </row>
    <row r="45" spans="1:19" x14ac:dyDescent="0.25">
      <c r="B45" s="141" t="str">
        <f t="shared" si="7"/>
        <v/>
      </c>
      <c r="C45" s="142"/>
      <c r="D45" s="278"/>
      <c r="E45" s="218"/>
      <c r="F45" s="218"/>
      <c r="G45" s="218"/>
      <c r="H45" s="218"/>
      <c r="I45" s="228" t="s">
        <v>65</v>
      </c>
      <c r="J45" s="191"/>
      <c r="K45" s="218"/>
      <c r="L45" s="228" t="s">
        <v>65</v>
      </c>
      <c r="M45" s="191"/>
      <c r="N45" s="228" t="s">
        <v>65</v>
      </c>
      <c r="O45" s="192"/>
      <c r="P45" s="142"/>
      <c r="Q45" s="215" t="str">
        <f t="shared" ca="1" si="4"/>
        <v/>
      </c>
      <c r="R45" s="215" t="str">
        <f t="shared" ca="1" si="5"/>
        <v/>
      </c>
      <c r="S45" s="215" t="str">
        <f t="shared" ca="1" si="6"/>
        <v/>
      </c>
    </row>
    <row r="46" spans="1:19" x14ac:dyDescent="0.25">
      <c r="B46" s="141" t="str">
        <f t="shared" si="7"/>
        <v/>
      </c>
      <c r="C46" s="142"/>
      <c r="D46" s="279"/>
      <c r="E46" s="218"/>
      <c r="F46" s="218"/>
      <c r="G46" s="218"/>
      <c r="H46" s="218"/>
      <c r="I46" s="228" t="s">
        <v>66</v>
      </c>
      <c r="J46" s="191"/>
      <c r="K46" s="218"/>
      <c r="L46" s="228" t="s">
        <v>66</v>
      </c>
      <c r="M46" s="191"/>
      <c r="N46" s="228" t="s">
        <v>66</v>
      </c>
      <c r="O46" s="192"/>
      <c r="P46" s="142"/>
      <c r="Q46" s="215" t="str">
        <f t="shared" ca="1" si="4"/>
        <v/>
      </c>
      <c r="R46" s="215" t="str">
        <f t="shared" ca="1" si="5"/>
        <v/>
      </c>
      <c r="S46" s="215" t="str">
        <f t="shared" ca="1" si="6"/>
        <v/>
      </c>
    </row>
    <row r="47" spans="1:19" x14ac:dyDescent="0.25">
      <c r="B47" s="141" t="str">
        <f t="shared" si="7"/>
        <v/>
      </c>
      <c r="C47" s="142"/>
      <c r="D47" s="279"/>
      <c r="E47" s="218"/>
      <c r="F47" s="218"/>
      <c r="G47" s="218"/>
      <c r="H47" s="218"/>
      <c r="I47" s="228" t="s">
        <v>67</v>
      </c>
      <c r="J47" s="191"/>
      <c r="K47" s="218"/>
      <c r="L47" s="228" t="s">
        <v>67</v>
      </c>
      <c r="M47" s="191"/>
      <c r="N47" s="228" t="s">
        <v>67</v>
      </c>
      <c r="O47" s="192"/>
      <c r="P47" s="142"/>
      <c r="Q47" s="215" t="str">
        <f t="shared" ca="1" si="4"/>
        <v/>
      </c>
      <c r="R47" s="215" t="str">
        <f t="shared" ca="1" si="5"/>
        <v/>
      </c>
      <c r="S47" s="215" t="str">
        <f t="shared" ca="1" si="6"/>
        <v/>
      </c>
    </row>
    <row r="48" spans="1:19" x14ac:dyDescent="0.25">
      <c r="B48" s="141" t="str">
        <f t="shared" si="7"/>
        <v/>
      </c>
      <c r="C48" s="142"/>
      <c r="D48" s="279"/>
      <c r="E48" s="218"/>
      <c r="F48" s="218"/>
      <c r="G48" s="218"/>
      <c r="H48" s="218"/>
      <c r="I48" s="228" t="s">
        <v>68</v>
      </c>
      <c r="J48" s="191"/>
      <c r="K48" s="218"/>
      <c r="L48" s="228" t="s">
        <v>68</v>
      </c>
      <c r="M48" s="191"/>
      <c r="N48" s="228" t="s">
        <v>68</v>
      </c>
      <c r="O48" s="192"/>
      <c r="P48" s="142"/>
      <c r="Q48" s="215" t="str">
        <f t="shared" ca="1" si="4"/>
        <v/>
      </c>
      <c r="R48" s="215" t="str">
        <f t="shared" ca="1" si="5"/>
        <v/>
      </c>
      <c r="S48" s="215" t="str">
        <f t="shared" ca="1" si="6"/>
        <v/>
      </c>
    </row>
    <row r="49" spans="1:19" x14ac:dyDescent="0.25">
      <c r="B49" s="141" t="str">
        <f t="shared" si="7"/>
        <v/>
      </c>
      <c r="C49" s="142"/>
      <c r="D49" s="279"/>
      <c r="E49" s="218"/>
      <c r="F49" s="218"/>
      <c r="G49" s="218"/>
      <c r="H49" s="218"/>
      <c r="I49" s="228" t="s">
        <v>69</v>
      </c>
      <c r="J49" s="191"/>
      <c r="K49" s="218"/>
      <c r="L49" s="228" t="s">
        <v>69</v>
      </c>
      <c r="M49" s="191"/>
      <c r="N49" s="228" t="s">
        <v>69</v>
      </c>
      <c r="O49" s="192"/>
      <c r="P49" s="142"/>
      <c r="Q49" s="215" t="str">
        <f t="shared" ca="1" si="4"/>
        <v/>
      </c>
      <c r="R49" s="215" t="str">
        <f t="shared" ca="1" si="5"/>
        <v/>
      </c>
      <c r="S49" s="215" t="str">
        <f t="shared" ca="1" si="6"/>
        <v/>
      </c>
    </row>
    <row r="50" spans="1:19" x14ac:dyDescent="0.25">
      <c r="B50" s="141" t="str">
        <f t="shared" si="7"/>
        <v/>
      </c>
      <c r="C50" s="142"/>
      <c r="D50" s="280"/>
      <c r="E50" s="219"/>
      <c r="F50" s="219"/>
      <c r="G50" s="219"/>
      <c r="H50" s="219"/>
      <c r="I50" s="229" t="s">
        <v>70</v>
      </c>
      <c r="J50" s="193"/>
      <c r="K50" s="219"/>
      <c r="L50" s="229" t="s">
        <v>70</v>
      </c>
      <c r="M50" s="193"/>
      <c r="N50" s="229" t="s">
        <v>70</v>
      </c>
      <c r="O50" s="194"/>
      <c r="P50" s="142"/>
      <c r="Q50" s="215" t="str">
        <f t="shared" ca="1" si="4"/>
        <v/>
      </c>
      <c r="R50" s="215" t="str">
        <f t="shared" ca="1" si="5"/>
        <v/>
      </c>
      <c r="S50" s="215" t="str">
        <f t="shared" ca="1" si="6"/>
        <v/>
      </c>
    </row>
    <row r="51" spans="1:19" x14ac:dyDescent="0.25">
      <c r="B51" s="141" t="str">
        <f t="shared" si="7"/>
        <v/>
      </c>
      <c r="C51" s="142"/>
      <c r="D51" s="224"/>
      <c r="E51" s="224"/>
      <c r="F51" s="224"/>
      <c r="G51" s="224"/>
      <c r="H51" s="224"/>
      <c r="I51" s="225"/>
      <c r="J51" s="224"/>
      <c r="K51" s="224"/>
      <c r="L51" s="225"/>
      <c r="M51" s="224"/>
      <c r="N51" s="225"/>
      <c r="O51" s="224"/>
      <c r="P51" s="142"/>
      <c r="Q51" s="215" t="str">
        <f t="shared" ca="1" si="4"/>
        <v/>
      </c>
      <c r="R51" s="215" t="str">
        <f t="shared" ca="1" si="5"/>
        <v/>
      </c>
      <c r="S51" s="215" t="str">
        <f t="shared" ca="1" si="6"/>
        <v/>
      </c>
    </row>
    <row r="52" spans="1:19" x14ac:dyDescent="0.25">
      <c r="A52" s="141" t="b">
        <v>0</v>
      </c>
      <c r="B52" s="141" t="str">
        <f t="shared" si="7"/>
        <v/>
      </c>
      <c r="C52" s="142"/>
      <c r="D52" s="160" t="s">
        <v>76</v>
      </c>
      <c r="E52" s="155" t="s">
        <v>934</v>
      </c>
      <c r="F52" s="156"/>
      <c r="G52" s="155" t="s">
        <v>935</v>
      </c>
      <c r="H52" s="156"/>
      <c r="I52" s="157" t="s">
        <v>63</v>
      </c>
      <c r="J52" s="156"/>
      <c r="K52" s="155" t="s">
        <v>936</v>
      </c>
      <c r="L52" s="157" t="s">
        <v>64</v>
      </c>
      <c r="M52" s="156"/>
      <c r="N52" s="157" t="s">
        <v>937</v>
      </c>
      <c r="O52" s="156"/>
      <c r="P52" s="142"/>
      <c r="Q52" s="215" t="str">
        <f t="shared" ca="1" si="4"/>
        <v/>
      </c>
      <c r="R52" s="215" t="str">
        <f t="shared" ca="1" si="5"/>
        <v/>
      </c>
      <c r="S52" s="215" t="str">
        <f t="shared" ca="1" si="6"/>
        <v/>
      </c>
    </row>
    <row r="53" spans="1:19" x14ac:dyDescent="0.25">
      <c r="B53" s="141" t="str">
        <f t="shared" si="7"/>
        <v/>
      </c>
      <c r="C53" s="142"/>
      <c r="D53" s="275"/>
      <c r="E53" s="218"/>
      <c r="F53" s="218"/>
      <c r="G53" s="218"/>
      <c r="H53" s="218"/>
      <c r="I53" s="230" t="s">
        <v>65</v>
      </c>
      <c r="J53" s="195"/>
      <c r="K53" s="218"/>
      <c r="L53" s="230" t="s">
        <v>65</v>
      </c>
      <c r="M53" s="195"/>
      <c r="N53" s="230" t="s">
        <v>65</v>
      </c>
      <c r="O53" s="192"/>
      <c r="P53" s="142"/>
      <c r="Q53" s="215" t="str">
        <f t="shared" ca="1" si="4"/>
        <v/>
      </c>
      <c r="R53" s="215" t="str">
        <f t="shared" ca="1" si="5"/>
        <v/>
      </c>
      <c r="S53" s="215" t="str">
        <f t="shared" ca="1" si="6"/>
        <v/>
      </c>
    </row>
    <row r="54" spans="1:19" x14ac:dyDescent="0.25">
      <c r="B54" s="141" t="str">
        <f t="shared" si="7"/>
        <v/>
      </c>
      <c r="C54" s="142"/>
      <c r="D54" s="276"/>
      <c r="E54" s="218"/>
      <c r="F54" s="218"/>
      <c r="G54" s="218"/>
      <c r="H54" s="218"/>
      <c r="I54" s="230" t="s">
        <v>66</v>
      </c>
      <c r="J54" s="195"/>
      <c r="K54" s="218"/>
      <c r="L54" s="230" t="s">
        <v>66</v>
      </c>
      <c r="M54" s="195"/>
      <c r="N54" s="230" t="s">
        <v>66</v>
      </c>
      <c r="O54" s="192"/>
      <c r="P54" s="142"/>
      <c r="Q54" s="143"/>
      <c r="R54" s="143"/>
      <c r="S54" s="143"/>
    </row>
    <row r="55" spans="1:19" x14ac:dyDescent="0.25">
      <c r="B55" s="141" t="str">
        <f t="shared" si="7"/>
        <v/>
      </c>
      <c r="C55" s="142"/>
      <c r="D55" s="276"/>
      <c r="E55" s="218"/>
      <c r="F55" s="218"/>
      <c r="G55" s="218"/>
      <c r="H55" s="218"/>
      <c r="I55" s="230" t="s">
        <v>67</v>
      </c>
      <c r="J55" s="195"/>
      <c r="K55" s="218"/>
      <c r="L55" s="230" t="s">
        <v>67</v>
      </c>
      <c r="M55" s="195"/>
      <c r="N55" s="230" t="s">
        <v>67</v>
      </c>
      <c r="O55" s="192"/>
      <c r="P55" s="142"/>
      <c r="Q55" s="143"/>
      <c r="R55" s="143"/>
      <c r="S55" s="143"/>
    </row>
    <row r="56" spans="1:19" x14ac:dyDescent="0.25">
      <c r="B56" s="141" t="str">
        <f t="shared" si="7"/>
        <v/>
      </c>
      <c r="C56" s="142"/>
      <c r="D56" s="276"/>
      <c r="E56" s="218"/>
      <c r="F56" s="218"/>
      <c r="G56" s="218"/>
      <c r="H56" s="218"/>
      <c r="I56" s="230" t="s">
        <v>68</v>
      </c>
      <c r="J56" s="195"/>
      <c r="K56" s="218"/>
      <c r="L56" s="230" t="s">
        <v>68</v>
      </c>
      <c r="M56" s="195"/>
      <c r="N56" s="230" t="s">
        <v>68</v>
      </c>
      <c r="O56" s="192"/>
      <c r="P56" s="142"/>
      <c r="Q56" s="143"/>
      <c r="R56" s="143"/>
      <c r="S56" s="143"/>
    </row>
    <row r="57" spans="1:19" x14ac:dyDescent="0.25">
      <c r="B57" s="141" t="str">
        <f t="shared" si="7"/>
        <v/>
      </c>
      <c r="C57" s="142"/>
      <c r="D57" s="276"/>
      <c r="E57" s="218"/>
      <c r="F57" s="218"/>
      <c r="G57" s="218"/>
      <c r="H57" s="218"/>
      <c r="I57" s="230" t="s">
        <v>69</v>
      </c>
      <c r="J57" s="195"/>
      <c r="K57" s="218"/>
      <c r="L57" s="230" t="s">
        <v>69</v>
      </c>
      <c r="M57" s="195"/>
      <c r="N57" s="230" t="s">
        <v>69</v>
      </c>
      <c r="O57" s="192"/>
      <c r="P57" s="142"/>
      <c r="Q57" s="143"/>
      <c r="R57" s="143"/>
      <c r="S57" s="143"/>
    </row>
    <row r="58" spans="1:19" x14ac:dyDescent="0.25">
      <c r="B58" s="141" t="str">
        <f t="shared" si="7"/>
        <v/>
      </c>
      <c r="C58" s="142"/>
      <c r="D58" s="277"/>
      <c r="E58" s="219"/>
      <c r="F58" s="219"/>
      <c r="G58" s="219"/>
      <c r="H58" s="219"/>
      <c r="I58" s="231" t="s">
        <v>70</v>
      </c>
      <c r="J58" s="196"/>
      <c r="K58" s="219"/>
      <c r="L58" s="231" t="s">
        <v>70</v>
      </c>
      <c r="M58" s="196"/>
      <c r="N58" s="231" t="s">
        <v>70</v>
      </c>
      <c r="O58" s="194"/>
      <c r="P58" s="142"/>
      <c r="Q58" s="143"/>
      <c r="R58" s="143"/>
      <c r="S58" s="143"/>
    </row>
    <row r="59" spans="1:19" x14ac:dyDescent="0.25">
      <c r="B59" s="141" t="str">
        <f t="shared" si="7"/>
        <v/>
      </c>
      <c r="C59" s="142"/>
      <c r="D59" s="224"/>
      <c r="E59" s="224"/>
      <c r="F59" s="224"/>
      <c r="G59" s="224"/>
      <c r="H59" s="224"/>
      <c r="I59" s="225"/>
      <c r="J59" s="224"/>
      <c r="K59" s="224"/>
      <c r="L59" s="225"/>
      <c r="M59" s="224"/>
      <c r="N59" s="225"/>
      <c r="O59" s="224"/>
      <c r="P59" s="142"/>
      <c r="Q59" s="143"/>
      <c r="R59" s="143"/>
      <c r="S59" s="143"/>
    </row>
    <row r="60" spans="1:19" x14ac:dyDescent="0.25">
      <c r="A60" s="141" t="b">
        <v>0</v>
      </c>
      <c r="B60" s="141" t="str">
        <f t="shared" si="7"/>
        <v/>
      </c>
      <c r="C60" s="142"/>
      <c r="D60" s="160" t="s">
        <v>77</v>
      </c>
      <c r="E60" s="155" t="s">
        <v>934</v>
      </c>
      <c r="F60" s="156"/>
      <c r="G60" s="155" t="s">
        <v>935</v>
      </c>
      <c r="H60" s="156"/>
      <c r="I60" s="157" t="s">
        <v>63</v>
      </c>
      <c r="J60" s="156"/>
      <c r="K60" s="155" t="s">
        <v>936</v>
      </c>
      <c r="L60" s="157" t="s">
        <v>64</v>
      </c>
      <c r="M60" s="156"/>
      <c r="N60" s="157" t="s">
        <v>937</v>
      </c>
      <c r="O60" s="156"/>
      <c r="P60" s="142"/>
      <c r="Q60" s="143"/>
      <c r="R60" s="143"/>
      <c r="S60" s="143"/>
    </row>
    <row r="61" spans="1:19" x14ac:dyDescent="0.25">
      <c r="B61" s="141" t="str">
        <f t="shared" si="7"/>
        <v/>
      </c>
      <c r="C61" s="142"/>
      <c r="D61" s="275"/>
      <c r="E61" s="218"/>
      <c r="F61" s="218"/>
      <c r="G61" s="218"/>
      <c r="H61" s="218"/>
      <c r="I61" s="230" t="s">
        <v>65</v>
      </c>
      <c r="J61" s="195"/>
      <c r="K61" s="218"/>
      <c r="L61" s="230" t="s">
        <v>65</v>
      </c>
      <c r="M61" s="195"/>
      <c r="N61" s="230" t="s">
        <v>65</v>
      </c>
      <c r="O61" s="192"/>
      <c r="P61" s="142"/>
      <c r="Q61" s="143"/>
      <c r="R61" s="143"/>
      <c r="S61" s="143"/>
    </row>
    <row r="62" spans="1:19" x14ac:dyDescent="0.25">
      <c r="B62" s="141" t="str">
        <f t="shared" si="7"/>
        <v/>
      </c>
      <c r="C62" s="142"/>
      <c r="D62" s="276"/>
      <c r="E62" s="218"/>
      <c r="F62" s="218"/>
      <c r="G62" s="218"/>
      <c r="H62" s="218"/>
      <c r="I62" s="230" t="s">
        <v>66</v>
      </c>
      <c r="J62" s="195"/>
      <c r="K62" s="218"/>
      <c r="L62" s="230" t="s">
        <v>66</v>
      </c>
      <c r="M62" s="195"/>
      <c r="N62" s="230" t="s">
        <v>66</v>
      </c>
      <c r="O62" s="192"/>
      <c r="P62" s="142"/>
      <c r="Q62" s="143"/>
      <c r="R62" s="143"/>
      <c r="S62" s="143"/>
    </row>
    <row r="63" spans="1:19" x14ac:dyDescent="0.25">
      <c r="B63" s="141" t="str">
        <f t="shared" si="7"/>
        <v/>
      </c>
      <c r="C63" s="142"/>
      <c r="D63" s="276"/>
      <c r="E63" s="218"/>
      <c r="F63" s="218"/>
      <c r="G63" s="218"/>
      <c r="H63" s="218"/>
      <c r="I63" s="230" t="s">
        <v>67</v>
      </c>
      <c r="J63" s="195"/>
      <c r="K63" s="218"/>
      <c r="L63" s="230" t="s">
        <v>67</v>
      </c>
      <c r="M63" s="195"/>
      <c r="N63" s="230" t="s">
        <v>67</v>
      </c>
      <c r="O63" s="192"/>
      <c r="P63" s="142"/>
      <c r="Q63" s="143"/>
      <c r="R63" s="143"/>
      <c r="S63" s="143"/>
    </row>
    <row r="64" spans="1:19" x14ac:dyDescent="0.25">
      <c r="B64" s="141" t="str">
        <f t="shared" si="7"/>
        <v/>
      </c>
      <c r="C64" s="142"/>
      <c r="D64" s="276"/>
      <c r="E64" s="218"/>
      <c r="F64" s="218"/>
      <c r="G64" s="218"/>
      <c r="H64" s="218"/>
      <c r="I64" s="230" t="s">
        <v>68</v>
      </c>
      <c r="J64" s="195"/>
      <c r="K64" s="218"/>
      <c r="L64" s="230" t="s">
        <v>68</v>
      </c>
      <c r="M64" s="195"/>
      <c r="N64" s="230" t="s">
        <v>68</v>
      </c>
      <c r="O64" s="192"/>
      <c r="P64" s="142"/>
      <c r="Q64" s="143"/>
      <c r="R64" s="143"/>
      <c r="S64" s="143"/>
    </row>
    <row r="65" spans="1:19" x14ac:dyDescent="0.25">
      <c r="B65" s="141" t="str">
        <f t="shared" si="7"/>
        <v/>
      </c>
      <c r="C65" s="142"/>
      <c r="D65" s="276"/>
      <c r="E65" s="218"/>
      <c r="F65" s="218"/>
      <c r="G65" s="218"/>
      <c r="H65" s="218"/>
      <c r="I65" s="230" t="s">
        <v>69</v>
      </c>
      <c r="J65" s="195"/>
      <c r="K65" s="218"/>
      <c r="L65" s="230" t="s">
        <v>69</v>
      </c>
      <c r="M65" s="195"/>
      <c r="N65" s="230" t="s">
        <v>69</v>
      </c>
      <c r="O65" s="192"/>
      <c r="P65" s="142"/>
      <c r="Q65" s="143"/>
      <c r="R65" s="143"/>
      <c r="S65" s="143"/>
    </row>
    <row r="66" spans="1:19" x14ac:dyDescent="0.25">
      <c r="B66" s="141" t="str">
        <f t="shared" si="7"/>
        <v/>
      </c>
      <c r="C66" s="142"/>
      <c r="D66" s="277"/>
      <c r="E66" s="219"/>
      <c r="F66" s="219"/>
      <c r="G66" s="219"/>
      <c r="H66" s="219"/>
      <c r="I66" s="231" t="s">
        <v>70</v>
      </c>
      <c r="J66" s="196"/>
      <c r="K66" s="219"/>
      <c r="L66" s="231" t="s">
        <v>70</v>
      </c>
      <c r="M66" s="196"/>
      <c r="N66" s="231" t="s">
        <v>70</v>
      </c>
      <c r="O66" s="194"/>
      <c r="P66" s="142"/>
      <c r="Q66" s="143"/>
      <c r="R66" s="143"/>
      <c r="S66" s="143"/>
    </row>
    <row r="67" spans="1:19" x14ac:dyDescent="0.25">
      <c r="B67" s="141" t="str">
        <f t="shared" si="7"/>
        <v/>
      </c>
      <c r="C67" s="142"/>
      <c r="D67" s="224"/>
      <c r="E67" s="224"/>
      <c r="F67" s="224"/>
      <c r="G67" s="224"/>
      <c r="H67" s="224"/>
      <c r="I67" s="225"/>
      <c r="J67" s="224"/>
      <c r="K67" s="224"/>
      <c r="L67" s="225"/>
      <c r="M67" s="224"/>
      <c r="N67" s="225"/>
      <c r="O67" s="224"/>
      <c r="P67" s="142"/>
      <c r="Q67" s="143"/>
      <c r="R67" s="143"/>
      <c r="S67" s="143"/>
    </row>
    <row r="68" spans="1:19" x14ac:dyDescent="0.25">
      <c r="A68" s="141" t="b">
        <v>0</v>
      </c>
      <c r="B68" s="141" t="str">
        <f t="shared" si="7"/>
        <v/>
      </c>
      <c r="C68" s="142"/>
      <c r="D68" s="160" t="s">
        <v>78</v>
      </c>
      <c r="E68" s="155" t="s">
        <v>934</v>
      </c>
      <c r="F68" s="156"/>
      <c r="G68" s="155" t="s">
        <v>935</v>
      </c>
      <c r="H68" s="156"/>
      <c r="I68" s="157" t="s">
        <v>63</v>
      </c>
      <c r="J68" s="156"/>
      <c r="K68" s="155" t="s">
        <v>936</v>
      </c>
      <c r="L68" s="157" t="s">
        <v>64</v>
      </c>
      <c r="M68" s="156"/>
      <c r="N68" s="157" t="s">
        <v>937</v>
      </c>
      <c r="O68" s="156"/>
      <c r="P68" s="142"/>
      <c r="Q68" s="143"/>
      <c r="R68" s="143"/>
      <c r="S68" s="143"/>
    </row>
    <row r="69" spans="1:19" x14ac:dyDescent="0.25">
      <c r="B69" s="141" t="str">
        <f t="shared" ref="B69:B75" si="8">IFERROR(CHOOSE(MATCH(G69, Val_ResponseCat, 0), "IdentifiedNeeds", "IdentifiedUsefulStrengths", "IdentifiedStrengthsToBuild"), "")</f>
        <v/>
      </c>
      <c r="C69" s="142"/>
      <c r="D69" s="275"/>
      <c r="E69" s="218"/>
      <c r="F69" s="218"/>
      <c r="G69" s="218"/>
      <c r="H69" s="218"/>
      <c r="I69" s="230" t="s">
        <v>65</v>
      </c>
      <c r="J69" s="195"/>
      <c r="K69" s="218"/>
      <c r="L69" s="230" t="s">
        <v>65</v>
      </c>
      <c r="M69" s="195"/>
      <c r="N69" s="230" t="s">
        <v>65</v>
      </c>
      <c r="O69" s="192"/>
      <c r="P69" s="142"/>
      <c r="Q69" s="143"/>
      <c r="R69" s="143"/>
      <c r="S69" s="143"/>
    </row>
    <row r="70" spans="1:19" x14ac:dyDescent="0.25">
      <c r="B70" s="141" t="str">
        <f t="shared" si="8"/>
        <v/>
      </c>
      <c r="C70" s="142"/>
      <c r="D70" s="276"/>
      <c r="E70" s="218"/>
      <c r="F70" s="218"/>
      <c r="G70" s="218"/>
      <c r="H70" s="218"/>
      <c r="I70" s="230" t="s">
        <v>66</v>
      </c>
      <c r="J70" s="195"/>
      <c r="K70" s="218"/>
      <c r="L70" s="230" t="s">
        <v>66</v>
      </c>
      <c r="M70" s="195"/>
      <c r="N70" s="230" t="s">
        <v>66</v>
      </c>
      <c r="O70" s="192"/>
      <c r="P70" s="142"/>
      <c r="Q70" s="143"/>
      <c r="R70" s="143"/>
      <c r="S70" s="143"/>
    </row>
    <row r="71" spans="1:19" x14ac:dyDescent="0.25">
      <c r="B71" s="141" t="str">
        <f t="shared" si="8"/>
        <v/>
      </c>
      <c r="C71" s="142"/>
      <c r="D71" s="276"/>
      <c r="E71" s="218"/>
      <c r="F71" s="218"/>
      <c r="G71" s="218"/>
      <c r="H71" s="218"/>
      <c r="I71" s="230" t="s">
        <v>67</v>
      </c>
      <c r="J71" s="195"/>
      <c r="K71" s="218"/>
      <c r="L71" s="230" t="s">
        <v>67</v>
      </c>
      <c r="M71" s="195"/>
      <c r="N71" s="230" t="s">
        <v>67</v>
      </c>
      <c r="O71" s="192"/>
      <c r="P71" s="142"/>
      <c r="Q71" s="143"/>
      <c r="R71" s="143"/>
      <c r="S71" s="143"/>
    </row>
    <row r="72" spans="1:19" x14ac:dyDescent="0.25">
      <c r="B72" s="141" t="str">
        <f t="shared" si="8"/>
        <v/>
      </c>
      <c r="C72" s="142"/>
      <c r="D72" s="276"/>
      <c r="E72" s="218"/>
      <c r="F72" s="218"/>
      <c r="G72" s="218"/>
      <c r="H72" s="218"/>
      <c r="I72" s="230" t="s">
        <v>68</v>
      </c>
      <c r="J72" s="195"/>
      <c r="K72" s="218"/>
      <c r="L72" s="230" t="s">
        <v>68</v>
      </c>
      <c r="M72" s="195"/>
      <c r="N72" s="230" t="s">
        <v>68</v>
      </c>
      <c r="O72" s="192"/>
      <c r="P72" s="142"/>
      <c r="Q72" s="143"/>
      <c r="R72" s="143"/>
      <c r="S72" s="143"/>
    </row>
    <row r="73" spans="1:19" x14ac:dyDescent="0.25">
      <c r="B73" s="141" t="str">
        <f t="shared" si="8"/>
        <v/>
      </c>
      <c r="C73" s="142"/>
      <c r="D73" s="276"/>
      <c r="E73" s="218"/>
      <c r="F73" s="218"/>
      <c r="G73" s="218"/>
      <c r="H73" s="218"/>
      <c r="I73" s="230" t="s">
        <v>257</v>
      </c>
      <c r="J73" s="195"/>
      <c r="K73" s="218"/>
      <c r="L73" s="230" t="s">
        <v>69</v>
      </c>
      <c r="M73" s="195"/>
      <c r="N73" s="230" t="s">
        <v>69</v>
      </c>
      <c r="O73" s="192"/>
      <c r="P73" s="142"/>
      <c r="Q73" s="143"/>
      <c r="R73" s="143"/>
      <c r="S73" s="143"/>
    </row>
    <row r="74" spans="1:19" x14ac:dyDescent="0.25">
      <c r="B74" s="141" t="str">
        <f t="shared" si="8"/>
        <v/>
      </c>
      <c r="C74" s="142"/>
      <c r="D74" s="277"/>
      <c r="E74" s="219"/>
      <c r="F74" s="219"/>
      <c r="G74" s="219"/>
      <c r="H74" s="219"/>
      <c r="I74" s="231" t="s">
        <v>70</v>
      </c>
      <c r="J74" s="196"/>
      <c r="K74" s="219"/>
      <c r="L74" s="231" t="s">
        <v>70</v>
      </c>
      <c r="M74" s="196"/>
      <c r="N74" s="231" t="s">
        <v>70</v>
      </c>
      <c r="O74" s="194"/>
      <c r="P74" s="142"/>
      <c r="Q74" s="143"/>
      <c r="R74" s="143"/>
      <c r="S74" s="143"/>
    </row>
    <row r="75" spans="1:19" x14ac:dyDescent="0.25">
      <c r="B75" s="141" t="str">
        <f t="shared" si="8"/>
        <v/>
      </c>
      <c r="C75" s="142"/>
      <c r="D75" s="142"/>
      <c r="E75" s="142"/>
      <c r="F75" s="142"/>
      <c r="G75" s="142"/>
      <c r="H75" s="142"/>
      <c r="I75" s="161"/>
      <c r="J75" s="142"/>
      <c r="K75" s="142"/>
      <c r="L75" s="161"/>
      <c r="M75" s="142"/>
      <c r="N75" s="161"/>
      <c r="O75" s="142"/>
      <c r="P75" s="142"/>
      <c r="Q75" s="143"/>
      <c r="R75" s="143"/>
      <c r="S75" s="143"/>
    </row>
    <row r="76" spans="1:19" x14ac:dyDescent="0.25">
      <c r="A76" s="149"/>
      <c r="B76" s="149"/>
      <c r="C76" s="140"/>
      <c r="D76" s="140"/>
      <c r="E76" s="140"/>
      <c r="F76" s="140"/>
      <c r="G76" s="140"/>
      <c r="H76" s="140"/>
      <c r="I76" s="232"/>
      <c r="J76" s="140"/>
      <c r="K76" s="140"/>
      <c r="L76" s="232"/>
      <c r="M76" s="140"/>
      <c r="N76" s="232"/>
      <c r="O76" s="140"/>
      <c r="P76" s="140"/>
      <c r="Q76" s="143"/>
      <c r="R76" s="143"/>
      <c r="S76" s="143"/>
    </row>
    <row r="77" spans="1:19" x14ac:dyDescent="0.25">
      <c r="A77" s="149"/>
      <c r="B77" s="149"/>
      <c r="C77" s="140"/>
      <c r="D77" s="140"/>
      <c r="E77" s="140"/>
      <c r="F77" s="140"/>
      <c r="G77" s="140"/>
      <c r="H77" s="140"/>
      <c r="I77" s="232"/>
      <c r="J77" s="140"/>
      <c r="K77" s="140"/>
      <c r="L77" s="232"/>
      <c r="M77" s="140"/>
      <c r="N77" s="232"/>
      <c r="O77" s="140"/>
      <c r="P77" s="140"/>
      <c r="Q77" s="143"/>
      <c r="R77" s="143"/>
      <c r="S77" s="143"/>
    </row>
    <row r="78" spans="1:19" x14ac:dyDescent="0.25">
      <c r="A78" s="149"/>
      <c r="B78" s="149"/>
      <c r="C78" s="140"/>
      <c r="D78" s="140"/>
      <c r="E78" s="140"/>
      <c r="F78" s="140"/>
      <c r="G78" s="140"/>
      <c r="H78" s="140"/>
      <c r="I78" s="232"/>
      <c r="J78" s="140"/>
      <c r="K78" s="140"/>
      <c r="L78" s="232"/>
      <c r="M78" s="140"/>
      <c r="N78" s="232"/>
      <c r="O78" s="140"/>
      <c r="P78" s="140"/>
      <c r="Q78" s="143"/>
      <c r="R78" s="143"/>
      <c r="S78" s="143"/>
    </row>
    <row r="79" spans="1:19" x14ac:dyDescent="0.25">
      <c r="A79" s="149"/>
      <c r="B79" s="149"/>
      <c r="C79" s="140"/>
      <c r="D79" s="140"/>
      <c r="E79" s="140"/>
      <c r="F79" s="140"/>
      <c r="G79" s="140"/>
      <c r="H79" s="140"/>
      <c r="I79" s="232"/>
      <c r="J79" s="140"/>
      <c r="K79" s="140"/>
      <c r="L79" s="232"/>
      <c r="M79" s="140"/>
      <c r="N79" s="232"/>
      <c r="O79" s="140"/>
      <c r="P79" s="140"/>
      <c r="Q79" s="143"/>
      <c r="R79" s="143"/>
      <c r="S79" s="143"/>
    </row>
    <row r="80" spans="1:19" hidden="1" x14ac:dyDescent="0.25">
      <c r="A80" s="149"/>
      <c r="B80" s="149"/>
      <c r="C80" s="140"/>
      <c r="D80" s="140"/>
      <c r="E80" s="140"/>
      <c r="F80" s="140"/>
      <c r="G80" s="140"/>
      <c r="H80" s="140"/>
      <c r="I80" s="232"/>
      <c r="J80" s="140"/>
      <c r="K80" s="140"/>
      <c r="L80" s="232"/>
      <c r="M80" s="140"/>
      <c r="N80" s="232"/>
      <c r="O80" s="140"/>
      <c r="P80" s="140"/>
      <c r="Q80" s="143"/>
      <c r="R80" s="143"/>
      <c r="S80" s="143"/>
    </row>
    <row r="81" spans="1:19" hidden="1" x14ac:dyDescent="0.25">
      <c r="A81" s="149"/>
      <c r="B81" s="149"/>
      <c r="C81" s="140"/>
      <c r="D81" s="140"/>
      <c r="E81" s="140"/>
      <c r="F81" s="140"/>
      <c r="G81" s="140"/>
      <c r="H81" s="140"/>
      <c r="I81" s="232"/>
      <c r="J81" s="140"/>
      <c r="K81" s="140"/>
      <c r="L81" s="232"/>
      <c r="M81" s="140"/>
      <c r="N81" s="232"/>
      <c r="O81" s="140"/>
      <c r="P81" s="140"/>
      <c r="Q81" s="143"/>
      <c r="R81" s="143"/>
      <c r="S81" s="143"/>
    </row>
    <row r="82" spans="1:19" hidden="1" x14ac:dyDescent="0.25">
      <c r="A82" s="149"/>
      <c r="B82" s="149"/>
      <c r="C82" s="140"/>
      <c r="D82" s="140"/>
      <c r="E82" s="140"/>
      <c r="F82" s="140"/>
      <c r="G82" s="140"/>
      <c r="H82" s="140"/>
      <c r="I82" s="232"/>
      <c r="J82" s="140"/>
      <c r="K82" s="140"/>
      <c r="L82" s="232"/>
      <c r="M82" s="140"/>
      <c r="N82" s="232"/>
      <c r="O82" s="140"/>
      <c r="P82" s="140"/>
      <c r="Q82" s="143"/>
      <c r="R82" s="143"/>
      <c r="S82" s="143"/>
    </row>
    <row r="83" spans="1:19" hidden="1" x14ac:dyDescent="0.25">
      <c r="A83" s="149"/>
      <c r="B83" s="149"/>
      <c r="C83" s="140"/>
      <c r="D83" s="140"/>
      <c r="E83" s="140"/>
      <c r="F83" s="140"/>
      <c r="G83" s="140"/>
      <c r="H83" s="140"/>
      <c r="I83" s="232"/>
      <c r="J83" s="140"/>
      <c r="K83" s="140"/>
      <c r="L83" s="232"/>
      <c r="M83" s="140"/>
      <c r="N83" s="232"/>
      <c r="O83" s="140"/>
      <c r="P83" s="140"/>
      <c r="Q83" s="143"/>
      <c r="R83" s="143"/>
      <c r="S83" s="143"/>
    </row>
    <row r="84" spans="1:19" hidden="1" x14ac:dyDescent="0.25">
      <c r="A84" s="149"/>
      <c r="B84" s="149"/>
      <c r="C84" s="140"/>
      <c r="D84" s="140"/>
      <c r="E84" s="140"/>
      <c r="F84" s="140"/>
      <c r="G84" s="140"/>
      <c r="H84" s="140"/>
      <c r="I84" s="232"/>
      <c r="J84" s="140"/>
      <c r="K84" s="140"/>
      <c r="L84" s="232"/>
      <c r="M84" s="140"/>
      <c r="N84" s="232"/>
      <c r="O84" s="140"/>
      <c r="P84" s="140"/>
      <c r="Q84" s="143"/>
      <c r="R84" s="143"/>
      <c r="S84" s="143"/>
    </row>
    <row r="85" spans="1:19" hidden="1" x14ac:dyDescent="0.25">
      <c r="A85" s="149"/>
      <c r="B85" s="149"/>
      <c r="C85" s="140"/>
      <c r="D85" s="140"/>
      <c r="E85" s="140"/>
      <c r="F85" s="140"/>
      <c r="G85" s="140"/>
      <c r="H85" s="140"/>
      <c r="I85" s="232"/>
      <c r="J85" s="140"/>
      <c r="K85" s="140"/>
      <c r="L85" s="232"/>
      <c r="M85" s="140"/>
      <c r="N85" s="232"/>
      <c r="O85" s="140"/>
      <c r="P85" s="140"/>
      <c r="Q85" s="143"/>
      <c r="R85" s="143"/>
      <c r="S85" s="143"/>
    </row>
    <row r="86" spans="1:19" x14ac:dyDescent="0.25">
      <c r="A86" s="149"/>
      <c r="B86" s="149"/>
      <c r="C86" s="140"/>
      <c r="D86" s="140"/>
      <c r="E86" s="140"/>
      <c r="F86" s="140"/>
      <c r="G86" s="140"/>
      <c r="H86" s="140"/>
      <c r="I86" s="232"/>
      <c r="J86" s="140"/>
      <c r="K86" s="140"/>
      <c r="L86" s="232"/>
      <c r="M86" s="140"/>
      <c r="N86" s="232"/>
      <c r="O86" s="140"/>
      <c r="P86" s="140"/>
    </row>
    <row r="87" spans="1:19" x14ac:dyDescent="0.25">
      <c r="A87" s="149"/>
      <c r="B87" s="149"/>
      <c r="C87" s="140"/>
      <c r="D87" s="140"/>
      <c r="E87" s="140"/>
      <c r="F87" s="140"/>
      <c r="G87" s="140"/>
      <c r="H87" s="140"/>
      <c r="I87" s="232"/>
      <c r="J87" s="236"/>
      <c r="K87" s="140"/>
      <c r="L87" s="232"/>
      <c r="M87" s="140"/>
      <c r="N87" s="232"/>
      <c r="O87" s="140"/>
      <c r="P87" s="140"/>
    </row>
    <row r="88" spans="1:19" x14ac:dyDescent="0.25">
      <c r="A88" s="149"/>
      <c r="B88" s="149"/>
      <c r="C88" s="140"/>
      <c r="D88" s="140"/>
      <c r="E88" s="140"/>
      <c r="F88" s="140"/>
      <c r="G88" s="140"/>
      <c r="H88" s="140"/>
      <c r="I88" s="232"/>
      <c r="J88" s="140"/>
      <c r="K88" s="140"/>
      <c r="L88" s="232"/>
      <c r="M88" s="140"/>
      <c r="N88" s="232"/>
      <c r="O88" s="140"/>
      <c r="P88" s="140"/>
    </row>
    <row r="89" spans="1:19" x14ac:dyDescent="0.25">
      <c r="A89" s="149"/>
      <c r="B89" s="149"/>
      <c r="C89" s="140"/>
      <c r="D89" s="140"/>
      <c r="E89" s="140"/>
      <c r="F89" s="140"/>
      <c r="G89" s="140"/>
      <c r="H89" s="140"/>
      <c r="I89" s="232"/>
      <c r="J89" s="140"/>
      <c r="K89" s="140"/>
      <c r="L89" s="232"/>
      <c r="M89" s="140"/>
      <c r="N89" s="232"/>
      <c r="O89" s="140"/>
      <c r="P89" s="140"/>
    </row>
    <row r="90" spans="1:19" x14ac:dyDescent="0.25">
      <c r="A90" s="149"/>
      <c r="B90" s="149"/>
      <c r="C90" s="140"/>
      <c r="D90" s="140"/>
      <c r="E90" s="140"/>
      <c r="F90" s="140"/>
      <c r="G90" s="140"/>
      <c r="H90" s="140"/>
      <c r="I90" s="232"/>
      <c r="J90" s="140"/>
      <c r="K90" s="140"/>
      <c r="L90" s="232"/>
      <c r="M90" s="140"/>
      <c r="N90" s="232"/>
      <c r="O90" s="140"/>
      <c r="P90" s="140"/>
    </row>
    <row r="91" spans="1:19" x14ac:dyDescent="0.25">
      <c r="A91" s="149"/>
      <c r="B91" s="149"/>
      <c r="C91" s="140"/>
      <c r="D91" s="140"/>
      <c r="E91" s="140"/>
      <c r="F91" s="140"/>
      <c r="G91" s="140"/>
      <c r="H91" s="140"/>
      <c r="I91" s="232"/>
      <c r="J91" s="140"/>
      <c r="K91" s="140"/>
      <c r="L91" s="232"/>
      <c r="M91" s="140"/>
      <c r="N91" s="232"/>
      <c r="O91" s="140"/>
      <c r="P91" s="140"/>
    </row>
    <row r="92" spans="1:19" x14ac:dyDescent="0.25">
      <c r="A92" s="149"/>
      <c r="B92" s="149"/>
      <c r="C92" s="140"/>
      <c r="D92" s="140"/>
      <c r="E92" s="140"/>
      <c r="F92" s="140"/>
      <c r="G92" s="140"/>
      <c r="H92" s="140"/>
      <c r="I92" s="232"/>
      <c r="J92" s="140"/>
      <c r="K92" s="140"/>
      <c r="L92" s="232"/>
      <c r="M92" s="140"/>
      <c r="N92" s="232"/>
      <c r="O92" s="140"/>
      <c r="P92" s="140"/>
    </row>
    <row r="93" spans="1:19" x14ac:dyDescent="0.25">
      <c r="A93" s="149"/>
      <c r="B93" s="149"/>
      <c r="C93" s="140"/>
      <c r="D93" s="140"/>
      <c r="E93" s="140"/>
      <c r="F93" s="140"/>
      <c r="G93" s="140"/>
      <c r="H93" s="140"/>
      <c r="I93" s="232"/>
      <c r="J93" s="140"/>
      <c r="K93" s="140"/>
      <c r="L93" s="232"/>
      <c r="M93" s="140"/>
      <c r="N93" s="232"/>
      <c r="O93" s="140"/>
      <c r="P93" s="140"/>
    </row>
    <row r="94" spans="1:19" x14ac:dyDescent="0.25">
      <c r="A94" s="149"/>
      <c r="B94" s="149"/>
      <c r="C94" s="140"/>
      <c r="D94" s="140"/>
      <c r="E94" s="140"/>
      <c r="F94" s="140"/>
      <c r="G94" s="140"/>
      <c r="H94" s="140"/>
      <c r="I94" s="232"/>
      <c r="J94" s="140"/>
      <c r="K94" s="140"/>
      <c r="L94" s="232"/>
      <c r="M94" s="140"/>
      <c r="N94" s="232"/>
      <c r="O94" s="140"/>
      <c r="P94" s="140"/>
    </row>
    <row r="95" spans="1:19" x14ac:dyDescent="0.25">
      <c r="A95" s="149"/>
      <c r="B95" s="149"/>
      <c r="C95" s="140"/>
      <c r="D95" s="140"/>
      <c r="E95" s="140"/>
      <c r="F95" s="140"/>
      <c r="G95" s="140"/>
      <c r="H95" s="140"/>
      <c r="I95" s="232"/>
      <c r="J95" s="140"/>
      <c r="K95" s="140"/>
      <c r="L95" s="232"/>
      <c r="M95" s="140"/>
      <c r="N95" s="232"/>
      <c r="O95" s="140"/>
      <c r="P95" s="140"/>
    </row>
    <row r="96" spans="1:19" x14ac:dyDescent="0.25">
      <c r="A96" s="149"/>
      <c r="B96" s="149"/>
      <c r="C96" s="140"/>
      <c r="D96" s="140"/>
      <c r="E96" s="140"/>
      <c r="F96" s="140"/>
      <c r="G96" s="140"/>
      <c r="H96" s="140"/>
      <c r="I96" s="232"/>
      <c r="J96" s="140"/>
      <c r="K96" s="140"/>
      <c r="L96" s="232"/>
      <c r="M96" s="140"/>
      <c r="N96" s="232"/>
      <c r="O96" s="140"/>
      <c r="P96" s="140"/>
    </row>
  </sheetData>
  <sheetProtection sheet="1" objects="1" scenarios="1"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56">
      <formula>$A$20=FALSE</formula>
    </cfRule>
  </conditionalFormatting>
  <conditionalFormatting sqref="D29:O34">
    <cfRule type="expression" dxfId="9" priority="158">
      <formula>$A$28=FALSE</formula>
    </cfRule>
  </conditionalFormatting>
  <conditionalFormatting sqref="D53:O58">
    <cfRule type="expression" dxfId="8" priority="164">
      <formula>$A$52=FALSE</formula>
    </cfRule>
  </conditionalFormatting>
  <conditionalFormatting sqref="D61:O66">
    <cfRule type="expression" dxfId="7" priority="166">
      <formula>$A$60=FALSE</formula>
    </cfRule>
  </conditionalFormatting>
  <conditionalFormatting sqref="D5:O10">
    <cfRule type="expression" dxfId="6" priority="168">
      <formula>$A$4=FALSE</formula>
    </cfRule>
  </conditionalFormatting>
  <conditionalFormatting sqref="D69:O74">
    <cfRule type="expression" dxfId="5" priority="170">
      <formula>$A$68=FALSE</formula>
    </cfRule>
  </conditionalFormatting>
  <conditionalFormatting sqref="Q4:S75">
    <cfRule type="expression" dxfId="4" priority="171">
      <formula>OR(NOT(ISERROR(MATCH(Q4, Targets, 0))), NOT(ISERROR(MATCH(Q4, Backgrounds, 0))), NOT(ISERROR(MATCH(Q4, AntOuts, 0))))</formula>
    </cfRule>
  </conditionalFormatting>
  <conditionalFormatting sqref="D37:O42">
    <cfRule type="expression" dxfId="3" priority="3">
      <formula>$A$36=FALSE</formula>
    </cfRule>
  </conditionalFormatting>
  <conditionalFormatting sqref="D45:O50">
    <cfRule type="expression" dxfId="2" priority="2">
      <formula>$A$44=FALSE</formula>
    </cfRule>
  </conditionalFormatting>
  <conditionalFormatting sqref="D13:O18">
    <cfRule type="expression" dxfId="1" priority="1">
      <formula>$A$12=FALSE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ageMargins left="0.7" right="0.7" top="0.75" bottom="0.75" header="0.3" footer="0.3"/>
  <pageSetup scale="62"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4</xdr:row>
                    <xdr:rowOff>28575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219075</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2</xdr:col>
                    <xdr:colOff>9525</xdr:colOff>
                    <xdr:row>18</xdr:row>
                    <xdr:rowOff>180975</xdr:rowOff>
                  </from>
                  <to>
                    <xdr:col>3</xdr:col>
                    <xdr:colOff>619125</xdr:colOff>
                    <xdr:row>19</xdr:row>
                    <xdr:rowOff>104775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2</xdr:col>
                    <xdr:colOff>0</xdr:colOff>
                    <xdr:row>26</xdr:row>
                    <xdr:rowOff>190500</xdr:rowOff>
                  </from>
                  <to>
                    <xdr:col>3</xdr:col>
                    <xdr:colOff>609600</xdr:colOff>
                    <xdr:row>28</xdr:row>
                    <xdr:rowOff>28575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2</xdr:col>
                    <xdr:colOff>9525</xdr:colOff>
                    <xdr:row>34</xdr:row>
                    <xdr:rowOff>180975</xdr:rowOff>
                  </from>
                  <to>
                    <xdr:col>3</xdr:col>
                    <xdr:colOff>619125</xdr:colOff>
                    <xdr:row>35</xdr:row>
                    <xdr:rowOff>104775</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2</xdr:col>
                    <xdr:colOff>9525</xdr:colOff>
                    <xdr:row>42</xdr:row>
                    <xdr:rowOff>161925</xdr:rowOff>
                  </from>
                  <to>
                    <xdr:col>3</xdr:col>
                    <xdr:colOff>619125</xdr:colOff>
                    <xdr:row>43</xdr:row>
                    <xdr:rowOff>85725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2</xdr:col>
                    <xdr:colOff>9525</xdr:colOff>
                    <xdr:row>50</xdr:row>
                    <xdr:rowOff>180975</xdr:rowOff>
                  </from>
                  <to>
                    <xdr:col>3</xdr:col>
                    <xdr:colOff>619125</xdr:colOff>
                    <xdr:row>52</xdr:row>
                    <xdr:rowOff>9525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2</xdr:col>
                    <xdr:colOff>0</xdr:colOff>
                    <xdr:row>58</xdr:row>
                    <xdr:rowOff>171450</xdr:rowOff>
                  </from>
                  <to>
                    <xdr:col>3</xdr:col>
                    <xdr:colOff>609600</xdr:colOff>
                    <xdr:row>60</xdr:row>
                    <xdr:rowOff>0</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2</xdr:col>
                    <xdr:colOff>9525</xdr:colOff>
                    <xdr:row>66</xdr:row>
                    <xdr:rowOff>190500</xdr:rowOff>
                  </from>
                  <to>
                    <xdr:col>3</xdr:col>
                    <xdr:colOff>619125</xdr:colOff>
                    <xdr:row>68</xdr:row>
                    <xdr:rowOff>28575</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E8" sqref="E8"/>
      <selection pane="bottomLeft" activeCell="E5" sqref="E5"/>
    </sheetView>
  </sheetViews>
  <sheetFormatPr defaultColWidth="9.140625" defaultRowHeight="0" customHeight="1" zeroHeight="1" x14ac:dyDescent="0.25"/>
  <cols>
    <col min="1" max="1" width="13.5703125" style="141" hidden="1" customWidth="1"/>
    <col min="2" max="2" width="14.28515625" style="141" hidden="1" customWidth="1"/>
    <col min="3" max="4" width="3" style="151" customWidth="1"/>
    <col min="5" max="5" width="136.7109375" style="151" customWidth="1"/>
    <col min="6" max="6" width="3.140625" style="151" customWidth="1"/>
    <col min="7" max="9" width="26.28515625" style="150" customWidth="1"/>
    <col min="10" max="10" width="4.28515625" style="140" customWidth="1"/>
    <col min="11" max="22" width="9.140625" style="140" customWidth="1"/>
    <col min="23" max="16384" width="9.140625" style="140"/>
  </cols>
  <sheetData>
    <row r="1" spans="1:19" ht="28.5" x14ac:dyDescent="0.25">
      <c r="A1" s="135"/>
      <c r="B1" s="135"/>
      <c r="C1" s="152" t="s">
        <v>862</v>
      </c>
      <c r="D1" s="136"/>
      <c r="E1" s="137"/>
      <c r="F1" s="137"/>
      <c r="G1" s="138"/>
      <c r="H1" s="138"/>
      <c r="I1" s="138"/>
      <c r="J1" s="139"/>
      <c r="K1" s="139"/>
      <c r="L1" s="139"/>
      <c r="M1" s="139"/>
      <c r="N1" s="139"/>
      <c r="O1" s="139"/>
      <c r="P1" s="139"/>
      <c r="Q1" s="139"/>
      <c r="R1" s="139"/>
      <c r="S1" s="139"/>
    </row>
    <row r="2" spans="1:19" ht="15" x14ac:dyDescent="0.25">
      <c r="C2" s="142"/>
      <c r="D2" s="142"/>
      <c r="E2" s="142"/>
      <c r="F2" s="142"/>
      <c r="G2" s="143"/>
      <c r="H2" s="143"/>
      <c r="I2" s="143"/>
    </row>
    <row r="3" spans="1:19" ht="30" x14ac:dyDescent="0.25">
      <c r="A3" s="144"/>
      <c r="B3" s="141">
        <f t="array" ref="B3">MAX(IF(A:A=TRUE, ROW(A:A)))+7</f>
        <v>11</v>
      </c>
      <c r="C3" s="145"/>
      <c r="D3" s="281" t="s">
        <v>861</v>
      </c>
      <c r="E3" s="281"/>
      <c r="F3" s="146"/>
      <c r="G3" s="147" t="s">
        <v>302</v>
      </c>
      <c r="H3" s="147" t="s">
        <v>301</v>
      </c>
      <c r="I3" s="147" t="s">
        <v>303</v>
      </c>
    </row>
    <row r="4" spans="1:19" ht="15" x14ac:dyDescent="0.25">
      <c r="A4" s="141" t="b">
        <v>1</v>
      </c>
      <c r="C4" s="145"/>
      <c r="D4" s="148" t="s">
        <v>65</v>
      </c>
      <c r="E4" s="198"/>
      <c r="F4" s="146"/>
      <c r="G4" s="215" t="str">
        <f t="shared" ref="G4:G53" ca="1" si="0">IFERROR(INDEX(Needs_Q, MATCH(ROW()-ROW(G$3), Needs_Q_Ix, 0)), "")</f>
        <v/>
      </c>
      <c r="H4" s="215" t="str">
        <f t="shared" ref="H4:H35" ca="1" si="1">IFERROR(INDEX(US_Q, MATCH(ROW()-ROW(H$3), US_Q_Ix, 0)), "")</f>
        <v/>
      </c>
      <c r="I4" s="215" t="str">
        <f t="shared" ref="I4:I35" ca="1" si="2">IFERROR(INDEX(SB_Q, MATCH(ROW()-ROW(I$3), SB_Q_Ix, 0)), "")</f>
        <v/>
      </c>
    </row>
    <row r="5" spans="1:19" ht="15" x14ac:dyDescent="0.25">
      <c r="B5" s="141" t="str">
        <f>IFERROR(CHOOSE(MATCH(#REF!, Val_ResponseCat, 0), "IdentifiedNeeds", "IdentifiedUsefulStrengths", "IdentifiedStrengthsToBuild"), "")</f>
        <v/>
      </c>
      <c r="C5" s="145"/>
      <c r="D5" s="148" t="s">
        <v>66</v>
      </c>
      <c r="E5" s="198"/>
      <c r="F5" s="146"/>
      <c r="G5" s="215" t="str">
        <f t="shared" ca="1" si="0"/>
        <v/>
      </c>
      <c r="H5" s="215" t="str">
        <f t="shared" ca="1" si="1"/>
        <v/>
      </c>
      <c r="I5" s="215" t="str">
        <f t="shared" ca="1" si="2"/>
        <v/>
      </c>
    </row>
    <row r="6" spans="1:19" ht="15" x14ac:dyDescent="0.25">
      <c r="B6" s="141" t="str">
        <f>IFERROR(CHOOSE(MATCH(#REF!, Val_ResponseCat, 0), "IdentifiedNeeds", "IdentifiedUsefulStrengths", "IdentifiedStrengthsToBuild"), "")</f>
        <v/>
      </c>
      <c r="C6" s="145"/>
      <c r="D6" s="148" t="s">
        <v>67</v>
      </c>
      <c r="E6" s="198"/>
      <c r="F6" s="146"/>
      <c r="G6" s="215" t="str">
        <f t="shared" ca="1" si="0"/>
        <v/>
      </c>
      <c r="H6" s="215" t="str">
        <f t="shared" ca="1" si="1"/>
        <v/>
      </c>
      <c r="I6" s="215" t="str">
        <f t="shared" ca="1" si="2"/>
        <v/>
      </c>
    </row>
    <row r="7" spans="1:19" ht="15" x14ac:dyDescent="0.25">
      <c r="B7" s="141" t="str">
        <f>IFERROR(CHOOSE(MATCH(#REF!, Val_ResponseCat, 0), "IdentifiedNeeds", "IdentifiedUsefulStrengths", "IdentifiedStrengthsToBuild"), "")</f>
        <v/>
      </c>
      <c r="C7" s="145"/>
      <c r="D7" s="148" t="s">
        <v>68</v>
      </c>
      <c r="E7" s="198"/>
      <c r="F7" s="146"/>
      <c r="G7" s="215" t="str">
        <f t="shared" ca="1" si="0"/>
        <v/>
      </c>
      <c r="H7" s="215" t="str">
        <f t="shared" ca="1" si="1"/>
        <v/>
      </c>
      <c r="I7" s="215" t="str">
        <f t="shared" ca="1" si="2"/>
        <v/>
      </c>
    </row>
    <row r="8" spans="1:19" ht="15" x14ac:dyDescent="0.25">
      <c r="B8" s="141" t="str">
        <f>IFERROR(CHOOSE(MATCH(#REF!, Val_ResponseCat, 0), "IdentifiedNeeds", "IdentifiedUsefulStrengths", "IdentifiedStrengthsToBuild"), "")</f>
        <v/>
      </c>
      <c r="C8" s="145"/>
      <c r="D8" s="148" t="s">
        <v>69</v>
      </c>
      <c r="E8" s="198"/>
      <c r="F8" s="146"/>
      <c r="G8" s="215" t="str">
        <f t="shared" ca="1" si="0"/>
        <v/>
      </c>
      <c r="H8" s="215" t="str">
        <f t="shared" ca="1" si="1"/>
        <v/>
      </c>
      <c r="I8" s="215" t="str">
        <f t="shared" ca="1" si="2"/>
        <v/>
      </c>
    </row>
    <row r="9" spans="1:19" ht="15" x14ac:dyDescent="0.25">
      <c r="B9" s="141" t="str">
        <f>IFERROR(CHOOSE(MATCH(#REF!, Val_ResponseCat, 0), "IdentifiedNeeds", "IdentifiedUsefulStrengths", "IdentifiedStrengthsToBuild"), "")</f>
        <v/>
      </c>
      <c r="C9" s="145"/>
      <c r="D9" s="148" t="s">
        <v>70</v>
      </c>
      <c r="E9" s="198"/>
      <c r="F9" s="146"/>
      <c r="G9" s="215" t="str">
        <f t="shared" ca="1" si="0"/>
        <v/>
      </c>
      <c r="H9" s="215" t="str">
        <f t="shared" ca="1" si="1"/>
        <v/>
      </c>
      <c r="I9" s="215" t="str">
        <f t="shared" ca="1" si="2"/>
        <v/>
      </c>
    </row>
    <row r="10" spans="1:19" ht="15" x14ac:dyDescent="0.25">
      <c r="B10" s="141" t="str">
        <f>IFERROR(CHOOSE(MATCH(#REF!, Val_ResponseCat, 0), "IdentifiedNeeds", "IdentifiedUsefulStrengths", "IdentifiedStrengthsToBuild"), "")</f>
        <v/>
      </c>
      <c r="C10" s="145"/>
      <c r="D10" s="145"/>
      <c r="E10" s="145"/>
      <c r="F10" s="146"/>
      <c r="G10" s="215" t="str">
        <f t="shared" ca="1" si="0"/>
        <v/>
      </c>
      <c r="H10" s="215" t="str">
        <f t="shared" ca="1" si="1"/>
        <v/>
      </c>
      <c r="I10" s="215" t="str">
        <f t="shared" ca="1" si="2"/>
        <v/>
      </c>
    </row>
    <row r="11" spans="1:19" ht="15" x14ac:dyDescent="0.25">
      <c r="A11" s="149"/>
      <c r="B11" s="149" t="str">
        <f>IFERROR(CHOOSE(MATCH(#REF!, Val_ResponseCat, 0), "IdentifiedNeeds", "IdentifiedUsefulStrengths", "IdentifiedStrengthsToBuild"), "")</f>
        <v/>
      </c>
      <c r="C11" s="140"/>
      <c r="D11" s="140"/>
      <c r="E11" s="140"/>
      <c r="F11" s="140"/>
      <c r="G11" s="215" t="str">
        <f t="shared" ca="1" si="0"/>
        <v/>
      </c>
      <c r="H11" s="215" t="str">
        <f t="shared" ca="1" si="1"/>
        <v/>
      </c>
      <c r="I11" s="215" t="str">
        <f t="shared" ca="1" si="2"/>
        <v/>
      </c>
    </row>
    <row r="12" spans="1:19" ht="15" x14ac:dyDescent="0.25">
      <c r="A12" s="149" t="b">
        <v>0</v>
      </c>
      <c r="B12" s="149" t="str">
        <f>IFERROR(CHOOSE(MATCH(#REF!, Val_ResponseCat, 0), "IdentifiedNeeds", "IdentifiedUsefulStrengths", "IdentifiedStrengthsToBuild"), "")</f>
        <v/>
      </c>
      <c r="C12" s="140"/>
      <c r="D12" s="140"/>
      <c r="E12" s="140"/>
      <c r="F12" s="140"/>
      <c r="G12" s="215" t="str">
        <f t="shared" ca="1" si="0"/>
        <v/>
      </c>
      <c r="H12" s="215" t="str">
        <f t="shared" ca="1" si="1"/>
        <v/>
      </c>
      <c r="I12" s="215" t="str">
        <f t="shared" ca="1" si="2"/>
        <v/>
      </c>
    </row>
    <row r="13" spans="1:19" ht="15" x14ac:dyDescent="0.25">
      <c r="A13" s="149"/>
      <c r="B13" s="149" t="str">
        <f>IFERROR(CHOOSE(MATCH(#REF!, Val_ResponseCat, 0), "IdentifiedNeeds", "IdentifiedUsefulStrengths", "IdentifiedStrengthsToBuild"), "")</f>
        <v/>
      </c>
      <c r="C13" s="140"/>
      <c r="D13" s="140"/>
      <c r="E13" s="140"/>
      <c r="F13" s="140"/>
      <c r="G13" s="215" t="str">
        <f t="shared" ca="1" si="0"/>
        <v/>
      </c>
      <c r="H13" s="215" t="str">
        <f t="shared" ca="1" si="1"/>
        <v/>
      </c>
      <c r="I13" s="215" t="str">
        <f t="shared" ca="1" si="2"/>
        <v/>
      </c>
    </row>
    <row r="14" spans="1:19" ht="15" x14ac:dyDescent="0.25">
      <c r="A14" s="149"/>
      <c r="B14" s="149" t="str">
        <f>IFERROR(CHOOSE(MATCH(#REF!, Val_ResponseCat, 0), "IdentifiedNeeds", "IdentifiedUsefulStrengths", "IdentifiedStrengthsToBuild"), "")</f>
        <v/>
      </c>
      <c r="C14" s="140"/>
      <c r="D14" s="140"/>
      <c r="E14" s="140"/>
      <c r="F14" s="140"/>
      <c r="G14" s="215" t="str">
        <f t="shared" ca="1" si="0"/>
        <v/>
      </c>
      <c r="H14" s="215" t="str">
        <f t="shared" ca="1" si="1"/>
        <v/>
      </c>
      <c r="I14" s="215" t="str">
        <f t="shared" ca="1" si="2"/>
        <v/>
      </c>
    </row>
    <row r="15" spans="1:19" ht="15" x14ac:dyDescent="0.25">
      <c r="A15" s="149"/>
      <c r="B15" s="149" t="str">
        <f>IFERROR(CHOOSE(MATCH(#REF!, Val_ResponseCat, 0), "IdentifiedNeeds", "IdentifiedUsefulStrengths", "IdentifiedStrengthsToBuild"), "")</f>
        <v/>
      </c>
      <c r="C15" s="140"/>
      <c r="D15" s="140"/>
      <c r="E15" s="140"/>
      <c r="F15" s="140"/>
      <c r="G15" s="215" t="str">
        <f t="shared" ca="1" si="0"/>
        <v/>
      </c>
      <c r="H15" s="215" t="str">
        <f t="shared" ca="1" si="1"/>
        <v/>
      </c>
      <c r="I15" s="215" t="str">
        <f t="shared" ca="1" si="2"/>
        <v/>
      </c>
    </row>
    <row r="16" spans="1:19" ht="15" x14ac:dyDescent="0.25">
      <c r="A16" s="149"/>
      <c r="B16" s="149" t="str">
        <f>IFERROR(CHOOSE(MATCH(#REF!, Val_ResponseCat, 0), "IdentifiedNeeds", "IdentifiedUsefulStrengths", "IdentifiedStrengthsToBuild"), "")</f>
        <v/>
      </c>
      <c r="C16" s="140"/>
      <c r="D16" s="140"/>
      <c r="E16" s="140"/>
      <c r="F16" s="140"/>
      <c r="G16" s="215" t="str">
        <f t="shared" ca="1" si="0"/>
        <v/>
      </c>
      <c r="H16" s="215" t="str">
        <f t="shared" ca="1" si="1"/>
        <v/>
      </c>
      <c r="I16" s="215" t="str">
        <f t="shared" ca="1" si="2"/>
        <v/>
      </c>
    </row>
    <row r="17" spans="1:9" ht="15" x14ac:dyDescent="0.25">
      <c r="A17" s="149"/>
      <c r="B17" s="149" t="str">
        <f>IFERROR(CHOOSE(MATCH(#REF!, Val_ResponseCat, 0), "IdentifiedNeeds", "IdentifiedUsefulStrengths", "IdentifiedStrengthsToBuild"), "")</f>
        <v/>
      </c>
      <c r="C17" s="140"/>
      <c r="D17" s="140"/>
      <c r="E17" s="140"/>
      <c r="F17" s="140"/>
      <c r="G17" s="215" t="str">
        <f t="shared" ca="1" si="0"/>
        <v/>
      </c>
      <c r="H17" s="215" t="str">
        <f t="shared" ca="1" si="1"/>
        <v/>
      </c>
      <c r="I17" s="215" t="str">
        <f t="shared" ca="1" si="2"/>
        <v/>
      </c>
    </row>
    <row r="18" spans="1:9" ht="15" x14ac:dyDescent="0.25">
      <c r="A18" s="149"/>
      <c r="B18" s="149" t="str">
        <f>IFERROR(CHOOSE(MATCH(#REF!, Val_ResponseCat, 0), "IdentifiedNeeds", "IdentifiedUsefulStrengths", "IdentifiedStrengthsToBuild"), "")</f>
        <v/>
      </c>
      <c r="C18" s="140"/>
      <c r="D18" s="140"/>
      <c r="E18" s="140"/>
      <c r="F18" s="140"/>
      <c r="G18" s="215" t="str">
        <f t="shared" ca="1" si="0"/>
        <v/>
      </c>
      <c r="H18" s="215" t="str">
        <f t="shared" ca="1" si="1"/>
        <v/>
      </c>
      <c r="I18" s="215" t="str">
        <f t="shared" ca="1" si="2"/>
        <v/>
      </c>
    </row>
    <row r="19" spans="1:9" ht="15" x14ac:dyDescent="0.25">
      <c r="A19" s="149"/>
      <c r="B19" s="149" t="str">
        <f>IFERROR(CHOOSE(MATCH(#REF!, Val_ResponseCat, 0), "IdentifiedNeeds", "IdentifiedUsefulStrengths", "IdentifiedStrengthsToBuild"), "")</f>
        <v/>
      </c>
      <c r="C19" s="140"/>
      <c r="D19" s="140"/>
      <c r="E19" s="140"/>
      <c r="F19" s="140"/>
      <c r="G19" s="215" t="str">
        <f t="shared" ca="1" si="0"/>
        <v/>
      </c>
      <c r="H19" s="215" t="str">
        <f t="shared" ca="1" si="1"/>
        <v/>
      </c>
      <c r="I19" s="215" t="str">
        <f t="shared" ca="1" si="2"/>
        <v/>
      </c>
    </row>
    <row r="20" spans="1:9" ht="15" x14ac:dyDescent="0.25">
      <c r="A20" s="149"/>
      <c r="B20" s="149" t="str">
        <f>IFERROR(CHOOSE(MATCH(#REF!, Val_ResponseCat, 0), "IdentifiedNeeds", "IdentifiedUsefulStrengths", "IdentifiedStrengthsToBuild"), "")</f>
        <v/>
      </c>
      <c r="C20" s="140"/>
      <c r="D20" s="140"/>
      <c r="E20" s="140"/>
      <c r="F20" s="140"/>
      <c r="G20" s="215" t="str">
        <f t="shared" ca="1" si="0"/>
        <v/>
      </c>
      <c r="H20" s="215" t="str">
        <f t="shared" ca="1" si="1"/>
        <v/>
      </c>
      <c r="I20" s="215" t="str">
        <f t="shared" ca="1" si="2"/>
        <v/>
      </c>
    </row>
    <row r="21" spans="1:9" ht="15" x14ac:dyDescent="0.25">
      <c r="A21" s="149"/>
      <c r="B21" s="149" t="str">
        <f>IFERROR(CHOOSE(MATCH(#REF!, Val_ResponseCat, 0), "IdentifiedNeeds", "IdentifiedUsefulStrengths", "IdentifiedStrengthsToBuild"), "")</f>
        <v/>
      </c>
      <c r="C21" s="140"/>
      <c r="D21" s="140"/>
      <c r="E21" s="140"/>
      <c r="F21" s="140"/>
      <c r="G21" s="215" t="str">
        <f t="shared" ca="1" si="0"/>
        <v/>
      </c>
      <c r="H21" s="215" t="str">
        <f t="shared" ca="1" si="1"/>
        <v/>
      </c>
      <c r="I21" s="215" t="str">
        <f t="shared" ca="1" si="2"/>
        <v/>
      </c>
    </row>
    <row r="22" spans="1:9" ht="15" x14ac:dyDescent="0.25">
      <c r="A22" s="149"/>
      <c r="B22" s="149" t="str">
        <f>IFERROR(CHOOSE(MATCH(#REF!, Val_ResponseCat, 0), "IdentifiedNeeds", "IdentifiedUsefulStrengths", "IdentifiedStrengthsToBuild"), "")</f>
        <v/>
      </c>
      <c r="C22" s="140"/>
      <c r="D22" s="140"/>
      <c r="E22" s="140"/>
      <c r="F22" s="140"/>
      <c r="G22" s="215" t="str">
        <f t="shared" ca="1" si="0"/>
        <v/>
      </c>
      <c r="H22" s="215" t="str">
        <f t="shared" ca="1" si="1"/>
        <v/>
      </c>
      <c r="I22" s="215" t="str">
        <f t="shared" ca="1" si="2"/>
        <v/>
      </c>
    </row>
    <row r="23" spans="1:9" ht="15" x14ac:dyDescent="0.25">
      <c r="A23" s="149"/>
      <c r="B23" s="149" t="str">
        <f>IFERROR(CHOOSE(MATCH(#REF!, Val_ResponseCat, 0), "IdentifiedNeeds", "IdentifiedUsefulStrengths", "IdentifiedStrengthsToBuild"), "")</f>
        <v/>
      </c>
      <c r="C23" s="140"/>
      <c r="D23" s="140"/>
      <c r="E23" s="140"/>
      <c r="F23" s="140"/>
      <c r="G23" s="215" t="str">
        <f t="shared" ca="1" si="0"/>
        <v/>
      </c>
      <c r="H23" s="215" t="str">
        <f t="shared" ca="1" si="1"/>
        <v/>
      </c>
      <c r="I23" s="215" t="str">
        <f t="shared" ca="1" si="2"/>
        <v/>
      </c>
    </row>
    <row r="24" spans="1:9" ht="15" x14ac:dyDescent="0.25">
      <c r="A24" s="149"/>
      <c r="B24" s="149" t="str">
        <f>IFERROR(CHOOSE(MATCH(#REF!, Val_ResponseCat, 0), "IdentifiedNeeds", "IdentifiedUsefulStrengths", "IdentifiedStrengthsToBuild"), "")</f>
        <v/>
      </c>
      <c r="C24" s="140"/>
      <c r="D24" s="140"/>
      <c r="E24" s="140"/>
      <c r="F24" s="140"/>
      <c r="G24" s="215" t="str">
        <f t="shared" ca="1" si="0"/>
        <v/>
      </c>
      <c r="H24" s="215" t="str">
        <f t="shared" ca="1" si="1"/>
        <v/>
      </c>
      <c r="I24" s="215" t="str">
        <f t="shared" ca="1" si="2"/>
        <v/>
      </c>
    </row>
    <row r="25" spans="1:9" ht="15" x14ac:dyDescent="0.25">
      <c r="A25" s="149"/>
      <c r="B25" s="149" t="str">
        <f>IFERROR(CHOOSE(MATCH(#REF!, Val_ResponseCat, 0), "IdentifiedNeeds", "IdentifiedUsefulStrengths", "IdentifiedStrengthsToBuild"), "")</f>
        <v/>
      </c>
      <c r="C25" s="140"/>
      <c r="D25" s="140"/>
      <c r="E25" s="140"/>
      <c r="F25" s="140"/>
      <c r="G25" s="215" t="str">
        <f t="shared" ca="1" si="0"/>
        <v/>
      </c>
      <c r="H25" s="215" t="str">
        <f t="shared" ca="1" si="1"/>
        <v/>
      </c>
      <c r="I25" s="215" t="str">
        <f t="shared" ca="1" si="2"/>
        <v/>
      </c>
    </row>
    <row r="26" spans="1:9" ht="15" x14ac:dyDescent="0.25">
      <c r="A26" s="149"/>
      <c r="B26" s="149" t="str">
        <f>IFERROR(CHOOSE(MATCH(#REF!, Val_ResponseCat, 0), "IdentifiedNeeds", "IdentifiedUsefulStrengths", "IdentifiedStrengthsToBuild"), "")</f>
        <v/>
      </c>
      <c r="C26" s="140"/>
      <c r="D26" s="140"/>
      <c r="E26" s="140"/>
      <c r="F26" s="140"/>
      <c r="G26" s="215" t="str">
        <f t="shared" ca="1" si="0"/>
        <v/>
      </c>
      <c r="H26" s="215" t="str">
        <f t="shared" ca="1" si="1"/>
        <v/>
      </c>
      <c r="I26" s="215" t="str">
        <f t="shared" ca="1" si="2"/>
        <v/>
      </c>
    </row>
    <row r="27" spans="1:9" ht="15" x14ac:dyDescent="0.25">
      <c r="A27" s="149"/>
      <c r="B27" s="149" t="str">
        <f>IFERROR(CHOOSE(MATCH(#REF!, Val_ResponseCat, 0), "IdentifiedNeeds", "IdentifiedUsefulStrengths", "IdentifiedStrengthsToBuild"), "")</f>
        <v/>
      </c>
      <c r="C27" s="140"/>
      <c r="D27" s="140"/>
      <c r="E27" s="140"/>
      <c r="F27" s="140"/>
      <c r="G27" s="215" t="str">
        <f t="shared" ca="1" si="0"/>
        <v/>
      </c>
      <c r="H27" s="215" t="str">
        <f t="shared" ca="1" si="1"/>
        <v/>
      </c>
      <c r="I27" s="215" t="str">
        <f t="shared" ca="1" si="2"/>
        <v/>
      </c>
    </row>
    <row r="28" spans="1:9" ht="15" x14ac:dyDescent="0.25">
      <c r="A28" s="149"/>
      <c r="B28" s="149" t="str">
        <f>IFERROR(CHOOSE(MATCH(#REF!, Val_ResponseCat, 0), "IdentifiedNeeds", "IdentifiedUsefulStrengths", "IdentifiedStrengthsToBuild"), "")</f>
        <v/>
      </c>
      <c r="C28" s="140"/>
      <c r="D28" s="140"/>
      <c r="E28" s="140"/>
      <c r="F28" s="140"/>
      <c r="G28" s="215" t="str">
        <f t="shared" ca="1" si="0"/>
        <v/>
      </c>
      <c r="H28" s="215" t="str">
        <f t="shared" ca="1" si="1"/>
        <v/>
      </c>
      <c r="I28" s="215" t="str">
        <f t="shared" ca="1" si="2"/>
        <v/>
      </c>
    </row>
    <row r="29" spans="1:9" ht="15" x14ac:dyDescent="0.25">
      <c r="A29" s="149"/>
      <c r="B29" s="149" t="str">
        <f>IFERROR(CHOOSE(MATCH(#REF!, Val_ResponseCat, 0), "IdentifiedNeeds", "IdentifiedUsefulStrengths", "IdentifiedStrengthsToBuild"), "")</f>
        <v/>
      </c>
      <c r="C29" s="140"/>
      <c r="D29" s="140"/>
      <c r="E29" s="140"/>
      <c r="F29" s="140"/>
      <c r="G29" s="215" t="str">
        <f t="shared" ca="1" si="0"/>
        <v/>
      </c>
      <c r="H29" s="215" t="str">
        <f t="shared" ca="1" si="1"/>
        <v/>
      </c>
      <c r="I29" s="215" t="str">
        <f t="shared" ca="1" si="2"/>
        <v/>
      </c>
    </row>
    <row r="30" spans="1:9" ht="15" x14ac:dyDescent="0.25">
      <c r="A30" s="149"/>
      <c r="B30" s="149" t="str">
        <f>IFERROR(CHOOSE(MATCH(#REF!, Val_ResponseCat, 0), "IdentifiedNeeds", "IdentifiedUsefulStrengths", "IdentifiedStrengthsToBuild"), "")</f>
        <v/>
      </c>
      <c r="C30" s="140"/>
      <c r="D30" s="140"/>
      <c r="E30" s="140"/>
      <c r="F30" s="140"/>
      <c r="G30" s="215" t="str">
        <f t="shared" ca="1" si="0"/>
        <v/>
      </c>
      <c r="H30" s="215" t="str">
        <f t="shared" ca="1" si="1"/>
        <v/>
      </c>
      <c r="I30" s="215" t="str">
        <f t="shared" ca="1" si="2"/>
        <v/>
      </c>
    </row>
    <row r="31" spans="1:9" ht="15" x14ac:dyDescent="0.25">
      <c r="A31" s="149"/>
      <c r="B31" s="149" t="str">
        <f>IFERROR(CHOOSE(MATCH(#REF!, Val_ResponseCat, 0), "IdentifiedNeeds", "IdentifiedUsefulStrengths", "IdentifiedStrengthsToBuild"), "")</f>
        <v/>
      </c>
      <c r="C31" s="140"/>
      <c r="D31" s="140"/>
      <c r="E31" s="140"/>
      <c r="F31" s="140"/>
      <c r="G31" s="215" t="str">
        <f t="shared" ca="1" si="0"/>
        <v/>
      </c>
      <c r="H31" s="215" t="str">
        <f t="shared" ca="1" si="1"/>
        <v/>
      </c>
      <c r="I31" s="215" t="str">
        <f t="shared" ca="1" si="2"/>
        <v/>
      </c>
    </row>
    <row r="32" spans="1:9" ht="15" x14ac:dyDescent="0.25">
      <c r="A32" s="149"/>
      <c r="B32" s="149" t="str">
        <f>IFERROR(CHOOSE(MATCH(#REF!, Val_ResponseCat, 0), "IdentifiedNeeds", "IdentifiedUsefulStrengths", "IdentifiedStrengthsToBuild"), "")</f>
        <v/>
      </c>
      <c r="C32" s="140"/>
      <c r="D32" s="140"/>
      <c r="E32" s="140"/>
      <c r="F32" s="140"/>
      <c r="G32" s="215" t="str">
        <f t="shared" ca="1" si="0"/>
        <v/>
      </c>
      <c r="H32" s="215" t="str">
        <f t="shared" ca="1" si="1"/>
        <v/>
      </c>
      <c r="I32" s="215" t="str">
        <f t="shared" ca="1" si="2"/>
        <v/>
      </c>
    </row>
    <row r="33" spans="1:9" ht="15" x14ac:dyDescent="0.25">
      <c r="A33" s="149"/>
      <c r="B33" s="149" t="str">
        <f>IFERROR(CHOOSE(MATCH(#REF!, Val_ResponseCat, 0), "IdentifiedNeeds", "IdentifiedUsefulStrengths", "IdentifiedStrengthsToBuild"), "")</f>
        <v/>
      </c>
      <c r="C33" s="140"/>
      <c r="D33" s="140"/>
      <c r="E33" s="140"/>
      <c r="F33" s="140"/>
      <c r="G33" s="215" t="str">
        <f t="shared" ca="1" si="0"/>
        <v/>
      </c>
      <c r="H33" s="215" t="str">
        <f t="shared" ca="1" si="1"/>
        <v/>
      </c>
      <c r="I33" s="215" t="str">
        <f t="shared" ca="1" si="2"/>
        <v/>
      </c>
    </row>
    <row r="34" spans="1:9" ht="15" x14ac:dyDescent="0.25">
      <c r="A34" s="149"/>
      <c r="B34" s="149" t="str">
        <f>IFERROR(CHOOSE(MATCH(#REF!, Val_ResponseCat, 0), "IdentifiedNeeds", "IdentifiedUsefulStrengths", "IdentifiedStrengthsToBuild"), "")</f>
        <v/>
      </c>
      <c r="C34" s="140"/>
      <c r="D34" s="140"/>
      <c r="E34" s="140"/>
      <c r="F34" s="140"/>
      <c r="G34" s="215" t="str">
        <f t="shared" ca="1" si="0"/>
        <v/>
      </c>
      <c r="H34" s="215" t="str">
        <f t="shared" ca="1" si="1"/>
        <v/>
      </c>
      <c r="I34" s="215" t="str">
        <f t="shared" ca="1" si="2"/>
        <v/>
      </c>
    </row>
    <row r="35" spans="1:9" ht="15" x14ac:dyDescent="0.25">
      <c r="A35" s="149"/>
      <c r="B35" s="149" t="str">
        <f>IFERROR(CHOOSE(MATCH(#REF!, Val_ResponseCat, 0), "IdentifiedNeeds", "IdentifiedUsefulStrengths", "IdentifiedStrengthsToBuild"), "")</f>
        <v/>
      </c>
      <c r="C35" s="140"/>
      <c r="D35" s="140"/>
      <c r="E35" s="140"/>
      <c r="F35" s="140"/>
      <c r="G35" s="215" t="str">
        <f t="shared" ca="1" si="0"/>
        <v/>
      </c>
      <c r="H35" s="215" t="str">
        <f t="shared" ca="1" si="1"/>
        <v/>
      </c>
      <c r="I35" s="215" t="str">
        <f t="shared" ca="1" si="2"/>
        <v/>
      </c>
    </row>
    <row r="36" spans="1:9" ht="15" x14ac:dyDescent="0.25">
      <c r="A36" s="149"/>
      <c r="B36" s="149" t="str">
        <f>IFERROR(CHOOSE(MATCH(#REF!, Val_ResponseCat, 0), "IdentifiedNeeds", "IdentifiedUsefulStrengths", "IdentifiedStrengthsToBuild"), "")</f>
        <v/>
      </c>
      <c r="C36" s="140"/>
      <c r="D36" s="140"/>
      <c r="E36" s="140"/>
      <c r="F36" s="140"/>
      <c r="G36" s="215" t="str">
        <f t="shared" ca="1" si="0"/>
        <v/>
      </c>
      <c r="H36" s="215" t="str">
        <f t="shared" ref="H36:H53" ca="1" si="3">IFERROR(INDEX(US_Q, MATCH(ROW()-ROW(H$3), US_Q_Ix, 0)), "")</f>
        <v/>
      </c>
      <c r="I36" s="215" t="str">
        <f t="shared" ref="I36:I53" ca="1" si="4">IFERROR(INDEX(SB_Q, MATCH(ROW()-ROW(I$3), SB_Q_Ix, 0)), "")</f>
        <v/>
      </c>
    </row>
    <row r="37" spans="1:9" ht="15" x14ac:dyDescent="0.25">
      <c r="A37" s="149"/>
      <c r="B37" s="149" t="str">
        <f>IFERROR(CHOOSE(MATCH(#REF!, Val_ResponseCat, 0), "IdentifiedNeeds", "IdentifiedUsefulStrengths", "IdentifiedStrengthsToBuild"), "")</f>
        <v/>
      </c>
      <c r="C37" s="140"/>
      <c r="D37" s="140"/>
      <c r="E37" s="140"/>
      <c r="F37" s="140"/>
      <c r="G37" s="215" t="str">
        <f t="shared" ca="1" si="0"/>
        <v/>
      </c>
      <c r="H37" s="215" t="str">
        <f t="shared" ca="1" si="3"/>
        <v/>
      </c>
      <c r="I37" s="215" t="str">
        <f t="shared" ca="1" si="4"/>
        <v/>
      </c>
    </row>
    <row r="38" spans="1:9" ht="15" x14ac:dyDescent="0.25">
      <c r="A38" s="149"/>
      <c r="B38" s="149" t="str">
        <f>IFERROR(CHOOSE(MATCH(#REF!, Val_ResponseCat, 0), "IdentifiedNeeds", "IdentifiedUsefulStrengths", "IdentifiedStrengthsToBuild"), "")</f>
        <v/>
      </c>
      <c r="C38" s="140"/>
      <c r="D38" s="140"/>
      <c r="E38" s="140"/>
      <c r="F38" s="140"/>
      <c r="G38" s="215" t="str">
        <f t="shared" ca="1" si="0"/>
        <v/>
      </c>
      <c r="H38" s="215" t="str">
        <f t="shared" ca="1" si="3"/>
        <v/>
      </c>
      <c r="I38" s="215" t="str">
        <f t="shared" ca="1" si="4"/>
        <v/>
      </c>
    </row>
    <row r="39" spans="1:9" ht="15" x14ac:dyDescent="0.25">
      <c r="A39" s="149"/>
      <c r="B39" s="149" t="str">
        <f>IFERROR(CHOOSE(MATCH(#REF!, Val_ResponseCat, 0), "IdentifiedNeeds", "IdentifiedUsefulStrengths", "IdentifiedStrengthsToBuild"), "")</f>
        <v/>
      </c>
      <c r="C39" s="140"/>
      <c r="D39" s="140"/>
      <c r="E39" s="140"/>
      <c r="F39" s="140"/>
      <c r="G39" s="215" t="str">
        <f t="shared" ca="1" si="0"/>
        <v/>
      </c>
      <c r="H39" s="215" t="str">
        <f t="shared" ca="1" si="3"/>
        <v/>
      </c>
      <c r="I39" s="215" t="str">
        <f t="shared" ca="1" si="4"/>
        <v/>
      </c>
    </row>
    <row r="40" spans="1:9" ht="15" x14ac:dyDescent="0.25">
      <c r="A40" s="149"/>
      <c r="B40" s="149" t="str">
        <f>IFERROR(CHOOSE(MATCH(#REF!, Val_ResponseCat, 0), "IdentifiedNeeds", "IdentifiedUsefulStrengths", "IdentifiedStrengthsToBuild"), "")</f>
        <v/>
      </c>
      <c r="C40" s="140"/>
      <c r="D40" s="140"/>
      <c r="E40" s="140"/>
      <c r="F40" s="140"/>
      <c r="G40" s="215" t="str">
        <f t="shared" ca="1" si="0"/>
        <v/>
      </c>
      <c r="H40" s="215" t="str">
        <f t="shared" ca="1" si="3"/>
        <v/>
      </c>
      <c r="I40" s="215" t="str">
        <f t="shared" ca="1" si="4"/>
        <v/>
      </c>
    </row>
    <row r="41" spans="1:9" ht="15" x14ac:dyDescent="0.25">
      <c r="A41" s="149"/>
      <c r="B41" s="149" t="str">
        <f>IFERROR(CHOOSE(MATCH(#REF!, Val_ResponseCat, 0), "IdentifiedNeeds", "IdentifiedUsefulStrengths", "IdentifiedStrengthsToBuild"), "")</f>
        <v/>
      </c>
      <c r="C41" s="140"/>
      <c r="D41" s="140"/>
      <c r="E41" s="140"/>
      <c r="F41" s="140"/>
      <c r="G41" s="215" t="str">
        <f t="shared" ca="1" si="0"/>
        <v/>
      </c>
      <c r="H41" s="215" t="str">
        <f t="shared" ca="1" si="3"/>
        <v/>
      </c>
      <c r="I41" s="215" t="str">
        <f t="shared" ca="1" si="4"/>
        <v/>
      </c>
    </row>
    <row r="42" spans="1:9" ht="15" x14ac:dyDescent="0.25">
      <c r="A42" s="149"/>
      <c r="B42" s="149" t="str">
        <f>IFERROR(CHOOSE(MATCH(#REF!, Val_ResponseCat, 0), "IdentifiedNeeds", "IdentifiedUsefulStrengths", "IdentifiedStrengthsToBuild"), "")</f>
        <v/>
      </c>
      <c r="C42" s="140"/>
      <c r="D42" s="140"/>
      <c r="E42" s="140"/>
      <c r="F42" s="140"/>
      <c r="G42" s="215" t="str">
        <f t="shared" ca="1" si="0"/>
        <v/>
      </c>
      <c r="H42" s="215" t="str">
        <f t="shared" ca="1" si="3"/>
        <v/>
      </c>
      <c r="I42" s="215" t="str">
        <f t="shared" ca="1" si="4"/>
        <v/>
      </c>
    </row>
    <row r="43" spans="1:9" ht="15" x14ac:dyDescent="0.25">
      <c r="A43" s="149"/>
      <c r="B43" s="149" t="str">
        <f>IFERROR(CHOOSE(MATCH(#REF!, Val_ResponseCat, 0), "IdentifiedNeeds", "IdentifiedUsefulStrengths", "IdentifiedStrengthsToBuild"), "")</f>
        <v/>
      </c>
      <c r="C43" s="140"/>
      <c r="D43" s="140"/>
      <c r="E43" s="140"/>
      <c r="F43" s="140"/>
      <c r="G43" s="215" t="str">
        <f t="shared" ca="1" si="0"/>
        <v/>
      </c>
      <c r="H43" s="215" t="str">
        <f t="shared" ca="1" si="3"/>
        <v/>
      </c>
      <c r="I43" s="215" t="str">
        <f t="shared" ca="1" si="4"/>
        <v/>
      </c>
    </row>
    <row r="44" spans="1:9" ht="15" x14ac:dyDescent="0.25">
      <c r="A44" s="149"/>
      <c r="B44" s="149" t="str">
        <f>IFERROR(CHOOSE(MATCH(#REF!, Val_ResponseCat, 0), "IdentifiedNeeds", "IdentifiedUsefulStrengths", "IdentifiedStrengthsToBuild"), "")</f>
        <v/>
      </c>
      <c r="C44" s="140"/>
      <c r="D44" s="140"/>
      <c r="E44" s="140"/>
      <c r="F44" s="140"/>
      <c r="G44" s="215" t="str">
        <f t="shared" ca="1" si="0"/>
        <v/>
      </c>
      <c r="H44" s="215" t="str">
        <f t="shared" ca="1" si="3"/>
        <v/>
      </c>
      <c r="I44" s="215" t="str">
        <f t="shared" ca="1" si="4"/>
        <v/>
      </c>
    </row>
    <row r="45" spans="1:9" ht="15" x14ac:dyDescent="0.25">
      <c r="A45" s="149"/>
      <c r="B45" s="149" t="str">
        <f>IFERROR(CHOOSE(MATCH(#REF!, Val_ResponseCat, 0), "IdentifiedNeeds", "IdentifiedUsefulStrengths", "IdentifiedStrengthsToBuild"), "")</f>
        <v/>
      </c>
      <c r="C45" s="140"/>
      <c r="D45" s="140"/>
      <c r="E45" s="140"/>
      <c r="F45" s="140"/>
      <c r="G45" s="215" t="str">
        <f t="shared" ca="1" si="0"/>
        <v/>
      </c>
      <c r="H45" s="215" t="str">
        <f t="shared" ca="1" si="3"/>
        <v/>
      </c>
      <c r="I45" s="215" t="str">
        <f t="shared" ca="1" si="4"/>
        <v/>
      </c>
    </row>
    <row r="46" spans="1:9" ht="15" x14ac:dyDescent="0.25">
      <c r="A46" s="149"/>
      <c r="B46" s="149" t="str">
        <f>IFERROR(CHOOSE(MATCH(#REF!, Val_ResponseCat, 0), "IdentifiedNeeds", "IdentifiedUsefulStrengths", "IdentifiedStrengthsToBuild"), "")</f>
        <v/>
      </c>
      <c r="C46" s="140"/>
      <c r="D46" s="140"/>
      <c r="E46" s="140"/>
      <c r="F46" s="140"/>
      <c r="G46" s="215" t="str">
        <f t="shared" ca="1" si="0"/>
        <v/>
      </c>
      <c r="H46" s="215" t="str">
        <f t="shared" ca="1" si="3"/>
        <v/>
      </c>
      <c r="I46" s="215" t="str">
        <f t="shared" ca="1" si="4"/>
        <v/>
      </c>
    </row>
    <row r="47" spans="1:9" ht="15" x14ac:dyDescent="0.25">
      <c r="A47" s="149"/>
      <c r="B47" s="149" t="str">
        <f>IFERROR(CHOOSE(MATCH(#REF!, Val_ResponseCat, 0), "IdentifiedNeeds", "IdentifiedUsefulStrengths", "IdentifiedStrengthsToBuild"), "")</f>
        <v/>
      </c>
      <c r="C47" s="140"/>
      <c r="D47" s="140"/>
      <c r="E47" s="140"/>
      <c r="F47" s="140"/>
      <c r="G47" s="215" t="str">
        <f t="shared" ca="1" si="0"/>
        <v/>
      </c>
      <c r="H47" s="215" t="str">
        <f t="shared" ca="1" si="3"/>
        <v/>
      </c>
      <c r="I47" s="215" t="str">
        <f t="shared" ca="1" si="4"/>
        <v/>
      </c>
    </row>
    <row r="48" spans="1:9" ht="15" x14ac:dyDescent="0.25">
      <c r="A48" s="149"/>
      <c r="B48" s="149" t="str">
        <f>IFERROR(CHOOSE(MATCH(#REF!, Val_ResponseCat, 0), "IdentifiedNeeds", "IdentifiedUsefulStrengths", "IdentifiedStrengthsToBuild"), "")</f>
        <v/>
      </c>
      <c r="C48" s="140"/>
      <c r="D48" s="140"/>
      <c r="E48" s="140"/>
      <c r="F48" s="140"/>
      <c r="G48" s="215" t="str">
        <f t="shared" ca="1" si="0"/>
        <v/>
      </c>
      <c r="H48" s="215" t="str">
        <f t="shared" ca="1" si="3"/>
        <v/>
      </c>
      <c r="I48" s="215" t="str">
        <f t="shared" ca="1" si="4"/>
        <v/>
      </c>
    </row>
    <row r="49" spans="1:9" ht="15" x14ac:dyDescent="0.25">
      <c r="A49" s="149"/>
      <c r="B49" s="149" t="str">
        <f>IFERROR(CHOOSE(MATCH(#REF!, Val_ResponseCat, 0), "IdentifiedNeeds", "IdentifiedUsefulStrengths", "IdentifiedStrengthsToBuild"), "")</f>
        <v/>
      </c>
      <c r="C49" s="140"/>
      <c r="D49" s="140"/>
      <c r="E49" s="140"/>
      <c r="F49" s="140"/>
      <c r="G49" s="215" t="str">
        <f t="shared" ca="1" si="0"/>
        <v/>
      </c>
      <c r="H49" s="215" t="str">
        <f t="shared" ca="1" si="3"/>
        <v/>
      </c>
      <c r="I49" s="215" t="str">
        <f t="shared" ca="1" si="4"/>
        <v/>
      </c>
    </row>
    <row r="50" spans="1:9" ht="15" x14ac:dyDescent="0.25">
      <c r="A50" s="149"/>
      <c r="B50" s="149" t="str">
        <f>IFERROR(CHOOSE(MATCH(#REF!, Val_ResponseCat, 0), "IdentifiedNeeds", "IdentifiedUsefulStrengths", "IdentifiedStrengthsToBuild"), "")</f>
        <v/>
      </c>
      <c r="C50" s="140"/>
      <c r="D50" s="140"/>
      <c r="E50" s="140"/>
      <c r="F50" s="140"/>
      <c r="G50" s="215" t="str">
        <f t="shared" ca="1" si="0"/>
        <v/>
      </c>
      <c r="H50" s="215" t="str">
        <f t="shared" ca="1" si="3"/>
        <v/>
      </c>
      <c r="I50" s="215" t="str">
        <f t="shared" ca="1" si="4"/>
        <v/>
      </c>
    </row>
    <row r="51" spans="1:9" ht="15" x14ac:dyDescent="0.25">
      <c r="A51" s="149"/>
      <c r="B51" s="149" t="str">
        <f>IFERROR(CHOOSE(MATCH(#REF!, Val_ResponseCat, 0), "IdentifiedNeeds", "IdentifiedUsefulStrengths", "IdentifiedStrengthsToBuild"), "")</f>
        <v/>
      </c>
      <c r="C51" s="140"/>
      <c r="D51" s="140"/>
      <c r="E51" s="140"/>
      <c r="F51" s="140"/>
      <c r="G51" s="215" t="str">
        <f t="shared" ca="1" si="0"/>
        <v/>
      </c>
      <c r="H51" s="215" t="str">
        <f t="shared" ca="1" si="3"/>
        <v/>
      </c>
      <c r="I51" s="215" t="str">
        <f t="shared" ca="1" si="4"/>
        <v/>
      </c>
    </row>
    <row r="52" spans="1:9" ht="15" x14ac:dyDescent="0.25">
      <c r="A52" s="149"/>
      <c r="B52" s="149" t="str">
        <f>IFERROR(CHOOSE(MATCH(#REF!, Val_ResponseCat, 0), "IdentifiedNeeds", "IdentifiedUsefulStrengths", "IdentifiedStrengthsToBuild"), "")</f>
        <v/>
      </c>
      <c r="C52" s="140"/>
      <c r="D52" s="140"/>
      <c r="E52" s="140"/>
      <c r="F52" s="140"/>
      <c r="G52" s="215" t="str">
        <f t="shared" ca="1" si="0"/>
        <v/>
      </c>
      <c r="H52" s="215" t="str">
        <f t="shared" ca="1" si="3"/>
        <v/>
      </c>
      <c r="I52" s="215" t="str">
        <f t="shared" ca="1" si="4"/>
        <v/>
      </c>
    </row>
    <row r="53" spans="1:9" ht="15" x14ac:dyDescent="0.25">
      <c r="A53" s="149"/>
      <c r="B53" s="149" t="str">
        <f>IFERROR(CHOOSE(MATCH(#REF!, Val_ResponseCat, 0), "IdentifiedNeeds", "IdentifiedUsefulStrengths", "IdentifiedStrengthsToBuild"), "")</f>
        <v/>
      </c>
      <c r="C53" s="140"/>
      <c r="D53" s="140"/>
      <c r="E53" s="140"/>
      <c r="F53" s="140"/>
      <c r="G53" s="215" t="str">
        <f t="shared" ca="1" si="0"/>
        <v/>
      </c>
      <c r="H53" s="215" t="str">
        <f t="shared" ca="1" si="3"/>
        <v/>
      </c>
      <c r="I53" s="215" t="str">
        <f t="shared" ca="1" si="4"/>
        <v/>
      </c>
    </row>
    <row r="54" spans="1:9" ht="15" x14ac:dyDescent="0.25">
      <c r="A54" s="149"/>
      <c r="B54" s="149" t="str">
        <f>IFERROR(CHOOSE(MATCH(#REF!, Val_ResponseCat, 0), "IdentifiedNeeds", "IdentifiedUsefulStrengths", "IdentifiedStrengthsToBuild"), "")</f>
        <v/>
      </c>
      <c r="C54" s="140"/>
      <c r="D54" s="140"/>
      <c r="E54" s="140"/>
      <c r="F54" s="140"/>
      <c r="G54" s="143"/>
      <c r="H54" s="143"/>
      <c r="I54" s="143"/>
    </row>
    <row r="55" spans="1:9" ht="15" x14ac:dyDescent="0.25">
      <c r="A55" s="149"/>
      <c r="B55" s="149" t="str">
        <f>IFERROR(CHOOSE(MATCH(#REF!, Val_ResponseCat, 0), "IdentifiedNeeds", "IdentifiedUsefulStrengths", "IdentifiedStrengthsToBuild"), "")</f>
        <v/>
      </c>
      <c r="C55" s="140"/>
      <c r="D55" s="140"/>
      <c r="E55" s="140"/>
      <c r="F55" s="140"/>
      <c r="G55" s="143"/>
      <c r="H55" s="143"/>
      <c r="I55" s="143"/>
    </row>
    <row r="56" spans="1:9" ht="15" x14ac:dyDescent="0.25">
      <c r="A56" s="149"/>
      <c r="B56" s="149" t="str">
        <f>IFERROR(CHOOSE(MATCH(#REF!, Val_ResponseCat, 0), "IdentifiedNeeds", "IdentifiedUsefulStrengths", "IdentifiedStrengthsToBuild"), "")</f>
        <v/>
      </c>
      <c r="C56" s="140"/>
      <c r="D56" s="140"/>
      <c r="E56" s="140"/>
      <c r="F56" s="140"/>
      <c r="G56" s="143"/>
      <c r="H56" s="143"/>
      <c r="I56" s="143"/>
    </row>
    <row r="57" spans="1:9" ht="15" x14ac:dyDescent="0.25">
      <c r="A57" s="149"/>
      <c r="B57" s="149" t="str">
        <f>IFERROR(CHOOSE(MATCH(#REF!, Val_ResponseCat, 0), "IdentifiedNeeds", "IdentifiedUsefulStrengths", "IdentifiedStrengthsToBuild"), "")</f>
        <v/>
      </c>
      <c r="C57" s="140"/>
      <c r="D57" s="140"/>
      <c r="E57" s="140"/>
      <c r="F57" s="140"/>
      <c r="G57" s="143"/>
      <c r="H57" s="143"/>
      <c r="I57" s="143"/>
    </row>
    <row r="58" spans="1:9" ht="15" x14ac:dyDescent="0.25">
      <c r="A58" s="149"/>
      <c r="B58" s="149" t="str">
        <f>IFERROR(CHOOSE(MATCH(#REF!, Val_ResponseCat, 0), "IdentifiedNeeds", "IdentifiedUsefulStrengths", "IdentifiedStrengthsToBuild"), "")</f>
        <v/>
      </c>
      <c r="C58" s="140"/>
      <c r="D58" s="140"/>
      <c r="E58" s="140"/>
      <c r="F58" s="140"/>
      <c r="G58" s="143"/>
      <c r="H58" s="143"/>
      <c r="I58" s="143"/>
    </row>
    <row r="59" spans="1:9" ht="15" x14ac:dyDescent="0.25">
      <c r="A59" s="149"/>
      <c r="B59" s="149" t="str">
        <f>IFERROR(CHOOSE(MATCH(#REF!, Val_ResponseCat, 0), "IdentifiedNeeds", "IdentifiedUsefulStrengths", "IdentifiedStrengthsToBuild"), "")</f>
        <v/>
      </c>
      <c r="C59" s="140"/>
      <c r="D59" s="140"/>
      <c r="E59" s="140"/>
      <c r="F59" s="140"/>
      <c r="G59" s="143"/>
      <c r="H59" s="143"/>
      <c r="I59" s="143"/>
    </row>
    <row r="60" spans="1:9" ht="15" x14ac:dyDescent="0.25">
      <c r="A60" s="149"/>
      <c r="B60" s="149" t="str">
        <f>IFERROR(CHOOSE(MATCH(#REF!, Val_ResponseCat, 0), "IdentifiedNeeds", "IdentifiedUsefulStrengths", "IdentifiedStrengthsToBuild"), "")</f>
        <v/>
      </c>
      <c r="C60" s="140"/>
      <c r="D60" s="140"/>
      <c r="E60" s="140"/>
      <c r="F60" s="140"/>
      <c r="G60" s="143"/>
      <c r="H60" s="143"/>
      <c r="I60" s="143"/>
    </row>
    <row r="61" spans="1:9" ht="15" x14ac:dyDescent="0.25">
      <c r="A61" s="149"/>
      <c r="B61" s="149" t="str">
        <f>IFERROR(CHOOSE(MATCH(#REF!, Val_ResponseCat, 0), "IdentifiedNeeds", "IdentifiedUsefulStrengths", "IdentifiedStrengthsToBuild"), "")</f>
        <v/>
      </c>
      <c r="C61" s="140"/>
      <c r="D61" s="140"/>
      <c r="E61" s="140"/>
      <c r="F61" s="140"/>
      <c r="G61" s="143"/>
      <c r="H61" s="143"/>
      <c r="I61" s="143"/>
    </row>
    <row r="62" spans="1:9" ht="15" x14ac:dyDescent="0.25">
      <c r="A62" s="149"/>
      <c r="B62" s="149" t="str">
        <f>IFERROR(CHOOSE(MATCH(#REF!, Val_ResponseCat, 0), "IdentifiedNeeds", "IdentifiedUsefulStrengths", "IdentifiedStrengthsToBuild"), "")</f>
        <v/>
      </c>
      <c r="C62" s="140"/>
      <c r="D62" s="140"/>
      <c r="E62" s="140"/>
      <c r="F62" s="140"/>
      <c r="G62" s="143"/>
      <c r="H62" s="143"/>
      <c r="I62" s="143"/>
    </row>
    <row r="63" spans="1:9" ht="15" x14ac:dyDescent="0.25">
      <c r="A63" s="149"/>
      <c r="B63" s="149" t="str">
        <f>IFERROR(CHOOSE(MATCH(#REF!, Val_ResponseCat, 0), "IdentifiedNeeds", "IdentifiedUsefulStrengths", "IdentifiedStrengthsToBuild"), "")</f>
        <v/>
      </c>
      <c r="C63" s="140"/>
      <c r="D63" s="140"/>
      <c r="E63" s="140"/>
      <c r="F63" s="140"/>
      <c r="G63" s="143"/>
      <c r="H63" s="143"/>
      <c r="I63" s="143"/>
    </row>
    <row r="64" spans="1:9" ht="15" x14ac:dyDescent="0.25">
      <c r="A64" s="149"/>
      <c r="B64" s="149" t="str">
        <f>IFERROR(CHOOSE(MATCH(#REF!, Val_ResponseCat, 0), "IdentifiedNeeds", "IdentifiedUsefulStrengths", "IdentifiedStrengthsToBuild"), "")</f>
        <v/>
      </c>
      <c r="C64" s="140"/>
      <c r="D64" s="140"/>
      <c r="E64" s="140"/>
      <c r="F64" s="140"/>
      <c r="G64" s="143"/>
      <c r="H64" s="143"/>
      <c r="I64" s="143"/>
    </row>
    <row r="65" spans="1:9" ht="15" x14ac:dyDescent="0.25">
      <c r="A65" s="149"/>
      <c r="B65" s="149" t="str">
        <f>IFERROR(CHOOSE(MATCH(#REF!, Val_ResponseCat, 0), "IdentifiedNeeds", "IdentifiedUsefulStrengths", "IdentifiedStrengthsToBuild"), "")</f>
        <v/>
      </c>
      <c r="C65" s="140"/>
      <c r="D65" s="140"/>
      <c r="E65" s="140"/>
      <c r="F65" s="140"/>
      <c r="G65" s="143"/>
      <c r="H65" s="143"/>
      <c r="I65" s="143"/>
    </row>
    <row r="66" spans="1:9" ht="15" x14ac:dyDescent="0.25">
      <c r="A66" s="149"/>
      <c r="B66" s="149" t="str">
        <f>IFERROR(CHOOSE(MATCH(#REF!, Val_ResponseCat, 0), "IdentifiedNeeds", "IdentifiedUsefulStrengths", "IdentifiedStrengthsToBuild"), "")</f>
        <v/>
      </c>
      <c r="C66" s="140"/>
      <c r="D66" s="140"/>
      <c r="E66" s="140"/>
      <c r="F66" s="140"/>
      <c r="G66" s="143"/>
      <c r="H66" s="143"/>
      <c r="I66" s="143"/>
    </row>
    <row r="67" spans="1:9" ht="15" x14ac:dyDescent="0.25">
      <c r="A67" s="149"/>
      <c r="B67" s="149" t="str">
        <f>IFERROR(CHOOSE(MATCH(#REF!, Val_ResponseCat, 0), "IdentifiedNeeds", "IdentifiedUsefulStrengths", "IdentifiedStrengthsToBuild"), "")</f>
        <v/>
      </c>
      <c r="C67" s="140"/>
      <c r="D67" s="140"/>
      <c r="E67" s="140"/>
      <c r="F67" s="140"/>
      <c r="G67" s="143"/>
      <c r="H67" s="143"/>
      <c r="I67" s="143"/>
    </row>
    <row r="68" spans="1:9" ht="15" x14ac:dyDescent="0.25">
      <c r="A68" s="149"/>
      <c r="B68" s="149" t="str">
        <f>IFERROR(CHOOSE(MATCH(#REF!, Val_ResponseCat, 0), "IdentifiedNeeds", "IdentifiedUsefulStrengths", "IdentifiedStrengthsToBuild"), "")</f>
        <v/>
      </c>
      <c r="C68" s="140"/>
      <c r="D68" s="140"/>
      <c r="E68" s="140"/>
      <c r="F68" s="140"/>
      <c r="G68" s="143"/>
      <c r="H68" s="143"/>
      <c r="I68" s="143"/>
    </row>
    <row r="69" spans="1:9" ht="15" x14ac:dyDescent="0.25">
      <c r="A69" s="149"/>
      <c r="B69" s="149" t="str">
        <f>IFERROR(CHOOSE(MATCH(#REF!, Val_ResponseCat, 0), "IdentifiedNeeds", "IdentifiedUsefulStrengths", "IdentifiedStrengthsToBuild"), "")</f>
        <v/>
      </c>
      <c r="C69" s="140"/>
      <c r="D69" s="140"/>
      <c r="E69" s="140"/>
      <c r="F69" s="140"/>
      <c r="G69" s="143"/>
      <c r="H69" s="143"/>
      <c r="I69" s="143"/>
    </row>
    <row r="70" spans="1:9" ht="15" x14ac:dyDescent="0.25">
      <c r="A70" s="149"/>
      <c r="B70" s="149" t="str">
        <f>IFERROR(CHOOSE(MATCH(#REF!, Val_ResponseCat, 0), "IdentifiedNeeds", "IdentifiedUsefulStrengths", "IdentifiedStrengthsToBuild"), "")</f>
        <v/>
      </c>
      <c r="C70" s="140"/>
      <c r="D70" s="140"/>
      <c r="E70" s="140"/>
      <c r="F70" s="140"/>
      <c r="G70" s="143"/>
      <c r="H70" s="143"/>
      <c r="I70" s="143"/>
    </row>
    <row r="71" spans="1:9" ht="15" x14ac:dyDescent="0.25">
      <c r="A71" s="149"/>
      <c r="B71" s="149" t="str">
        <f>IFERROR(CHOOSE(MATCH(#REF!, Val_ResponseCat, 0), "IdentifiedNeeds", "IdentifiedUsefulStrengths", "IdentifiedStrengthsToBuild"), "")</f>
        <v/>
      </c>
      <c r="C71" s="140"/>
      <c r="D71" s="140"/>
      <c r="E71" s="140"/>
      <c r="F71" s="140"/>
      <c r="G71" s="143"/>
      <c r="H71" s="143"/>
      <c r="I71" s="143"/>
    </row>
    <row r="72" spans="1:9" ht="15" x14ac:dyDescent="0.25">
      <c r="A72" s="149"/>
      <c r="B72" s="149" t="str">
        <f>IFERROR(CHOOSE(MATCH(#REF!, Val_ResponseCat, 0), "IdentifiedNeeds", "IdentifiedUsefulStrengths", "IdentifiedStrengthsToBuild"), "")</f>
        <v/>
      </c>
      <c r="C72" s="140"/>
      <c r="D72" s="140"/>
      <c r="E72" s="140"/>
      <c r="F72" s="140"/>
      <c r="G72" s="143"/>
      <c r="H72" s="143"/>
      <c r="I72" s="143"/>
    </row>
    <row r="73" spans="1:9" ht="15" x14ac:dyDescent="0.25">
      <c r="A73" s="149"/>
      <c r="B73" s="149" t="str">
        <f>IFERROR(CHOOSE(MATCH(#REF!, Val_ResponseCat, 0), "IdentifiedNeeds", "IdentifiedUsefulStrengths", "IdentifiedStrengthsToBuild"), "")</f>
        <v/>
      </c>
      <c r="C73" s="140"/>
      <c r="D73" s="140"/>
      <c r="E73" s="140"/>
      <c r="F73" s="140"/>
      <c r="G73" s="143"/>
      <c r="H73" s="143"/>
      <c r="I73" s="143"/>
    </row>
    <row r="74" spans="1:9" ht="15" x14ac:dyDescent="0.25">
      <c r="A74" s="149"/>
      <c r="B74" s="149" t="str">
        <f>IFERROR(CHOOSE(MATCH(#REF!, Val_ResponseCat, 0), "IdentifiedNeeds", "IdentifiedUsefulStrengths", "IdentifiedStrengthsToBuild"), "")</f>
        <v/>
      </c>
      <c r="C74" s="140"/>
      <c r="D74" s="140"/>
      <c r="E74" s="140"/>
      <c r="F74" s="140"/>
      <c r="G74" s="143"/>
      <c r="H74" s="143"/>
      <c r="I74" s="143"/>
    </row>
    <row r="75" spans="1:9" ht="15" x14ac:dyDescent="0.25">
      <c r="A75" s="149"/>
      <c r="B75" s="149" t="str">
        <f>IFERROR(CHOOSE(MATCH(#REF!, Val_ResponseCat, 0), "IdentifiedNeeds", "IdentifiedUsefulStrengths", "IdentifiedStrengthsToBuild"), "")</f>
        <v/>
      </c>
      <c r="C75" s="140"/>
      <c r="D75" s="140"/>
      <c r="E75" s="140"/>
      <c r="F75" s="140"/>
      <c r="G75" s="143"/>
      <c r="H75" s="143"/>
      <c r="I75" s="143"/>
    </row>
    <row r="76" spans="1:9" ht="15" x14ac:dyDescent="0.25">
      <c r="A76" s="149"/>
      <c r="B76" s="149"/>
      <c r="C76" s="140"/>
      <c r="D76" s="140"/>
      <c r="E76" s="140"/>
      <c r="F76" s="140"/>
      <c r="G76" s="143"/>
      <c r="H76" s="143"/>
      <c r="I76" s="143"/>
    </row>
    <row r="77" spans="1:9" ht="15" x14ac:dyDescent="0.25">
      <c r="A77" s="149"/>
      <c r="B77" s="149"/>
      <c r="C77" s="140"/>
      <c r="D77" s="140"/>
      <c r="E77" s="140"/>
      <c r="F77" s="140"/>
      <c r="G77" s="143"/>
      <c r="H77" s="143"/>
      <c r="I77" s="143"/>
    </row>
    <row r="78" spans="1:9" ht="15" x14ac:dyDescent="0.25">
      <c r="A78" s="149"/>
      <c r="B78" s="149"/>
      <c r="C78" s="140"/>
      <c r="D78" s="140"/>
      <c r="E78" s="140"/>
      <c r="F78" s="140"/>
      <c r="G78" s="143"/>
      <c r="H78" s="143"/>
      <c r="I78" s="143"/>
    </row>
    <row r="79" spans="1:9" ht="15" x14ac:dyDescent="0.25">
      <c r="A79" s="149"/>
      <c r="B79" s="149"/>
      <c r="C79" s="140"/>
      <c r="D79" s="140"/>
      <c r="E79" s="140"/>
      <c r="F79" s="140"/>
      <c r="G79" s="143"/>
      <c r="H79" s="143"/>
      <c r="I79" s="143"/>
    </row>
    <row r="80" spans="1:9" ht="15" hidden="1" x14ac:dyDescent="0.25">
      <c r="A80" s="149"/>
      <c r="B80" s="149"/>
      <c r="C80" s="140"/>
      <c r="D80" s="140"/>
      <c r="E80" s="140"/>
      <c r="F80" s="140"/>
      <c r="G80" s="143"/>
      <c r="H80" s="143"/>
      <c r="I80" s="143"/>
    </row>
    <row r="81" spans="1:9" ht="15" hidden="1" x14ac:dyDescent="0.25">
      <c r="A81" s="149"/>
      <c r="B81" s="149"/>
      <c r="C81" s="140"/>
      <c r="D81" s="140"/>
      <c r="E81" s="140"/>
      <c r="F81" s="140"/>
      <c r="G81" s="143"/>
      <c r="H81" s="143"/>
      <c r="I81" s="143"/>
    </row>
    <row r="82" spans="1:9" ht="15" hidden="1" x14ac:dyDescent="0.25">
      <c r="A82" s="149"/>
      <c r="B82" s="149"/>
      <c r="C82" s="140"/>
      <c r="D82" s="140"/>
      <c r="E82" s="140"/>
      <c r="F82" s="140"/>
      <c r="G82" s="143"/>
      <c r="H82" s="143"/>
      <c r="I82" s="143"/>
    </row>
    <row r="83" spans="1:9" ht="15" hidden="1" x14ac:dyDescent="0.25">
      <c r="A83" s="149"/>
      <c r="B83" s="149"/>
      <c r="C83" s="140"/>
      <c r="D83" s="140"/>
      <c r="E83" s="140"/>
      <c r="F83" s="140"/>
      <c r="G83" s="143"/>
      <c r="H83" s="143"/>
      <c r="I83" s="143"/>
    </row>
    <row r="84" spans="1:9" ht="15" hidden="1" x14ac:dyDescent="0.25">
      <c r="A84" s="149"/>
      <c r="B84" s="149"/>
      <c r="C84" s="140"/>
      <c r="D84" s="140"/>
      <c r="E84" s="140"/>
      <c r="F84" s="140"/>
      <c r="G84" s="143"/>
      <c r="H84" s="143"/>
      <c r="I84" s="143"/>
    </row>
    <row r="85" spans="1:9" ht="15" hidden="1" x14ac:dyDescent="0.25">
      <c r="A85" s="149"/>
      <c r="B85" s="149"/>
      <c r="C85" s="140"/>
      <c r="D85" s="140"/>
      <c r="E85" s="140"/>
      <c r="F85" s="140"/>
      <c r="G85" s="143"/>
      <c r="H85" s="143"/>
      <c r="I85" s="143"/>
    </row>
    <row r="86" spans="1:9" ht="15" x14ac:dyDescent="0.25">
      <c r="A86" s="149"/>
      <c r="B86" s="149"/>
      <c r="C86" s="140"/>
      <c r="D86" s="140"/>
      <c r="E86" s="140"/>
      <c r="F86" s="140"/>
    </row>
    <row r="87" spans="1:9" ht="15" x14ac:dyDescent="0.25">
      <c r="A87" s="149"/>
      <c r="B87" s="149"/>
      <c r="C87" s="140"/>
      <c r="D87" s="140"/>
      <c r="E87" s="140"/>
      <c r="F87" s="140"/>
    </row>
    <row r="88" spans="1:9" ht="15" x14ac:dyDescent="0.25">
      <c r="A88" s="149"/>
      <c r="B88" s="149"/>
      <c r="C88" s="140"/>
      <c r="D88" s="140"/>
      <c r="E88" s="140"/>
      <c r="F88" s="140"/>
    </row>
    <row r="89" spans="1:9" ht="15" x14ac:dyDescent="0.25">
      <c r="A89" s="149"/>
      <c r="B89" s="149"/>
      <c r="C89" s="140"/>
      <c r="D89" s="140"/>
      <c r="E89" s="140"/>
      <c r="F89" s="140"/>
    </row>
    <row r="90" spans="1:9" ht="15" x14ac:dyDescent="0.25">
      <c r="A90" s="149"/>
      <c r="B90" s="149"/>
      <c r="C90" s="140"/>
      <c r="D90" s="140"/>
      <c r="E90" s="140"/>
      <c r="F90" s="140"/>
    </row>
    <row r="91" spans="1:9" ht="15" x14ac:dyDescent="0.25">
      <c r="A91" s="149"/>
      <c r="B91" s="149"/>
      <c r="C91" s="140"/>
      <c r="D91" s="140"/>
      <c r="E91" s="140"/>
      <c r="F91" s="140"/>
    </row>
    <row r="92" spans="1:9" ht="15" x14ac:dyDescent="0.25">
      <c r="A92" s="149"/>
      <c r="B92" s="149"/>
      <c r="C92" s="140"/>
      <c r="D92" s="140"/>
      <c r="E92" s="140"/>
      <c r="F92" s="140"/>
    </row>
    <row r="93" spans="1:9" ht="15" x14ac:dyDescent="0.25">
      <c r="A93" s="149"/>
      <c r="B93" s="149"/>
      <c r="C93" s="140"/>
      <c r="D93" s="140"/>
      <c r="E93" s="140"/>
      <c r="F93" s="140"/>
    </row>
    <row r="94" spans="1:9" ht="15" x14ac:dyDescent="0.25">
      <c r="A94" s="149"/>
      <c r="B94" s="149"/>
      <c r="C94" s="140"/>
      <c r="D94" s="140"/>
      <c r="E94" s="140"/>
      <c r="F94" s="140"/>
    </row>
    <row r="95" spans="1:9" ht="15" x14ac:dyDescent="0.25">
      <c r="A95" s="149"/>
      <c r="B95" s="149"/>
      <c r="C95" s="140"/>
      <c r="D95" s="140"/>
      <c r="E95" s="140"/>
      <c r="F95" s="140"/>
    </row>
    <row r="96" spans="1:9" ht="15" x14ac:dyDescent="0.25">
      <c r="A96" s="149"/>
      <c r="B96" s="149"/>
      <c r="C96" s="140"/>
      <c r="D96" s="140"/>
      <c r="E96" s="140"/>
      <c r="F96" s="140"/>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ageMargins left="0.7" right="0.7" top="0.75" bottom="0.75" header="0.3" footer="0.3"/>
  <pageSetup scale="9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pane="bottomLeft" activeCell="D10" sqref="D10:H10"/>
    </sheetView>
  </sheetViews>
  <sheetFormatPr defaultRowHeight="15" x14ac:dyDescent="0.25"/>
  <cols>
    <col min="1" max="1" width="3" style="151" customWidth="1"/>
    <col min="2" max="2" width="138" style="247" hidden="1" customWidth="1"/>
    <col min="3" max="3" width="51.7109375" style="247" hidden="1" customWidth="1"/>
    <col min="4" max="4" width="50.7109375" style="237" customWidth="1"/>
    <col min="5" max="5" width="17.7109375" style="237" customWidth="1"/>
    <col min="6" max="6" width="17.85546875" style="237" customWidth="1"/>
    <col min="7" max="7" width="17.42578125" style="237" customWidth="1"/>
    <col min="8" max="8" width="29.85546875" style="237" customWidth="1"/>
    <col min="9" max="9" width="3.140625" style="151" customWidth="1"/>
    <col min="10" max="16384" width="9.140625" style="68"/>
  </cols>
  <sheetData>
    <row r="1" spans="1:9" ht="28.5" x14ac:dyDescent="0.25">
      <c r="A1" s="238" t="s">
        <v>941</v>
      </c>
      <c r="B1" s="238"/>
      <c r="C1" s="238"/>
      <c r="D1" s="239"/>
      <c r="E1" s="239"/>
      <c r="F1" s="239"/>
      <c r="G1" s="239"/>
      <c r="H1" s="239"/>
      <c r="I1" s="226"/>
    </row>
    <row r="2" spans="1:9" x14ac:dyDescent="0.25">
      <c r="A2" s="161"/>
      <c r="B2" s="243"/>
      <c r="C2" s="243"/>
      <c r="D2" s="240"/>
      <c r="E2" s="240"/>
      <c r="F2" s="240"/>
      <c r="G2" s="240"/>
      <c r="H2" s="240"/>
      <c r="I2" s="161"/>
    </row>
    <row r="3" spans="1:9" x14ac:dyDescent="0.25">
      <c r="A3" s="145"/>
      <c r="B3" s="244"/>
      <c r="C3" s="244"/>
      <c r="D3" s="287" t="s">
        <v>952</v>
      </c>
      <c r="E3" s="287"/>
      <c r="F3" s="287"/>
      <c r="G3" s="287"/>
      <c r="H3" s="287"/>
      <c r="I3" s="146"/>
    </row>
    <row r="4" spans="1:9" x14ac:dyDescent="0.25">
      <c r="A4" s="145"/>
      <c r="B4" s="245">
        <f>D4</f>
        <v>0</v>
      </c>
      <c r="C4" s="245"/>
      <c r="D4" s="286"/>
      <c r="E4" s="286"/>
      <c r="F4" s="286"/>
      <c r="G4" s="286"/>
      <c r="H4" s="286"/>
      <c r="I4" s="146"/>
    </row>
    <row r="5" spans="1:9" x14ac:dyDescent="0.25">
      <c r="A5" s="145"/>
      <c r="B5" s="245"/>
      <c r="C5" s="245"/>
      <c r="D5" s="240"/>
      <c r="E5" s="240"/>
      <c r="F5" s="240"/>
      <c r="G5" s="240"/>
      <c r="H5" s="240"/>
      <c r="I5" s="146"/>
    </row>
    <row r="6" spans="1:9" x14ac:dyDescent="0.25">
      <c r="A6" s="145"/>
      <c r="B6" s="245"/>
      <c r="C6" s="245"/>
      <c r="D6" s="287" t="s">
        <v>942</v>
      </c>
      <c r="E6" s="287"/>
      <c r="F6" s="287"/>
      <c r="G6" s="287"/>
      <c r="H6" s="287"/>
      <c r="I6" s="146"/>
    </row>
    <row r="7" spans="1:9" x14ac:dyDescent="0.25">
      <c r="A7" s="145"/>
      <c r="B7" s="245" t="str">
        <f>D7</f>
        <v>Hi everybody</v>
      </c>
      <c r="C7" s="245"/>
      <c r="D7" s="286" t="s">
        <v>1099</v>
      </c>
      <c r="E7" s="286"/>
      <c r="F7" s="286"/>
      <c r="G7" s="286"/>
      <c r="H7" s="286"/>
      <c r="I7" s="146"/>
    </row>
    <row r="8" spans="1:9" x14ac:dyDescent="0.25">
      <c r="A8" s="145"/>
      <c r="B8" s="245"/>
      <c r="C8" s="245"/>
      <c r="D8" s="240"/>
      <c r="E8" s="240"/>
      <c r="F8" s="249"/>
      <c r="G8" s="240"/>
      <c r="H8" s="240"/>
      <c r="I8" s="146"/>
    </row>
    <row r="9" spans="1:9" x14ac:dyDescent="0.25">
      <c r="A9" s="145"/>
      <c r="B9" s="245"/>
      <c r="C9" s="245"/>
      <c r="D9" s="287" t="s">
        <v>943</v>
      </c>
      <c r="E9" s="287"/>
      <c r="F9" s="287"/>
      <c r="G9" s="287"/>
      <c r="H9" s="287"/>
      <c r="I9" s="146"/>
    </row>
    <row r="10" spans="1:9" ht="45" x14ac:dyDescent="0.25">
      <c r="A10" s="145"/>
      <c r="B10" s="245" t="str">
        <f>D10</f>
        <v>1.
2.
3.</v>
      </c>
      <c r="C10" s="245"/>
      <c r="D10" s="286" t="s">
        <v>944</v>
      </c>
      <c r="E10" s="286"/>
      <c r="F10" s="286"/>
      <c r="G10" s="286"/>
      <c r="H10" s="286"/>
      <c r="I10" s="146"/>
    </row>
    <row r="11" spans="1:9" x14ac:dyDescent="0.25">
      <c r="A11" s="145"/>
      <c r="B11" s="245"/>
      <c r="C11" s="245"/>
      <c r="D11" s="240"/>
      <c r="E11" s="240"/>
      <c r="F11" s="240"/>
      <c r="G11" s="240"/>
      <c r="H11" s="240"/>
      <c r="I11" s="146"/>
    </row>
    <row r="12" spans="1:9" x14ac:dyDescent="0.25">
      <c r="A12" s="145"/>
      <c r="B12" s="245"/>
      <c r="C12" s="245"/>
      <c r="D12" s="287" t="s">
        <v>945</v>
      </c>
      <c r="E12" s="287"/>
      <c r="F12" s="287"/>
      <c r="G12" s="287"/>
      <c r="H12" s="287"/>
      <c r="I12" s="146"/>
    </row>
    <row r="13" spans="1:9" ht="45" x14ac:dyDescent="0.25">
      <c r="A13" s="145"/>
      <c r="B13" s="245" t="str">
        <f>D13</f>
        <v>1.
2.
3.</v>
      </c>
      <c r="C13" s="245"/>
      <c r="D13" s="286" t="s">
        <v>944</v>
      </c>
      <c r="E13" s="286"/>
      <c r="F13" s="286"/>
      <c r="G13" s="286"/>
      <c r="H13" s="286"/>
      <c r="I13" s="146"/>
    </row>
    <row r="14" spans="1:9" x14ac:dyDescent="0.25">
      <c r="A14" s="145"/>
      <c r="B14" s="245"/>
      <c r="C14" s="245"/>
      <c r="D14" s="240"/>
      <c r="E14" s="240"/>
      <c r="F14" s="240"/>
      <c r="G14" s="240"/>
      <c r="H14" s="240"/>
      <c r="I14" s="146"/>
    </row>
    <row r="15" spans="1:9" x14ac:dyDescent="0.25">
      <c r="A15" s="145"/>
      <c r="B15" s="245"/>
      <c r="C15" s="245"/>
      <c r="D15" s="287" t="s">
        <v>946</v>
      </c>
      <c r="E15" s="287"/>
      <c r="F15" s="287"/>
      <c r="G15" s="287"/>
      <c r="H15" s="287"/>
      <c r="I15" s="146"/>
    </row>
    <row r="16" spans="1:9" ht="45" x14ac:dyDescent="0.25">
      <c r="A16" s="145"/>
      <c r="B16" s="245" t="str">
        <f>D16</f>
        <v>1.
2.
3.</v>
      </c>
      <c r="C16" s="245"/>
      <c r="D16" s="286" t="s">
        <v>944</v>
      </c>
      <c r="E16" s="286"/>
      <c r="F16" s="286"/>
      <c r="G16" s="286"/>
      <c r="H16" s="286"/>
      <c r="I16" s="146"/>
    </row>
    <row r="17" spans="1:12" x14ac:dyDescent="0.25">
      <c r="A17" s="145"/>
      <c r="B17" s="245"/>
      <c r="C17" s="245"/>
      <c r="D17" s="240"/>
      <c r="E17" s="240"/>
      <c r="F17" s="240"/>
      <c r="G17" s="240"/>
      <c r="H17" s="240"/>
      <c r="I17" s="146"/>
    </row>
    <row r="18" spans="1:12" x14ac:dyDescent="0.25">
      <c r="A18" s="145"/>
      <c r="B18" s="245"/>
      <c r="C18" s="245"/>
      <c r="D18" s="287" t="s">
        <v>951</v>
      </c>
      <c r="E18" s="287"/>
      <c r="F18" s="287"/>
      <c r="G18" s="287"/>
      <c r="H18" s="287"/>
      <c r="I18" s="146"/>
    </row>
    <row r="19" spans="1:12" ht="45" x14ac:dyDescent="0.25">
      <c r="A19" s="145"/>
      <c r="B19" s="245" t="str">
        <f>D19</f>
        <v>1.
2.
3.</v>
      </c>
      <c r="C19" s="245"/>
      <c r="D19" s="286" t="s">
        <v>944</v>
      </c>
      <c r="E19" s="286"/>
      <c r="F19" s="286"/>
      <c r="G19" s="286"/>
      <c r="H19" s="286"/>
      <c r="I19" s="146"/>
    </row>
    <row r="20" spans="1:12" x14ac:dyDescent="0.25">
      <c r="A20" s="145"/>
      <c r="B20" s="245"/>
      <c r="C20" s="245"/>
      <c r="D20" s="240"/>
      <c r="E20" s="240"/>
      <c r="F20" s="240"/>
      <c r="G20" s="240"/>
      <c r="H20" s="240"/>
      <c r="I20" s="146"/>
    </row>
    <row r="21" spans="1:12" x14ac:dyDescent="0.25">
      <c r="A21" s="145"/>
      <c r="B21" s="245"/>
      <c r="C21" s="245"/>
      <c r="D21" s="287" t="s">
        <v>947</v>
      </c>
      <c r="E21" s="287"/>
      <c r="F21" s="287"/>
      <c r="G21" s="287"/>
      <c r="H21" s="287"/>
      <c r="I21" s="146"/>
    </row>
    <row r="22" spans="1:12" x14ac:dyDescent="0.25">
      <c r="A22" s="145"/>
      <c r="B22" s="245">
        <f>D22</f>
        <v>0</v>
      </c>
      <c r="C22" s="245"/>
      <c r="D22" s="286"/>
      <c r="E22" s="286"/>
      <c r="F22" s="286"/>
      <c r="G22" s="286"/>
      <c r="H22" s="286"/>
      <c r="I22" s="146"/>
    </row>
    <row r="23" spans="1:12" x14ac:dyDescent="0.25">
      <c r="A23" s="145"/>
      <c r="B23" s="245"/>
      <c r="C23" s="245"/>
      <c r="D23" s="240"/>
      <c r="E23" s="240"/>
      <c r="F23" s="240"/>
      <c r="G23" s="240"/>
      <c r="H23" s="240"/>
      <c r="I23" s="146"/>
    </row>
    <row r="24" spans="1:12" x14ac:dyDescent="0.25">
      <c r="A24" s="145"/>
      <c r="B24" s="245"/>
      <c r="C24" s="245"/>
      <c r="D24" s="287" t="s">
        <v>953</v>
      </c>
      <c r="E24" s="287"/>
      <c r="F24" s="287"/>
      <c r="G24" s="287"/>
      <c r="H24" s="287"/>
      <c r="I24" s="146"/>
    </row>
    <row r="25" spans="1:12" x14ac:dyDescent="0.25">
      <c r="A25" s="145"/>
      <c r="B25" s="245">
        <f>D25</f>
        <v>0</v>
      </c>
      <c r="C25" s="245"/>
      <c r="D25" s="286"/>
      <c r="E25" s="286"/>
      <c r="F25" s="286"/>
      <c r="G25" s="286"/>
      <c r="H25" s="286"/>
      <c r="I25" s="146"/>
      <c r="K25" s="242"/>
      <c r="L25" s="242"/>
    </row>
    <row r="26" spans="1:12" x14ac:dyDescent="0.25">
      <c r="A26" s="145"/>
      <c r="B26" s="245"/>
      <c r="C26" s="245"/>
      <c r="D26" s="240"/>
      <c r="E26" s="240"/>
      <c r="F26" s="240"/>
      <c r="G26" s="240"/>
      <c r="H26" s="240"/>
      <c r="I26" s="146"/>
    </row>
    <row r="27" spans="1:12" x14ac:dyDescent="0.25">
      <c r="A27" s="145"/>
      <c r="B27" s="245"/>
      <c r="C27" s="245"/>
      <c r="D27" s="287" t="s">
        <v>948</v>
      </c>
      <c r="E27" s="287"/>
      <c r="F27" s="287"/>
      <c r="G27" s="287"/>
      <c r="H27" s="287"/>
      <c r="I27" s="146"/>
    </row>
    <row r="28" spans="1:12" ht="45" x14ac:dyDescent="0.25">
      <c r="A28" s="145"/>
      <c r="B28" s="245" t="str">
        <f>D28</f>
        <v>1.
2.
3.</v>
      </c>
      <c r="C28" s="245"/>
      <c r="D28" s="286" t="s">
        <v>944</v>
      </c>
      <c r="E28" s="286"/>
      <c r="F28" s="286"/>
      <c r="G28" s="286"/>
      <c r="H28" s="286"/>
      <c r="I28" s="146"/>
    </row>
    <row r="29" spans="1:12" x14ac:dyDescent="0.25">
      <c r="A29" s="145"/>
      <c r="B29" s="245"/>
      <c r="C29" s="245"/>
      <c r="D29" s="240"/>
      <c r="E29" s="240"/>
      <c r="F29" s="240"/>
      <c r="G29" s="240"/>
      <c r="H29" s="240"/>
      <c r="I29" s="146"/>
    </row>
    <row r="30" spans="1:12" x14ac:dyDescent="0.25">
      <c r="A30" s="145"/>
      <c r="B30" s="245"/>
      <c r="C30" s="245"/>
      <c r="D30" s="287" t="s">
        <v>949</v>
      </c>
      <c r="E30" s="287"/>
      <c r="F30" s="287"/>
      <c r="G30" s="287"/>
      <c r="H30" s="287"/>
      <c r="I30" s="146"/>
    </row>
    <row r="31" spans="1:12" ht="45" x14ac:dyDescent="0.25">
      <c r="A31" s="145"/>
      <c r="B31" s="245" t="str">
        <f>D31</f>
        <v>1.
2.
3.</v>
      </c>
      <c r="C31" s="245"/>
      <c r="D31" s="286" t="s">
        <v>944</v>
      </c>
      <c r="E31" s="286"/>
      <c r="F31" s="286"/>
      <c r="G31" s="286"/>
      <c r="H31" s="286"/>
      <c r="I31" s="146"/>
    </row>
    <row r="32" spans="1:12" x14ac:dyDescent="0.25">
      <c r="A32" s="145"/>
      <c r="B32" s="244"/>
      <c r="C32" s="244"/>
      <c r="D32" s="146"/>
      <c r="E32" s="146"/>
      <c r="F32" s="146"/>
      <c r="G32" s="146"/>
      <c r="H32" s="146"/>
      <c r="I32" s="146"/>
    </row>
    <row r="33" spans="1:9" ht="30" x14ac:dyDescent="0.25">
      <c r="A33" s="145"/>
      <c r="B33" s="244"/>
      <c r="C33" s="244"/>
      <c r="D33" s="252" t="s">
        <v>960</v>
      </c>
      <c r="E33" s="252"/>
      <c r="F33" s="252" t="s">
        <v>961</v>
      </c>
      <c r="G33" s="285" t="s">
        <v>962</v>
      </c>
      <c r="H33" s="285"/>
      <c r="I33" s="146"/>
    </row>
    <row r="34" spans="1:9" x14ac:dyDescent="0.25">
      <c r="A34" s="145"/>
      <c r="B34" s="244"/>
      <c r="C34" s="244"/>
      <c r="D34" s="284" t="str">
        <f>IF(CGName1="", "", CGName1)</f>
        <v/>
      </c>
      <c r="E34" s="284"/>
      <c r="F34" s="253"/>
      <c r="G34" s="289" t="s">
        <v>964</v>
      </c>
      <c r="H34" s="289"/>
      <c r="I34" s="146"/>
    </row>
    <row r="35" spans="1:9" x14ac:dyDescent="0.25">
      <c r="A35" s="145"/>
      <c r="B35" s="244"/>
      <c r="C35" s="244"/>
      <c r="D35" s="284" t="str">
        <f>IF(CGName2="", "", CGName2)</f>
        <v/>
      </c>
      <c r="E35" s="284"/>
      <c r="F35" s="253"/>
      <c r="G35" s="289" t="s">
        <v>964</v>
      </c>
      <c r="H35" s="289"/>
      <c r="I35" s="146"/>
    </row>
    <row r="36" spans="1:9" x14ac:dyDescent="0.25">
      <c r="A36" s="145"/>
      <c r="B36" s="244"/>
      <c r="C36" s="244"/>
      <c r="D36" s="284" t="str">
        <f>IF(CGName3="", "", CGName3)</f>
        <v/>
      </c>
      <c r="E36" s="284"/>
      <c r="F36" s="253"/>
      <c r="G36" s="289" t="s">
        <v>964</v>
      </c>
      <c r="H36" s="289"/>
      <c r="I36" s="146"/>
    </row>
    <row r="37" spans="1:9" x14ac:dyDescent="0.25">
      <c r="A37" s="145"/>
      <c r="B37" s="244"/>
      <c r="C37" s="244"/>
      <c r="D37" s="284" t="str">
        <f>IF(CGName4="", "", CGName4)</f>
        <v/>
      </c>
      <c r="E37" s="284"/>
      <c r="F37" s="253"/>
      <c r="G37" s="289" t="s">
        <v>964</v>
      </c>
      <c r="H37" s="289"/>
      <c r="I37" s="146"/>
    </row>
    <row r="38" spans="1:9" x14ac:dyDescent="0.25">
      <c r="A38" s="145"/>
      <c r="B38" s="244"/>
      <c r="C38" s="244"/>
      <c r="D38" s="146"/>
      <c r="E38" s="146"/>
      <c r="F38" s="146"/>
      <c r="G38" s="146"/>
      <c r="H38" s="146"/>
      <c r="I38" s="146"/>
    </row>
    <row r="39" spans="1:9" x14ac:dyDescent="0.25">
      <c r="A39" s="145"/>
      <c r="B39" s="244"/>
      <c r="C39" s="244"/>
      <c r="D39" s="285" t="s">
        <v>1097</v>
      </c>
      <c r="E39" s="285"/>
      <c r="F39" s="285"/>
      <c r="G39" s="288" t="s">
        <v>964</v>
      </c>
      <c r="H39" s="288"/>
      <c r="I39" s="146"/>
    </row>
    <row r="40" spans="1:9" x14ac:dyDescent="0.25">
      <c r="A40" s="145"/>
      <c r="B40" s="246"/>
      <c r="C40" s="246"/>
      <c r="D40" s="251" t="s">
        <v>977</v>
      </c>
      <c r="E40" s="282" t="s">
        <v>63</v>
      </c>
      <c r="F40" s="282"/>
      <c r="G40" s="282"/>
      <c r="H40" s="251" t="s">
        <v>976</v>
      </c>
      <c r="I40" s="146"/>
    </row>
    <row r="41" spans="1:9" x14ac:dyDescent="0.25">
      <c r="A41" s="145"/>
      <c r="B41" s="246"/>
      <c r="C41" s="255" t="str">
        <f>catrange(ActionSteps1)</f>
        <v/>
      </c>
      <c r="D41" s="256" t="str">
        <f>IF(IntGoal1="", "", IntGoal1)</f>
        <v/>
      </c>
      <c r="E41" s="283" t="str">
        <f>catrange(ActionSteps1)</f>
        <v/>
      </c>
      <c r="F41" s="283"/>
      <c r="G41" s="283"/>
      <c r="H41" s="254" t="s">
        <v>971</v>
      </c>
      <c r="I41" s="146"/>
    </row>
    <row r="42" spans="1:9" x14ac:dyDescent="0.25">
      <c r="A42" s="145"/>
      <c r="B42" s="246"/>
      <c r="C42" s="255" t="str">
        <f>catrange(ActionSteps2)</f>
        <v/>
      </c>
      <c r="D42" s="256" t="str">
        <f>IF(IntGoal2="", "", IntGoal2)</f>
        <v/>
      </c>
      <c r="E42" s="283" t="str">
        <f>catrange(ActionSteps2)</f>
        <v/>
      </c>
      <c r="F42" s="283"/>
      <c r="G42" s="283"/>
      <c r="H42" s="254" t="s">
        <v>971</v>
      </c>
      <c r="I42" s="146"/>
    </row>
    <row r="43" spans="1:9" x14ac:dyDescent="0.25">
      <c r="A43" s="145"/>
      <c r="B43" s="246"/>
      <c r="C43" s="255" t="str">
        <f>catrange(ActionSteps3)</f>
        <v/>
      </c>
      <c r="D43" s="256" t="str">
        <f>IF(IntGoal3="", "", IntGoal3)</f>
        <v/>
      </c>
      <c r="E43" s="283" t="str">
        <f>catrange(ActionSteps3)</f>
        <v/>
      </c>
      <c r="F43" s="283"/>
      <c r="G43" s="283"/>
      <c r="H43" s="254" t="s">
        <v>971</v>
      </c>
      <c r="I43" s="146"/>
    </row>
    <row r="44" spans="1:9" x14ac:dyDescent="0.25">
      <c r="A44" s="145"/>
      <c r="B44" s="246"/>
      <c r="C44" s="255" t="str">
        <f>catrange(ActionSteps4)</f>
        <v/>
      </c>
      <c r="D44" s="256" t="str">
        <f>IF(IntGoal4="", "", IntGoal4)</f>
        <v/>
      </c>
      <c r="E44" s="283" t="str">
        <f>catrange(ActionSteps4)</f>
        <v/>
      </c>
      <c r="F44" s="283"/>
      <c r="G44" s="283"/>
      <c r="H44" s="254" t="s">
        <v>971</v>
      </c>
      <c r="I44" s="146"/>
    </row>
    <row r="45" spans="1:9" x14ac:dyDescent="0.25">
      <c r="A45" s="145"/>
      <c r="B45" s="246"/>
      <c r="C45" s="255" t="str">
        <f>catrange(ActionSteps5)</f>
        <v/>
      </c>
      <c r="D45" s="256" t="str">
        <f>IF(IntGoal5="", "", IntGoal5)</f>
        <v/>
      </c>
      <c r="E45" s="283" t="str">
        <f>catrange(ActionSteps5)</f>
        <v/>
      </c>
      <c r="F45" s="283"/>
      <c r="G45" s="283"/>
      <c r="H45" s="254" t="s">
        <v>971</v>
      </c>
      <c r="I45" s="146"/>
    </row>
    <row r="46" spans="1:9" x14ac:dyDescent="0.25">
      <c r="A46" s="145"/>
      <c r="B46" s="246"/>
      <c r="C46" s="255" t="str">
        <f>catrange(ActionSteps6)</f>
        <v/>
      </c>
      <c r="D46" s="256" t="str">
        <f>IF(IntGoal6="", "", IntGoal6)</f>
        <v/>
      </c>
      <c r="E46" s="283" t="str">
        <f>catrange(ActionSteps6)</f>
        <v/>
      </c>
      <c r="F46" s="283"/>
      <c r="G46" s="283"/>
      <c r="H46" s="254" t="s">
        <v>971</v>
      </c>
      <c r="I46" s="146"/>
    </row>
    <row r="47" spans="1:9" x14ac:dyDescent="0.25">
      <c r="A47" s="145"/>
      <c r="B47" s="246"/>
      <c r="C47" s="255" t="str">
        <f>catrange(ActionSteps7)</f>
        <v/>
      </c>
      <c r="D47" s="256" t="str">
        <f>IF(IntGoal7="", "", IntGoal7)</f>
        <v/>
      </c>
      <c r="E47" s="283" t="str">
        <f>catrange(ActionSteps7)</f>
        <v/>
      </c>
      <c r="F47" s="283"/>
      <c r="G47" s="283"/>
      <c r="H47" s="254" t="s">
        <v>971</v>
      </c>
      <c r="I47" s="146"/>
    </row>
    <row r="48" spans="1:9" x14ac:dyDescent="0.25">
      <c r="A48" s="145"/>
      <c r="B48" s="246"/>
      <c r="C48" s="255" t="str">
        <f>catrange(ActionSteps8)</f>
        <v/>
      </c>
      <c r="D48" s="256" t="str">
        <f>IF(IntGoal8="", "", IntGoal8)</f>
        <v/>
      </c>
      <c r="E48" s="283" t="str">
        <f>catrange(ActionSteps8)</f>
        <v/>
      </c>
      <c r="F48" s="283"/>
      <c r="G48" s="283"/>
      <c r="H48" s="254" t="s">
        <v>971</v>
      </c>
      <c r="I48" s="146"/>
    </row>
    <row r="49" spans="1:9" x14ac:dyDescent="0.25">
      <c r="A49" s="145"/>
      <c r="B49" s="246"/>
      <c r="C49" s="255" t="str">
        <f>catrange(ActionSteps9)</f>
        <v/>
      </c>
      <c r="D49" s="256" t="str">
        <f>IF(IntGoal9="", "", IntGoal9)</f>
        <v/>
      </c>
      <c r="E49" s="283" t="str">
        <f>catrange(ActionSteps9)</f>
        <v/>
      </c>
      <c r="F49" s="283"/>
      <c r="G49" s="283"/>
      <c r="H49" s="254" t="s">
        <v>971</v>
      </c>
      <c r="I49" s="146"/>
    </row>
    <row r="50" spans="1:9" x14ac:dyDescent="0.25">
      <c r="A50" s="145"/>
      <c r="B50" s="244"/>
      <c r="C50" s="244"/>
      <c r="D50" s="146"/>
      <c r="E50" s="146"/>
      <c r="F50" s="146"/>
      <c r="G50" s="146"/>
      <c r="H50" s="146"/>
      <c r="I50" s="146"/>
    </row>
    <row r="51" spans="1:9" x14ac:dyDescent="0.25">
      <c r="A51" s="140"/>
      <c r="B51" s="246"/>
      <c r="C51" s="246"/>
      <c r="D51" s="236"/>
      <c r="E51" s="236"/>
      <c r="F51" s="236"/>
      <c r="G51" s="236"/>
      <c r="H51" s="236"/>
      <c r="I51" s="140"/>
    </row>
    <row r="52" spans="1:9" x14ac:dyDescent="0.25">
      <c r="A52" s="140"/>
      <c r="B52" s="246"/>
      <c r="C52" s="246"/>
      <c r="D52" s="236"/>
      <c r="E52" s="236"/>
      <c r="F52" s="236"/>
      <c r="G52" s="236"/>
      <c r="H52" s="236"/>
      <c r="I52" s="140"/>
    </row>
    <row r="53" spans="1:9" x14ac:dyDescent="0.25">
      <c r="A53" s="140"/>
      <c r="B53" s="246"/>
      <c r="C53" s="246"/>
      <c r="D53" s="236"/>
      <c r="E53" s="236"/>
      <c r="F53" s="236"/>
      <c r="G53" s="236"/>
      <c r="H53" s="236"/>
      <c r="I53" s="140"/>
    </row>
    <row r="54" spans="1:9" x14ac:dyDescent="0.25">
      <c r="A54" s="140"/>
      <c r="B54" s="246"/>
      <c r="C54" s="246"/>
      <c r="D54" s="236"/>
      <c r="E54" s="236"/>
      <c r="F54" s="236"/>
      <c r="G54" s="236"/>
      <c r="H54" s="236"/>
      <c r="I54" s="140"/>
    </row>
    <row r="55" spans="1:9" x14ac:dyDescent="0.25">
      <c r="A55" s="140"/>
      <c r="B55" s="246"/>
      <c r="C55" s="246"/>
      <c r="D55" s="236"/>
      <c r="E55" s="236"/>
      <c r="F55" s="236"/>
      <c r="G55" s="236"/>
      <c r="H55" s="236"/>
      <c r="I55" s="140"/>
    </row>
    <row r="56" spans="1:9" x14ac:dyDescent="0.25">
      <c r="A56" s="140"/>
      <c r="B56" s="246"/>
      <c r="C56" s="246"/>
      <c r="D56" s="236"/>
      <c r="E56" s="236"/>
      <c r="F56" s="236"/>
      <c r="G56" s="236"/>
      <c r="H56" s="236"/>
      <c r="I56" s="140"/>
    </row>
    <row r="57" spans="1:9" x14ac:dyDescent="0.25">
      <c r="A57" s="140"/>
      <c r="B57" s="246"/>
      <c r="C57" s="246"/>
      <c r="D57" s="236"/>
      <c r="E57" s="236"/>
      <c r="F57" s="236"/>
      <c r="G57" s="236"/>
      <c r="H57" s="236"/>
      <c r="I57" s="140"/>
    </row>
    <row r="58" spans="1:9" x14ac:dyDescent="0.25">
      <c r="A58" s="140"/>
      <c r="B58" s="246"/>
      <c r="C58" s="246"/>
      <c r="D58" s="236"/>
      <c r="E58" s="236"/>
      <c r="F58" s="236"/>
      <c r="G58" s="236"/>
      <c r="H58" s="236"/>
      <c r="I58" s="140"/>
    </row>
    <row r="59" spans="1:9" x14ac:dyDescent="0.25">
      <c r="A59" s="140"/>
      <c r="B59" s="246"/>
      <c r="C59" s="246"/>
      <c r="D59" s="236"/>
      <c r="E59" s="236"/>
      <c r="F59" s="236"/>
      <c r="G59" s="236"/>
      <c r="H59" s="236"/>
      <c r="I59" s="140"/>
    </row>
    <row r="60" spans="1:9" x14ac:dyDescent="0.25">
      <c r="A60" s="140"/>
      <c r="B60" s="246"/>
      <c r="C60" s="246"/>
      <c r="D60" s="236"/>
      <c r="E60" s="236"/>
      <c r="F60" s="236"/>
      <c r="G60" s="236"/>
      <c r="H60" s="236"/>
      <c r="I60" s="140"/>
    </row>
    <row r="61" spans="1:9" x14ac:dyDescent="0.25">
      <c r="A61" s="140"/>
      <c r="B61" s="246"/>
      <c r="C61" s="246"/>
      <c r="D61" s="236"/>
      <c r="E61" s="236"/>
      <c r="F61" s="236"/>
      <c r="G61" s="236"/>
      <c r="H61" s="236"/>
      <c r="I61" s="140"/>
    </row>
    <row r="62" spans="1:9" x14ac:dyDescent="0.25">
      <c r="A62" s="140"/>
      <c r="B62" s="246"/>
      <c r="C62" s="246"/>
      <c r="D62" s="236"/>
      <c r="E62" s="236"/>
      <c r="F62" s="236"/>
      <c r="G62" s="236"/>
      <c r="H62" s="236"/>
      <c r="I62" s="140"/>
    </row>
    <row r="63" spans="1:9" x14ac:dyDescent="0.25">
      <c r="A63" s="140"/>
      <c r="B63" s="246"/>
      <c r="C63" s="246"/>
      <c r="D63" s="236"/>
      <c r="E63" s="236"/>
      <c r="F63" s="236"/>
      <c r="G63" s="236"/>
      <c r="H63" s="236"/>
      <c r="I63" s="140"/>
    </row>
    <row r="64" spans="1:9" x14ac:dyDescent="0.25">
      <c r="A64" s="140"/>
      <c r="B64" s="246"/>
      <c r="C64" s="246"/>
      <c r="D64" s="236"/>
      <c r="E64" s="236"/>
      <c r="F64" s="236"/>
      <c r="G64" s="236"/>
      <c r="H64" s="236"/>
      <c r="I64" s="140"/>
    </row>
    <row r="65" spans="1:9" x14ac:dyDescent="0.25">
      <c r="A65" s="140"/>
      <c r="B65" s="246"/>
      <c r="C65" s="246"/>
      <c r="D65" s="236"/>
      <c r="E65" s="236"/>
      <c r="F65" s="236"/>
      <c r="G65" s="236"/>
      <c r="H65" s="236"/>
      <c r="I65" s="140"/>
    </row>
    <row r="66" spans="1:9" x14ac:dyDescent="0.25">
      <c r="A66" s="140"/>
      <c r="B66" s="246"/>
      <c r="C66" s="246"/>
      <c r="D66" s="236"/>
      <c r="E66" s="236"/>
      <c r="F66" s="236"/>
      <c r="G66" s="236"/>
      <c r="H66" s="236"/>
      <c r="I66" s="140"/>
    </row>
    <row r="67" spans="1:9" x14ac:dyDescent="0.25">
      <c r="A67" s="140"/>
      <c r="B67" s="246"/>
      <c r="C67" s="246"/>
      <c r="D67" s="236"/>
      <c r="E67" s="236"/>
      <c r="F67" s="236"/>
      <c r="G67" s="236"/>
      <c r="H67" s="236"/>
      <c r="I67" s="140"/>
    </row>
    <row r="68" spans="1:9" x14ac:dyDescent="0.25">
      <c r="A68" s="140"/>
      <c r="B68" s="246"/>
      <c r="C68" s="246"/>
      <c r="D68" s="236"/>
      <c r="E68" s="236"/>
      <c r="F68" s="236"/>
      <c r="G68" s="236"/>
      <c r="H68" s="236"/>
      <c r="I68" s="140"/>
    </row>
    <row r="69" spans="1:9" x14ac:dyDescent="0.25">
      <c r="A69" s="140"/>
      <c r="B69" s="246"/>
      <c r="C69" s="246"/>
      <c r="D69" s="236"/>
      <c r="E69" s="236"/>
      <c r="F69" s="236"/>
      <c r="G69" s="236"/>
      <c r="H69" s="236"/>
      <c r="I69" s="140"/>
    </row>
    <row r="70" spans="1:9" x14ac:dyDescent="0.25">
      <c r="A70" s="140"/>
      <c r="B70" s="246"/>
      <c r="C70" s="246"/>
      <c r="D70" s="236"/>
      <c r="E70" s="236"/>
      <c r="F70" s="236"/>
      <c r="G70" s="236"/>
      <c r="H70" s="236"/>
      <c r="I70" s="140"/>
    </row>
    <row r="71" spans="1:9" x14ac:dyDescent="0.25">
      <c r="A71" s="140"/>
      <c r="B71" s="246"/>
      <c r="C71" s="246"/>
      <c r="D71" s="236"/>
      <c r="E71" s="236"/>
      <c r="F71" s="236"/>
      <c r="G71" s="236"/>
      <c r="H71" s="236"/>
      <c r="I71" s="140"/>
    </row>
    <row r="72" spans="1:9" x14ac:dyDescent="0.25">
      <c r="A72" s="140"/>
      <c r="B72" s="246"/>
      <c r="C72" s="246"/>
      <c r="D72" s="236"/>
      <c r="E72" s="236"/>
      <c r="F72" s="236"/>
      <c r="G72" s="236"/>
      <c r="H72" s="236"/>
      <c r="I72" s="140"/>
    </row>
    <row r="73" spans="1:9" x14ac:dyDescent="0.25">
      <c r="A73" s="140"/>
      <c r="B73" s="246"/>
      <c r="C73" s="246"/>
      <c r="D73" s="236"/>
      <c r="E73" s="236"/>
      <c r="F73" s="236"/>
      <c r="G73" s="236"/>
      <c r="H73" s="236"/>
      <c r="I73" s="140"/>
    </row>
    <row r="74" spans="1:9" x14ac:dyDescent="0.25">
      <c r="A74" s="140"/>
      <c r="B74" s="246"/>
      <c r="C74" s="246"/>
      <c r="D74" s="236"/>
      <c r="E74" s="236"/>
      <c r="F74" s="236"/>
      <c r="G74" s="236"/>
      <c r="H74" s="236"/>
      <c r="I74" s="140"/>
    </row>
    <row r="75" spans="1:9" x14ac:dyDescent="0.25">
      <c r="A75" s="140"/>
      <c r="B75" s="246"/>
      <c r="C75" s="246"/>
      <c r="D75" s="236"/>
      <c r="E75" s="236"/>
      <c r="F75" s="236"/>
      <c r="G75" s="236"/>
      <c r="H75" s="236"/>
      <c r="I75" s="140"/>
    </row>
    <row r="76" spans="1:9" x14ac:dyDescent="0.25">
      <c r="A76" s="140"/>
      <c r="B76" s="246"/>
      <c r="C76" s="246"/>
      <c r="D76" s="236"/>
      <c r="E76" s="236"/>
      <c r="F76" s="236"/>
      <c r="G76" s="236"/>
      <c r="H76" s="236"/>
      <c r="I76" s="140"/>
    </row>
    <row r="77" spans="1:9" x14ac:dyDescent="0.25">
      <c r="A77" s="140"/>
      <c r="B77" s="246"/>
      <c r="C77" s="246"/>
      <c r="D77" s="236"/>
      <c r="E77" s="236"/>
      <c r="F77" s="236"/>
      <c r="G77" s="236"/>
      <c r="H77" s="236"/>
      <c r="I77" s="140"/>
    </row>
    <row r="78" spans="1:9" x14ac:dyDescent="0.25">
      <c r="A78" s="140"/>
      <c r="B78" s="246"/>
      <c r="C78" s="246"/>
      <c r="D78" s="236"/>
      <c r="E78" s="236"/>
      <c r="F78" s="236"/>
      <c r="G78" s="236"/>
      <c r="H78" s="236"/>
      <c r="I78" s="140"/>
    </row>
    <row r="79" spans="1:9" x14ac:dyDescent="0.25">
      <c r="A79" s="140"/>
      <c r="B79" s="246"/>
      <c r="C79" s="246"/>
      <c r="D79" s="236"/>
      <c r="E79" s="236"/>
      <c r="F79" s="236"/>
      <c r="G79" s="236"/>
      <c r="H79" s="236"/>
      <c r="I79" s="140"/>
    </row>
    <row r="80" spans="1:9" x14ac:dyDescent="0.25">
      <c r="A80" s="140"/>
      <c r="B80" s="246"/>
      <c r="C80" s="246"/>
      <c r="D80" s="236"/>
      <c r="E80" s="236"/>
      <c r="F80" s="236"/>
      <c r="G80" s="236"/>
      <c r="H80" s="236"/>
      <c r="I80" s="140"/>
    </row>
    <row r="81" spans="1:9" x14ac:dyDescent="0.25">
      <c r="A81" s="140"/>
      <c r="B81" s="246"/>
      <c r="C81" s="246"/>
      <c r="D81" s="236"/>
      <c r="E81" s="236"/>
      <c r="F81" s="236"/>
      <c r="G81" s="236"/>
      <c r="H81" s="236"/>
      <c r="I81" s="140"/>
    </row>
    <row r="82" spans="1:9" x14ac:dyDescent="0.25">
      <c r="A82" s="140"/>
      <c r="B82" s="246"/>
      <c r="C82" s="246"/>
      <c r="D82" s="236"/>
      <c r="E82" s="236"/>
      <c r="F82" s="236"/>
      <c r="G82" s="236"/>
      <c r="H82" s="236"/>
      <c r="I82" s="140"/>
    </row>
    <row r="83" spans="1:9" x14ac:dyDescent="0.25">
      <c r="A83" s="140"/>
      <c r="B83" s="246"/>
      <c r="C83" s="246"/>
      <c r="D83" s="236"/>
      <c r="E83" s="236"/>
      <c r="F83" s="236"/>
      <c r="G83" s="236"/>
      <c r="H83" s="236"/>
      <c r="I83" s="140"/>
    </row>
    <row r="84" spans="1:9" x14ac:dyDescent="0.25">
      <c r="A84" s="140"/>
      <c r="B84" s="246"/>
      <c r="C84" s="246"/>
      <c r="D84" s="236"/>
      <c r="E84" s="236"/>
      <c r="F84" s="236"/>
      <c r="G84" s="236"/>
      <c r="H84" s="236"/>
      <c r="I84" s="140"/>
    </row>
    <row r="85" spans="1:9" x14ac:dyDescent="0.25">
      <c r="A85" s="140"/>
      <c r="B85" s="246"/>
      <c r="C85" s="246"/>
      <c r="D85" s="236"/>
      <c r="E85" s="236"/>
      <c r="F85" s="236"/>
      <c r="G85" s="236"/>
      <c r="H85" s="236"/>
      <c r="I85" s="140"/>
    </row>
    <row r="86" spans="1:9" x14ac:dyDescent="0.25">
      <c r="A86" s="140"/>
      <c r="B86" s="246"/>
      <c r="C86" s="246"/>
      <c r="D86" s="236"/>
      <c r="E86" s="236"/>
      <c r="F86" s="236"/>
      <c r="G86" s="236"/>
      <c r="H86" s="236"/>
      <c r="I86" s="140"/>
    </row>
    <row r="87" spans="1:9" x14ac:dyDescent="0.25">
      <c r="A87" s="140"/>
      <c r="B87" s="246"/>
      <c r="C87" s="246"/>
      <c r="D87" s="236"/>
      <c r="E87" s="236"/>
      <c r="F87" s="236"/>
      <c r="G87" s="236"/>
      <c r="H87" s="236"/>
      <c r="I87" s="140"/>
    </row>
    <row r="88" spans="1:9" x14ac:dyDescent="0.25">
      <c r="A88" s="140"/>
      <c r="B88" s="246"/>
      <c r="C88" s="246"/>
      <c r="D88" s="236"/>
      <c r="E88" s="236"/>
      <c r="F88" s="236"/>
      <c r="G88" s="236"/>
      <c r="H88" s="236"/>
      <c r="I88" s="140"/>
    </row>
    <row r="89" spans="1:9" x14ac:dyDescent="0.25">
      <c r="A89" s="140"/>
      <c r="B89" s="246"/>
      <c r="C89" s="246"/>
      <c r="D89" s="236"/>
      <c r="E89" s="236"/>
      <c r="F89" s="236"/>
      <c r="G89" s="236"/>
      <c r="H89" s="236"/>
      <c r="I89" s="140"/>
    </row>
    <row r="90" spans="1:9" x14ac:dyDescent="0.25">
      <c r="A90" s="140"/>
      <c r="B90" s="246"/>
      <c r="C90" s="246"/>
      <c r="D90" s="236"/>
      <c r="E90" s="236"/>
      <c r="F90" s="236"/>
      <c r="G90" s="236"/>
      <c r="H90" s="236"/>
      <c r="I90" s="140"/>
    </row>
    <row r="91" spans="1:9" x14ac:dyDescent="0.25">
      <c r="A91" s="140"/>
      <c r="B91" s="246"/>
      <c r="C91" s="246"/>
      <c r="D91" s="236"/>
      <c r="E91" s="236"/>
      <c r="F91" s="236"/>
      <c r="G91" s="236"/>
      <c r="H91" s="236"/>
      <c r="I91" s="140"/>
    </row>
    <row r="92" spans="1:9" x14ac:dyDescent="0.25">
      <c r="A92" s="140"/>
      <c r="B92" s="246"/>
      <c r="C92" s="246"/>
      <c r="D92" s="236"/>
      <c r="E92" s="236"/>
      <c r="F92" s="236"/>
      <c r="G92" s="236"/>
      <c r="H92" s="236"/>
      <c r="I92" s="140"/>
    </row>
    <row r="93" spans="1:9" x14ac:dyDescent="0.25">
      <c r="A93" s="140"/>
      <c r="B93" s="246"/>
      <c r="C93" s="246"/>
      <c r="D93" s="236"/>
      <c r="E93" s="236"/>
      <c r="F93" s="236"/>
      <c r="G93" s="236"/>
      <c r="H93" s="236"/>
      <c r="I93" s="140"/>
    </row>
    <row r="94" spans="1:9" x14ac:dyDescent="0.25">
      <c r="A94" s="140"/>
      <c r="B94" s="246"/>
      <c r="C94" s="246"/>
      <c r="D94" s="236"/>
      <c r="E94" s="236"/>
      <c r="F94" s="236"/>
      <c r="G94" s="236"/>
      <c r="H94" s="236"/>
      <c r="I94" s="140"/>
    </row>
    <row r="95" spans="1:9" x14ac:dyDescent="0.25">
      <c r="A95" s="140"/>
      <c r="B95" s="246"/>
      <c r="C95" s="246"/>
      <c r="D95" s="236"/>
      <c r="E95" s="236"/>
      <c r="F95" s="236"/>
      <c r="G95" s="236"/>
      <c r="H95" s="236"/>
      <c r="I95" s="140"/>
    </row>
    <row r="96" spans="1:9" x14ac:dyDescent="0.25">
      <c r="A96" s="140"/>
      <c r="B96" s="246"/>
      <c r="C96" s="246"/>
      <c r="D96" s="236"/>
      <c r="E96" s="236"/>
      <c r="F96" s="236"/>
      <c r="G96" s="236"/>
      <c r="H96" s="236"/>
      <c r="I96" s="140"/>
    </row>
    <row r="97" spans="1:9" x14ac:dyDescent="0.25">
      <c r="A97" s="140"/>
      <c r="B97" s="246"/>
      <c r="C97" s="246"/>
      <c r="D97" s="236"/>
      <c r="E97" s="236"/>
      <c r="F97" s="236"/>
      <c r="G97" s="236"/>
      <c r="H97" s="236"/>
      <c r="I97" s="140"/>
    </row>
    <row r="98" spans="1:9" x14ac:dyDescent="0.25">
      <c r="A98" s="140"/>
      <c r="B98" s="246"/>
      <c r="C98" s="246"/>
      <c r="D98" s="236"/>
      <c r="E98" s="236"/>
      <c r="F98" s="236"/>
      <c r="G98" s="236"/>
      <c r="H98" s="236"/>
      <c r="I98" s="140"/>
    </row>
    <row r="99" spans="1:9" x14ac:dyDescent="0.25">
      <c r="A99" s="140"/>
      <c r="B99" s="246"/>
      <c r="C99" s="246"/>
      <c r="D99" s="236"/>
      <c r="E99" s="236"/>
      <c r="F99" s="236"/>
      <c r="G99" s="236"/>
      <c r="H99" s="236"/>
      <c r="I99" s="140"/>
    </row>
    <row r="100" spans="1:9" x14ac:dyDescent="0.25">
      <c r="A100" s="140"/>
      <c r="B100" s="246"/>
      <c r="C100" s="246"/>
      <c r="D100" s="236"/>
      <c r="E100" s="236"/>
      <c r="F100" s="236"/>
      <c r="G100" s="236"/>
      <c r="H100" s="236"/>
      <c r="I100" s="140"/>
    </row>
    <row r="101" spans="1:9" x14ac:dyDescent="0.25">
      <c r="A101" s="140"/>
      <c r="B101" s="246"/>
      <c r="C101" s="246"/>
      <c r="D101" s="236"/>
      <c r="E101" s="236"/>
      <c r="F101" s="236"/>
      <c r="G101" s="236"/>
      <c r="H101" s="236"/>
      <c r="I101" s="140"/>
    </row>
    <row r="102" spans="1:9" x14ac:dyDescent="0.25">
      <c r="A102" s="140"/>
      <c r="B102" s="246"/>
      <c r="C102" s="246"/>
      <c r="D102" s="236"/>
      <c r="E102" s="236"/>
      <c r="F102" s="236"/>
      <c r="G102" s="236"/>
      <c r="H102" s="236"/>
      <c r="I102" s="140"/>
    </row>
    <row r="103" spans="1:9" x14ac:dyDescent="0.25">
      <c r="A103" s="140"/>
      <c r="B103" s="246"/>
      <c r="C103" s="246"/>
      <c r="D103" s="236"/>
      <c r="E103" s="236"/>
      <c r="F103" s="236"/>
      <c r="G103" s="236"/>
      <c r="H103" s="236"/>
      <c r="I103" s="140"/>
    </row>
    <row r="104" spans="1:9" x14ac:dyDescent="0.25">
      <c r="A104" s="140"/>
      <c r="B104" s="246"/>
      <c r="C104" s="246"/>
      <c r="D104" s="236"/>
      <c r="E104" s="236"/>
      <c r="F104" s="236"/>
      <c r="G104" s="236"/>
      <c r="H104" s="236"/>
      <c r="I104" s="140"/>
    </row>
    <row r="105" spans="1:9" x14ac:dyDescent="0.25">
      <c r="A105" s="140"/>
      <c r="B105" s="246"/>
      <c r="C105" s="246"/>
      <c r="D105" s="236"/>
      <c r="E105" s="236"/>
      <c r="F105" s="236"/>
      <c r="G105" s="236"/>
      <c r="H105" s="236"/>
      <c r="I105" s="140"/>
    </row>
    <row r="106" spans="1:9" x14ac:dyDescent="0.25">
      <c r="A106" s="140"/>
      <c r="B106" s="246"/>
      <c r="C106" s="246"/>
      <c r="D106" s="236"/>
      <c r="E106" s="236"/>
      <c r="F106" s="236"/>
      <c r="G106" s="236"/>
      <c r="H106" s="236"/>
      <c r="I106" s="140"/>
    </row>
    <row r="107" spans="1:9" x14ac:dyDescent="0.25">
      <c r="A107" s="140"/>
      <c r="B107" s="246"/>
      <c r="C107" s="246"/>
      <c r="D107" s="236"/>
      <c r="E107" s="236"/>
      <c r="F107" s="236"/>
      <c r="G107" s="236"/>
      <c r="H107" s="236"/>
      <c r="I107" s="140"/>
    </row>
    <row r="108" spans="1:9" x14ac:dyDescent="0.25">
      <c r="A108" s="140"/>
      <c r="B108" s="246"/>
      <c r="C108" s="246"/>
      <c r="D108" s="236"/>
      <c r="E108" s="236"/>
      <c r="F108" s="236"/>
      <c r="G108" s="236"/>
      <c r="H108" s="236"/>
      <c r="I108" s="140"/>
    </row>
    <row r="109" spans="1:9" x14ac:dyDescent="0.25">
      <c r="A109" s="140"/>
      <c r="B109" s="246"/>
      <c r="C109" s="246"/>
      <c r="D109" s="236"/>
      <c r="E109" s="236"/>
      <c r="F109" s="236"/>
      <c r="G109" s="236"/>
      <c r="H109" s="236"/>
      <c r="I109" s="140"/>
    </row>
    <row r="110" spans="1:9" x14ac:dyDescent="0.25">
      <c r="A110" s="140"/>
      <c r="B110" s="246"/>
      <c r="C110" s="246"/>
      <c r="D110" s="236"/>
      <c r="E110" s="236"/>
      <c r="F110" s="236"/>
      <c r="G110" s="236"/>
      <c r="H110" s="236"/>
      <c r="I110" s="140"/>
    </row>
    <row r="111" spans="1:9" x14ac:dyDescent="0.25">
      <c r="A111" s="140"/>
      <c r="B111" s="246"/>
      <c r="C111" s="246"/>
      <c r="D111" s="236"/>
      <c r="E111" s="236"/>
      <c r="F111" s="236"/>
      <c r="G111" s="236"/>
      <c r="H111" s="236"/>
      <c r="I111" s="140"/>
    </row>
    <row r="112" spans="1:9" x14ac:dyDescent="0.25">
      <c r="A112" s="140"/>
      <c r="B112" s="246"/>
      <c r="C112" s="246"/>
      <c r="D112" s="236"/>
      <c r="E112" s="236"/>
      <c r="F112" s="236"/>
      <c r="G112" s="236"/>
      <c r="H112" s="236"/>
      <c r="I112" s="140"/>
    </row>
    <row r="113" spans="1:9" x14ac:dyDescent="0.25">
      <c r="A113" s="140"/>
      <c r="B113" s="246"/>
      <c r="C113" s="246"/>
      <c r="D113" s="236"/>
      <c r="E113" s="236"/>
      <c r="F113" s="236"/>
      <c r="G113" s="236"/>
      <c r="H113" s="236"/>
      <c r="I113" s="140"/>
    </row>
    <row r="114" spans="1:9" x14ac:dyDescent="0.25">
      <c r="A114" s="140"/>
      <c r="B114" s="246"/>
      <c r="C114" s="246"/>
      <c r="D114" s="236"/>
      <c r="E114" s="236"/>
      <c r="F114" s="236"/>
      <c r="G114" s="236"/>
      <c r="H114" s="236"/>
      <c r="I114" s="140"/>
    </row>
    <row r="115" spans="1:9" x14ac:dyDescent="0.25">
      <c r="A115" s="140"/>
      <c r="B115" s="246"/>
      <c r="C115" s="246"/>
      <c r="D115" s="236"/>
      <c r="E115" s="236"/>
      <c r="F115" s="236"/>
      <c r="G115" s="236"/>
      <c r="H115" s="236"/>
      <c r="I115" s="140"/>
    </row>
    <row r="116" spans="1:9" x14ac:dyDescent="0.25">
      <c r="A116" s="140"/>
      <c r="B116" s="246"/>
      <c r="C116" s="246"/>
      <c r="D116" s="236"/>
      <c r="E116" s="236"/>
      <c r="F116" s="236"/>
      <c r="G116" s="236"/>
      <c r="H116" s="236"/>
      <c r="I116" s="140"/>
    </row>
    <row r="117" spans="1:9" x14ac:dyDescent="0.25">
      <c r="A117" s="140"/>
      <c r="B117" s="246"/>
      <c r="C117" s="246"/>
      <c r="D117" s="236"/>
      <c r="E117" s="236"/>
      <c r="F117" s="236"/>
      <c r="G117" s="236"/>
      <c r="H117" s="236"/>
      <c r="I117" s="140"/>
    </row>
    <row r="118" spans="1:9" x14ac:dyDescent="0.25">
      <c r="A118" s="140"/>
      <c r="B118" s="246"/>
      <c r="C118" s="246"/>
      <c r="D118" s="236"/>
      <c r="E118" s="236"/>
      <c r="F118" s="236"/>
      <c r="G118" s="236"/>
      <c r="H118" s="236"/>
      <c r="I118" s="140"/>
    </row>
    <row r="119" spans="1:9" x14ac:dyDescent="0.25">
      <c r="A119" s="140"/>
      <c r="B119" s="246"/>
      <c r="C119" s="246"/>
      <c r="D119" s="236"/>
      <c r="E119" s="236"/>
      <c r="F119" s="236"/>
      <c r="G119" s="236"/>
      <c r="H119" s="236"/>
      <c r="I119" s="140"/>
    </row>
    <row r="120" spans="1:9" x14ac:dyDescent="0.25">
      <c r="A120" s="140"/>
      <c r="B120" s="246"/>
      <c r="C120" s="246"/>
      <c r="D120" s="236"/>
      <c r="E120" s="236"/>
      <c r="F120" s="236"/>
      <c r="G120" s="236"/>
      <c r="H120" s="236"/>
      <c r="I120" s="140"/>
    </row>
    <row r="121" spans="1:9" x14ac:dyDescent="0.25">
      <c r="A121" s="140"/>
      <c r="B121" s="246"/>
      <c r="C121" s="246"/>
      <c r="D121" s="236"/>
      <c r="E121" s="236"/>
      <c r="F121" s="236"/>
      <c r="G121" s="236"/>
      <c r="H121" s="236"/>
      <c r="I121" s="140"/>
    </row>
    <row r="122" spans="1:9" x14ac:dyDescent="0.25">
      <c r="A122" s="140"/>
      <c r="B122" s="246"/>
      <c r="C122" s="246"/>
      <c r="D122" s="236"/>
      <c r="E122" s="236"/>
      <c r="F122" s="236"/>
      <c r="G122" s="236"/>
      <c r="H122" s="236"/>
      <c r="I122" s="140"/>
    </row>
    <row r="123" spans="1:9" x14ac:dyDescent="0.25">
      <c r="A123" s="140"/>
      <c r="B123" s="246"/>
      <c r="C123" s="246"/>
      <c r="D123" s="236"/>
      <c r="E123" s="236"/>
      <c r="F123" s="236"/>
      <c r="G123" s="236"/>
      <c r="H123" s="236"/>
      <c r="I123" s="140"/>
    </row>
    <row r="124" spans="1:9" x14ac:dyDescent="0.25">
      <c r="A124" s="140"/>
      <c r="B124" s="246"/>
      <c r="C124" s="246"/>
      <c r="D124" s="236"/>
      <c r="E124" s="236"/>
      <c r="F124" s="236"/>
      <c r="G124" s="236"/>
      <c r="H124" s="236"/>
      <c r="I124" s="140"/>
    </row>
    <row r="125" spans="1:9" x14ac:dyDescent="0.25">
      <c r="A125" s="140"/>
      <c r="B125" s="246"/>
      <c r="C125" s="246"/>
      <c r="D125" s="236"/>
      <c r="E125" s="236"/>
      <c r="F125" s="236"/>
      <c r="G125" s="236"/>
      <c r="H125" s="236"/>
      <c r="I125" s="140"/>
    </row>
    <row r="126" spans="1:9" x14ac:dyDescent="0.25">
      <c r="A126" s="140"/>
      <c r="B126" s="246"/>
      <c r="C126" s="246"/>
      <c r="D126" s="236"/>
      <c r="E126" s="236"/>
      <c r="F126" s="236"/>
      <c r="G126" s="236"/>
      <c r="H126" s="236"/>
      <c r="I126" s="140"/>
    </row>
    <row r="127" spans="1:9" x14ac:dyDescent="0.25">
      <c r="A127" s="140"/>
      <c r="B127" s="246"/>
      <c r="C127" s="246"/>
      <c r="D127" s="236"/>
      <c r="E127" s="236"/>
      <c r="F127" s="236"/>
      <c r="G127" s="236"/>
      <c r="H127" s="236"/>
      <c r="I127" s="140"/>
    </row>
    <row r="128" spans="1:9" x14ac:dyDescent="0.25">
      <c r="A128" s="140"/>
      <c r="B128" s="246"/>
      <c r="C128" s="246"/>
      <c r="D128" s="236"/>
      <c r="E128" s="236"/>
      <c r="F128" s="236"/>
      <c r="G128" s="236"/>
      <c r="H128" s="236"/>
      <c r="I128" s="140"/>
    </row>
    <row r="129" spans="1:9" x14ac:dyDescent="0.25">
      <c r="A129" s="140"/>
      <c r="B129" s="246"/>
      <c r="C129" s="246"/>
      <c r="D129" s="236"/>
      <c r="E129" s="236"/>
      <c r="F129" s="236"/>
      <c r="G129" s="236"/>
      <c r="H129" s="236"/>
      <c r="I129" s="140"/>
    </row>
    <row r="130" spans="1:9" x14ac:dyDescent="0.25">
      <c r="A130" s="140"/>
      <c r="B130" s="246"/>
      <c r="C130" s="246"/>
      <c r="D130" s="236"/>
      <c r="E130" s="236"/>
      <c r="F130" s="236"/>
      <c r="G130" s="236"/>
      <c r="H130" s="236"/>
      <c r="I130" s="140"/>
    </row>
    <row r="131" spans="1:9" x14ac:dyDescent="0.25">
      <c r="A131" s="140"/>
      <c r="B131" s="246"/>
      <c r="C131" s="246"/>
      <c r="D131" s="236"/>
      <c r="E131" s="236"/>
      <c r="F131" s="236"/>
      <c r="G131" s="236"/>
      <c r="H131" s="236"/>
      <c r="I131" s="140"/>
    </row>
  </sheetData>
  <sheetProtection sheet="1" objects="1" scenarios="1" selectLockedCells="1"/>
  <mergeCells count="41">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 ref="D3:H3"/>
    <mergeCell ref="D6:H6"/>
    <mergeCell ref="D9:H9"/>
    <mergeCell ref="D12:H12"/>
    <mergeCell ref="D15:H15"/>
    <mergeCell ref="D4:H4"/>
    <mergeCell ref="D7:H7"/>
    <mergeCell ref="D10:H10"/>
    <mergeCell ref="D13:H13"/>
    <mergeCell ref="D35:E35"/>
    <mergeCell ref="D36:E36"/>
    <mergeCell ref="D37:E37"/>
    <mergeCell ref="G33:H33"/>
    <mergeCell ref="D31:H31"/>
    <mergeCell ref="D34:E34"/>
    <mergeCell ref="E40:G40"/>
    <mergeCell ref="E49:G49"/>
    <mergeCell ref="E41:G41"/>
    <mergeCell ref="E42:G42"/>
    <mergeCell ref="E43:G43"/>
    <mergeCell ref="E44:G44"/>
    <mergeCell ref="E45:G45"/>
    <mergeCell ref="E46:G46"/>
    <mergeCell ref="E47:G47"/>
    <mergeCell ref="E48:G48"/>
  </mergeCells>
  <dataValidations disablePrompts="1"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2" orientation="portrait" horizontalDpi="1200" verticalDpi="1200" r:id="rId1"/>
  <colBreaks count="1" manualBreakCount="1">
    <brk id="3" max="31"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moveWithCells="1" sizeWithCells="1">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1"/>
  <sheetViews>
    <sheetView topLeftCell="A73" workbookViewId="0">
      <selection activeCell="C92" sqref="C92"/>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6" t="s">
        <v>863</v>
      </c>
      <c r="B1" s="16" t="s">
        <v>873</v>
      </c>
      <c r="C1" s="16" t="s">
        <v>979</v>
      </c>
      <c r="D1" s="16" t="s">
        <v>94</v>
      </c>
      <c r="E1" s="16" t="s">
        <v>95</v>
      </c>
      <c r="F1" s="16" t="s">
        <v>96</v>
      </c>
      <c r="G1" s="16" t="s">
        <v>687</v>
      </c>
      <c r="H1" s="16" t="s">
        <v>938</v>
      </c>
      <c r="I1" s="16" t="s">
        <v>939</v>
      </c>
      <c r="J1" s="16" t="s">
        <v>963</v>
      </c>
      <c r="K1" s="16" t="s">
        <v>970</v>
      </c>
      <c r="M1" s="16" t="s">
        <v>162</v>
      </c>
      <c r="N1" s="16" t="s">
        <v>51</v>
      </c>
      <c r="O1" s="16" t="s">
        <v>56</v>
      </c>
      <c r="Q1" s="5" t="s">
        <v>55</v>
      </c>
      <c r="S1" t="s">
        <v>171</v>
      </c>
    </row>
    <row r="2" spans="1:21" x14ac:dyDescent="0.25">
      <c r="A2" t="s">
        <v>864</v>
      </c>
      <c r="B2" t="s">
        <v>874</v>
      </c>
      <c r="C2" t="s">
        <v>980</v>
      </c>
      <c r="D2">
        <v>0</v>
      </c>
      <c r="E2" t="s">
        <v>48</v>
      </c>
      <c r="F2" t="s">
        <v>97</v>
      </c>
      <c r="G2" t="s">
        <v>686</v>
      </c>
      <c r="H2" t="s">
        <v>686</v>
      </c>
      <c r="I2" t="s">
        <v>686</v>
      </c>
      <c r="J2" t="s">
        <v>964</v>
      </c>
      <c r="K2" t="s">
        <v>971</v>
      </c>
      <c r="M2" t="s">
        <v>167</v>
      </c>
      <c r="N2" t="s">
        <v>2</v>
      </c>
      <c r="O2">
        <f t="array" ref="O2">MAX(IF(ItemDom=M2, DomItemNum, 0))</f>
        <v>0</v>
      </c>
      <c r="Q2" s="1">
        <f>COUNTA(M:M)-1</f>
        <v>6</v>
      </c>
      <c r="S2" s="16" t="s">
        <v>172</v>
      </c>
      <c r="T2" s="16" t="s">
        <v>0</v>
      </c>
      <c r="U2" s="16" t="s">
        <v>173</v>
      </c>
    </row>
    <row r="3" spans="1:21" x14ac:dyDescent="0.25">
      <c r="A3" t="s">
        <v>865</v>
      </c>
      <c r="B3" t="s">
        <v>875</v>
      </c>
      <c r="C3" t="s">
        <v>981</v>
      </c>
      <c r="D3">
        <v>1</v>
      </c>
      <c r="E3" t="s">
        <v>49</v>
      </c>
      <c r="F3" t="s">
        <v>98</v>
      </c>
      <c r="G3" t="s">
        <v>307</v>
      </c>
      <c r="H3" t="s">
        <v>307</v>
      </c>
      <c r="I3" t="s">
        <v>308</v>
      </c>
      <c r="J3" t="s">
        <v>965</v>
      </c>
      <c r="K3" t="s">
        <v>972</v>
      </c>
      <c r="M3" t="s">
        <v>165</v>
      </c>
      <c r="N3" t="s">
        <v>9</v>
      </c>
      <c r="O3">
        <f t="array" ref="O3">MAX(IF(ItemDom=M3, DomItemNum, 0))</f>
        <v>0</v>
      </c>
      <c r="S3" t="s">
        <v>80</v>
      </c>
      <c r="T3" t="str">
        <f t="shared" ref="T3:T15" si="0">INDEX(DatesRow, 1, MATCH($S3, Assess_H, 0))</f>
        <v/>
      </c>
      <c r="U3" t="str">
        <f>IF(ISNUMBER(T3), TEXT(T3, "M/D/YYYY"), "")</f>
        <v/>
      </c>
    </row>
    <row r="4" spans="1:21" x14ac:dyDescent="0.25">
      <c r="A4" t="s">
        <v>866</v>
      </c>
      <c r="B4" t="s">
        <v>876</v>
      </c>
      <c r="C4" t="s">
        <v>982</v>
      </c>
      <c r="D4">
        <v>2</v>
      </c>
      <c r="F4" t="s">
        <v>99</v>
      </c>
      <c r="G4" t="s">
        <v>308</v>
      </c>
      <c r="J4" t="s">
        <v>966</v>
      </c>
      <c r="K4" t="s">
        <v>973</v>
      </c>
      <c r="M4" t="s">
        <v>168</v>
      </c>
      <c r="N4" t="s">
        <v>37</v>
      </c>
      <c r="O4">
        <f t="array" ref="O4">MAX(IF(ItemDom=M4, DomItemNum, 0))</f>
        <v>0</v>
      </c>
      <c r="S4" t="s">
        <v>133</v>
      </c>
      <c r="T4" t="str">
        <f t="shared" si="0"/>
        <v/>
      </c>
      <c r="U4" t="str">
        <f t="shared" ref="U4:U15" si="1">IF(ISNUMBER(T4), TEXT(T4, "M/D/YYYY"), "")</f>
        <v/>
      </c>
    </row>
    <row r="5" spans="1:21" x14ac:dyDescent="0.25">
      <c r="A5" t="s">
        <v>867</v>
      </c>
      <c r="B5" t="s">
        <v>877</v>
      </c>
      <c r="C5" t="s">
        <v>983</v>
      </c>
      <c r="D5">
        <v>3</v>
      </c>
      <c r="F5" t="s">
        <v>100</v>
      </c>
      <c r="J5" t="s">
        <v>967</v>
      </c>
      <c r="K5" t="s">
        <v>974</v>
      </c>
      <c r="M5" t="s">
        <v>169</v>
      </c>
      <c r="N5" t="s">
        <v>25</v>
      </c>
      <c r="O5">
        <f t="array" ref="O5">MAX(IF(ItemDom=M5, DomItemNum, 0))</f>
        <v>0</v>
      </c>
      <c r="S5" t="s">
        <v>134</v>
      </c>
      <c r="T5" t="str">
        <f t="shared" si="0"/>
        <v/>
      </c>
      <c r="U5" t="str">
        <f t="shared" si="1"/>
        <v/>
      </c>
    </row>
    <row r="6" spans="1:21" x14ac:dyDescent="0.25">
      <c r="A6" t="s">
        <v>868</v>
      </c>
      <c r="B6" t="s">
        <v>878</v>
      </c>
      <c r="C6" t="s">
        <v>984</v>
      </c>
      <c r="F6" t="s">
        <v>101</v>
      </c>
      <c r="J6" t="s">
        <v>968</v>
      </c>
      <c r="K6" t="s">
        <v>975</v>
      </c>
      <c r="M6" t="s">
        <v>166</v>
      </c>
      <c r="N6" t="s">
        <v>32</v>
      </c>
      <c r="O6">
        <f t="array" ref="O6">MAX(IF(ItemDom=M6, DomItemNum, 0))</f>
        <v>0</v>
      </c>
      <c r="S6" t="s">
        <v>135</v>
      </c>
      <c r="T6" t="e">
        <f t="shared" si="0"/>
        <v>#N/A</v>
      </c>
      <c r="U6" t="str">
        <f t="shared" si="1"/>
        <v/>
      </c>
    </row>
    <row r="7" spans="1:21" x14ac:dyDescent="0.25">
      <c r="A7" t="s">
        <v>869</v>
      </c>
      <c r="B7" t="s">
        <v>879</v>
      </c>
      <c r="C7" t="s">
        <v>985</v>
      </c>
      <c r="J7" t="s">
        <v>969</v>
      </c>
      <c r="M7" t="s">
        <v>170</v>
      </c>
      <c r="N7" t="s">
        <v>149</v>
      </c>
      <c r="O7">
        <f t="array" ref="O7">MAX(IF(ItemDom=M7, DomItemNum, 0))</f>
        <v>0</v>
      </c>
      <c r="S7" t="s">
        <v>136</v>
      </c>
      <c r="T7" t="e">
        <f t="shared" si="0"/>
        <v>#N/A</v>
      </c>
      <c r="U7" t="str">
        <f t="shared" si="1"/>
        <v/>
      </c>
    </row>
    <row r="8" spans="1:21" x14ac:dyDescent="0.25">
      <c r="A8" t="s">
        <v>870</v>
      </c>
      <c r="B8" t="s">
        <v>880</v>
      </c>
      <c r="C8" t="s">
        <v>986</v>
      </c>
      <c r="J8" t="s">
        <v>1098</v>
      </c>
      <c r="S8" t="s">
        <v>137</v>
      </c>
      <c r="T8" t="e">
        <f t="shared" si="0"/>
        <v>#N/A</v>
      </c>
      <c r="U8" t="str">
        <f t="shared" si="1"/>
        <v/>
      </c>
    </row>
    <row r="9" spans="1:21" x14ac:dyDescent="0.25">
      <c r="A9" t="s">
        <v>871</v>
      </c>
      <c r="B9" t="s">
        <v>881</v>
      </c>
      <c r="C9" t="s">
        <v>987</v>
      </c>
      <c r="S9" t="s">
        <v>138</v>
      </c>
      <c r="T9" t="e">
        <f t="shared" si="0"/>
        <v>#N/A</v>
      </c>
      <c r="U9" t="str">
        <f t="shared" si="1"/>
        <v/>
      </c>
    </row>
    <row r="10" spans="1:21" x14ac:dyDescent="0.25">
      <c r="A10" t="s">
        <v>872</v>
      </c>
      <c r="B10" t="s">
        <v>882</v>
      </c>
      <c r="C10" t="s">
        <v>988</v>
      </c>
      <c r="F10" s="16">
        <f t="array" ref="F10">MAX(IF(ItemNum=MAX(ItemNum), ROW(ItemNum), 0))</f>
        <v>209</v>
      </c>
      <c r="G10" t="s">
        <v>262</v>
      </c>
      <c r="S10" t="s">
        <v>139</v>
      </c>
      <c r="T10" t="e">
        <f t="shared" si="0"/>
        <v>#N/A</v>
      </c>
      <c r="U10" t="str">
        <f t="shared" si="1"/>
        <v/>
      </c>
    </row>
    <row r="11" spans="1:21" x14ac:dyDescent="0.25">
      <c r="B11" t="s">
        <v>883</v>
      </c>
      <c r="C11" t="s">
        <v>989</v>
      </c>
      <c r="F11" s="19" t="str">
        <f>IF(dateAssess3&lt;&gt;"", dateAssess3, IF(dateAssess2&lt;&gt;"", dateAssess2, IF(dateAssess1&lt;&gt;"", dateAssess1, "")))</f>
        <v/>
      </c>
      <c r="G11" t="s">
        <v>678</v>
      </c>
      <c r="S11" t="s">
        <v>140</v>
      </c>
      <c r="T11" t="e">
        <f t="shared" si="0"/>
        <v>#N/A</v>
      </c>
      <c r="U11" t="str">
        <f t="shared" si="1"/>
        <v/>
      </c>
    </row>
    <row r="12" spans="1:21" x14ac:dyDescent="0.25">
      <c r="B12" t="s">
        <v>884</v>
      </c>
      <c r="C12" t="s">
        <v>990</v>
      </c>
      <c r="S12" t="s">
        <v>141</v>
      </c>
      <c r="T12" t="e">
        <f t="shared" si="0"/>
        <v>#N/A</v>
      </c>
      <c r="U12" t="str">
        <f t="shared" si="1"/>
        <v/>
      </c>
    </row>
    <row r="13" spans="1:21" x14ac:dyDescent="0.25">
      <c r="B13" t="s">
        <v>885</v>
      </c>
      <c r="C13" t="s">
        <v>991</v>
      </c>
      <c r="S13" t="s">
        <v>142</v>
      </c>
      <c r="T13" t="e">
        <f t="shared" si="0"/>
        <v>#N/A</v>
      </c>
      <c r="U13" t="str">
        <f t="shared" si="1"/>
        <v/>
      </c>
    </row>
    <row r="14" spans="1:21" x14ac:dyDescent="0.25">
      <c r="B14" t="s">
        <v>886</v>
      </c>
      <c r="C14" t="s">
        <v>992</v>
      </c>
      <c r="S14" t="s">
        <v>143</v>
      </c>
      <c r="T14" t="e">
        <f t="shared" si="0"/>
        <v>#N/A</v>
      </c>
      <c r="U14" t="str">
        <f t="shared" si="1"/>
        <v/>
      </c>
    </row>
    <row r="15" spans="1:21" x14ac:dyDescent="0.25">
      <c r="B15" t="s">
        <v>887</v>
      </c>
      <c r="C15" t="s">
        <v>993</v>
      </c>
      <c r="S15" t="s">
        <v>144</v>
      </c>
      <c r="T15" t="e">
        <f t="shared" si="0"/>
        <v>#N/A</v>
      </c>
      <c r="U15" t="str">
        <f t="shared" si="1"/>
        <v/>
      </c>
    </row>
    <row r="16" spans="1:21" x14ac:dyDescent="0.25">
      <c r="B16" t="s">
        <v>888</v>
      </c>
      <c r="C16" t="s">
        <v>994</v>
      </c>
    </row>
    <row r="17" spans="2:3" x14ac:dyDescent="0.25">
      <c r="B17" t="s">
        <v>889</v>
      </c>
      <c r="C17" t="s">
        <v>995</v>
      </c>
    </row>
    <row r="18" spans="2:3" x14ac:dyDescent="0.25">
      <c r="B18" t="s">
        <v>890</v>
      </c>
      <c r="C18" t="s">
        <v>996</v>
      </c>
    </row>
    <row r="19" spans="2:3" x14ac:dyDescent="0.25">
      <c r="B19" t="s">
        <v>891</v>
      </c>
      <c r="C19" t="s">
        <v>997</v>
      </c>
    </row>
    <row r="20" spans="2:3" x14ac:dyDescent="0.25">
      <c r="B20" t="s">
        <v>892</v>
      </c>
      <c r="C20" t="s">
        <v>998</v>
      </c>
    </row>
    <row r="21" spans="2:3" x14ac:dyDescent="0.25">
      <c r="B21" t="s">
        <v>893</v>
      </c>
      <c r="C21" t="s">
        <v>999</v>
      </c>
    </row>
    <row r="22" spans="2:3" x14ac:dyDescent="0.25">
      <c r="B22" t="s">
        <v>894</v>
      </c>
      <c r="C22" t="s">
        <v>1000</v>
      </c>
    </row>
    <row r="23" spans="2:3" x14ac:dyDescent="0.25">
      <c r="B23" t="s">
        <v>895</v>
      </c>
      <c r="C23" t="s">
        <v>1001</v>
      </c>
    </row>
    <row r="24" spans="2:3" x14ac:dyDescent="0.25">
      <c r="B24" t="s">
        <v>896</v>
      </c>
      <c r="C24" t="s">
        <v>1002</v>
      </c>
    </row>
    <row r="25" spans="2:3" x14ac:dyDescent="0.25">
      <c r="B25" t="s">
        <v>897</v>
      </c>
      <c r="C25" t="s">
        <v>1003</v>
      </c>
    </row>
    <row r="26" spans="2:3" x14ac:dyDescent="0.25">
      <c r="B26" t="s">
        <v>898</v>
      </c>
      <c r="C26" t="s">
        <v>1004</v>
      </c>
    </row>
    <row r="27" spans="2:3" x14ac:dyDescent="0.25">
      <c r="B27" t="s">
        <v>899</v>
      </c>
      <c r="C27" t="s">
        <v>1005</v>
      </c>
    </row>
    <row r="28" spans="2:3" x14ac:dyDescent="0.25">
      <c r="B28" t="s">
        <v>900</v>
      </c>
      <c r="C28" t="s">
        <v>1006</v>
      </c>
    </row>
    <row r="29" spans="2:3" ht="15.75" customHeight="1" x14ac:dyDescent="0.25">
      <c r="B29" t="s">
        <v>901</v>
      </c>
      <c r="C29" t="s">
        <v>1007</v>
      </c>
    </row>
    <row r="30" spans="2:3" x14ac:dyDescent="0.25">
      <c r="B30" t="s">
        <v>902</v>
      </c>
      <c r="C30" t="s">
        <v>1008</v>
      </c>
    </row>
    <row r="31" spans="2:3" x14ac:dyDescent="0.25">
      <c r="B31" t="s">
        <v>903</v>
      </c>
      <c r="C31" t="s">
        <v>1009</v>
      </c>
    </row>
    <row r="32" spans="2:3" x14ac:dyDescent="0.25">
      <c r="B32" t="s">
        <v>904</v>
      </c>
      <c r="C32" t="s">
        <v>1010</v>
      </c>
    </row>
    <row r="33" spans="2:3" x14ac:dyDescent="0.25">
      <c r="B33" t="s">
        <v>905</v>
      </c>
      <c r="C33" t="s">
        <v>1011</v>
      </c>
    </row>
    <row r="34" spans="2:3" x14ac:dyDescent="0.25">
      <c r="B34" t="s">
        <v>906</v>
      </c>
      <c r="C34" t="s">
        <v>1095</v>
      </c>
    </row>
    <row r="35" spans="2:3" x14ac:dyDescent="0.25">
      <c r="B35" t="s">
        <v>907</v>
      </c>
      <c r="C35" t="s">
        <v>1012</v>
      </c>
    </row>
    <row r="36" spans="2:3" x14ac:dyDescent="0.25">
      <c r="B36" t="s">
        <v>908</v>
      </c>
      <c r="C36" t="s">
        <v>1013</v>
      </c>
    </row>
    <row r="37" spans="2:3" x14ac:dyDescent="0.25">
      <c r="B37" t="s">
        <v>909</v>
      </c>
      <c r="C37" t="s">
        <v>1014</v>
      </c>
    </row>
    <row r="38" spans="2:3" x14ac:dyDescent="0.25">
      <c r="B38" t="s">
        <v>910</v>
      </c>
      <c r="C38" t="s">
        <v>1015</v>
      </c>
    </row>
    <row r="39" spans="2:3" x14ac:dyDescent="0.25">
      <c r="B39" t="s">
        <v>911</v>
      </c>
      <c r="C39" t="s">
        <v>1016</v>
      </c>
    </row>
    <row r="40" spans="2:3" x14ac:dyDescent="0.25">
      <c r="B40" t="s">
        <v>912</v>
      </c>
      <c r="C40" t="s">
        <v>1017</v>
      </c>
    </row>
    <row r="41" spans="2:3" x14ac:dyDescent="0.25">
      <c r="B41" t="s">
        <v>913</v>
      </c>
      <c r="C41" t="s">
        <v>1018</v>
      </c>
    </row>
    <row r="42" spans="2:3" x14ac:dyDescent="0.25">
      <c r="B42" t="s">
        <v>914</v>
      </c>
      <c r="C42" t="s">
        <v>1019</v>
      </c>
    </row>
    <row r="43" spans="2:3" x14ac:dyDescent="0.25">
      <c r="B43" t="s">
        <v>915</v>
      </c>
      <c r="C43" t="s">
        <v>1020</v>
      </c>
    </row>
    <row r="44" spans="2:3" x14ac:dyDescent="0.25">
      <c r="B44" t="s">
        <v>916</v>
      </c>
      <c r="C44" t="s">
        <v>1021</v>
      </c>
    </row>
    <row r="45" spans="2:3" x14ac:dyDescent="0.25">
      <c r="B45" t="s">
        <v>917</v>
      </c>
      <c r="C45" t="s">
        <v>1022</v>
      </c>
    </row>
    <row r="46" spans="2:3" ht="15.75" customHeight="1" x14ac:dyDescent="0.25">
      <c r="B46" t="s">
        <v>918</v>
      </c>
      <c r="C46" t="s">
        <v>1023</v>
      </c>
    </row>
    <row r="47" spans="2:3" x14ac:dyDescent="0.25">
      <c r="B47" t="s">
        <v>919</v>
      </c>
      <c r="C47" t="s">
        <v>1024</v>
      </c>
    </row>
    <row r="48" spans="2:3" x14ac:dyDescent="0.25">
      <c r="B48" t="s">
        <v>920</v>
      </c>
      <c r="C48" t="s">
        <v>1025</v>
      </c>
    </row>
    <row r="49" spans="2:3" x14ac:dyDescent="0.25">
      <c r="B49" t="s">
        <v>921</v>
      </c>
      <c r="C49" t="s">
        <v>1093</v>
      </c>
    </row>
    <row r="50" spans="2:3" x14ac:dyDescent="0.25">
      <c r="B50" t="s">
        <v>922</v>
      </c>
      <c r="C50" t="s">
        <v>1026</v>
      </c>
    </row>
    <row r="51" spans="2:3" x14ac:dyDescent="0.25">
      <c r="C51" t="s">
        <v>1027</v>
      </c>
    </row>
    <row r="52" spans="2:3" x14ac:dyDescent="0.25">
      <c r="C52" t="s">
        <v>1028</v>
      </c>
    </row>
    <row r="53" spans="2:3" x14ac:dyDescent="0.25">
      <c r="C53" t="s">
        <v>1029</v>
      </c>
    </row>
    <row r="54" spans="2:3" x14ac:dyDescent="0.25">
      <c r="C54" t="s">
        <v>1030</v>
      </c>
    </row>
    <row r="55" spans="2:3" x14ac:dyDescent="0.25">
      <c r="C55" t="s">
        <v>1031</v>
      </c>
    </row>
    <row r="56" spans="2:3" x14ac:dyDescent="0.25">
      <c r="C56" t="s">
        <v>1032</v>
      </c>
    </row>
    <row r="57" spans="2:3" x14ac:dyDescent="0.25">
      <c r="C57" t="s">
        <v>1033</v>
      </c>
    </row>
    <row r="58" spans="2:3" x14ac:dyDescent="0.25">
      <c r="C58" t="s">
        <v>1034</v>
      </c>
    </row>
    <row r="59" spans="2:3" x14ac:dyDescent="0.25">
      <c r="C59" t="s">
        <v>1035</v>
      </c>
    </row>
    <row r="60" spans="2:3" x14ac:dyDescent="0.25">
      <c r="C60" t="s">
        <v>1036</v>
      </c>
    </row>
    <row r="61" spans="2:3" x14ac:dyDescent="0.25">
      <c r="C61" t="s">
        <v>1037</v>
      </c>
    </row>
    <row r="62" spans="2:3" x14ac:dyDescent="0.25">
      <c r="C62" t="s">
        <v>1100</v>
      </c>
    </row>
    <row r="63" spans="2:3" x14ac:dyDescent="0.25">
      <c r="C63" t="s">
        <v>1038</v>
      </c>
    </row>
    <row r="64" spans="2:3" x14ac:dyDescent="0.25">
      <c r="C64" t="s">
        <v>1094</v>
      </c>
    </row>
    <row r="65" spans="3:3" x14ac:dyDescent="0.25">
      <c r="C65" t="s">
        <v>1039</v>
      </c>
    </row>
    <row r="66" spans="3:3" x14ac:dyDescent="0.25">
      <c r="C66" t="s">
        <v>1040</v>
      </c>
    </row>
    <row r="67" spans="3:3" x14ac:dyDescent="0.25">
      <c r="C67" t="s">
        <v>1041</v>
      </c>
    </row>
    <row r="68" spans="3:3" x14ac:dyDescent="0.25">
      <c r="C68" t="s">
        <v>1042</v>
      </c>
    </row>
    <row r="69" spans="3:3" x14ac:dyDescent="0.25">
      <c r="C69" t="s">
        <v>1043</v>
      </c>
    </row>
    <row r="70" spans="3:3" x14ac:dyDescent="0.25">
      <c r="C70" t="s">
        <v>1044</v>
      </c>
    </row>
    <row r="71" spans="3:3" x14ac:dyDescent="0.25">
      <c r="C71" t="s">
        <v>1045</v>
      </c>
    </row>
    <row r="72" spans="3:3" x14ac:dyDescent="0.25">
      <c r="C72" t="s">
        <v>1046</v>
      </c>
    </row>
    <row r="73" spans="3:3" x14ac:dyDescent="0.25">
      <c r="C73" t="s">
        <v>1091</v>
      </c>
    </row>
    <row r="74" spans="3:3" x14ac:dyDescent="0.25">
      <c r="C74" t="s">
        <v>978</v>
      </c>
    </row>
    <row r="75" spans="3:3" x14ac:dyDescent="0.25">
      <c r="C75" t="s">
        <v>1047</v>
      </c>
    </row>
    <row r="76" spans="3:3" x14ac:dyDescent="0.25">
      <c r="C76" t="s">
        <v>1048</v>
      </c>
    </row>
    <row r="77" spans="3:3" x14ac:dyDescent="0.25">
      <c r="C77" t="s">
        <v>1049</v>
      </c>
    </row>
    <row r="78" spans="3:3" x14ac:dyDescent="0.25">
      <c r="C78" t="s">
        <v>1050</v>
      </c>
    </row>
    <row r="79" spans="3:3" x14ac:dyDescent="0.25">
      <c r="C79" t="s">
        <v>1051</v>
      </c>
    </row>
    <row r="80" spans="3:3" x14ac:dyDescent="0.25">
      <c r="C80" t="s">
        <v>1052</v>
      </c>
    </row>
    <row r="81" spans="3:3" x14ac:dyDescent="0.25">
      <c r="C81" t="s">
        <v>1053</v>
      </c>
    </row>
    <row r="82" spans="3:3" x14ac:dyDescent="0.25">
      <c r="C82" t="s">
        <v>1054</v>
      </c>
    </row>
    <row r="83" spans="3:3" x14ac:dyDescent="0.25">
      <c r="C83" t="s">
        <v>1055</v>
      </c>
    </row>
    <row r="84" spans="3:3" x14ac:dyDescent="0.25">
      <c r="C84" t="s">
        <v>1056</v>
      </c>
    </row>
    <row r="85" spans="3:3" x14ac:dyDescent="0.25">
      <c r="C85" t="s">
        <v>1057</v>
      </c>
    </row>
    <row r="86" spans="3:3" x14ac:dyDescent="0.25">
      <c r="C86" t="s">
        <v>1058</v>
      </c>
    </row>
    <row r="87" spans="3:3" x14ac:dyDescent="0.25">
      <c r="C87" t="s">
        <v>1059</v>
      </c>
    </row>
    <row r="88" spans="3:3" x14ac:dyDescent="0.25">
      <c r="C88" t="s">
        <v>1060</v>
      </c>
    </row>
    <row r="89" spans="3:3" x14ac:dyDescent="0.25">
      <c r="C89" t="s">
        <v>1061</v>
      </c>
    </row>
    <row r="90" spans="3:3" x14ac:dyDescent="0.25">
      <c r="C90" t="s">
        <v>1062</v>
      </c>
    </row>
    <row r="91" spans="3:3" x14ac:dyDescent="0.25">
      <c r="C91" t="s">
        <v>1063</v>
      </c>
    </row>
    <row r="92" spans="3:3" x14ac:dyDescent="0.25">
      <c r="C92" t="s">
        <v>1101</v>
      </c>
    </row>
    <row r="93" spans="3:3" x14ac:dyDescent="0.25">
      <c r="C93" t="s">
        <v>1064</v>
      </c>
    </row>
    <row r="94" spans="3:3" x14ac:dyDescent="0.25">
      <c r="C94" t="s">
        <v>1065</v>
      </c>
    </row>
    <row r="95" spans="3:3" x14ac:dyDescent="0.25">
      <c r="C95" t="s">
        <v>1066</v>
      </c>
    </row>
    <row r="96" spans="3:3" x14ac:dyDescent="0.25">
      <c r="C96" t="s">
        <v>1067</v>
      </c>
    </row>
    <row r="97" spans="3:3" x14ac:dyDescent="0.25">
      <c r="C97" t="s">
        <v>1068</v>
      </c>
    </row>
    <row r="98" spans="3:3" x14ac:dyDescent="0.25">
      <c r="C98" t="s">
        <v>1069</v>
      </c>
    </row>
    <row r="99" spans="3:3" x14ac:dyDescent="0.25">
      <c r="C99" t="s">
        <v>1070</v>
      </c>
    </row>
    <row r="100" spans="3:3" x14ac:dyDescent="0.25">
      <c r="C100" t="s">
        <v>1071</v>
      </c>
    </row>
    <row r="101" spans="3:3" x14ac:dyDescent="0.25">
      <c r="C101" t="s">
        <v>1072</v>
      </c>
    </row>
    <row r="102" spans="3:3" x14ac:dyDescent="0.25">
      <c r="C102" t="s">
        <v>1073</v>
      </c>
    </row>
    <row r="103" spans="3:3" x14ac:dyDescent="0.25">
      <c r="C103" t="s">
        <v>1074</v>
      </c>
    </row>
    <row r="104" spans="3:3" x14ac:dyDescent="0.25">
      <c r="C104" t="s">
        <v>1075</v>
      </c>
    </row>
    <row r="105" spans="3:3" x14ac:dyDescent="0.25">
      <c r="C105" t="s">
        <v>1076</v>
      </c>
    </row>
    <row r="106" spans="3:3" x14ac:dyDescent="0.25">
      <c r="C106" t="s">
        <v>1077</v>
      </c>
    </row>
    <row r="107" spans="3:3" x14ac:dyDescent="0.25">
      <c r="C107" t="s">
        <v>1078</v>
      </c>
    </row>
    <row r="108" spans="3:3" x14ac:dyDescent="0.25">
      <c r="C108" t="s">
        <v>1079</v>
      </c>
    </row>
    <row r="109" spans="3:3" x14ac:dyDescent="0.25">
      <c r="C109" t="s">
        <v>1080</v>
      </c>
    </row>
    <row r="110" spans="3:3" x14ac:dyDescent="0.25">
      <c r="C110" t="s">
        <v>1092</v>
      </c>
    </row>
    <row r="111" spans="3:3" x14ac:dyDescent="0.25">
      <c r="C111" t="s">
        <v>1081</v>
      </c>
    </row>
    <row r="112" spans="3:3" x14ac:dyDescent="0.25">
      <c r="C112" t="s">
        <v>1082</v>
      </c>
    </row>
    <row r="113" spans="3:3" x14ac:dyDescent="0.25">
      <c r="C113" t="s">
        <v>1083</v>
      </c>
    </row>
    <row r="114" spans="3:3" x14ac:dyDescent="0.25">
      <c r="C114" t="s">
        <v>1084</v>
      </c>
    </row>
    <row r="115" spans="3:3" x14ac:dyDescent="0.25">
      <c r="C115" t="s">
        <v>1085</v>
      </c>
    </row>
    <row r="116" spans="3:3" x14ac:dyDescent="0.25">
      <c r="C116" t="s">
        <v>1086</v>
      </c>
    </row>
    <row r="117" spans="3:3" x14ac:dyDescent="0.25">
      <c r="C117" t="s">
        <v>1087</v>
      </c>
    </row>
    <row r="118" spans="3:3" x14ac:dyDescent="0.25">
      <c r="C118" t="s">
        <v>1096</v>
      </c>
    </row>
    <row r="119" spans="3:3" x14ac:dyDescent="0.25">
      <c r="C119" t="s">
        <v>1088</v>
      </c>
    </row>
    <row r="120" spans="3:3" x14ac:dyDescent="0.25">
      <c r="C120" t="s">
        <v>1089</v>
      </c>
    </row>
    <row r="121" spans="3:3" x14ac:dyDescent="0.25">
      <c r="C121" t="s">
        <v>1090</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641BD7B64F5CE348948EB285C255FC51" ma:contentTypeVersion="8" ma:contentTypeDescription="Create a new document." ma:contentTypeScope="" ma:versionID="de30959b0c26eed16ab0d9491d3b4fac">
  <xsd:schema xmlns:xsd="http://www.w3.org/2001/XMLSchema" xmlns:xs="http://www.w3.org/2001/XMLSchema" xmlns:p="http://schemas.microsoft.com/office/2006/metadata/properties" xmlns:ns2="0744c089-3c8b-41d7-9a15-aa5041886147" xmlns:ns3="68a064a4-a90a-4333-83be-93c6a56d91fc" targetNamespace="http://schemas.microsoft.com/office/2006/metadata/properties" ma:root="true" ma:fieldsID="aea9f72e25102642bffca5c6a8468362" ns2:_="" ns3:_="">
    <xsd:import namespace="0744c089-3c8b-41d7-9a15-aa5041886147"/>
    <xsd:import namespace="68a064a4-a90a-4333-83be-93c6a56d91fc"/>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744c089-3c8b-41d7-9a15-aa504188614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8a064a4-a90a-4333-83be-93c6a56d91fc"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60E2A2-458A-4131-974D-90B8E3F0314B}">
  <ds:schemaRefs>
    <ds:schemaRef ds:uri="http://schemas.microsoft.com/office/2006/documentManagement/types"/>
    <ds:schemaRef ds:uri="http://purl.org/dc/terms/"/>
    <ds:schemaRef ds:uri="http://schemas.microsoft.com/office/2006/metadata/properties"/>
    <ds:schemaRef ds:uri="http://purl.org/dc/elements/1.1/"/>
    <ds:schemaRef ds:uri="http://schemas.microsoft.com/office/infopath/2007/PartnerControls"/>
    <ds:schemaRef ds:uri="http://purl.org/dc/dcmitype/"/>
    <ds:schemaRef ds:uri="http://schemas.openxmlformats.org/package/2006/metadata/core-properties"/>
    <ds:schemaRef ds:uri="68a064a4-a90a-4333-83be-93c6a56d91fc"/>
    <ds:schemaRef ds:uri="0744c089-3c8b-41d7-9a15-aa5041886147"/>
    <ds:schemaRef ds:uri="http://www.w3.org/XML/1998/namespace"/>
  </ds:schemaRefs>
</ds:datastoreItem>
</file>

<file path=customXml/itemProps2.xml><?xml version="1.0" encoding="utf-8"?>
<ds:datastoreItem xmlns:ds="http://schemas.openxmlformats.org/officeDocument/2006/customXml" ds:itemID="{8E0905A6-0F9B-4EC5-B88C-9F24DC482E49}">
  <ds:schemaRefs>
    <ds:schemaRef ds:uri="http://schemas.microsoft.com/PowerBIAddIn"/>
  </ds:schemaRefs>
</ds:datastoreItem>
</file>

<file path=customXml/itemProps3.xml><?xml version="1.0" encoding="utf-8"?>
<ds:datastoreItem xmlns:ds="http://schemas.openxmlformats.org/officeDocument/2006/customXml" ds:itemID="{D16196A5-ADD2-4735-A711-FF6203FB216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744c089-3c8b-41d7-9a15-aa5041886147"/>
    <ds:schemaRef ds:uri="68a064a4-a90a-4333-83be-93c6a56d91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22C73E8-B7AC-4336-8CAF-7BE2549B00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14</vt:i4>
      </vt:variant>
      <vt:variant>
        <vt:lpstr>Charts</vt:lpstr>
      </vt:variant>
      <vt:variant>
        <vt:i4>2</vt:i4>
      </vt:variant>
      <vt:variant>
        <vt:lpstr>Named Ranges</vt:lpstr>
      </vt:variant>
      <vt:variant>
        <vt:i4>138</vt:i4>
      </vt:variant>
    </vt:vector>
  </HeadingPairs>
  <TitlesOfParts>
    <vt:vector size="154" baseType="lpstr">
      <vt:lpstr>Face Sheet</vt:lpstr>
      <vt:lpstr>Assessments</vt:lpstr>
      <vt:lpstr>Export Long</vt:lpstr>
      <vt:lpstr>Export Data</vt:lpstr>
      <vt:lpstr>Data Tables</vt:lpstr>
      <vt:lpstr>Summary Sheet</vt:lpstr>
      <vt:lpstr>Report Data</vt:lpstr>
      <vt:lpstr>Family Reports</vt:lpstr>
      <vt:lpstr>Caregiver Reports</vt:lpstr>
      <vt:lpstr>Child Reports</vt:lpstr>
      <vt:lpstr>Plan for Change</vt:lpstr>
      <vt:lpstr>Additional Treatment Targets</vt:lpstr>
      <vt:lpstr>End of Intervention Report</vt:lpstr>
      <vt:lpstr>Meta</vt:lpstr>
      <vt:lpstr>Chart1</vt:lpstr>
      <vt:lpstr>Chart2</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2018-06-15T21:24:59Z</cp:lastPrinted>
  <dcterms:created xsi:type="dcterms:W3CDTF">2017-09-29T17:34:34Z</dcterms:created>
  <dcterms:modified xsi:type="dcterms:W3CDTF">2018-10-16T21:55:26Z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0x010100641BD7B64F5CE348948EB285C255FC51</vt:lpwstr>
  </property>
</Properties>
</file>