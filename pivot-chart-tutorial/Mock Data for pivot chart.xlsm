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mader\Documents\GitHub\tcom-coda\pivot-chart-tutorial\"/>
    </mc:Choice>
  </mc:AlternateContent>
  <bookViews>
    <workbookView xWindow="0" yWindow="0" windowWidth="24000" windowHeight="9735"/>
  </bookViews>
  <sheets>
    <sheet name="To dos" sheetId="9" r:id="rId1"/>
    <sheet name="Data generator" sheetId="1" r:id="rId2"/>
    <sheet name="Sample Data" sheetId="10" r:id="rId3"/>
    <sheet name="Sample Data - Reshaped" sheetId="12" r:id="rId4"/>
  </sheets>
  <functionGroups builtInGroupCount="18"/>
  <definedNames>
    <definedName name="AssessDays">'To dos'!$N$5:$N$19</definedName>
    <definedName name="AssessPd">'To dos'!$P$5:$P$19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S76" i="1" s="1"/>
  <c r="R1" i="1"/>
  <c r="R157" i="1" s="1"/>
  <c r="Q1" i="1"/>
  <c r="Q145" i="1" s="1"/>
  <c r="P1" i="1"/>
  <c r="P60" i="1" s="1"/>
  <c r="O1" i="1"/>
  <c r="O59" i="1" s="1"/>
  <c r="N1" i="1"/>
  <c r="N159" i="1" s="1"/>
  <c r="M1" i="1"/>
  <c r="M83" i="1" s="1"/>
  <c r="L1" i="1"/>
  <c r="L169" i="1" s="1"/>
  <c r="K1" i="1"/>
  <c r="K91" i="1" s="1"/>
  <c r="J1" i="1"/>
  <c r="J161" i="1" s="1"/>
  <c r="N23" i="1" l="1"/>
  <c r="O13" i="1"/>
  <c r="O91" i="1"/>
  <c r="R30" i="1"/>
  <c r="R8" i="1"/>
  <c r="R57" i="1"/>
  <c r="M3" i="1"/>
  <c r="M39" i="1"/>
  <c r="N14" i="1"/>
  <c r="R28" i="1"/>
  <c r="J35" i="1"/>
  <c r="N6" i="1"/>
  <c r="J15" i="1"/>
  <c r="N29" i="1"/>
  <c r="R167" i="1"/>
  <c r="N24" i="1"/>
  <c r="R33" i="1"/>
  <c r="R67" i="1"/>
  <c r="K32" i="1"/>
  <c r="K9" i="1"/>
  <c r="K26" i="1"/>
  <c r="S51" i="1"/>
  <c r="S35" i="1"/>
  <c r="S59" i="1"/>
  <c r="O110" i="1"/>
  <c r="S29" i="1"/>
  <c r="K34" i="1"/>
  <c r="O4" i="1"/>
  <c r="S10" i="1"/>
  <c r="S21" i="1"/>
  <c r="S27" i="1"/>
  <c r="K57" i="1"/>
  <c r="S78" i="1"/>
  <c r="M113" i="1"/>
  <c r="J132" i="1"/>
  <c r="L25" i="1"/>
  <c r="J107" i="1"/>
  <c r="O117" i="1"/>
  <c r="K98" i="1"/>
  <c r="P110" i="1"/>
  <c r="P158" i="1"/>
  <c r="M23" i="1"/>
  <c r="Q11" i="1"/>
  <c r="K19" i="1"/>
  <c r="K24" i="1"/>
  <c r="J27" i="1"/>
  <c r="J33" i="1"/>
  <c r="M55" i="1"/>
  <c r="J60" i="1"/>
  <c r="J79" i="1"/>
  <c r="J145" i="1"/>
  <c r="N183" i="1"/>
  <c r="M9" i="1"/>
  <c r="Q31" i="1"/>
  <c r="Q47" i="1"/>
  <c r="Q71" i="1"/>
  <c r="Q161" i="1"/>
  <c r="K5" i="1"/>
  <c r="S13" i="1"/>
  <c r="S36" i="1"/>
  <c r="K40" i="1"/>
  <c r="O50" i="1"/>
  <c r="O52" i="1"/>
  <c r="K72" i="1"/>
  <c r="S91" i="1"/>
  <c r="O119" i="1"/>
  <c r="O19" i="1"/>
  <c r="O5" i="1"/>
  <c r="K8" i="1"/>
  <c r="O9" i="1"/>
  <c r="K12" i="1"/>
  <c r="K17" i="1"/>
  <c r="S19" i="1"/>
  <c r="K25" i="1"/>
  <c r="K27" i="1"/>
  <c r="S28" i="1"/>
  <c r="S30" i="1"/>
  <c r="K33" i="1"/>
  <c r="K35" i="1"/>
  <c r="S37" i="1"/>
  <c r="S44" i="1"/>
  <c r="K51" i="1"/>
  <c r="K59" i="1"/>
  <c r="S61" i="1"/>
  <c r="K74" i="1"/>
  <c r="K89" i="1"/>
  <c r="S93" i="1"/>
  <c r="K111" i="1"/>
  <c r="O143" i="1"/>
  <c r="S103" i="1"/>
  <c r="S6" i="1"/>
  <c r="K16" i="1"/>
  <c r="S22" i="1"/>
  <c r="K4" i="1"/>
  <c r="S5" i="1"/>
  <c r="S9" i="1"/>
  <c r="K13" i="1"/>
  <c r="S14" i="1"/>
  <c r="K18" i="1"/>
  <c r="S20" i="1"/>
  <c r="O27" i="1"/>
  <c r="O35" i="1"/>
  <c r="O38" i="1"/>
  <c r="O45" i="1"/>
  <c r="O51" i="1"/>
  <c r="P56" i="1"/>
  <c r="N4" i="1"/>
  <c r="J12" i="1"/>
  <c r="N18" i="1"/>
  <c r="R20" i="1"/>
  <c r="N85" i="1"/>
  <c r="R153" i="1"/>
  <c r="R174" i="1"/>
  <c r="J5" i="1"/>
  <c r="J6" i="1"/>
  <c r="N8" i="1"/>
  <c r="N9" i="1"/>
  <c r="J11" i="1"/>
  <c r="N17" i="1"/>
  <c r="R96" i="1"/>
  <c r="P18" i="1"/>
  <c r="J20" i="1"/>
  <c r="J22" i="1"/>
  <c r="R25" i="1"/>
  <c r="N28" i="1"/>
  <c r="R29" i="1"/>
  <c r="R32" i="1"/>
  <c r="R50" i="1"/>
  <c r="J63" i="1"/>
  <c r="N86" i="1"/>
  <c r="R105" i="1"/>
  <c r="J138" i="1"/>
  <c r="P145" i="1"/>
  <c r="L176" i="1"/>
  <c r="L93" i="1"/>
  <c r="L139" i="1"/>
  <c r="N3" i="1"/>
  <c r="P4" i="1"/>
  <c r="J7" i="1"/>
  <c r="R9" i="1"/>
  <c r="L11" i="1"/>
  <c r="J13" i="1"/>
  <c r="J14" i="1"/>
  <c r="J16" i="1"/>
  <c r="N26" i="1"/>
  <c r="R27" i="1"/>
  <c r="N30" i="1"/>
  <c r="R31" i="1"/>
  <c r="R43" i="1"/>
  <c r="R47" i="1"/>
  <c r="N56" i="1"/>
  <c r="L69" i="1"/>
  <c r="N74" i="1"/>
  <c r="N80" i="1"/>
  <c r="N155" i="1"/>
  <c r="Q5" i="1"/>
  <c r="M7" i="1"/>
  <c r="M15" i="1"/>
  <c r="M19" i="1"/>
  <c r="Q99" i="1"/>
  <c r="J3" i="1"/>
  <c r="J4" i="1"/>
  <c r="N5" i="1"/>
  <c r="Q9" i="1"/>
  <c r="N11" i="1"/>
  <c r="R12" i="1"/>
  <c r="N13" i="1"/>
  <c r="R15" i="1"/>
  <c r="R16" i="1"/>
  <c r="J18" i="1"/>
  <c r="R18" i="1"/>
  <c r="N21" i="1"/>
  <c r="J24" i="1"/>
  <c r="N27" i="1"/>
  <c r="J28" i="1"/>
  <c r="J29" i="1"/>
  <c r="J30" i="1"/>
  <c r="J31" i="1"/>
  <c r="N32" i="1"/>
  <c r="N33" i="1"/>
  <c r="R34" i="1"/>
  <c r="R41" i="1"/>
  <c r="R45" i="1"/>
  <c r="N54" i="1"/>
  <c r="Q59" i="1"/>
  <c r="R60" i="1"/>
  <c r="R65" i="1"/>
  <c r="J71" i="1"/>
  <c r="N84" i="1"/>
  <c r="R95" i="1"/>
  <c r="N101" i="1"/>
  <c r="R108" i="1"/>
  <c r="N111" i="1"/>
  <c r="N130" i="1"/>
  <c r="M153" i="1"/>
  <c r="M169" i="1"/>
  <c r="R181" i="1"/>
  <c r="Q181" i="1"/>
  <c r="Q13" i="1"/>
  <c r="M75" i="1"/>
  <c r="R3" i="1"/>
  <c r="M5" i="1"/>
  <c r="R5" i="1"/>
  <c r="R6" i="1"/>
  <c r="R7" i="1"/>
  <c r="J9" i="1"/>
  <c r="N10" i="1"/>
  <c r="M11" i="1"/>
  <c r="M13" i="1"/>
  <c r="R13" i="1"/>
  <c r="R14" i="1"/>
  <c r="N15" i="1"/>
  <c r="N16" i="1"/>
  <c r="R17" i="1"/>
  <c r="R22" i="1"/>
  <c r="R23" i="1"/>
  <c r="J25" i="1"/>
  <c r="J26" i="1"/>
  <c r="N34" i="1"/>
  <c r="M35" i="1"/>
  <c r="J41" i="1"/>
  <c r="N49" i="1"/>
  <c r="M51" i="1"/>
  <c r="R52" i="1"/>
  <c r="J65" i="1"/>
  <c r="N69" i="1"/>
  <c r="R72" i="1"/>
  <c r="Q87" i="1"/>
  <c r="Q91" i="1"/>
  <c r="Q95" i="1"/>
  <c r="N100" i="1"/>
  <c r="R107" i="1"/>
  <c r="N121" i="1"/>
  <c r="J157" i="1"/>
  <c r="N176" i="1"/>
  <c r="L182" i="1"/>
  <c r="L177" i="1"/>
  <c r="L174" i="1"/>
  <c r="L172" i="1"/>
  <c r="L170" i="1"/>
  <c r="L167" i="1"/>
  <c r="L165" i="1"/>
  <c r="L163" i="1"/>
  <c r="L160" i="1"/>
  <c r="L158" i="1"/>
  <c r="L155" i="1"/>
  <c r="L144" i="1"/>
  <c r="L136" i="1"/>
  <c r="L134" i="1"/>
  <c r="L132" i="1"/>
  <c r="L128" i="1"/>
  <c r="L126" i="1"/>
  <c r="L124" i="1"/>
  <c r="L122" i="1"/>
  <c r="L116" i="1"/>
  <c r="L114" i="1"/>
  <c r="L113" i="1"/>
  <c r="L106" i="1"/>
  <c r="L96" i="1"/>
  <c r="L92" i="1"/>
  <c r="L85" i="1"/>
  <c r="L77" i="1"/>
  <c r="L72" i="1"/>
  <c r="L70" i="1"/>
  <c r="L66" i="1"/>
  <c r="L61" i="1"/>
  <c r="L57" i="1"/>
  <c r="L56" i="1"/>
  <c r="L55" i="1"/>
  <c r="L180" i="1"/>
  <c r="L178" i="1"/>
  <c r="L175" i="1"/>
  <c r="L168" i="1"/>
  <c r="L156" i="1"/>
  <c r="L152" i="1"/>
  <c r="L150" i="1"/>
  <c r="L148" i="1"/>
  <c r="L146" i="1"/>
  <c r="L145" i="1"/>
  <c r="L142" i="1"/>
  <c r="L140" i="1"/>
  <c r="L138" i="1"/>
  <c r="L121" i="1"/>
  <c r="L119" i="1"/>
  <c r="L111" i="1"/>
  <c r="L110" i="1"/>
  <c r="L107" i="1"/>
  <c r="L105" i="1"/>
  <c r="L103" i="1"/>
  <c r="L100" i="1"/>
  <c r="L99" i="1"/>
  <c r="L97" i="1"/>
  <c r="L95" i="1"/>
  <c r="L90" i="1"/>
  <c r="L86" i="1"/>
  <c r="L82" i="1"/>
  <c r="L73" i="1"/>
  <c r="L71" i="1"/>
  <c r="L68" i="1"/>
  <c r="L62" i="1"/>
  <c r="L58" i="1"/>
  <c r="L53" i="1"/>
  <c r="L52" i="1"/>
  <c r="L48" i="1"/>
  <c r="L41" i="1"/>
  <c r="L39" i="1"/>
  <c r="L171" i="1"/>
  <c r="L164" i="1"/>
  <c r="L161" i="1"/>
  <c r="L157" i="1"/>
  <c r="L154" i="1"/>
  <c r="L135" i="1"/>
  <c r="L130" i="1"/>
  <c r="L127" i="1"/>
  <c r="L123" i="1"/>
  <c r="L108" i="1"/>
  <c r="L104" i="1"/>
  <c r="L101" i="1"/>
  <c r="L89" i="1"/>
  <c r="L87" i="1"/>
  <c r="L83" i="1"/>
  <c r="L80" i="1"/>
  <c r="L64" i="1"/>
  <c r="L60" i="1"/>
  <c r="L54" i="1"/>
  <c r="L51" i="1"/>
  <c r="L47" i="1"/>
  <c r="L35" i="1"/>
  <c r="L32" i="1"/>
  <c r="L30" i="1"/>
  <c r="L28" i="1"/>
  <c r="L24" i="1"/>
  <c r="L23" i="1"/>
  <c r="L22" i="1"/>
  <c r="L19" i="1"/>
  <c r="L16" i="1"/>
  <c r="L15" i="1"/>
  <c r="L12" i="1"/>
  <c r="L10" i="1"/>
  <c r="L9" i="1"/>
  <c r="L7" i="1"/>
  <c r="L98" i="1"/>
  <c r="L88" i="1"/>
  <c r="L79" i="1"/>
  <c r="L42" i="1"/>
  <c r="L38" i="1"/>
  <c r="L33" i="1"/>
  <c r="L29" i="1"/>
  <c r="L26" i="1"/>
  <c r="L14" i="1"/>
  <c r="L6" i="1"/>
  <c r="L183" i="1"/>
  <c r="L181" i="1"/>
  <c r="L151" i="1"/>
  <c r="L147" i="1"/>
  <c r="L141" i="1"/>
  <c r="L120" i="1"/>
  <c r="L117" i="1"/>
  <c r="L94" i="1"/>
  <c r="L91" i="1"/>
  <c r="L78" i="1"/>
  <c r="L76" i="1"/>
  <c r="L74" i="1"/>
  <c r="L50" i="1"/>
  <c r="L44" i="1"/>
  <c r="L43" i="1"/>
  <c r="L37" i="1"/>
  <c r="L27" i="1"/>
  <c r="L21" i="1"/>
  <c r="L20" i="1"/>
  <c r="L18" i="1"/>
  <c r="L4" i="1"/>
  <c r="L3" i="1"/>
  <c r="L173" i="1"/>
  <c r="L166" i="1"/>
  <c r="L162" i="1"/>
  <c r="L159" i="1"/>
  <c r="L137" i="1"/>
  <c r="L133" i="1"/>
  <c r="L131" i="1"/>
  <c r="L129" i="1"/>
  <c r="L125" i="1"/>
  <c r="L109" i="1"/>
  <c r="L102" i="1"/>
  <c r="L84" i="1"/>
  <c r="L81" i="1"/>
  <c r="L67" i="1"/>
  <c r="L65" i="1"/>
  <c r="L63" i="1"/>
  <c r="L59" i="1"/>
  <c r="L46" i="1"/>
  <c r="L45" i="1"/>
  <c r="L34" i="1"/>
  <c r="L31" i="1"/>
  <c r="L8" i="1"/>
  <c r="P183" i="1"/>
  <c r="P180" i="1"/>
  <c r="P178" i="1"/>
  <c r="P175" i="1"/>
  <c r="P168" i="1"/>
  <c r="P161" i="1"/>
  <c r="P156" i="1"/>
  <c r="P152" i="1"/>
  <c r="P150" i="1"/>
  <c r="P148" i="1"/>
  <c r="P146" i="1"/>
  <c r="P142" i="1"/>
  <c r="P140" i="1"/>
  <c r="P138" i="1"/>
  <c r="P137" i="1"/>
  <c r="P130" i="1"/>
  <c r="P129" i="1"/>
  <c r="P119" i="1"/>
  <c r="P117" i="1"/>
  <c r="P107" i="1"/>
  <c r="P103" i="1"/>
  <c r="P101" i="1"/>
  <c r="P97" i="1"/>
  <c r="P90" i="1"/>
  <c r="P87" i="1"/>
  <c r="P82" i="1"/>
  <c r="P80" i="1"/>
  <c r="P79" i="1"/>
  <c r="P74" i="1"/>
  <c r="P73" i="1"/>
  <c r="P68" i="1"/>
  <c r="P67" i="1"/>
  <c r="P63" i="1"/>
  <c r="P62" i="1"/>
  <c r="P58" i="1"/>
  <c r="P53" i="1"/>
  <c r="P51" i="1"/>
  <c r="P176" i="1"/>
  <c r="P173" i="1"/>
  <c r="P171" i="1"/>
  <c r="P169" i="1"/>
  <c r="P166" i="1"/>
  <c r="P164" i="1"/>
  <c r="P162" i="1"/>
  <c r="P159" i="1"/>
  <c r="P157" i="1"/>
  <c r="P154" i="1"/>
  <c r="P153" i="1"/>
  <c r="P143" i="1"/>
  <c r="P135" i="1"/>
  <c r="P133" i="1"/>
  <c r="P127" i="1"/>
  <c r="P125" i="1"/>
  <c r="P123" i="1"/>
  <c r="P115" i="1"/>
  <c r="P112" i="1"/>
  <c r="P108" i="1"/>
  <c r="P93" i="1"/>
  <c r="P88" i="1"/>
  <c r="P84" i="1"/>
  <c r="P83" i="1"/>
  <c r="P78" i="1"/>
  <c r="P75" i="1"/>
  <c r="P69" i="1"/>
  <c r="P64" i="1"/>
  <c r="P54" i="1"/>
  <c r="P49" i="1"/>
  <c r="P42" i="1"/>
  <c r="P36" i="1"/>
  <c r="P35" i="1"/>
  <c r="P33" i="1"/>
  <c r="P181" i="1"/>
  <c r="P177" i="1"/>
  <c r="P151" i="1"/>
  <c r="P147" i="1"/>
  <c r="P141" i="1"/>
  <c r="P120" i="1"/>
  <c r="P114" i="1"/>
  <c r="P111" i="1"/>
  <c r="P99" i="1"/>
  <c r="P96" i="1"/>
  <c r="P94" i="1"/>
  <c r="P92" i="1"/>
  <c r="P76" i="1"/>
  <c r="P72" i="1"/>
  <c r="P59" i="1"/>
  <c r="P48" i="1"/>
  <c r="P45" i="1"/>
  <c r="P44" i="1"/>
  <c r="P41" i="1"/>
  <c r="P38" i="1"/>
  <c r="P37" i="1"/>
  <c r="P34" i="1"/>
  <c r="P31" i="1"/>
  <c r="P29" i="1"/>
  <c r="P26" i="1"/>
  <c r="P20" i="1"/>
  <c r="P14" i="1"/>
  <c r="P11" i="1"/>
  <c r="P9" i="1"/>
  <c r="P8" i="1"/>
  <c r="P6" i="1"/>
  <c r="P52" i="1"/>
  <c r="P40" i="1"/>
  <c r="P7" i="1"/>
  <c r="P174" i="1"/>
  <c r="P170" i="1"/>
  <c r="P167" i="1"/>
  <c r="P163" i="1"/>
  <c r="P160" i="1"/>
  <c r="P144" i="1"/>
  <c r="P134" i="1"/>
  <c r="P131" i="1"/>
  <c r="P126" i="1"/>
  <c r="P122" i="1"/>
  <c r="P113" i="1"/>
  <c r="P109" i="1"/>
  <c r="P102" i="1"/>
  <c r="P100" i="1"/>
  <c r="P98" i="1"/>
  <c r="P86" i="1"/>
  <c r="P81" i="1"/>
  <c r="P70" i="1"/>
  <c r="P65" i="1"/>
  <c r="P61" i="1"/>
  <c r="P57" i="1"/>
  <c r="P55" i="1"/>
  <c r="P46" i="1"/>
  <c r="P27" i="1"/>
  <c r="P23" i="1"/>
  <c r="P19" i="1"/>
  <c r="P17" i="1"/>
  <c r="P15" i="1"/>
  <c r="P184" i="1"/>
  <c r="P182" i="1"/>
  <c r="P179" i="1"/>
  <c r="P155" i="1"/>
  <c r="P149" i="1"/>
  <c r="P139" i="1"/>
  <c r="P121" i="1"/>
  <c r="P118" i="1"/>
  <c r="P116" i="1"/>
  <c r="P105" i="1"/>
  <c r="P77" i="1"/>
  <c r="P39" i="1"/>
  <c r="P32" i="1"/>
  <c r="P30" i="1"/>
  <c r="P28" i="1"/>
  <c r="P25" i="1"/>
  <c r="P24" i="1"/>
  <c r="P16" i="1"/>
  <c r="P10" i="1"/>
  <c r="P3" i="1"/>
  <c r="P12" i="1"/>
  <c r="L13" i="1"/>
  <c r="P13" i="1"/>
  <c r="P22" i="1"/>
  <c r="L36" i="1"/>
  <c r="P50" i="1"/>
  <c r="L75" i="1"/>
  <c r="P91" i="1"/>
  <c r="P104" i="1"/>
  <c r="L115" i="1"/>
  <c r="P124" i="1"/>
  <c r="P132" i="1"/>
  <c r="L143" i="1"/>
  <c r="L184" i="1"/>
  <c r="L5" i="1"/>
  <c r="P5" i="1"/>
  <c r="L17" i="1"/>
  <c r="P21" i="1"/>
  <c r="P43" i="1"/>
  <c r="L49" i="1"/>
  <c r="P66" i="1"/>
  <c r="P85" i="1"/>
  <c r="P89" i="1"/>
  <c r="P95" i="1"/>
  <c r="P128" i="1"/>
  <c r="P136" i="1"/>
  <c r="L149" i="1"/>
  <c r="P165" i="1"/>
  <c r="P172" i="1"/>
  <c r="L179" i="1"/>
  <c r="L40" i="1"/>
  <c r="P47" i="1"/>
  <c r="P71" i="1"/>
  <c r="P106" i="1"/>
  <c r="L112" i="1"/>
  <c r="L118" i="1"/>
  <c r="L153" i="1"/>
  <c r="M145" i="1"/>
  <c r="M121" i="1"/>
  <c r="M105" i="1"/>
  <c r="M99" i="1"/>
  <c r="M95" i="1"/>
  <c r="M71" i="1"/>
  <c r="M161" i="1"/>
  <c r="M137" i="1"/>
  <c r="M129" i="1"/>
  <c r="M91" i="1"/>
  <c r="M87" i="1"/>
  <c r="M79" i="1"/>
  <c r="M67" i="1"/>
  <c r="M63" i="1"/>
  <c r="M59" i="1"/>
  <c r="M47" i="1"/>
  <c r="Q153" i="1"/>
  <c r="Q83" i="1"/>
  <c r="Q75" i="1"/>
  <c r="Q121" i="1"/>
  <c r="Q113" i="1"/>
  <c r="Q55" i="1"/>
  <c r="Q43" i="1"/>
  <c r="Q3" i="1"/>
  <c r="Q7" i="1"/>
  <c r="M31" i="1"/>
  <c r="Q35" i="1"/>
  <c r="Q39" i="1"/>
  <c r="Q51" i="1"/>
  <c r="Q63" i="1"/>
  <c r="Q67" i="1"/>
  <c r="Q79" i="1"/>
  <c r="Q105" i="1"/>
  <c r="Q129" i="1"/>
  <c r="Q137" i="1"/>
  <c r="M177" i="1"/>
  <c r="Q15" i="1"/>
  <c r="Q19" i="1"/>
  <c r="Q23" i="1"/>
  <c r="M27" i="1"/>
  <c r="Q27" i="1"/>
  <c r="M43" i="1"/>
  <c r="N35" i="1"/>
  <c r="R35" i="1"/>
  <c r="N36" i="1"/>
  <c r="J37" i="1"/>
  <c r="R37" i="1"/>
  <c r="N38" i="1"/>
  <c r="J39" i="1"/>
  <c r="R40" i="1"/>
  <c r="N42" i="1"/>
  <c r="N44" i="1"/>
  <c r="J45" i="1"/>
  <c r="N46" i="1"/>
  <c r="N48" i="1"/>
  <c r="J50" i="1"/>
  <c r="J52" i="1"/>
  <c r="N53" i="1"/>
  <c r="J55" i="1"/>
  <c r="J57" i="1"/>
  <c r="N58" i="1"/>
  <c r="N61" i="1"/>
  <c r="J62" i="1"/>
  <c r="R62" i="1"/>
  <c r="N63" i="1"/>
  <c r="J64" i="1"/>
  <c r="R64" i="1"/>
  <c r="N66" i="1"/>
  <c r="N68" i="1"/>
  <c r="J70" i="1"/>
  <c r="R70" i="1"/>
  <c r="N71" i="1"/>
  <c r="J72" i="1"/>
  <c r="N73" i="1"/>
  <c r="J75" i="1"/>
  <c r="N76" i="1"/>
  <c r="J77" i="1"/>
  <c r="R77" i="1"/>
  <c r="N79" i="1"/>
  <c r="J81" i="1"/>
  <c r="J82" i="1"/>
  <c r="R82" i="1"/>
  <c r="J87" i="1"/>
  <c r="N88" i="1"/>
  <c r="R89" i="1"/>
  <c r="J91" i="1"/>
  <c r="N91" i="1"/>
  <c r="R91" i="1"/>
  <c r="N92" i="1"/>
  <c r="N93" i="1"/>
  <c r="N97" i="1"/>
  <c r="N98" i="1"/>
  <c r="J102" i="1"/>
  <c r="J103" i="1"/>
  <c r="R103" i="1"/>
  <c r="J105" i="1"/>
  <c r="N109" i="1"/>
  <c r="J122" i="1"/>
  <c r="R132" i="1"/>
  <c r="N134" i="1"/>
  <c r="J136" i="1"/>
  <c r="R138" i="1"/>
  <c r="N140" i="1"/>
  <c r="J142" i="1"/>
  <c r="J147" i="1"/>
  <c r="J183" i="1"/>
  <c r="J179" i="1"/>
  <c r="J176" i="1"/>
  <c r="J172" i="1"/>
  <c r="J169" i="1"/>
  <c r="J165" i="1"/>
  <c r="J159" i="1"/>
  <c r="J155" i="1"/>
  <c r="J153" i="1"/>
  <c r="J149" i="1"/>
  <c r="J140" i="1"/>
  <c r="J134" i="1"/>
  <c r="J130" i="1"/>
  <c r="J128" i="1"/>
  <c r="J124" i="1"/>
  <c r="J118" i="1"/>
  <c r="J115" i="1"/>
  <c r="J113" i="1"/>
  <c r="J182" i="1"/>
  <c r="J178" i="1"/>
  <c r="J175" i="1"/>
  <c r="J171" i="1"/>
  <c r="J168" i="1"/>
  <c r="J164" i="1"/>
  <c r="J158" i="1"/>
  <c r="J154" i="1"/>
  <c r="J152" i="1"/>
  <c r="J148" i="1"/>
  <c r="J143" i="1"/>
  <c r="J139" i="1"/>
  <c r="J137" i="1"/>
  <c r="J133" i="1"/>
  <c r="J127" i="1"/>
  <c r="J123" i="1"/>
  <c r="J121" i="1"/>
  <c r="J114" i="1"/>
  <c r="J112" i="1"/>
  <c r="J110" i="1"/>
  <c r="J106" i="1"/>
  <c r="J104" i="1"/>
  <c r="J100" i="1"/>
  <c r="J98" i="1"/>
  <c r="J93" i="1"/>
  <c r="J90" i="1"/>
  <c r="J85" i="1"/>
  <c r="J83" i="1"/>
  <c r="J78" i="1"/>
  <c r="J74" i="1"/>
  <c r="J184" i="1"/>
  <c r="J180" i="1"/>
  <c r="J177" i="1"/>
  <c r="J173" i="1"/>
  <c r="J166" i="1"/>
  <c r="J162" i="1"/>
  <c r="J160" i="1"/>
  <c r="J156" i="1"/>
  <c r="J150" i="1"/>
  <c r="J146" i="1"/>
  <c r="J144" i="1"/>
  <c r="J141" i="1"/>
  <c r="J135" i="1"/>
  <c r="J131" i="1"/>
  <c r="J129" i="1"/>
  <c r="J125" i="1"/>
  <c r="J119" i="1"/>
  <c r="J116" i="1"/>
  <c r="J111" i="1"/>
  <c r="N181" i="1"/>
  <c r="N177" i="1"/>
  <c r="N174" i="1"/>
  <c r="N170" i="1"/>
  <c r="N167" i="1"/>
  <c r="N163" i="1"/>
  <c r="N157" i="1"/>
  <c r="N151" i="1"/>
  <c r="N147" i="1"/>
  <c r="N142" i="1"/>
  <c r="N138" i="1"/>
  <c r="N136" i="1"/>
  <c r="N132" i="1"/>
  <c r="N129" i="1"/>
  <c r="N126" i="1"/>
  <c r="N122" i="1"/>
  <c r="N120" i="1"/>
  <c r="N117" i="1"/>
  <c r="N184" i="1"/>
  <c r="N180" i="1"/>
  <c r="N173" i="1"/>
  <c r="N169" i="1"/>
  <c r="N166" i="1"/>
  <c r="N162" i="1"/>
  <c r="N160" i="1"/>
  <c r="N156" i="1"/>
  <c r="N153" i="1"/>
  <c r="N150" i="1"/>
  <c r="N146" i="1"/>
  <c r="N144" i="1"/>
  <c r="N141" i="1"/>
  <c r="N135" i="1"/>
  <c r="N131" i="1"/>
  <c r="N125" i="1"/>
  <c r="N119" i="1"/>
  <c r="N116" i="1"/>
  <c r="N113" i="1"/>
  <c r="N108" i="1"/>
  <c r="N105" i="1"/>
  <c r="N102" i="1"/>
  <c r="N99" i="1"/>
  <c r="N96" i="1"/>
  <c r="N94" i="1"/>
  <c r="N81" i="1"/>
  <c r="N182" i="1"/>
  <c r="N178" i="1"/>
  <c r="N175" i="1"/>
  <c r="N171" i="1"/>
  <c r="N168" i="1"/>
  <c r="N164" i="1"/>
  <c r="N161" i="1"/>
  <c r="N158" i="1"/>
  <c r="N154" i="1"/>
  <c r="N152" i="1"/>
  <c r="N148" i="1"/>
  <c r="N145" i="1"/>
  <c r="N143" i="1"/>
  <c r="N139" i="1"/>
  <c r="N133" i="1"/>
  <c r="N127" i="1"/>
  <c r="N123" i="1"/>
  <c r="N114" i="1"/>
  <c r="N112" i="1"/>
  <c r="N110" i="1"/>
  <c r="R183" i="1"/>
  <c r="R179" i="1"/>
  <c r="R176" i="1"/>
  <c r="R172" i="1"/>
  <c r="R165" i="1"/>
  <c r="R161" i="1"/>
  <c r="R159" i="1"/>
  <c r="R155" i="1"/>
  <c r="R149" i="1"/>
  <c r="R145" i="1"/>
  <c r="R143" i="1"/>
  <c r="R140" i="1"/>
  <c r="R134" i="1"/>
  <c r="R130" i="1"/>
  <c r="R128" i="1"/>
  <c r="R124" i="1"/>
  <c r="R118" i="1"/>
  <c r="R115" i="1"/>
  <c r="R182" i="1"/>
  <c r="R178" i="1"/>
  <c r="R175" i="1"/>
  <c r="R171" i="1"/>
  <c r="R168" i="1"/>
  <c r="R164" i="1"/>
  <c r="R158" i="1"/>
  <c r="R154" i="1"/>
  <c r="R152" i="1"/>
  <c r="R148" i="1"/>
  <c r="R139" i="1"/>
  <c r="R133" i="1"/>
  <c r="R129" i="1"/>
  <c r="R127" i="1"/>
  <c r="R123" i="1"/>
  <c r="R117" i="1"/>
  <c r="R114" i="1"/>
  <c r="R112" i="1"/>
  <c r="R106" i="1"/>
  <c r="R104" i="1"/>
  <c r="R100" i="1"/>
  <c r="R98" i="1"/>
  <c r="R93" i="1"/>
  <c r="R90" i="1"/>
  <c r="R87" i="1"/>
  <c r="R85" i="1"/>
  <c r="R79" i="1"/>
  <c r="R78" i="1"/>
  <c r="R75" i="1"/>
  <c r="R184" i="1"/>
  <c r="R180" i="1"/>
  <c r="R173" i="1"/>
  <c r="R169" i="1"/>
  <c r="R166" i="1"/>
  <c r="R162" i="1"/>
  <c r="R160" i="1"/>
  <c r="R156" i="1"/>
  <c r="R150" i="1"/>
  <c r="R146" i="1"/>
  <c r="R144" i="1"/>
  <c r="R141" i="1"/>
  <c r="R137" i="1"/>
  <c r="R135" i="1"/>
  <c r="R131" i="1"/>
  <c r="R125" i="1"/>
  <c r="R121" i="1"/>
  <c r="R119" i="1"/>
  <c r="R116" i="1"/>
  <c r="R4" i="1"/>
  <c r="N7" i="1"/>
  <c r="J8" i="1"/>
  <c r="J10" i="1"/>
  <c r="R10" i="1"/>
  <c r="R11" i="1"/>
  <c r="N12" i="1"/>
  <c r="J17" i="1"/>
  <c r="J19" i="1"/>
  <c r="N19" i="1"/>
  <c r="R19" i="1"/>
  <c r="N20" i="1"/>
  <c r="J21" i="1"/>
  <c r="R21" i="1"/>
  <c r="N22" i="1"/>
  <c r="J23" i="1"/>
  <c r="R24" i="1"/>
  <c r="N25" i="1"/>
  <c r="R26" i="1"/>
  <c r="N31" i="1"/>
  <c r="J32" i="1"/>
  <c r="J34" i="1"/>
  <c r="J36" i="1"/>
  <c r="R36" i="1"/>
  <c r="N37" i="1"/>
  <c r="J38" i="1"/>
  <c r="R39" i="1"/>
  <c r="N40" i="1"/>
  <c r="J42" i="1"/>
  <c r="R42" i="1"/>
  <c r="N43" i="1"/>
  <c r="J44" i="1"/>
  <c r="R44" i="1"/>
  <c r="N45" i="1"/>
  <c r="J46" i="1"/>
  <c r="R46" i="1"/>
  <c r="N47" i="1"/>
  <c r="J48" i="1"/>
  <c r="R48" i="1"/>
  <c r="N50" i="1"/>
  <c r="J51" i="1"/>
  <c r="N51" i="1"/>
  <c r="R51" i="1"/>
  <c r="N52" i="1"/>
  <c r="J53" i="1"/>
  <c r="R53" i="1"/>
  <c r="R55" i="1"/>
  <c r="J58" i="1"/>
  <c r="R58" i="1"/>
  <c r="J61" i="1"/>
  <c r="R61" i="1"/>
  <c r="N62" i="1"/>
  <c r="N64" i="1"/>
  <c r="J66" i="1"/>
  <c r="R66" i="1"/>
  <c r="N67" i="1"/>
  <c r="J68" i="1"/>
  <c r="R68" i="1"/>
  <c r="N70" i="1"/>
  <c r="J73" i="1"/>
  <c r="R73" i="1"/>
  <c r="J76" i="1"/>
  <c r="R76" i="1"/>
  <c r="N77" i="1"/>
  <c r="N78" i="1"/>
  <c r="N82" i="1"/>
  <c r="R83" i="1"/>
  <c r="J88" i="1"/>
  <c r="R88" i="1"/>
  <c r="N89" i="1"/>
  <c r="N90" i="1"/>
  <c r="J92" i="1"/>
  <c r="R92" i="1"/>
  <c r="R94" i="1"/>
  <c r="N95" i="1"/>
  <c r="J96" i="1"/>
  <c r="J97" i="1"/>
  <c r="R97" i="1"/>
  <c r="J99" i="1"/>
  <c r="N103" i="1"/>
  <c r="N104" i="1"/>
  <c r="J108" i="1"/>
  <c r="J109" i="1"/>
  <c r="R109" i="1"/>
  <c r="R110" i="1"/>
  <c r="R113" i="1"/>
  <c r="N115" i="1"/>
  <c r="J117" i="1"/>
  <c r="R120" i="1"/>
  <c r="R126" i="1"/>
  <c r="N128" i="1"/>
  <c r="N137" i="1"/>
  <c r="R151" i="1"/>
  <c r="R163" i="1"/>
  <c r="N165" i="1"/>
  <c r="J167" i="1"/>
  <c r="R170" i="1"/>
  <c r="N172" i="1"/>
  <c r="J174" i="1"/>
  <c r="R177" i="1"/>
  <c r="N179" i="1"/>
  <c r="J181" i="1"/>
  <c r="R38" i="1"/>
  <c r="N39" i="1"/>
  <c r="J40" i="1"/>
  <c r="N41" i="1"/>
  <c r="J43" i="1"/>
  <c r="J47" i="1"/>
  <c r="J49" i="1"/>
  <c r="R49" i="1"/>
  <c r="J54" i="1"/>
  <c r="R54" i="1"/>
  <c r="N55" i="1"/>
  <c r="J56" i="1"/>
  <c r="R56" i="1"/>
  <c r="N57" i="1"/>
  <c r="J59" i="1"/>
  <c r="N59" i="1"/>
  <c r="R59" i="1"/>
  <c r="N60" i="1"/>
  <c r="R63" i="1"/>
  <c r="N65" i="1"/>
  <c r="J67" i="1"/>
  <c r="J69" i="1"/>
  <c r="R69" i="1"/>
  <c r="R71" i="1"/>
  <c r="N72" i="1"/>
  <c r="R74" i="1"/>
  <c r="N75" i="1"/>
  <c r="J80" i="1"/>
  <c r="R80" i="1"/>
  <c r="R81" i="1"/>
  <c r="N83" i="1"/>
  <c r="J84" i="1"/>
  <c r="R84" i="1"/>
  <c r="J86" i="1"/>
  <c r="R86" i="1"/>
  <c r="N87" i="1"/>
  <c r="J89" i="1"/>
  <c r="J94" i="1"/>
  <c r="J95" i="1"/>
  <c r="R99" i="1"/>
  <c r="J101" i="1"/>
  <c r="R101" i="1"/>
  <c r="R102" i="1"/>
  <c r="N106" i="1"/>
  <c r="N107" i="1"/>
  <c r="R111" i="1"/>
  <c r="N118" i="1"/>
  <c r="J120" i="1"/>
  <c r="R122" i="1"/>
  <c r="N124" i="1"/>
  <c r="J126" i="1"/>
  <c r="R136" i="1"/>
  <c r="R142" i="1"/>
  <c r="R147" i="1"/>
  <c r="N149" i="1"/>
  <c r="J151" i="1"/>
  <c r="J163" i="1"/>
  <c r="J170" i="1"/>
  <c r="O8" i="1"/>
  <c r="O12" i="1"/>
  <c r="O16" i="1"/>
  <c r="O17" i="1"/>
  <c r="O18" i="1"/>
  <c r="O24" i="1"/>
  <c r="O25" i="1"/>
  <c r="O26" i="1"/>
  <c r="O32" i="1"/>
  <c r="O33" i="1"/>
  <c r="O34" i="1"/>
  <c r="S38" i="1"/>
  <c r="O40" i="1"/>
  <c r="K41" i="1"/>
  <c r="S45" i="1"/>
  <c r="O46" i="1"/>
  <c r="K48" i="1"/>
  <c r="S52" i="1"/>
  <c r="O53" i="1"/>
  <c r="K64" i="1"/>
  <c r="K66" i="1"/>
  <c r="S68" i="1"/>
  <c r="S70" i="1"/>
  <c r="K81" i="1"/>
  <c r="K83" i="1"/>
  <c r="O83" i="1"/>
  <c r="S83" i="1"/>
  <c r="S85" i="1"/>
  <c r="K96" i="1"/>
  <c r="S100" i="1"/>
  <c r="S102" i="1"/>
  <c r="S104" i="1"/>
  <c r="K184" i="1"/>
  <c r="K183" i="1"/>
  <c r="K182" i="1"/>
  <c r="K181" i="1"/>
  <c r="K180" i="1"/>
  <c r="K179" i="1"/>
  <c r="K178" i="1"/>
  <c r="K161" i="1"/>
  <c r="K160" i="1"/>
  <c r="K159" i="1"/>
  <c r="K158" i="1"/>
  <c r="K157" i="1"/>
  <c r="K156" i="1"/>
  <c r="K155" i="1"/>
  <c r="K154" i="1"/>
  <c r="K145" i="1"/>
  <c r="K144" i="1"/>
  <c r="K143" i="1"/>
  <c r="K142" i="1"/>
  <c r="K141" i="1"/>
  <c r="K140" i="1"/>
  <c r="K139" i="1"/>
  <c r="K138" i="1"/>
  <c r="K129" i="1"/>
  <c r="K128" i="1"/>
  <c r="K127" i="1"/>
  <c r="K126" i="1"/>
  <c r="K125" i="1"/>
  <c r="K124" i="1"/>
  <c r="K123" i="1"/>
  <c r="K122" i="1"/>
  <c r="K113" i="1"/>
  <c r="K112" i="1"/>
  <c r="K169" i="1"/>
  <c r="K168" i="1"/>
  <c r="K167" i="1"/>
  <c r="K166" i="1"/>
  <c r="K165" i="1"/>
  <c r="K164" i="1"/>
  <c r="K163" i="1"/>
  <c r="K162" i="1"/>
  <c r="K153" i="1"/>
  <c r="K152" i="1"/>
  <c r="K151" i="1"/>
  <c r="K150" i="1"/>
  <c r="K149" i="1"/>
  <c r="K148" i="1"/>
  <c r="K147" i="1"/>
  <c r="K146" i="1"/>
  <c r="K137" i="1"/>
  <c r="K136" i="1"/>
  <c r="K135" i="1"/>
  <c r="K134" i="1"/>
  <c r="K133" i="1"/>
  <c r="K132" i="1"/>
  <c r="K131" i="1"/>
  <c r="K130" i="1"/>
  <c r="K121" i="1"/>
  <c r="K120" i="1"/>
  <c r="K119" i="1"/>
  <c r="K118" i="1"/>
  <c r="K117" i="1"/>
  <c r="K116" i="1"/>
  <c r="K115" i="1"/>
  <c r="K114" i="1"/>
  <c r="K105" i="1"/>
  <c r="K109" i="1"/>
  <c r="K104" i="1"/>
  <c r="K103" i="1"/>
  <c r="K102" i="1"/>
  <c r="K101" i="1"/>
  <c r="K100" i="1"/>
  <c r="K95" i="1"/>
  <c r="K94" i="1"/>
  <c r="K93" i="1"/>
  <c r="K92" i="1"/>
  <c r="K87" i="1"/>
  <c r="K86" i="1"/>
  <c r="K85" i="1"/>
  <c r="K84" i="1"/>
  <c r="K79" i="1"/>
  <c r="K78" i="1"/>
  <c r="K77" i="1"/>
  <c r="K76" i="1"/>
  <c r="K71" i="1"/>
  <c r="K70" i="1"/>
  <c r="K69" i="1"/>
  <c r="K68" i="1"/>
  <c r="K63" i="1"/>
  <c r="K62" i="1"/>
  <c r="K61" i="1"/>
  <c r="K60" i="1"/>
  <c r="K55" i="1"/>
  <c r="K54" i="1"/>
  <c r="K53" i="1"/>
  <c r="K52" i="1"/>
  <c r="K47" i="1"/>
  <c r="K46" i="1"/>
  <c r="K45" i="1"/>
  <c r="K44" i="1"/>
  <c r="K39" i="1"/>
  <c r="K38" i="1"/>
  <c r="K176" i="1"/>
  <c r="K174" i="1"/>
  <c r="K172" i="1"/>
  <c r="K170" i="1"/>
  <c r="K110" i="1"/>
  <c r="K106" i="1"/>
  <c r="K177" i="1"/>
  <c r="K175" i="1"/>
  <c r="K173" i="1"/>
  <c r="K171" i="1"/>
  <c r="K108" i="1"/>
  <c r="O168" i="1"/>
  <c r="O167" i="1"/>
  <c r="O166" i="1"/>
  <c r="O165" i="1"/>
  <c r="O164" i="1"/>
  <c r="O163" i="1"/>
  <c r="O162" i="1"/>
  <c r="O152" i="1"/>
  <c r="O151" i="1"/>
  <c r="O150" i="1"/>
  <c r="O149" i="1"/>
  <c r="O148" i="1"/>
  <c r="O147" i="1"/>
  <c r="O146" i="1"/>
  <c r="O136" i="1"/>
  <c r="O135" i="1"/>
  <c r="O134" i="1"/>
  <c r="O133" i="1"/>
  <c r="O132" i="1"/>
  <c r="O131" i="1"/>
  <c r="O130" i="1"/>
  <c r="O161" i="1"/>
  <c r="O145" i="1"/>
  <c r="O129" i="1"/>
  <c r="O113" i="1"/>
  <c r="O176" i="1"/>
  <c r="O175" i="1"/>
  <c r="O174" i="1"/>
  <c r="O173" i="1"/>
  <c r="O172" i="1"/>
  <c r="O171" i="1"/>
  <c r="O170" i="1"/>
  <c r="O169" i="1"/>
  <c r="O153" i="1"/>
  <c r="O137" i="1"/>
  <c r="O121" i="1"/>
  <c r="O105" i="1"/>
  <c r="O144" i="1"/>
  <c r="O142" i="1"/>
  <c r="O140" i="1"/>
  <c r="O138" i="1"/>
  <c r="O120" i="1"/>
  <c r="O118" i="1"/>
  <c r="O116" i="1"/>
  <c r="O114" i="1"/>
  <c r="O108" i="1"/>
  <c r="O95" i="1"/>
  <c r="O87" i="1"/>
  <c r="O79" i="1"/>
  <c r="O71" i="1"/>
  <c r="O63" i="1"/>
  <c r="O55" i="1"/>
  <c r="O47" i="1"/>
  <c r="O39" i="1"/>
  <c r="O184" i="1"/>
  <c r="O182" i="1"/>
  <c r="O180" i="1"/>
  <c r="O178" i="1"/>
  <c r="O160" i="1"/>
  <c r="O158" i="1"/>
  <c r="O156" i="1"/>
  <c r="O154" i="1"/>
  <c r="O127" i="1"/>
  <c r="O125" i="1"/>
  <c r="O123" i="1"/>
  <c r="O112" i="1"/>
  <c r="O109" i="1"/>
  <c r="O104" i="1"/>
  <c r="O103" i="1"/>
  <c r="O102" i="1"/>
  <c r="O101" i="1"/>
  <c r="O100" i="1"/>
  <c r="O94" i="1"/>
  <c r="O93" i="1"/>
  <c r="O92" i="1"/>
  <c r="O86" i="1"/>
  <c r="O85" i="1"/>
  <c r="O84" i="1"/>
  <c r="O78" i="1"/>
  <c r="O77" i="1"/>
  <c r="O76" i="1"/>
  <c r="O70" i="1"/>
  <c r="O69" i="1"/>
  <c r="O68" i="1"/>
  <c r="O62" i="1"/>
  <c r="O61" i="1"/>
  <c r="O60" i="1"/>
  <c r="O183" i="1"/>
  <c r="O181" i="1"/>
  <c r="O179" i="1"/>
  <c r="O177" i="1"/>
  <c r="O159" i="1"/>
  <c r="O157" i="1"/>
  <c r="O155" i="1"/>
  <c r="O128" i="1"/>
  <c r="O126" i="1"/>
  <c r="O124" i="1"/>
  <c r="O122" i="1"/>
  <c r="O111" i="1"/>
  <c r="O107" i="1"/>
  <c r="O98" i="1"/>
  <c r="O97" i="1"/>
  <c r="O96" i="1"/>
  <c r="O90" i="1"/>
  <c r="O89" i="1"/>
  <c r="O88" i="1"/>
  <c r="O82" i="1"/>
  <c r="O81" i="1"/>
  <c r="O80" i="1"/>
  <c r="O74" i="1"/>
  <c r="O73" i="1"/>
  <c r="O72" i="1"/>
  <c r="O66" i="1"/>
  <c r="O65" i="1"/>
  <c r="O64" i="1"/>
  <c r="O58" i="1"/>
  <c r="O57" i="1"/>
  <c r="O56" i="1"/>
  <c r="O10" i="1"/>
  <c r="O14" i="1"/>
  <c r="O20" i="1"/>
  <c r="O21" i="1"/>
  <c r="O22" i="1"/>
  <c r="O28" i="1"/>
  <c r="O29" i="1"/>
  <c r="O30" i="1"/>
  <c r="O36" i="1"/>
  <c r="O37" i="1"/>
  <c r="O42" i="1"/>
  <c r="K43" i="1"/>
  <c r="O43" i="1"/>
  <c r="S43" i="1"/>
  <c r="O44" i="1"/>
  <c r="O49" i="1"/>
  <c r="K50" i="1"/>
  <c r="S54" i="1"/>
  <c r="K65" i="1"/>
  <c r="K67" i="1"/>
  <c r="O67" i="1"/>
  <c r="S67" i="1"/>
  <c r="S69" i="1"/>
  <c r="K80" i="1"/>
  <c r="K82" i="1"/>
  <c r="S84" i="1"/>
  <c r="S86" i="1"/>
  <c r="K97" i="1"/>
  <c r="K99" i="1"/>
  <c r="O99" i="1"/>
  <c r="S99" i="1"/>
  <c r="S101" i="1"/>
  <c r="O115" i="1"/>
  <c r="O141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52" i="1"/>
  <c r="S151" i="1"/>
  <c r="S150" i="1"/>
  <c r="S149" i="1"/>
  <c r="S148" i="1"/>
  <c r="S147" i="1"/>
  <c r="S146" i="1"/>
  <c r="S145" i="1"/>
  <c r="S136" i="1"/>
  <c r="S135" i="1"/>
  <c r="S134" i="1"/>
  <c r="S133" i="1"/>
  <c r="S132" i="1"/>
  <c r="S131" i="1"/>
  <c r="S130" i="1"/>
  <c r="S129" i="1"/>
  <c r="S120" i="1"/>
  <c r="S119" i="1"/>
  <c r="S118" i="1"/>
  <c r="S117" i="1"/>
  <c r="S116" i="1"/>
  <c r="S115" i="1"/>
  <c r="S114" i="1"/>
  <c r="S113" i="1"/>
  <c r="S184" i="1"/>
  <c r="S183" i="1"/>
  <c r="S182" i="1"/>
  <c r="S181" i="1"/>
  <c r="S180" i="1"/>
  <c r="S179" i="1"/>
  <c r="S178" i="1"/>
  <c r="S177" i="1"/>
  <c r="S160" i="1"/>
  <c r="S159" i="1"/>
  <c r="S158" i="1"/>
  <c r="S157" i="1"/>
  <c r="S156" i="1"/>
  <c r="S155" i="1"/>
  <c r="S154" i="1"/>
  <c r="S153" i="1"/>
  <c r="S144" i="1"/>
  <c r="S143" i="1"/>
  <c r="S142" i="1"/>
  <c r="S141" i="1"/>
  <c r="S140" i="1"/>
  <c r="S139" i="1"/>
  <c r="S138" i="1"/>
  <c r="S137" i="1"/>
  <c r="S128" i="1"/>
  <c r="S127" i="1"/>
  <c r="S126" i="1"/>
  <c r="S125" i="1"/>
  <c r="S124" i="1"/>
  <c r="S123" i="1"/>
  <c r="S122" i="1"/>
  <c r="S121" i="1"/>
  <c r="S112" i="1"/>
  <c r="S111" i="1"/>
  <c r="S110" i="1"/>
  <c r="S109" i="1"/>
  <c r="S108" i="1"/>
  <c r="S107" i="1"/>
  <c r="S106" i="1"/>
  <c r="S105" i="1"/>
  <c r="S98" i="1"/>
  <c r="S97" i="1"/>
  <c r="S96" i="1"/>
  <c r="S95" i="1"/>
  <c r="S90" i="1"/>
  <c r="S89" i="1"/>
  <c r="S88" i="1"/>
  <c r="S87" i="1"/>
  <c r="S82" i="1"/>
  <c r="S81" i="1"/>
  <c r="S80" i="1"/>
  <c r="S79" i="1"/>
  <c r="S74" i="1"/>
  <c r="S73" i="1"/>
  <c r="S72" i="1"/>
  <c r="S71" i="1"/>
  <c r="S66" i="1"/>
  <c r="S65" i="1"/>
  <c r="S64" i="1"/>
  <c r="S63" i="1"/>
  <c r="S58" i="1"/>
  <c r="S57" i="1"/>
  <c r="S56" i="1"/>
  <c r="S55" i="1"/>
  <c r="S50" i="1"/>
  <c r="S49" i="1"/>
  <c r="S48" i="1"/>
  <c r="S47" i="1"/>
  <c r="S42" i="1"/>
  <c r="S41" i="1"/>
  <c r="S40" i="1"/>
  <c r="S39" i="1"/>
  <c r="O6" i="1"/>
  <c r="K3" i="1"/>
  <c r="O3" i="1"/>
  <c r="S3" i="1"/>
  <c r="S4" i="1"/>
  <c r="K6" i="1"/>
  <c r="K7" i="1"/>
  <c r="O7" i="1"/>
  <c r="S7" i="1"/>
  <c r="S8" i="1"/>
  <c r="K10" i="1"/>
  <c r="K11" i="1"/>
  <c r="O11" i="1"/>
  <c r="S11" i="1"/>
  <c r="S12" i="1"/>
  <c r="K14" i="1"/>
  <c r="K15" i="1"/>
  <c r="O15" i="1"/>
  <c r="S15" i="1"/>
  <c r="S16" i="1"/>
  <c r="S17" i="1"/>
  <c r="S18" i="1"/>
  <c r="K20" i="1"/>
  <c r="K21" i="1"/>
  <c r="K22" i="1"/>
  <c r="K23" i="1"/>
  <c r="O23" i="1"/>
  <c r="S23" i="1"/>
  <c r="S24" i="1"/>
  <c r="S25" i="1"/>
  <c r="S26" i="1"/>
  <c r="K28" i="1"/>
  <c r="K29" i="1"/>
  <c r="K30" i="1"/>
  <c r="K31" i="1"/>
  <c r="O31" i="1"/>
  <c r="S31" i="1"/>
  <c r="S32" i="1"/>
  <c r="S33" i="1"/>
  <c r="S34" i="1"/>
  <c r="K36" i="1"/>
  <c r="K37" i="1"/>
  <c r="O41" i="1"/>
  <c r="K42" i="1"/>
  <c r="S46" i="1"/>
  <c r="O48" i="1"/>
  <c r="K49" i="1"/>
  <c r="S53" i="1"/>
  <c r="O54" i="1"/>
  <c r="K56" i="1"/>
  <c r="K58" i="1"/>
  <c r="S60" i="1"/>
  <c r="S62" i="1"/>
  <c r="K73" i="1"/>
  <c r="K75" i="1"/>
  <c r="O75" i="1"/>
  <c r="S75" i="1"/>
  <c r="S77" i="1"/>
  <c r="K88" i="1"/>
  <c r="K90" i="1"/>
  <c r="S92" i="1"/>
  <c r="S94" i="1"/>
  <c r="O106" i="1"/>
  <c r="K107" i="1"/>
  <c r="O139" i="1"/>
  <c r="Q169" i="1"/>
  <c r="Q177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M150" i="1"/>
  <c r="M148" i="1"/>
  <c r="M146" i="1"/>
  <c r="M144" i="1"/>
  <c r="M142" i="1"/>
  <c r="M140" i="1"/>
  <c r="M138" i="1"/>
  <c r="M136" i="1"/>
  <c r="M134" i="1"/>
  <c r="M132" i="1"/>
  <c r="M130" i="1"/>
  <c r="M128" i="1"/>
  <c r="M126" i="1"/>
  <c r="M124" i="1"/>
  <c r="M122" i="1"/>
  <c r="M120" i="1"/>
  <c r="M118" i="1"/>
  <c r="M116" i="1"/>
  <c r="M114" i="1"/>
  <c r="M112" i="1"/>
  <c r="M110" i="1"/>
  <c r="M108" i="1"/>
  <c r="M106" i="1"/>
  <c r="M104" i="1"/>
  <c r="M102" i="1"/>
  <c r="M100" i="1"/>
  <c r="M98" i="1"/>
  <c r="M96" i="1"/>
  <c r="M94" i="1"/>
  <c r="M92" i="1"/>
  <c r="M90" i="1"/>
  <c r="M88" i="1"/>
  <c r="M86" i="1"/>
  <c r="M84" i="1"/>
  <c r="M82" i="1"/>
  <c r="M80" i="1"/>
  <c r="M78" i="1"/>
  <c r="M76" i="1"/>
  <c r="M74" i="1"/>
  <c r="M72" i="1"/>
  <c r="M70" i="1"/>
  <c r="M68" i="1"/>
  <c r="M66" i="1"/>
  <c r="M64" i="1"/>
  <c r="M62" i="1"/>
  <c r="M60" i="1"/>
  <c r="M58" i="1"/>
  <c r="M56" i="1"/>
  <c r="M54" i="1"/>
  <c r="M52" i="1"/>
  <c r="M50" i="1"/>
  <c r="M48" i="1"/>
  <c r="M46" i="1"/>
  <c r="M44" i="1"/>
  <c r="M42" i="1"/>
  <c r="M40" i="1"/>
  <c r="M38" i="1"/>
  <c r="M36" i="1"/>
  <c r="M34" i="1"/>
  <c r="M32" i="1"/>
  <c r="M30" i="1"/>
  <c r="M28" i="1"/>
  <c r="M26" i="1"/>
  <c r="M24" i="1"/>
  <c r="M22" i="1"/>
  <c r="M20" i="1"/>
  <c r="M18" i="1"/>
  <c r="M16" i="1"/>
  <c r="M183" i="1"/>
  <c r="M179" i="1"/>
  <c r="M175" i="1"/>
  <c r="M171" i="1"/>
  <c r="M167" i="1"/>
  <c r="M163" i="1"/>
  <c r="M159" i="1"/>
  <c r="M155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4" i="1"/>
  <c r="Q4" i="1"/>
  <c r="M6" i="1"/>
  <c r="Q6" i="1"/>
  <c r="M8" i="1"/>
  <c r="Q8" i="1"/>
  <c r="M10" i="1"/>
  <c r="Q10" i="1"/>
  <c r="M12" i="1"/>
  <c r="Q12" i="1"/>
  <c r="M14" i="1"/>
  <c r="Q14" i="1"/>
  <c r="M17" i="1"/>
  <c r="Q17" i="1"/>
  <c r="M21" i="1"/>
  <c r="Q21" i="1"/>
  <c r="M25" i="1"/>
  <c r="Q25" i="1"/>
  <c r="M29" i="1"/>
  <c r="Q29" i="1"/>
  <c r="M33" i="1"/>
  <c r="Q33" i="1"/>
  <c r="M37" i="1"/>
  <c r="Q37" i="1"/>
  <c r="M41" i="1"/>
  <c r="Q41" i="1"/>
  <c r="M45" i="1"/>
  <c r="Q45" i="1"/>
  <c r="M49" i="1"/>
  <c r="Q49" i="1"/>
  <c r="M53" i="1"/>
  <c r="Q53" i="1"/>
  <c r="M57" i="1"/>
  <c r="Q57" i="1"/>
  <c r="M61" i="1"/>
  <c r="Q61" i="1"/>
  <c r="M65" i="1"/>
  <c r="Q65" i="1"/>
  <c r="M69" i="1"/>
  <c r="Q69" i="1"/>
  <c r="M73" i="1"/>
  <c r="Q73" i="1"/>
  <c r="M77" i="1"/>
  <c r="Q77" i="1"/>
  <c r="M81" i="1"/>
  <c r="Q81" i="1"/>
  <c r="M85" i="1"/>
  <c r="Q85" i="1"/>
  <c r="M89" i="1"/>
  <c r="Q89" i="1"/>
  <c r="M93" i="1"/>
  <c r="Q93" i="1"/>
  <c r="M97" i="1"/>
  <c r="Q97" i="1"/>
  <c r="M101" i="1"/>
  <c r="Q101" i="1"/>
  <c r="M109" i="1"/>
  <c r="Q109" i="1"/>
  <c r="M117" i="1"/>
  <c r="Q117" i="1"/>
  <c r="M125" i="1"/>
  <c r="Q125" i="1"/>
  <c r="M133" i="1"/>
  <c r="Q133" i="1"/>
  <c r="M141" i="1"/>
  <c r="Q141" i="1"/>
  <c r="M149" i="1"/>
  <c r="Q149" i="1"/>
  <c r="M157" i="1"/>
  <c r="Q157" i="1"/>
  <c r="M165" i="1"/>
  <c r="Q165" i="1"/>
  <c r="M173" i="1"/>
  <c r="Q173" i="1"/>
  <c r="M181" i="1"/>
  <c r="Q184" i="1"/>
  <c r="Q182" i="1"/>
  <c r="Q180" i="1"/>
  <c r="Q178" i="1"/>
  <c r="Q176" i="1"/>
  <c r="Q174" i="1"/>
  <c r="Q172" i="1"/>
  <c r="Q170" i="1"/>
  <c r="Q168" i="1"/>
  <c r="Q166" i="1"/>
  <c r="Q164" i="1"/>
  <c r="Q162" i="1"/>
  <c r="Q160" i="1"/>
  <c r="Q158" i="1"/>
  <c r="Q156" i="1"/>
  <c r="Q154" i="1"/>
  <c r="Q152" i="1"/>
  <c r="Q150" i="1"/>
  <c r="Q148" i="1"/>
  <c r="Q146" i="1"/>
  <c r="Q144" i="1"/>
  <c r="Q142" i="1"/>
  <c r="Q140" i="1"/>
  <c r="Q138" i="1"/>
  <c r="Q136" i="1"/>
  <c r="Q134" i="1"/>
  <c r="Q132" i="1"/>
  <c r="Q130" i="1"/>
  <c r="Q128" i="1"/>
  <c r="Q126" i="1"/>
  <c r="Q124" i="1"/>
  <c r="Q122" i="1"/>
  <c r="Q120" i="1"/>
  <c r="Q118" i="1"/>
  <c r="Q116" i="1"/>
  <c r="Q114" i="1"/>
  <c r="Q112" i="1"/>
  <c r="Q110" i="1"/>
  <c r="Q108" i="1"/>
  <c r="Q106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60" i="1"/>
  <c r="Q58" i="1"/>
  <c r="Q56" i="1"/>
  <c r="Q54" i="1"/>
  <c r="Q52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Q24" i="1"/>
  <c r="Q22" i="1"/>
  <c r="Q20" i="1"/>
  <c r="Q18" i="1"/>
  <c r="Q16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C3" i="1"/>
  <c r="D3" i="1" s="1"/>
  <c r="B8" i="1"/>
  <c r="B11" i="1" s="1"/>
  <c r="B14" i="1" s="1"/>
  <c r="B17" i="1" s="1"/>
  <c r="B20" i="1" s="1"/>
  <c r="B23" i="1" s="1"/>
  <c r="B26" i="1" s="1"/>
  <c r="B29" i="1" s="1"/>
  <c r="B32" i="1" s="1"/>
  <c r="B35" i="1" s="1"/>
  <c r="B38" i="1" s="1"/>
  <c r="B41" i="1" s="1"/>
  <c r="B44" i="1" s="1"/>
  <c r="B47" i="1" s="1"/>
  <c r="B50" i="1" s="1"/>
  <c r="B53" i="1" s="1"/>
  <c r="B56" i="1" s="1"/>
  <c r="B59" i="1" s="1"/>
  <c r="B62" i="1" s="1"/>
  <c r="B65" i="1" s="1"/>
  <c r="B68" i="1" s="1"/>
  <c r="B71" i="1" s="1"/>
  <c r="B74" i="1" s="1"/>
  <c r="B77" i="1" s="1"/>
  <c r="B80" i="1" s="1"/>
  <c r="B83" i="1" s="1"/>
  <c r="B86" i="1" s="1"/>
  <c r="B89" i="1" s="1"/>
  <c r="B92" i="1" s="1"/>
  <c r="B95" i="1" s="1"/>
  <c r="B98" i="1" s="1"/>
  <c r="B101" i="1" s="1"/>
  <c r="B104" i="1" s="1"/>
  <c r="B107" i="1" s="1"/>
  <c r="B110" i="1" s="1"/>
  <c r="B113" i="1" s="1"/>
  <c r="B116" i="1" s="1"/>
  <c r="B119" i="1" s="1"/>
  <c r="B122" i="1" s="1"/>
  <c r="B125" i="1" s="1"/>
  <c r="B128" i="1" s="1"/>
  <c r="B131" i="1" s="1"/>
  <c r="B134" i="1" s="1"/>
  <c r="B137" i="1" s="1"/>
  <c r="B140" i="1" s="1"/>
  <c r="B143" i="1" s="1"/>
  <c r="B146" i="1" s="1"/>
  <c r="B149" i="1" s="1"/>
  <c r="B152" i="1" s="1"/>
  <c r="B155" i="1" s="1"/>
  <c r="B158" i="1" s="1"/>
  <c r="B161" i="1" s="1"/>
  <c r="B164" i="1" s="1"/>
  <c r="B167" i="1" s="1"/>
  <c r="B170" i="1" s="1"/>
  <c r="B173" i="1" s="1"/>
  <c r="B176" i="1" s="1"/>
  <c r="B179" i="1" s="1"/>
  <c r="B182" i="1" s="1"/>
  <c r="B7" i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B40" i="1" s="1"/>
  <c r="B43" i="1" s="1"/>
  <c r="B46" i="1" s="1"/>
  <c r="B49" i="1" s="1"/>
  <c r="B52" i="1" s="1"/>
  <c r="B55" i="1" s="1"/>
  <c r="B58" i="1" s="1"/>
  <c r="B61" i="1" s="1"/>
  <c r="B64" i="1" s="1"/>
  <c r="B67" i="1" s="1"/>
  <c r="B70" i="1" s="1"/>
  <c r="B73" i="1" s="1"/>
  <c r="B76" i="1" s="1"/>
  <c r="B79" i="1" s="1"/>
  <c r="B82" i="1" s="1"/>
  <c r="B85" i="1" s="1"/>
  <c r="B88" i="1" s="1"/>
  <c r="B91" i="1" s="1"/>
  <c r="B94" i="1" s="1"/>
  <c r="B97" i="1" s="1"/>
  <c r="B100" i="1" s="1"/>
  <c r="B103" i="1" s="1"/>
  <c r="B106" i="1" s="1"/>
  <c r="B109" i="1" s="1"/>
  <c r="B112" i="1" s="1"/>
  <c r="B115" i="1" s="1"/>
  <c r="B118" i="1" s="1"/>
  <c r="B121" i="1" s="1"/>
  <c r="B124" i="1" s="1"/>
  <c r="B127" i="1" s="1"/>
  <c r="B130" i="1" s="1"/>
  <c r="B133" i="1" s="1"/>
  <c r="B136" i="1" s="1"/>
  <c r="B139" i="1" s="1"/>
  <c r="B142" i="1" s="1"/>
  <c r="B145" i="1" s="1"/>
  <c r="B148" i="1" s="1"/>
  <c r="B151" i="1" s="1"/>
  <c r="B154" i="1" s="1"/>
  <c r="B157" i="1" s="1"/>
  <c r="B160" i="1" s="1"/>
  <c r="B163" i="1" s="1"/>
  <c r="B166" i="1" s="1"/>
  <c r="B169" i="1" s="1"/>
  <c r="B172" i="1" s="1"/>
  <c r="B175" i="1" s="1"/>
  <c r="B178" i="1" s="1"/>
  <c r="B181" i="1" s="1"/>
  <c r="B184" i="1" s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  <c r="B39" i="1" s="1"/>
  <c r="B42" i="1" s="1"/>
  <c r="B45" i="1" s="1"/>
  <c r="B48" i="1" s="1"/>
  <c r="B51" i="1" s="1"/>
  <c r="B54" i="1" s="1"/>
  <c r="B57" i="1" s="1"/>
  <c r="B60" i="1" s="1"/>
  <c r="B63" i="1" s="1"/>
  <c r="B66" i="1" s="1"/>
  <c r="B69" i="1" s="1"/>
  <c r="B72" i="1" s="1"/>
  <c r="B75" i="1" s="1"/>
  <c r="B78" i="1" s="1"/>
  <c r="B81" i="1" s="1"/>
  <c r="B84" i="1" s="1"/>
  <c r="B87" i="1" s="1"/>
  <c r="B90" i="1" s="1"/>
  <c r="B93" i="1" s="1"/>
  <c r="B96" i="1" s="1"/>
  <c r="B99" i="1" s="1"/>
  <c r="B102" i="1" s="1"/>
  <c r="B105" i="1" s="1"/>
  <c r="B108" i="1" s="1"/>
  <c r="B111" i="1" s="1"/>
  <c r="B114" i="1" s="1"/>
  <c r="B117" i="1" s="1"/>
  <c r="B120" i="1" s="1"/>
  <c r="B126" i="1" s="1"/>
  <c r="B129" i="1" s="1"/>
  <c r="B132" i="1" s="1"/>
  <c r="B135" i="1" s="1"/>
  <c r="B138" i="1" s="1"/>
  <c r="B141" i="1" s="1"/>
  <c r="B144" i="1" s="1"/>
  <c r="B147" i="1" s="1"/>
  <c r="B150" i="1" s="1"/>
  <c r="B153" i="1" s="1"/>
  <c r="B156" i="1" s="1"/>
  <c r="B159" i="1" s="1"/>
  <c r="B162" i="1" s="1"/>
  <c r="B165" i="1" s="1"/>
  <c r="B168" i="1" s="1"/>
  <c r="B171" i="1" s="1"/>
  <c r="B174" i="1" s="1"/>
  <c r="B177" i="1" s="1"/>
  <c r="B180" i="1" s="1"/>
  <c r="B183" i="1" s="1"/>
  <c r="F3" i="1" l="1"/>
  <c r="G3" i="1" s="1"/>
  <c r="E3" i="1"/>
  <c r="C4" i="1"/>
  <c r="I3" i="1"/>
  <c r="H3" i="1"/>
  <c r="F4" i="1" l="1"/>
  <c r="G4" i="1" s="1"/>
  <c r="E4" i="1"/>
  <c r="I4" i="1"/>
  <c r="D4" i="1"/>
  <c r="H4" i="1"/>
  <c r="C5" i="1"/>
  <c r="F5" i="1" l="1"/>
  <c r="G5" i="1" s="1"/>
  <c r="D5" i="1"/>
  <c r="E5" i="1"/>
  <c r="C6" i="1"/>
  <c r="I5" i="1"/>
  <c r="H5" i="1"/>
  <c r="F6" i="1" l="1"/>
  <c r="G6" i="1" s="1"/>
  <c r="E6" i="1"/>
  <c r="I6" i="1"/>
  <c r="D6" i="1"/>
  <c r="H6" i="1"/>
  <c r="C7" i="1"/>
  <c r="F7" i="1" l="1"/>
  <c r="G7" i="1" s="1"/>
  <c r="D7" i="1"/>
  <c r="E7" i="1"/>
  <c r="C8" i="1"/>
  <c r="I7" i="1"/>
  <c r="H7" i="1"/>
  <c r="F8" i="1" l="1"/>
  <c r="G8" i="1" s="1"/>
  <c r="E8" i="1"/>
  <c r="I8" i="1"/>
  <c r="D8" i="1"/>
  <c r="H8" i="1"/>
  <c r="C9" i="1"/>
  <c r="F9" i="1" l="1"/>
  <c r="G9" i="1" s="1"/>
  <c r="D9" i="1"/>
  <c r="E9" i="1"/>
  <c r="C10" i="1"/>
  <c r="H9" i="1"/>
  <c r="I9" i="1"/>
  <c r="F10" i="1" l="1"/>
  <c r="G10" i="1" s="1"/>
  <c r="E10" i="1"/>
  <c r="I10" i="1"/>
  <c r="D10" i="1"/>
  <c r="H10" i="1"/>
  <c r="C11" i="1"/>
  <c r="F11" i="1" l="1"/>
  <c r="G11" i="1" s="1"/>
  <c r="E11" i="1"/>
  <c r="I11" i="1"/>
  <c r="D11" i="1"/>
  <c r="C12" i="1"/>
  <c r="H11" i="1"/>
  <c r="F12" i="1" l="1"/>
  <c r="G12" i="1" s="1"/>
  <c r="E12" i="1"/>
  <c r="I12" i="1"/>
  <c r="D12" i="1"/>
  <c r="H12" i="1"/>
  <c r="C13" i="1"/>
  <c r="F13" i="1" l="1"/>
  <c r="G13" i="1" s="1"/>
  <c r="E13" i="1"/>
  <c r="I13" i="1"/>
  <c r="D13" i="1"/>
  <c r="C14" i="1"/>
  <c r="H13" i="1"/>
  <c r="F14" i="1" l="1"/>
  <c r="G14" i="1" s="1"/>
  <c r="E14" i="1"/>
  <c r="I14" i="1"/>
  <c r="D14" i="1"/>
  <c r="H14" i="1"/>
  <c r="C15" i="1"/>
  <c r="F15" i="1" l="1"/>
  <c r="G15" i="1" s="1"/>
  <c r="E15" i="1"/>
  <c r="I15" i="1"/>
  <c r="D15" i="1"/>
  <c r="C16" i="1"/>
  <c r="H15" i="1"/>
  <c r="F16" i="1" l="1"/>
  <c r="G16" i="1" s="1"/>
  <c r="E16" i="1"/>
  <c r="I16" i="1"/>
  <c r="D16" i="1"/>
  <c r="H16" i="1"/>
  <c r="C17" i="1"/>
  <c r="F17" i="1" l="1"/>
  <c r="G17" i="1" s="1"/>
  <c r="E17" i="1"/>
  <c r="I17" i="1"/>
  <c r="D17" i="1"/>
  <c r="C18" i="1"/>
  <c r="H17" i="1"/>
  <c r="F18" i="1" l="1"/>
  <c r="G18" i="1" s="1"/>
  <c r="E18" i="1"/>
  <c r="I18" i="1"/>
  <c r="D18" i="1"/>
  <c r="H18" i="1"/>
  <c r="C19" i="1"/>
  <c r="F19" i="1" l="1"/>
  <c r="G19" i="1" s="1"/>
  <c r="E19" i="1"/>
  <c r="I19" i="1"/>
  <c r="D19" i="1"/>
  <c r="C20" i="1"/>
  <c r="H19" i="1"/>
  <c r="F20" i="1" l="1"/>
  <c r="G20" i="1" s="1"/>
  <c r="E20" i="1"/>
  <c r="I20" i="1"/>
  <c r="D20" i="1"/>
  <c r="H20" i="1"/>
  <c r="C21" i="1"/>
  <c r="F21" i="1" l="1"/>
  <c r="G21" i="1" s="1"/>
  <c r="E21" i="1"/>
  <c r="I21" i="1"/>
  <c r="D21" i="1"/>
  <c r="C22" i="1"/>
  <c r="H21" i="1"/>
  <c r="F22" i="1" l="1"/>
  <c r="G22" i="1" s="1"/>
  <c r="D22" i="1"/>
  <c r="E22" i="1"/>
  <c r="C23" i="1"/>
  <c r="I22" i="1"/>
  <c r="H22" i="1"/>
  <c r="F23" i="1" l="1"/>
  <c r="G23" i="1" s="1"/>
  <c r="E23" i="1"/>
  <c r="I23" i="1"/>
  <c r="D23" i="1"/>
  <c r="H23" i="1"/>
  <c r="C24" i="1"/>
  <c r="F24" i="1" l="1"/>
  <c r="G24" i="1" s="1"/>
  <c r="D24" i="1"/>
  <c r="E24" i="1"/>
  <c r="C25" i="1"/>
  <c r="H24" i="1"/>
  <c r="I24" i="1"/>
  <c r="F25" i="1" l="1"/>
  <c r="G25" i="1" s="1"/>
  <c r="E25" i="1"/>
  <c r="I25" i="1"/>
  <c r="D25" i="1"/>
  <c r="H25" i="1"/>
  <c r="C26" i="1"/>
  <c r="F26" i="1" l="1"/>
  <c r="G26" i="1" s="1"/>
  <c r="D26" i="1"/>
  <c r="E26" i="1"/>
  <c r="C27" i="1"/>
  <c r="H26" i="1"/>
  <c r="I26" i="1"/>
  <c r="F27" i="1" l="1"/>
  <c r="G27" i="1" s="1"/>
  <c r="E27" i="1"/>
  <c r="I27" i="1"/>
  <c r="D27" i="1"/>
  <c r="H27" i="1"/>
  <c r="C28" i="1"/>
  <c r="F28" i="1" l="1"/>
  <c r="G28" i="1" s="1"/>
  <c r="D28" i="1"/>
  <c r="E28" i="1"/>
  <c r="C29" i="1"/>
  <c r="H28" i="1"/>
  <c r="I28" i="1"/>
  <c r="F29" i="1" l="1"/>
  <c r="G29" i="1" s="1"/>
  <c r="E29" i="1"/>
  <c r="I29" i="1"/>
  <c r="D29" i="1"/>
  <c r="H29" i="1"/>
  <c r="C30" i="1"/>
  <c r="F30" i="1" l="1"/>
  <c r="G30" i="1" s="1"/>
  <c r="D30" i="1"/>
  <c r="E30" i="1"/>
  <c r="C31" i="1"/>
  <c r="H30" i="1"/>
  <c r="I30" i="1"/>
  <c r="F31" i="1" l="1"/>
  <c r="G31" i="1" s="1"/>
  <c r="E31" i="1"/>
  <c r="I31" i="1"/>
  <c r="D31" i="1"/>
  <c r="H31" i="1"/>
  <c r="C32" i="1"/>
  <c r="F32" i="1" l="1"/>
  <c r="G32" i="1" s="1"/>
  <c r="D32" i="1"/>
  <c r="E32" i="1"/>
  <c r="C33" i="1"/>
  <c r="I32" i="1"/>
  <c r="H32" i="1"/>
  <c r="F33" i="1" l="1"/>
  <c r="G33" i="1" s="1"/>
  <c r="E33" i="1"/>
  <c r="I33" i="1"/>
  <c r="D33" i="1"/>
  <c r="H33" i="1"/>
  <c r="C34" i="1"/>
  <c r="F34" i="1" l="1"/>
  <c r="G34" i="1" s="1"/>
  <c r="D34" i="1"/>
  <c r="E34" i="1"/>
  <c r="C35" i="1"/>
  <c r="I34" i="1"/>
  <c r="H34" i="1"/>
  <c r="F35" i="1" l="1"/>
  <c r="G35" i="1" s="1"/>
  <c r="E35" i="1"/>
  <c r="I35" i="1"/>
  <c r="D35" i="1"/>
  <c r="H35" i="1"/>
  <c r="C36" i="1"/>
  <c r="F36" i="1" l="1"/>
  <c r="G36" i="1" s="1"/>
  <c r="D36" i="1"/>
  <c r="E36" i="1"/>
  <c r="C37" i="1"/>
  <c r="I36" i="1"/>
  <c r="H36" i="1"/>
  <c r="F37" i="1" l="1"/>
  <c r="G37" i="1" s="1"/>
  <c r="E37" i="1"/>
  <c r="I37" i="1"/>
  <c r="D37" i="1"/>
  <c r="H37" i="1"/>
  <c r="C38" i="1"/>
  <c r="F38" i="1" l="1"/>
  <c r="G38" i="1" s="1"/>
  <c r="D38" i="1"/>
  <c r="E38" i="1"/>
  <c r="C39" i="1"/>
  <c r="H38" i="1"/>
  <c r="I38" i="1"/>
  <c r="F39" i="1" l="1"/>
  <c r="G39" i="1" s="1"/>
  <c r="E39" i="1"/>
  <c r="I39" i="1"/>
  <c r="D39" i="1"/>
  <c r="H39" i="1"/>
  <c r="C40" i="1"/>
  <c r="F40" i="1" l="1"/>
  <c r="G40" i="1" s="1"/>
  <c r="D40" i="1"/>
  <c r="E40" i="1"/>
  <c r="C41" i="1"/>
  <c r="H40" i="1"/>
  <c r="I40" i="1"/>
  <c r="F41" i="1" l="1"/>
  <c r="G41" i="1" s="1"/>
  <c r="E41" i="1"/>
  <c r="I41" i="1"/>
  <c r="D41" i="1"/>
  <c r="H41" i="1"/>
  <c r="C42" i="1"/>
  <c r="F42" i="1" l="1"/>
  <c r="G42" i="1" s="1"/>
  <c r="D42" i="1"/>
  <c r="E42" i="1"/>
  <c r="C43" i="1"/>
  <c r="H42" i="1"/>
  <c r="I42" i="1"/>
  <c r="F43" i="1" l="1"/>
  <c r="G43" i="1" s="1"/>
  <c r="E43" i="1"/>
  <c r="I43" i="1"/>
  <c r="D43" i="1"/>
  <c r="H43" i="1"/>
  <c r="C44" i="1"/>
  <c r="F44" i="1" l="1"/>
  <c r="G44" i="1" s="1"/>
  <c r="E44" i="1"/>
  <c r="I44" i="1"/>
  <c r="D44" i="1"/>
  <c r="C45" i="1"/>
  <c r="H44" i="1"/>
  <c r="F45" i="1" l="1"/>
  <c r="G45" i="1" s="1"/>
  <c r="E45" i="1"/>
  <c r="I45" i="1"/>
  <c r="D45" i="1"/>
  <c r="H45" i="1"/>
  <c r="C46" i="1"/>
  <c r="F46" i="1" l="1"/>
  <c r="G46" i="1" s="1"/>
  <c r="E46" i="1"/>
  <c r="I46" i="1"/>
  <c r="D46" i="1"/>
  <c r="C47" i="1"/>
  <c r="H46" i="1"/>
  <c r="F47" i="1" l="1"/>
  <c r="G47" i="1" s="1"/>
  <c r="D47" i="1"/>
  <c r="E47" i="1"/>
  <c r="H47" i="1"/>
  <c r="C48" i="1"/>
  <c r="I47" i="1"/>
  <c r="F48" i="1" l="1"/>
  <c r="G48" i="1" s="1"/>
  <c r="E48" i="1"/>
  <c r="I48" i="1"/>
  <c r="D48" i="1"/>
  <c r="C49" i="1"/>
  <c r="H48" i="1"/>
  <c r="F49" i="1" l="1"/>
  <c r="G49" i="1" s="1"/>
  <c r="E49" i="1"/>
  <c r="I49" i="1"/>
  <c r="D49" i="1"/>
  <c r="H49" i="1"/>
  <c r="C50" i="1"/>
  <c r="F50" i="1" l="1"/>
  <c r="G50" i="1" s="1"/>
  <c r="E50" i="1"/>
  <c r="I50" i="1"/>
  <c r="D50" i="1"/>
  <c r="H50" i="1"/>
  <c r="C51" i="1"/>
  <c r="F51" i="1" l="1"/>
  <c r="G51" i="1" s="1"/>
  <c r="E51" i="1"/>
  <c r="I51" i="1"/>
  <c r="D51" i="1"/>
  <c r="H51" i="1"/>
  <c r="C52" i="1"/>
  <c r="F52" i="1" l="1"/>
  <c r="G52" i="1" s="1"/>
  <c r="D52" i="1"/>
  <c r="E52" i="1"/>
  <c r="C53" i="1"/>
  <c r="I52" i="1"/>
  <c r="H52" i="1"/>
  <c r="F53" i="1" l="1"/>
  <c r="G53" i="1" s="1"/>
  <c r="E53" i="1"/>
  <c r="D53" i="1"/>
  <c r="C54" i="1"/>
  <c r="H53" i="1"/>
  <c r="I53" i="1"/>
  <c r="F54" i="1" l="1"/>
  <c r="G54" i="1" s="1"/>
  <c r="E54" i="1"/>
  <c r="D54" i="1"/>
  <c r="C55" i="1"/>
  <c r="H54" i="1"/>
  <c r="I54" i="1"/>
  <c r="F55" i="1" l="1"/>
  <c r="G55" i="1" s="1"/>
  <c r="D55" i="1"/>
  <c r="E55" i="1"/>
  <c r="C56" i="1"/>
  <c r="H55" i="1"/>
  <c r="I55" i="1"/>
  <c r="F56" i="1" l="1"/>
  <c r="G56" i="1" s="1"/>
  <c r="D56" i="1"/>
  <c r="E56" i="1"/>
  <c r="C57" i="1"/>
  <c r="H56" i="1"/>
  <c r="I56" i="1"/>
  <c r="F57" i="1" l="1"/>
  <c r="G57" i="1" s="1"/>
  <c r="E57" i="1"/>
  <c r="D57" i="1"/>
  <c r="C58" i="1"/>
  <c r="H57" i="1"/>
  <c r="I57" i="1"/>
  <c r="F58" i="1" l="1"/>
  <c r="G58" i="1" s="1"/>
  <c r="E58" i="1"/>
  <c r="D58" i="1"/>
  <c r="C59" i="1"/>
  <c r="H58" i="1"/>
  <c r="I58" i="1"/>
  <c r="F59" i="1" l="1"/>
  <c r="G59" i="1" s="1"/>
  <c r="D59" i="1"/>
  <c r="E59" i="1"/>
  <c r="C60" i="1"/>
  <c r="H59" i="1"/>
  <c r="I59" i="1"/>
  <c r="F60" i="1" l="1"/>
  <c r="G60" i="1" s="1"/>
  <c r="D60" i="1"/>
  <c r="E60" i="1"/>
  <c r="C61" i="1"/>
  <c r="H60" i="1"/>
  <c r="I60" i="1"/>
  <c r="F61" i="1" l="1"/>
  <c r="G61" i="1" s="1"/>
  <c r="D61" i="1"/>
  <c r="E61" i="1"/>
  <c r="C62" i="1"/>
  <c r="H61" i="1"/>
  <c r="I61" i="1"/>
  <c r="F62" i="1" l="1"/>
  <c r="G62" i="1" s="1"/>
  <c r="D62" i="1"/>
  <c r="E62" i="1"/>
  <c r="C63" i="1"/>
  <c r="H62" i="1"/>
  <c r="I62" i="1"/>
  <c r="F63" i="1" l="1"/>
  <c r="G63" i="1" s="1"/>
  <c r="E63" i="1"/>
  <c r="D63" i="1"/>
  <c r="C64" i="1"/>
  <c r="H63" i="1"/>
  <c r="I63" i="1"/>
  <c r="F64" i="1" l="1"/>
  <c r="G64" i="1" s="1"/>
  <c r="E64" i="1"/>
  <c r="D64" i="1"/>
  <c r="C65" i="1"/>
  <c r="H64" i="1"/>
  <c r="I64" i="1"/>
  <c r="F65" i="1" l="1"/>
  <c r="G65" i="1" s="1"/>
  <c r="D65" i="1"/>
  <c r="E65" i="1"/>
  <c r="C66" i="1"/>
  <c r="H65" i="1"/>
  <c r="I65" i="1"/>
  <c r="F66" i="1" l="1"/>
  <c r="G66" i="1" s="1"/>
  <c r="D66" i="1"/>
  <c r="E66" i="1"/>
  <c r="C67" i="1"/>
  <c r="H66" i="1"/>
  <c r="I66" i="1"/>
  <c r="F67" i="1" l="1"/>
  <c r="G67" i="1" s="1"/>
  <c r="E67" i="1"/>
  <c r="D67" i="1"/>
  <c r="C68" i="1"/>
  <c r="H67" i="1"/>
  <c r="I67" i="1"/>
  <c r="F68" i="1" l="1"/>
  <c r="G68" i="1" s="1"/>
  <c r="D68" i="1"/>
  <c r="E68" i="1"/>
  <c r="C69" i="1"/>
  <c r="H68" i="1"/>
  <c r="I68" i="1"/>
  <c r="F69" i="1" l="1"/>
  <c r="G69" i="1" s="1"/>
  <c r="D69" i="1"/>
  <c r="E69" i="1"/>
  <c r="C70" i="1"/>
  <c r="H69" i="1"/>
  <c r="I69" i="1"/>
  <c r="F70" i="1" l="1"/>
  <c r="G70" i="1" s="1"/>
  <c r="D70" i="1"/>
  <c r="E70" i="1"/>
  <c r="C71" i="1"/>
  <c r="H70" i="1"/>
  <c r="I70" i="1"/>
  <c r="F71" i="1" l="1"/>
  <c r="G71" i="1" s="1"/>
  <c r="D71" i="1"/>
  <c r="E71" i="1"/>
  <c r="C72" i="1"/>
  <c r="H71" i="1"/>
  <c r="I71" i="1"/>
  <c r="F72" i="1" l="1"/>
  <c r="G72" i="1" s="1"/>
  <c r="E72" i="1"/>
  <c r="D72" i="1"/>
  <c r="C73" i="1"/>
  <c r="H72" i="1"/>
  <c r="I72" i="1"/>
  <c r="F73" i="1" l="1"/>
  <c r="G73" i="1" s="1"/>
  <c r="E73" i="1"/>
  <c r="D73" i="1"/>
  <c r="C74" i="1"/>
  <c r="H73" i="1"/>
  <c r="I73" i="1"/>
  <c r="F74" i="1" l="1"/>
  <c r="G74" i="1" s="1"/>
  <c r="D74" i="1"/>
  <c r="E74" i="1"/>
  <c r="C75" i="1"/>
  <c r="H74" i="1"/>
  <c r="I74" i="1"/>
  <c r="F75" i="1" l="1"/>
  <c r="G75" i="1" s="1"/>
  <c r="D75" i="1"/>
  <c r="E75" i="1"/>
  <c r="C76" i="1"/>
  <c r="H75" i="1"/>
  <c r="I75" i="1"/>
  <c r="F76" i="1" l="1"/>
  <c r="G76" i="1" s="1"/>
  <c r="E76" i="1"/>
  <c r="D76" i="1"/>
  <c r="C77" i="1"/>
  <c r="H76" i="1"/>
  <c r="I76" i="1"/>
  <c r="F77" i="1" l="1"/>
  <c r="G77" i="1" s="1"/>
  <c r="D77" i="1"/>
  <c r="E77" i="1"/>
  <c r="C78" i="1"/>
  <c r="H77" i="1"/>
  <c r="I77" i="1"/>
  <c r="F78" i="1" l="1"/>
  <c r="G78" i="1" s="1"/>
  <c r="D78" i="1"/>
  <c r="E78" i="1"/>
  <c r="C79" i="1"/>
  <c r="H78" i="1"/>
  <c r="I78" i="1"/>
  <c r="F79" i="1" l="1"/>
  <c r="G79" i="1" s="1"/>
  <c r="D79" i="1"/>
  <c r="E79" i="1"/>
  <c r="C80" i="1"/>
  <c r="H79" i="1"/>
  <c r="I79" i="1"/>
  <c r="F80" i="1" l="1"/>
  <c r="G80" i="1" s="1"/>
  <c r="D80" i="1"/>
  <c r="E80" i="1"/>
  <c r="C81" i="1"/>
  <c r="H80" i="1"/>
  <c r="I80" i="1"/>
  <c r="F81" i="1" l="1"/>
  <c r="G81" i="1" s="1"/>
  <c r="E81" i="1"/>
  <c r="D81" i="1"/>
  <c r="C82" i="1"/>
  <c r="H81" i="1"/>
  <c r="I81" i="1"/>
  <c r="F82" i="1" l="1"/>
  <c r="G82" i="1" s="1"/>
  <c r="E82" i="1"/>
  <c r="D82" i="1"/>
  <c r="C83" i="1"/>
  <c r="H82" i="1"/>
  <c r="I82" i="1"/>
  <c r="F83" i="1" l="1"/>
  <c r="G83" i="1" s="1"/>
  <c r="D83" i="1"/>
  <c r="E83" i="1"/>
  <c r="C84" i="1"/>
  <c r="H83" i="1"/>
  <c r="I83" i="1"/>
  <c r="F84" i="1" l="1"/>
  <c r="G84" i="1" s="1"/>
  <c r="D84" i="1"/>
  <c r="E84" i="1"/>
  <c r="C85" i="1"/>
  <c r="H84" i="1"/>
  <c r="I84" i="1"/>
  <c r="F85" i="1" l="1"/>
  <c r="G85" i="1" s="1"/>
  <c r="E85" i="1"/>
  <c r="D85" i="1"/>
  <c r="C86" i="1"/>
  <c r="H85" i="1"/>
  <c r="I85" i="1"/>
  <c r="F86" i="1" l="1"/>
  <c r="G86" i="1" s="1"/>
  <c r="D86" i="1"/>
  <c r="E86" i="1"/>
  <c r="C87" i="1"/>
  <c r="H86" i="1"/>
  <c r="I86" i="1"/>
  <c r="F87" i="1" l="1"/>
  <c r="G87" i="1" s="1"/>
  <c r="D87" i="1"/>
  <c r="E87" i="1"/>
  <c r="C88" i="1"/>
  <c r="H87" i="1"/>
  <c r="I87" i="1"/>
  <c r="F88" i="1" l="1"/>
  <c r="G88" i="1" s="1"/>
  <c r="D88" i="1"/>
  <c r="E88" i="1"/>
  <c r="C89" i="1"/>
  <c r="H88" i="1"/>
  <c r="I88" i="1"/>
  <c r="F89" i="1" l="1"/>
  <c r="G89" i="1" s="1"/>
  <c r="D89" i="1"/>
  <c r="E89" i="1"/>
  <c r="C90" i="1"/>
  <c r="H89" i="1"/>
  <c r="I89" i="1"/>
  <c r="F90" i="1" l="1"/>
  <c r="G90" i="1" s="1"/>
  <c r="E90" i="1"/>
  <c r="D90" i="1"/>
  <c r="C91" i="1"/>
  <c r="H90" i="1"/>
  <c r="I90" i="1"/>
  <c r="F91" i="1" l="1"/>
  <c r="G91" i="1" s="1"/>
  <c r="D91" i="1"/>
  <c r="E91" i="1"/>
  <c r="C92" i="1"/>
  <c r="H91" i="1"/>
  <c r="I91" i="1"/>
  <c r="F92" i="1" l="1"/>
  <c r="G92" i="1" s="1"/>
  <c r="D92" i="1"/>
  <c r="E92" i="1"/>
  <c r="C93" i="1"/>
  <c r="H92" i="1"/>
  <c r="I92" i="1"/>
  <c r="F93" i="1" l="1"/>
  <c r="G93" i="1" s="1"/>
  <c r="D93" i="1"/>
  <c r="E93" i="1"/>
  <c r="C94" i="1"/>
  <c r="H93" i="1"/>
  <c r="I93" i="1"/>
  <c r="F94" i="1" l="1"/>
  <c r="G94" i="1" s="1"/>
  <c r="D94" i="1"/>
  <c r="E94" i="1"/>
  <c r="C95" i="1"/>
  <c r="H94" i="1"/>
  <c r="I94" i="1"/>
  <c r="F95" i="1" l="1"/>
  <c r="G95" i="1" s="1"/>
  <c r="E95" i="1"/>
  <c r="D95" i="1"/>
  <c r="C96" i="1"/>
  <c r="H95" i="1"/>
  <c r="I95" i="1"/>
  <c r="F96" i="1" l="1"/>
  <c r="G96" i="1" s="1"/>
  <c r="E96" i="1"/>
  <c r="D96" i="1"/>
  <c r="C97" i="1"/>
  <c r="H96" i="1"/>
  <c r="I96" i="1"/>
  <c r="F97" i="1" l="1"/>
  <c r="G97" i="1" s="1"/>
  <c r="D97" i="1"/>
  <c r="E97" i="1"/>
  <c r="C98" i="1"/>
  <c r="H97" i="1"/>
  <c r="I97" i="1"/>
  <c r="F98" i="1" l="1"/>
  <c r="G98" i="1" s="1"/>
  <c r="D98" i="1"/>
  <c r="E98" i="1"/>
  <c r="C99" i="1"/>
  <c r="H98" i="1"/>
  <c r="I98" i="1"/>
  <c r="F99" i="1" l="1"/>
  <c r="G99" i="1" s="1"/>
  <c r="D99" i="1"/>
  <c r="E99" i="1"/>
  <c r="C100" i="1"/>
  <c r="H99" i="1"/>
  <c r="I99" i="1"/>
  <c r="F100" i="1" l="1"/>
  <c r="G100" i="1" s="1"/>
  <c r="D100" i="1"/>
  <c r="E100" i="1"/>
  <c r="C101" i="1"/>
  <c r="H100" i="1"/>
  <c r="I100" i="1"/>
  <c r="F101" i="1" l="1"/>
  <c r="G101" i="1" s="1"/>
  <c r="E101" i="1"/>
  <c r="D101" i="1"/>
  <c r="C102" i="1"/>
  <c r="H101" i="1"/>
  <c r="I101" i="1"/>
  <c r="F102" i="1" l="1"/>
  <c r="G102" i="1" s="1"/>
  <c r="D102" i="1"/>
  <c r="E102" i="1"/>
  <c r="C103" i="1"/>
  <c r="H102" i="1"/>
  <c r="I102" i="1"/>
  <c r="F103" i="1" l="1"/>
  <c r="G103" i="1" s="1"/>
  <c r="D103" i="1"/>
  <c r="E103" i="1"/>
  <c r="C104" i="1"/>
  <c r="H103" i="1"/>
  <c r="I103" i="1"/>
  <c r="F104" i="1" l="1"/>
  <c r="G104" i="1" s="1"/>
  <c r="D104" i="1"/>
  <c r="E104" i="1"/>
  <c r="C105" i="1"/>
  <c r="H104" i="1"/>
  <c r="I104" i="1"/>
  <c r="F105" i="1" l="1"/>
  <c r="G105" i="1" s="1"/>
  <c r="D105" i="1"/>
  <c r="E105" i="1"/>
  <c r="C106" i="1"/>
  <c r="H105" i="1"/>
  <c r="I105" i="1"/>
  <c r="F106" i="1" l="1"/>
  <c r="G106" i="1" s="1"/>
  <c r="D106" i="1"/>
  <c r="E106" i="1"/>
  <c r="C107" i="1"/>
  <c r="H106" i="1"/>
  <c r="I106" i="1"/>
  <c r="F107" i="1" l="1"/>
  <c r="G107" i="1" s="1"/>
  <c r="D107" i="1"/>
  <c r="E107" i="1"/>
  <c r="C108" i="1"/>
  <c r="H107" i="1"/>
  <c r="I107" i="1"/>
  <c r="F108" i="1" l="1"/>
  <c r="G108" i="1" s="1"/>
  <c r="D108" i="1"/>
  <c r="E108" i="1"/>
  <c r="C109" i="1"/>
  <c r="H108" i="1"/>
  <c r="I108" i="1"/>
  <c r="F109" i="1" l="1"/>
  <c r="G109" i="1" s="1"/>
  <c r="D109" i="1"/>
  <c r="E109" i="1"/>
  <c r="C110" i="1"/>
  <c r="H109" i="1"/>
  <c r="I109" i="1"/>
  <c r="F110" i="1" l="1"/>
  <c r="G110" i="1" s="1"/>
  <c r="D110" i="1"/>
  <c r="E110" i="1"/>
  <c r="C111" i="1"/>
  <c r="H110" i="1"/>
  <c r="I110" i="1"/>
  <c r="F111" i="1" l="1"/>
  <c r="G111" i="1" s="1"/>
  <c r="D111" i="1"/>
  <c r="E111" i="1"/>
  <c r="C112" i="1"/>
  <c r="H111" i="1"/>
  <c r="I111" i="1"/>
  <c r="F112" i="1" l="1"/>
  <c r="G112" i="1" s="1"/>
  <c r="D112" i="1"/>
  <c r="E112" i="1"/>
  <c r="C113" i="1"/>
  <c r="H112" i="1"/>
  <c r="I112" i="1"/>
  <c r="F113" i="1" l="1"/>
  <c r="G113" i="1" s="1"/>
  <c r="D113" i="1"/>
  <c r="E113" i="1"/>
  <c r="C114" i="1"/>
  <c r="H113" i="1"/>
  <c r="I113" i="1"/>
  <c r="F114" i="1" l="1"/>
  <c r="G114" i="1" s="1"/>
  <c r="D114" i="1"/>
  <c r="E114" i="1"/>
  <c r="C115" i="1"/>
  <c r="H114" i="1"/>
  <c r="I114" i="1"/>
  <c r="F115" i="1" l="1"/>
  <c r="G115" i="1" s="1"/>
  <c r="D115" i="1"/>
  <c r="E115" i="1"/>
  <c r="C116" i="1"/>
  <c r="H115" i="1"/>
  <c r="I115" i="1"/>
  <c r="F116" i="1" l="1"/>
  <c r="G116" i="1" s="1"/>
  <c r="E116" i="1"/>
  <c r="D116" i="1"/>
  <c r="H116" i="1"/>
  <c r="C117" i="1"/>
  <c r="I116" i="1"/>
  <c r="F117" i="1" l="1"/>
  <c r="G117" i="1" s="1"/>
  <c r="E117" i="1"/>
  <c r="H117" i="1"/>
  <c r="D117" i="1"/>
  <c r="I117" i="1"/>
  <c r="C118" i="1"/>
  <c r="F118" i="1" l="1"/>
  <c r="G118" i="1" s="1"/>
  <c r="D118" i="1"/>
  <c r="E118" i="1"/>
  <c r="C119" i="1"/>
  <c r="I118" i="1"/>
  <c r="H118" i="1"/>
  <c r="F119" i="1" l="1"/>
  <c r="G119" i="1" s="1"/>
  <c r="D119" i="1"/>
  <c r="E119" i="1"/>
  <c r="C120" i="1"/>
  <c r="H119" i="1"/>
  <c r="I119" i="1"/>
  <c r="E120" i="1" l="1"/>
  <c r="F120" i="1"/>
  <c r="G120" i="1" s="1"/>
  <c r="D120" i="1"/>
  <c r="C121" i="1"/>
  <c r="H120" i="1"/>
  <c r="I120" i="1"/>
  <c r="F121" i="1" l="1"/>
  <c r="G121" i="1" s="1"/>
  <c r="D121" i="1"/>
  <c r="E121" i="1"/>
  <c r="C122" i="1"/>
  <c r="H121" i="1"/>
  <c r="I121" i="1"/>
  <c r="F122" i="1" l="1"/>
  <c r="G122" i="1" s="1"/>
  <c r="D122" i="1"/>
  <c r="E122" i="1"/>
  <c r="C123" i="1"/>
  <c r="H122" i="1"/>
  <c r="I122" i="1"/>
  <c r="F123" i="1" l="1"/>
  <c r="G123" i="1" s="1"/>
  <c r="E123" i="1"/>
  <c r="D123" i="1"/>
  <c r="C124" i="1"/>
  <c r="H123" i="1"/>
  <c r="I123" i="1"/>
  <c r="F124" i="1" l="1"/>
  <c r="G124" i="1" s="1"/>
  <c r="D124" i="1"/>
  <c r="E124" i="1"/>
  <c r="C125" i="1"/>
  <c r="H124" i="1"/>
  <c r="I124" i="1"/>
  <c r="F125" i="1" l="1"/>
  <c r="G125" i="1" s="1"/>
  <c r="D125" i="1"/>
  <c r="E125" i="1"/>
  <c r="C126" i="1"/>
  <c r="H125" i="1"/>
  <c r="I125" i="1"/>
  <c r="F126" i="1" l="1"/>
  <c r="G126" i="1" s="1"/>
  <c r="E126" i="1"/>
  <c r="D126" i="1"/>
  <c r="C127" i="1"/>
  <c r="H126" i="1"/>
  <c r="I126" i="1"/>
  <c r="F127" i="1" l="1"/>
  <c r="G127" i="1" s="1"/>
  <c r="D127" i="1"/>
  <c r="E127" i="1"/>
  <c r="C128" i="1"/>
  <c r="H127" i="1"/>
  <c r="I127" i="1"/>
  <c r="F128" i="1" l="1"/>
  <c r="G128" i="1" s="1"/>
  <c r="D128" i="1"/>
  <c r="E128" i="1"/>
  <c r="C129" i="1"/>
  <c r="H128" i="1"/>
  <c r="I128" i="1"/>
  <c r="F129" i="1" l="1"/>
  <c r="G129" i="1" s="1"/>
  <c r="D129" i="1"/>
  <c r="E129" i="1"/>
  <c r="C130" i="1"/>
  <c r="H129" i="1"/>
  <c r="I129" i="1"/>
  <c r="F130" i="1" l="1"/>
  <c r="G130" i="1" s="1"/>
  <c r="D130" i="1"/>
  <c r="E130" i="1"/>
  <c r="C131" i="1"/>
  <c r="H130" i="1"/>
  <c r="I130" i="1"/>
  <c r="F131" i="1" l="1"/>
  <c r="G131" i="1" s="1"/>
  <c r="D131" i="1"/>
  <c r="E131" i="1"/>
  <c r="C132" i="1"/>
  <c r="H131" i="1"/>
  <c r="I131" i="1"/>
  <c r="F132" i="1" l="1"/>
  <c r="G132" i="1" s="1"/>
  <c r="E132" i="1"/>
  <c r="D132" i="1"/>
  <c r="C133" i="1"/>
  <c r="H132" i="1"/>
  <c r="I132" i="1"/>
  <c r="F133" i="1" l="1"/>
  <c r="G133" i="1" s="1"/>
  <c r="D133" i="1"/>
  <c r="E133" i="1"/>
  <c r="C134" i="1"/>
  <c r="H133" i="1"/>
  <c r="I133" i="1"/>
  <c r="F134" i="1" l="1"/>
  <c r="G134" i="1" s="1"/>
  <c r="E134" i="1"/>
  <c r="I134" i="1"/>
  <c r="D134" i="1"/>
  <c r="C135" i="1"/>
  <c r="H134" i="1"/>
  <c r="F135" i="1" l="1"/>
  <c r="G135" i="1" s="1"/>
  <c r="E135" i="1"/>
  <c r="D135" i="1"/>
  <c r="I135" i="1"/>
  <c r="H135" i="1"/>
  <c r="C136" i="1"/>
  <c r="F136" i="1" l="1"/>
  <c r="G136" i="1" s="1"/>
  <c r="D136" i="1"/>
  <c r="E136" i="1"/>
  <c r="C137" i="1"/>
  <c r="I136" i="1"/>
  <c r="H136" i="1"/>
  <c r="F137" i="1" l="1"/>
  <c r="G137" i="1" s="1"/>
  <c r="D137" i="1"/>
  <c r="E137" i="1"/>
  <c r="C138" i="1"/>
  <c r="H137" i="1"/>
  <c r="I137" i="1"/>
  <c r="F138" i="1" l="1"/>
  <c r="G138" i="1" s="1"/>
  <c r="E138" i="1"/>
  <c r="D138" i="1"/>
  <c r="C139" i="1"/>
  <c r="H138" i="1"/>
  <c r="I138" i="1"/>
  <c r="F139" i="1" l="1"/>
  <c r="G139" i="1" s="1"/>
  <c r="D139" i="1"/>
  <c r="E139" i="1"/>
  <c r="C140" i="1"/>
  <c r="H139" i="1"/>
  <c r="I139" i="1"/>
  <c r="F140" i="1" l="1"/>
  <c r="G140" i="1" s="1"/>
  <c r="D140" i="1"/>
  <c r="E140" i="1"/>
  <c r="C141" i="1"/>
  <c r="H140" i="1"/>
  <c r="I140" i="1"/>
  <c r="F141" i="1" l="1"/>
  <c r="G141" i="1" s="1"/>
  <c r="D141" i="1"/>
  <c r="E141" i="1"/>
  <c r="C142" i="1"/>
  <c r="H141" i="1"/>
  <c r="I141" i="1"/>
  <c r="F142" i="1" l="1"/>
  <c r="G142" i="1" s="1"/>
  <c r="D142" i="1"/>
  <c r="E142" i="1"/>
  <c r="C143" i="1"/>
  <c r="H142" i="1"/>
  <c r="I142" i="1"/>
  <c r="F143" i="1" l="1"/>
  <c r="G143" i="1" s="1"/>
  <c r="D143" i="1"/>
  <c r="E143" i="1"/>
  <c r="C144" i="1"/>
  <c r="H143" i="1"/>
  <c r="I143" i="1"/>
  <c r="F144" i="1" l="1"/>
  <c r="G144" i="1" s="1"/>
  <c r="E144" i="1"/>
  <c r="D144" i="1"/>
  <c r="C145" i="1"/>
  <c r="H144" i="1"/>
  <c r="I144" i="1"/>
  <c r="F145" i="1" l="1"/>
  <c r="G145" i="1" s="1"/>
  <c r="D145" i="1"/>
  <c r="E145" i="1"/>
  <c r="C146" i="1"/>
  <c r="H145" i="1"/>
  <c r="I145" i="1"/>
  <c r="F146" i="1" l="1"/>
  <c r="G146" i="1" s="1"/>
  <c r="D146" i="1"/>
  <c r="E146" i="1"/>
  <c r="C147" i="1"/>
  <c r="H146" i="1"/>
  <c r="I146" i="1"/>
  <c r="F147" i="1" l="1"/>
  <c r="G147" i="1" s="1"/>
  <c r="E147" i="1"/>
  <c r="D147" i="1"/>
  <c r="C148" i="1"/>
  <c r="H147" i="1"/>
  <c r="I147" i="1"/>
  <c r="F148" i="1" l="1"/>
  <c r="G148" i="1" s="1"/>
  <c r="D148" i="1"/>
  <c r="E148" i="1"/>
  <c r="C149" i="1"/>
  <c r="H148" i="1"/>
  <c r="I148" i="1"/>
  <c r="F149" i="1" l="1"/>
  <c r="G149" i="1" s="1"/>
  <c r="D149" i="1"/>
  <c r="E149" i="1"/>
  <c r="C150" i="1"/>
  <c r="H149" i="1"/>
  <c r="I149" i="1"/>
  <c r="F150" i="1" l="1"/>
  <c r="G150" i="1" s="1"/>
  <c r="D150" i="1"/>
  <c r="E150" i="1"/>
  <c r="C151" i="1"/>
  <c r="H150" i="1"/>
  <c r="I150" i="1"/>
  <c r="F151" i="1" l="1"/>
  <c r="G151" i="1" s="1"/>
  <c r="D151" i="1"/>
  <c r="E151" i="1"/>
  <c r="C152" i="1"/>
  <c r="H151" i="1"/>
  <c r="I151" i="1"/>
  <c r="E152" i="1" l="1"/>
  <c r="F152" i="1"/>
  <c r="G152" i="1" s="1"/>
  <c r="D152" i="1"/>
  <c r="C153" i="1"/>
  <c r="H152" i="1"/>
  <c r="I152" i="1"/>
  <c r="F153" i="1" l="1"/>
  <c r="G153" i="1" s="1"/>
  <c r="D153" i="1"/>
  <c r="E153" i="1"/>
  <c r="C154" i="1"/>
  <c r="H153" i="1"/>
  <c r="I153" i="1"/>
  <c r="F154" i="1" l="1"/>
  <c r="G154" i="1" s="1"/>
  <c r="D154" i="1"/>
  <c r="E154" i="1"/>
  <c r="C155" i="1"/>
  <c r="H154" i="1"/>
  <c r="I154" i="1"/>
  <c r="F155" i="1" l="1"/>
  <c r="G155" i="1" s="1"/>
  <c r="D155" i="1"/>
  <c r="E155" i="1"/>
  <c r="C156" i="1"/>
  <c r="H155" i="1"/>
  <c r="I155" i="1"/>
  <c r="F156" i="1" l="1"/>
  <c r="G156" i="1" s="1"/>
  <c r="E156" i="1"/>
  <c r="D156" i="1"/>
  <c r="C157" i="1"/>
  <c r="H156" i="1"/>
  <c r="I156" i="1"/>
  <c r="F157" i="1" l="1"/>
  <c r="G157" i="1" s="1"/>
  <c r="D157" i="1"/>
  <c r="E157" i="1"/>
  <c r="C158" i="1"/>
  <c r="H157" i="1"/>
  <c r="I157" i="1"/>
  <c r="F158" i="1" l="1"/>
  <c r="G158" i="1" s="1"/>
  <c r="D158" i="1"/>
  <c r="E158" i="1"/>
  <c r="C159" i="1"/>
  <c r="H158" i="1"/>
  <c r="I158" i="1"/>
  <c r="F159" i="1" l="1"/>
  <c r="G159" i="1" s="1"/>
  <c r="D159" i="1"/>
  <c r="E159" i="1"/>
  <c r="C160" i="1"/>
  <c r="H159" i="1"/>
  <c r="I159" i="1"/>
  <c r="F160" i="1" l="1"/>
  <c r="G160" i="1" s="1"/>
  <c r="D160" i="1"/>
  <c r="E160" i="1"/>
  <c r="C161" i="1"/>
  <c r="H160" i="1"/>
  <c r="I160" i="1"/>
  <c r="F161" i="1" l="1"/>
  <c r="G161" i="1" s="1"/>
  <c r="D161" i="1"/>
  <c r="E161" i="1"/>
  <c r="C162" i="1"/>
  <c r="H161" i="1"/>
  <c r="I161" i="1"/>
  <c r="F162" i="1" l="1"/>
  <c r="G162" i="1" s="1"/>
  <c r="D162" i="1"/>
  <c r="E162" i="1"/>
  <c r="C163" i="1"/>
  <c r="H162" i="1"/>
  <c r="I162" i="1"/>
  <c r="F163" i="1" l="1"/>
  <c r="G163" i="1" s="1"/>
  <c r="D163" i="1"/>
  <c r="E163" i="1"/>
  <c r="C164" i="1"/>
  <c r="H163" i="1"/>
  <c r="I163" i="1"/>
  <c r="F164" i="1" l="1"/>
  <c r="G164" i="1" s="1"/>
  <c r="D164" i="1"/>
  <c r="E164" i="1"/>
  <c r="C165" i="1"/>
  <c r="H164" i="1"/>
  <c r="I164" i="1"/>
  <c r="F165" i="1" l="1"/>
  <c r="G165" i="1" s="1"/>
  <c r="D165" i="1"/>
  <c r="E165" i="1"/>
  <c r="C166" i="1"/>
  <c r="H165" i="1"/>
  <c r="I165" i="1"/>
  <c r="F166" i="1" l="1"/>
  <c r="G166" i="1" s="1"/>
  <c r="D166" i="1"/>
  <c r="E166" i="1"/>
  <c r="C167" i="1"/>
  <c r="H166" i="1"/>
  <c r="I166" i="1"/>
  <c r="F167" i="1" l="1"/>
  <c r="G167" i="1" s="1"/>
  <c r="D167" i="1"/>
  <c r="E167" i="1"/>
  <c r="C168" i="1"/>
  <c r="H167" i="1"/>
  <c r="I167" i="1"/>
  <c r="F168" i="1" l="1"/>
  <c r="G168" i="1" s="1"/>
  <c r="D168" i="1"/>
  <c r="E168" i="1"/>
  <c r="C169" i="1"/>
  <c r="H168" i="1"/>
  <c r="I168" i="1"/>
  <c r="F169" i="1" l="1"/>
  <c r="G169" i="1" s="1"/>
  <c r="E169" i="1"/>
  <c r="D169" i="1"/>
  <c r="C170" i="1"/>
  <c r="H169" i="1"/>
  <c r="I169" i="1"/>
  <c r="F170" i="1" l="1"/>
  <c r="G170" i="1" s="1"/>
  <c r="D170" i="1"/>
  <c r="E170" i="1"/>
  <c r="C171" i="1"/>
  <c r="H170" i="1"/>
  <c r="I170" i="1"/>
  <c r="F171" i="1" l="1"/>
  <c r="G171" i="1" s="1"/>
  <c r="E171" i="1"/>
  <c r="D171" i="1"/>
  <c r="C172" i="1"/>
  <c r="H171" i="1"/>
  <c r="I171" i="1"/>
  <c r="F172" i="1" l="1"/>
  <c r="G172" i="1" s="1"/>
  <c r="D172" i="1"/>
  <c r="E172" i="1"/>
  <c r="C173" i="1"/>
  <c r="H172" i="1"/>
  <c r="I172" i="1"/>
  <c r="F173" i="1" l="1"/>
  <c r="G173" i="1" s="1"/>
  <c r="D173" i="1"/>
  <c r="E173" i="1"/>
  <c r="C174" i="1"/>
  <c r="H173" i="1"/>
  <c r="I173" i="1"/>
  <c r="F174" i="1" l="1"/>
  <c r="G174" i="1" s="1"/>
  <c r="E174" i="1"/>
  <c r="D174" i="1"/>
  <c r="C175" i="1"/>
  <c r="H174" i="1"/>
  <c r="I174" i="1"/>
  <c r="F175" i="1" l="1"/>
  <c r="G175" i="1" s="1"/>
  <c r="D175" i="1"/>
  <c r="E175" i="1"/>
  <c r="C176" i="1"/>
  <c r="H175" i="1"/>
  <c r="I175" i="1"/>
  <c r="F176" i="1" l="1"/>
  <c r="G176" i="1" s="1"/>
  <c r="E176" i="1"/>
  <c r="D176" i="1"/>
  <c r="C177" i="1"/>
  <c r="H176" i="1"/>
  <c r="I176" i="1"/>
  <c r="F177" i="1" l="1"/>
  <c r="G177" i="1" s="1"/>
  <c r="D177" i="1"/>
  <c r="E177" i="1"/>
  <c r="C178" i="1"/>
  <c r="H177" i="1"/>
  <c r="I177" i="1"/>
  <c r="F178" i="1" l="1"/>
  <c r="G178" i="1" s="1"/>
  <c r="E178" i="1"/>
  <c r="D178" i="1"/>
  <c r="C179" i="1"/>
  <c r="H178" i="1"/>
  <c r="I178" i="1"/>
  <c r="F179" i="1" l="1"/>
  <c r="G179" i="1" s="1"/>
  <c r="D179" i="1"/>
  <c r="E179" i="1"/>
  <c r="C180" i="1"/>
  <c r="H179" i="1"/>
  <c r="I179" i="1"/>
  <c r="F180" i="1" l="1"/>
  <c r="G180" i="1" s="1"/>
  <c r="D180" i="1"/>
  <c r="E180" i="1"/>
  <c r="C181" i="1"/>
  <c r="H180" i="1"/>
  <c r="I180" i="1"/>
  <c r="F181" i="1" l="1"/>
  <c r="G181" i="1" s="1"/>
  <c r="E181" i="1"/>
  <c r="D181" i="1"/>
  <c r="C182" i="1"/>
  <c r="H181" i="1"/>
  <c r="I181" i="1"/>
  <c r="F182" i="1" l="1"/>
  <c r="G182" i="1" s="1"/>
  <c r="D182" i="1"/>
  <c r="E182" i="1"/>
  <c r="C183" i="1"/>
  <c r="H182" i="1"/>
  <c r="I182" i="1"/>
  <c r="F183" i="1" l="1"/>
  <c r="G183" i="1" s="1"/>
  <c r="D183" i="1"/>
  <c r="E183" i="1"/>
  <c r="C184" i="1"/>
  <c r="H183" i="1"/>
  <c r="I183" i="1"/>
  <c r="F184" i="1" l="1"/>
  <c r="G184" i="1" s="1"/>
  <c r="E184" i="1"/>
  <c r="I184" i="1"/>
  <c r="D184" i="1"/>
  <c r="H184" i="1"/>
</calcChain>
</file>

<file path=xl/sharedStrings.xml><?xml version="1.0" encoding="utf-8"?>
<sst xmlns="http://schemas.openxmlformats.org/spreadsheetml/2006/main" count="14268" uniqueCount="112">
  <si>
    <t>Agency</t>
  </si>
  <si>
    <t>Program</t>
  </si>
  <si>
    <t>Age</t>
  </si>
  <si>
    <t>Client</t>
  </si>
  <si>
    <t>Sex</t>
  </si>
  <si>
    <t>Ethnicity</t>
  </si>
  <si>
    <t>Adjustment to Trauma</t>
  </si>
  <si>
    <t>Anger Control</t>
  </si>
  <si>
    <t>Anxiety</t>
  </si>
  <si>
    <t>Conduct</t>
  </si>
  <si>
    <t>Depression</t>
  </si>
  <si>
    <t>Impulse Hyper</t>
  </si>
  <si>
    <t>Oppositional</t>
  </si>
  <si>
    <t>Psychosis</t>
  </si>
  <si>
    <t>Somatization</t>
  </si>
  <si>
    <t>Substance Abuse</t>
  </si>
  <si>
    <t>Agency 1</t>
  </si>
  <si>
    <t>Agency 2</t>
  </si>
  <si>
    <t>Agency 3</t>
  </si>
  <si>
    <t>Program A</t>
  </si>
  <si>
    <t>Program B</t>
  </si>
  <si>
    <t>Program C</t>
  </si>
  <si>
    <t>Program D</t>
  </si>
  <si>
    <t>Assessment Pd</t>
  </si>
  <si>
    <t>Start Date</t>
  </si>
  <si>
    <t>Assessment Date</t>
  </si>
  <si>
    <t>To do</t>
  </si>
  <si>
    <t>Initial</t>
  </si>
  <si>
    <t>3 months</t>
  </si>
  <si>
    <t>6 months</t>
  </si>
  <si>
    <t>9 months</t>
  </si>
  <si>
    <t>12 months</t>
  </si>
  <si>
    <t>15 months</t>
  </si>
  <si>
    <t>18 months</t>
  </si>
  <si>
    <t>21 months</t>
  </si>
  <si>
    <t>24 months</t>
  </si>
  <si>
    <t>27 months</t>
  </si>
  <si>
    <t>30 months</t>
  </si>
  <si>
    <t>33 months</t>
  </si>
  <si>
    <t>36 months</t>
  </si>
  <si>
    <t>39 months</t>
  </si>
  <si>
    <t>42 months</t>
  </si>
  <si>
    <t>Table used to look up assessment period values</t>
  </si>
  <si>
    <t>Female</t>
  </si>
  <si>
    <t>White (Non-Hisp)</t>
  </si>
  <si>
    <t>5+ CANS</t>
  </si>
  <si>
    <t>Entry</t>
  </si>
  <si>
    <t>Reassessment</t>
  </si>
  <si>
    <t>Male</t>
  </si>
  <si>
    <t>0-4 CANS</t>
  </si>
  <si>
    <t>Black (Non-Hisp)</t>
  </si>
  <si>
    <t>Hispanic</t>
  </si>
  <si>
    <t>13330591</t>
  </si>
  <si>
    <t>51871933</t>
  </si>
  <si>
    <t>06074102</t>
  </si>
  <si>
    <t>34761661</t>
  </si>
  <si>
    <t>16708725</t>
  </si>
  <si>
    <t>24969172</t>
  </si>
  <si>
    <t>16813202</t>
  </si>
  <si>
    <t>32935396</t>
  </si>
  <si>
    <t>56239560</t>
  </si>
  <si>
    <t>74410458</t>
  </si>
  <si>
    <t>70550876</t>
  </si>
  <si>
    <t>27653086</t>
  </si>
  <si>
    <t>77634374</t>
  </si>
  <si>
    <t>67389131</t>
  </si>
  <si>
    <t>31161805</t>
  </si>
  <si>
    <t>10225850</t>
  </si>
  <si>
    <t>48451617</t>
  </si>
  <si>
    <t>23222105</t>
  </si>
  <si>
    <t>69897263</t>
  </si>
  <si>
    <t>17680504</t>
  </si>
  <si>
    <t>50346134</t>
  </si>
  <si>
    <t>89228216</t>
  </si>
  <si>
    <t>16127858</t>
  </si>
  <si>
    <t>72414695</t>
  </si>
  <si>
    <t>44019324</t>
  </si>
  <si>
    <t>69461947</t>
  </si>
  <si>
    <t>57062516</t>
  </si>
  <si>
    <t>06022025</t>
  </si>
  <si>
    <t>01071201</t>
  </si>
  <si>
    <t>30307564</t>
  </si>
  <si>
    <t>00785248</t>
  </si>
  <si>
    <t>37140141</t>
  </si>
  <si>
    <t>52256110</t>
  </si>
  <si>
    <t>31244071</t>
  </si>
  <si>
    <t>92985608</t>
  </si>
  <si>
    <t>25901400</t>
  </si>
  <si>
    <t>99317033</t>
  </si>
  <si>
    <t>91247299</t>
  </si>
  <si>
    <t>59307832</t>
  </si>
  <si>
    <t>17983260</t>
  </si>
  <si>
    <t>50670841</t>
  </si>
  <si>
    <t>62613657</t>
  </si>
  <si>
    <t>20226377</t>
  </si>
  <si>
    <t>76773416</t>
  </si>
  <si>
    <t>57806389</t>
  </si>
  <si>
    <t>18200595</t>
  </si>
  <si>
    <t>87126942</t>
  </si>
  <si>
    <t>26068107</t>
  </si>
  <si>
    <t>42294551</t>
  </si>
  <si>
    <t>90173367</t>
  </si>
  <si>
    <t>39672384</t>
  </si>
  <si>
    <t>40598771</t>
  </si>
  <si>
    <t>77221938</t>
  </si>
  <si>
    <t>51301359</t>
  </si>
  <si>
    <t>05360932</t>
  </si>
  <si>
    <t>66261715</t>
  </si>
  <si>
    <t>02026363</t>
  </si>
  <si>
    <t>Item</t>
  </si>
  <si>
    <t>Score</t>
  </si>
  <si>
    <t>Make the full set of fields and dates parallel to existing data that we've seen, specifically the WA data for starters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</si>
</sst>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abSelected="1" workbookViewId="0">
      <selection activeCell="A4" sqref="A4"/>
    </sheetView>
  </sheetViews>
  <sheetFormatPr defaultRowHeight="15" x14ac:dyDescent="0.25"/>
  <cols>
    <col min="14" max="14" width="17.5703125" customWidth="1"/>
  </cols>
  <sheetData>
    <row r="1" spans="1:16" ht="18.75" x14ac:dyDescent="0.3">
      <c r="A1" s="5" t="s">
        <v>26</v>
      </c>
    </row>
    <row r="2" spans="1:16" x14ac:dyDescent="0.25">
      <c r="A2" t="s">
        <v>111</v>
      </c>
    </row>
    <row r="4" spans="1:16" s="3" customFormat="1" x14ac:dyDescent="0.25">
      <c r="N4" s="6" t="s">
        <v>42</v>
      </c>
    </row>
    <row r="5" spans="1:16" x14ac:dyDescent="0.25">
      <c r="N5">
        <v>1305</v>
      </c>
      <c r="O5">
        <v>42</v>
      </c>
      <c r="P5" t="s">
        <v>41</v>
      </c>
    </row>
    <row r="6" spans="1:16" x14ac:dyDescent="0.25">
      <c r="N6">
        <v>1215</v>
      </c>
      <c r="O6">
        <v>39</v>
      </c>
      <c r="P6" t="s">
        <v>40</v>
      </c>
    </row>
    <row r="7" spans="1:16" x14ac:dyDescent="0.25">
      <c r="N7">
        <v>1125</v>
      </c>
      <c r="O7">
        <v>36</v>
      </c>
      <c r="P7" t="s">
        <v>39</v>
      </c>
    </row>
    <row r="8" spans="1:16" x14ac:dyDescent="0.25">
      <c r="N8">
        <v>1035</v>
      </c>
      <c r="O8">
        <v>33</v>
      </c>
      <c r="P8" t="s">
        <v>38</v>
      </c>
    </row>
    <row r="9" spans="1:16" x14ac:dyDescent="0.25">
      <c r="N9">
        <v>945</v>
      </c>
      <c r="O9">
        <v>30</v>
      </c>
      <c r="P9" t="s">
        <v>37</v>
      </c>
    </row>
    <row r="10" spans="1:16" x14ac:dyDescent="0.25">
      <c r="N10">
        <v>855</v>
      </c>
      <c r="O10">
        <v>27</v>
      </c>
      <c r="P10" t="s">
        <v>36</v>
      </c>
    </row>
    <row r="11" spans="1:16" x14ac:dyDescent="0.25">
      <c r="N11">
        <v>765</v>
      </c>
      <c r="O11">
        <v>24</v>
      </c>
      <c r="P11" t="s">
        <v>35</v>
      </c>
    </row>
    <row r="12" spans="1:16" x14ac:dyDescent="0.25">
      <c r="N12">
        <v>675</v>
      </c>
      <c r="O12">
        <v>21</v>
      </c>
      <c r="P12" t="s">
        <v>34</v>
      </c>
    </row>
    <row r="13" spans="1:16" x14ac:dyDescent="0.25">
      <c r="N13">
        <v>585</v>
      </c>
      <c r="O13">
        <v>18</v>
      </c>
      <c r="P13" t="s">
        <v>33</v>
      </c>
    </row>
    <row r="14" spans="1:16" x14ac:dyDescent="0.25">
      <c r="N14">
        <v>495</v>
      </c>
      <c r="O14">
        <v>15</v>
      </c>
      <c r="P14" t="s">
        <v>32</v>
      </c>
    </row>
    <row r="15" spans="1:16" x14ac:dyDescent="0.25">
      <c r="N15">
        <v>405</v>
      </c>
      <c r="O15">
        <v>12</v>
      </c>
      <c r="P15" t="s">
        <v>31</v>
      </c>
    </row>
    <row r="16" spans="1:16" x14ac:dyDescent="0.25">
      <c r="N16">
        <v>315</v>
      </c>
      <c r="O16">
        <v>9</v>
      </c>
      <c r="P16" t="s">
        <v>30</v>
      </c>
    </row>
    <row r="17" spans="14:16" x14ac:dyDescent="0.25">
      <c r="N17">
        <v>225</v>
      </c>
      <c r="O17">
        <v>6</v>
      </c>
      <c r="P17" t="s">
        <v>29</v>
      </c>
    </row>
    <row r="18" spans="14:16" x14ac:dyDescent="0.25">
      <c r="N18">
        <v>135</v>
      </c>
      <c r="O18">
        <v>3</v>
      </c>
      <c r="P18" t="s">
        <v>28</v>
      </c>
    </row>
    <row r="19" spans="14:16" x14ac:dyDescent="0.25">
      <c r="N19">
        <v>45</v>
      </c>
      <c r="O19" t="s">
        <v>27</v>
      </c>
      <c r="P19" t="s">
        <v>27</v>
      </c>
    </row>
  </sheetData>
  <sortState ref="N9:P23">
    <sortCondition descending="1" ref="N4:N1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84"/>
  <sheetViews>
    <sheetView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8.85546875" bestFit="1" customWidth="1"/>
    <col min="2" max="2" width="10.140625" bestFit="1" customWidth="1"/>
    <col min="3" max="3" width="9" bestFit="1" customWidth="1"/>
    <col min="4" max="4" width="7.5703125" bestFit="1" customWidth="1"/>
    <col min="5" max="5" width="16.7109375" bestFit="1" customWidth="1"/>
    <col min="6" max="7" width="10.85546875" customWidth="1"/>
    <col min="8" max="8" width="9" bestFit="1" customWidth="1"/>
    <col min="9" max="9" width="14.42578125" bestFit="1" customWidth="1"/>
    <col min="10" max="19" width="12.7109375" customWidth="1"/>
  </cols>
  <sheetData>
    <row r="1" spans="1:20" x14ac:dyDescent="0.25">
      <c r="J1" s="1">
        <f ca="1">RAND()+1</f>
        <v>1.1580420532470717</v>
      </c>
      <c r="K1" s="1">
        <f t="shared" ref="K1:S1" ca="1" si="0">RAND()+1</f>
        <v>1.5882069575939437</v>
      </c>
      <c r="L1" s="1">
        <f t="shared" ca="1" si="0"/>
        <v>1.2227695572179993</v>
      </c>
      <c r="M1" s="1">
        <f t="shared" ca="1" si="0"/>
        <v>1.3410521903041528</v>
      </c>
      <c r="N1" s="1">
        <f t="shared" ca="1" si="0"/>
        <v>1.9860045683617868</v>
      </c>
      <c r="O1" s="1">
        <f t="shared" ca="1" si="0"/>
        <v>1.3872192915853412</v>
      </c>
      <c r="P1" s="1">
        <f t="shared" ca="1" si="0"/>
        <v>1.6611521443269732</v>
      </c>
      <c r="Q1" s="1">
        <f t="shared" ca="1" si="0"/>
        <v>1.5536152375117362</v>
      </c>
      <c r="R1" s="1">
        <f t="shared" ca="1" si="0"/>
        <v>1.3480371440594698</v>
      </c>
      <c r="S1" s="1">
        <f t="shared" ca="1" si="0"/>
        <v>1.2848120096322559</v>
      </c>
      <c r="T1" s="1"/>
    </row>
    <row r="2" spans="1:20" x14ac:dyDescent="0.25">
      <c r="A2" s="2" t="s">
        <v>0</v>
      </c>
      <c r="B2" s="2" t="s">
        <v>1</v>
      </c>
      <c r="C2" s="2" t="s">
        <v>3</v>
      </c>
      <c r="D2" s="2" t="s">
        <v>4</v>
      </c>
      <c r="E2" s="2" t="s">
        <v>5</v>
      </c>
      <c r="F2" s="2" t="s">
        <v>24</v>
      </c>
      <c r="G2" s="2" t="s">
        <v>25</v>
      </c>
      <c r="H2" s="2" t="s">
        <v>2</v>
      </c>
      <c r="I2" s="2" t="s">
        <v>23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</row>
    <row r="3" spans="1:20" x14ac:dyDescent="0.25">
      <c r="A3" t="s">
        <v>16</v>
      </c>
      <c r="B3" t="s">
        <v>19</v>
      </c>
      <c r="C3" t="str">
        <f ca="1">TEXT(IF(OR(RAND()&lt;0.3, ROW()=3), ROUND(RAND()*100000000, 0), C2), "00000000")</f>
        <v>56744518</v>
      </c>
      <c r="D3" t="str">
        <f t="shared" ref="D3:D34" ca="1" si="1">IF(C3=C2, D2, IF(RAND()&lt;0.5, "Male", "Female"))</f>
        <v>Male</v>
      </c>
      <c r="E3" t="str">
        <f t="shared" ref="E3:E34" ca="1" si="2">IF(C2=C3, E2, IF(RAND()&lt;0.6, "White (Non-Hisp)", IF(RAND()&lt;0.5, "Black (Non-Hisp)", "Hispanic")))</f>
        <v>Black (Non-Hisp)</v>
      </c>
      <c r="F3" s="4">
        <f t="shared" ref="F3:F34" ca="1" si="3">IF(C2&lt;&gt;C3, ROUND(RAND()*500, 0)+DATE(2013, 1, 1), F2)</f>
        <v>41775</v>
      </c>
      <c r="G3" s="4">
        <f t="shared" ref="G3:G34" ca="1" si="4">IF(C2&lt;&gt;C3, F3+ROUND(RAND()*55, 0), G2+ROUND(RAND()*145, 0))</f>
        <v>41819</v>
      </c>
      <c r="H3" t="str">
        <f t="shared" ref="H3:H34" ca="1" si="5">IF(C2=C3, H2, IF(RAND()&lt;0.2, "0-4 CANS", "5+ CANS"))</f>
        <v>0-4 CANS</v>
      </c>
      <c r="I3" t="str">
        <f t="shared" ref="I3:I34" ca="1" si="6">IF(C2=C3, "Reassessment", "Entry")</f>
        <v>Entry</v>
      </c>
      <c r="J3">
        <f ca="1">MIN(ROUND(EXP(RAND()*J$1)-1, 0), 3)</f>
        <v>1</v>
      </c>
      <c r="K3">
        <f t="shared" ref="K3:S18" ca="1" si="7">MIN(ROUND(EXP(RAND()*K$1)-1, 0), 3)</f>
        <v>0</v>
      </c>
      <c r="L3">
        <f t="shared" ca="1" si="7"/>
        <v>1</v>
      </c>
      <c r="M3">
        <f t="shared" ca="1" si="7"/>
        <v>0</v>
      </c>
      <c r="N3">
        <f t="shared" ca="1" si="7"/>
        <v>3</v>
      </c>
      <c r="O3">
        <f t="shared" ca="1" si="7"/>
        <v>0</v>
      </c>
      <c r="P3">
        <f t="shared" ca="1" si="7"/>
        <v>0</v>
      </c>
      <c r="Q3">
        <f t="shared" ca="1" si="7"/>
        <v>0</v>
      </c>
      <c r="R3">
        <f t="shared" ca="1" si="7"/>
        <v>1</v>
      </c>
      <c r="S3">
        <f t="shared" ca="1" si="7"/>
        <v>1</v>
      </c>
    </row>
    <row r="4" spans="1:20" x14ac:dyDescent="0.25">
      <c r="A4" t="s">
        <v>16</v>
      </c>
      <c r="B4" t="s">
        <v>20</v>
      </c>
      <c r="C4" t="str">
        <f t="shared" ref="C4:C67" ca="1" si="8">TEXT(IF(OR(RAND()&lt;0.3, ROW()=3), ROUND(RAND()*100000000, 0), C3), "00000000")</f>
        <v>56744518</v>
      </c>
      <c r="D4" t="str">
        <f t="shared" ca="1" si="1"/>
        <v>Male</v>
      </c>
      <c r="E4" t="str">
        <f t="shared" ca="1" si="2"/>
        <v>Black (Non-Hisp)</v>
      </c>
      <c r="F4" s="4">
        <f t="shared" ca="1" si="3"/>
        <v>41775</v>
      </c>
      <c r="G4" s="4">
        <f t="shared" ca="1" si="4"/>
        <v>41852</v>
      </c>
      <c r="H4" t="str">
        <f t="shared" ca="1" si="5"/>
        <v>0-4 CANS</v>
      </c>
      <c r="I4" t="str">
        <f t="shared" ca="1" si="6"/>
        <v>Reassessment</v>
      </c>
      <c r="J4">
        <f t="shared" ref="J4:S19" ca="1" si="9">MIN(ROUND(EXP(RAND()*J$1)-1, 0), 3)</f>
        <v>0</v>
      </c>
      <c r="K4">
        <f t="shared" ca="1" si="7"/>
        <v>0</v>
      </c>
      <c r="L4">
        <f t="shared" ca="1" si="7"/>
        <v>1</v>
      </c>
      <c r="M4">
        <f t="shared" ca="1" si="7"/>
        <v>2</v>
      </c>
      <c r="N4">
        <f t="shared" ca="1" si="7"/>
        <v>0</v>
      </c>
      <c r="O4">
        <f t="shared" ca="1" si="7"/>
        <v>0</v>
      </c>
      <c r="P4">
        <f t="shared" ca="1" si="7"/>
        <v>1</v>
      </c>
      <c r="Q4">
        <f t="shared" ca="1" si="7"/>
        <v>0</v>
      </c>
      <c r="R4">
        <f t="shared" ca="1" si="7"/>
        <v>0</v>
      </c>
      <c r="S4">
        <f t="shared" ca="1" si="7"/>
        <v>1</v>
      </c>
    </row>
    <row r="5" spans="1:20" x14ac:dyDescent="0.25">
      <c r="A5" t="s">
        <v>16</v>
      </c>
      <c r="B5" t="s">
        <v>21</v>
      </c>
      <c r="C5" t="str">
        <f t="shared" ca="1" si="8"/>
        <v>06095179</v>
      </c>
      <c r="D5" t="str">
        <f t="shared" ca="1" si="1"/>
        <v>Male</v>
      </c>
      <c r="E5" t="str">
        <f t="shared" ca="1" si="2"/>
        <v>White (Non-Hisp)</v>
      </c>
      <c r="F5" s="4">
        <f t="shared" ca="1" si="3"/>
        <v>41707</v>
      </c>
      <c r="G5" s="4">
        <f t="shared" ca="1" si="4"/>
        <v>41754</v>
      </c>
      <c r="H5" t="str">
        <f t="shared" ca="1" si="5"/>
        <v>5+ CANS</v>
      </c>
      <c r="I5" t="str">
        <f t="shared" ca="1" si="6"/>
        <v>Entry</v>
      </c>
      <c r="J5">
        <f t="shared" ca="1" si="9"/>
        <v>0</v>
      </c>
      <c r="K5">
        <f t="shared" ca="1" si="7"/>
        <v>3</v>
      </c>
      <c r="L5">
        <f t="shared" ca="1" si="7"/>
        <v>1</v>
      </c>
      <c r="M5">
        <f t="shared" ca="1" si="7"/>
        <v>0</v>
      </c>
      <c r="N5">
        <f t="shared" ca="1" si="7"/>
        <v>0</v>
      </c>
      <c r="O5">
        <f t="shared" ca="1" si="7"/>
        <v>1</v>
      </c>
      <c r="P5">
        <f t="shared" ca="1" si="7"/>
        <v>1</v>
      </c>
      <c r="Q5">
        <f t="shared" ca="1" si="7"/>
        <v>0</v>
      </c>
      <c r="R5">
        <f t="shared" ca="1" si="7"/>
        <v>1</v>
      </c>
      <c r="S5">
        <f t="shared" ca="1" si="7"/>
        <v>2</v>
      </c>
    </row>
    <row r="6" spans="1:20" x14ac:dyDescent="0.25">
      <c r="A6" t="s">
        <v>16</v>
      </c>
      <c r="B6" t="str">
        <f>B3</f>
        <v>Program A</v>
      </c>
      <c r="C6" t="str">
        <f t="shared" ca="1" si="8"/>
        <v>06095179</v>
      </c>
      <c r="D6" t="str">
        <f t="shared" ca="1" si="1"/>
        <v>Male</v>
      </c>
      <c r="E6" t="str">
        <f t="shared" ca="1" si="2"/>
        <v>White (Non-Hisp)</v>
      </c>
      <c r="F6" s="4">
        <f t="shared" ca="1" si="3"/>
        <v>41707</v>
      </c>
      <c r="G6" s="4">
        <f t="shared" ca="1" si="4"/>
        <v>41768</v>
      </c>
      <c r="H6" t="str">
        <f t="shared" ca="1" si="5"/>
        <v>5+ CANS</v>
      </c>
      <c r="I6" t="str">
        <f t="shared" ca="1" si="6"/>
        <v>Reassessment</v>
      </c>
      <c r="J6">
        <f t="shared" ca="1" si="9"/>
        <v>1</v>
      </c>
      <c r="K6">
        <f t="shared" ca="1" si="7"/>
        <v>3</v>
      </c>
      <c r="L6">
        <f t="shared" ca="1" si="7"/>
        <v>2</v>
      </c>
      <c r="M6">
        <f t="shared" ca="1" si="7"/>
        <v>0</v>
      </c>
      <c r="N6">
        <f t="shared" ca="1" si="7"/>
        <v>2</v>
      </c>
      <c r="O6">
        <f t="shared" ca="1" si="7"/>
        <v>0</v>
      </c>
      <c r="P6">
        <f t="shared" ca="1" si="7"/>
        <v>0</v>
      </c>
      <c r="Q6">
        <f t="shared" ca="1" si="7"/>
        <v>3</v>
      </c>
      <c r="R6">
        <f t="shared" ca="1" si="7"/>
        <v>0</v>
      </c>
      <c r="S6">
        <f t="shared" ca="1" si="7"/>
        <v>0</v>
      </c>
    </row>
    <row r="7" spans="1:20" x14ac:dyDescent="0.25">
      <c r="A7" t="s">
        <v>16</v>
      </c>
      <c r="B7" t="str">
        <f t="shared" ref="B7:B70" si="10">B4</f>
        <v>Program B</v>
      </c>
      <c r="C7" t="str">
        <f t="shared" ca="1" si="8"/>
        <v>06095179</v>
      </c>
      <c r="D7" t="str">
        <f t="shared" ca="1" si="1"/>
        <v>Male</v>
      </c>
      <c r="E7" t="str">
        <f t="shared" ca="1" si="2"/>
        <v>White (Non-Hisp)</v>
      </c>
      <c r="F7" s="4">
        <f t="shared" ca="1" si="3"/>
        <v>41707</v>
      </c>
      <c r="G7" s="4">
        <f t="shared" ca="1" si="4"/>
        <v>41800</v>
      </c>
      <c r="H7" t="str">
        <f t="shared" ca="1" si="5"/>
        <v>5+ CANS</v>
      </c>
      <c r="I7" t="str">
        <f t="shared" ca="1" si="6"/>
        <v>Reassessment</v>
      </c>
      <c r="J7">
        <f t="shared" ca="1" si="9"/>
        <v>0</v>
      </c>
      <c r="K7">
        <f t="shared" ca="1" si="7"/>
        <v>0</v>
      </c>
      <c r="L7">
        <f t="shared" ca="1" si="7"/>
        <v>0</v>
      </c>
      <c r="M7">
        <f t="shared" ca="1" si="7"/>
        <v>2</v>
      </c>
      <c r="N7">
        <f t="shared" ca="1" si="7"/>
        <v>0</v>
      </c>
      <c r="O7">
        <f t="shared" ca="1" si="7"/>
        <v>2</v>
      </c>
      <c r="P7">
        <f t="shared" ca="1" si="7"/>
        <v>0</v>
      </c>
      <c r="Q7">
        <f t="shared" ca="1" si="7"/>
        <v>1</v>
      </c>
      <c r="R7">
        <f t="shared" ca="1" si="7"/>
        <v>1</v>
      </c>
      <c r="S7">
        <f t="shared" ca="1" si="7"/>
        <v>1</v>
      </c>
    </row>
    <row r="8" spans="1:20" x14ac:dyDescent="0.25">
      <c r="A8" t="s">
        <v>16</v>
      </c>
      <c r="B8" t="str">
        <f t="shared" si="10"/>
        <v>Program C</v>
      </c>
      <c r="C8" t="str">
        <f t="shared" ca="1" si="8"/>
        <v>06095179</v>
      </c>
      <c r="D8" t="str">
        <f t="shared" ca="1" si="1"/>
        <v>Male</v>
      </c>
      <c r="E8" t="str">
        <f t="shared" ca="1" si="2"/>
        <v>White (Non-Hisp)</v>
      </c>
      <c r="F8" s="4">
        <f t="shared" ca="1" si="3"/>
        <v>41707</v>
      </c>
      <c r="G8" s="4">
        <f t="shared" ca="1" si="4"/>
        <v>41805</v>
      </c>
      <c r="H8" t="str">
        <f t="shared" ca="1" si="5"/>
        <v>5+ CANS</v>
      </c>
      <c r="I8" t="str">
        <f t="shared" ca="1" si="6"/>
        <v>Reassessment</v>
      </c>
      <c r="J8">
        <f t="shared" ca="1" si="9"/>
        <v>1</v>
      </c>
      <c r="K8">
        <f t="shared" ca="1" si="7"/>
        <v>2</v>
      </c>
      <c r="L8">
        <f t="shared" ca="1" si="7"/>
        <v>0</v>
      </c>
      <c r="M8">
        <f t="shared" ca="1" si="7"/>
        <v>2</v>
      </c>
      <c r="N8">
        <f t="shared" ca="1" si="7"/>
        <v>3</v>
      </c>
      <c r="O8">
        <f t="shared" ca="1" si="7"/>
        <v>0</v>
      </c>
      <c r="P8">
        <f t="shared" ca="1" si="7"/>
        <v>1</v>
      </c>
      <c r="Q8">
        <f t="shared" ca="1" si="7"/>
        <v>2</v>
      </c>
      <c r="R8">
        <f t="shared" ca="1" si="7"/>
        <v>1</v>
      </c>
      <c r="S8">
        <f t="shared" ca="1" si="7"/>
        <v>2</v>
      </c>
    </row>
    <row r="9" spans="1:20" x14ac:dyDescent="0.25">
      <c r="A9" t="s">
        <v>16</v>
      </c>
      <c r="B9" t="str">
        <f t="shared" si="10"/>
        <v>Program A</v>
      </c>
      <c r="C9" t="str">
        <f t="shared" ca="1" si="8"/>
        <v>06095179</v>
      </c>
      <c r="D9" t="str">
        <f t="shared" ca="1" si="1"/>
        <v>Male</v>
      </c>
      <c r="E9" t="str">
        <f t="shared" ca="1" si="2"/>
        <v>White (Non-Hisp)</v>
      </c>
      <c r="F9" s="4">
        <f t="shared" ca="1" si="3"/>
        <v>41707</v>
      </c>
      <c r="G9" s="4">
        <f t="shared" ca="1" si="4"/>
        <v>41901</v>
      </c>
      <c r="H9" t="str">
        <f t="shared" ca="1" si="5"/>
        <v>5+ CANS</v>
      </c>
      <c r="I9" t="str">
        <f t="shared" ca="1" si="6"/>
        <v>Reassessment</v>
      </c>
      <c r="J9">
        <f t="shared" ca="1" si="9"/>
        <v>1</v>
      </c>
      <c r="K9">
        <f t="shared" ca="1" si="7"/>
        <v>1</v>
      </c>
      <c r="L9">
        <f t="shared" ca="1" si="7"/>
        <v>1</v>
      </c>
      <c r="M9">
        <f t="shared" ca="1" si="7"/>
        <v>0</v>
      </c>
      <c r="N9">
        <f t="shared" ca="1" si="7"/>
        <v>3</v>
      </c>
      <c r="O9">
        <f t="shared" ca="1" si="7"/>
        <v>0</v>
      </c>
      <c r="P9">
        <f t="shared" ca="1" si="7"/>
        <v>0</v>
      </c>
      <c r="Q9">
        <f t="shared" ca="1" si="7"/>
        <v>2</v>
      </c>
      <c r="R9">
        <f t="shared" ca="1" si="7"/>
        <v>0</v>
      </c>
      <c r="S9">
        <f t="shared" ca="1" si="7"/>
        <v>2</v>
      </c>
    </row>
    <row r="10" spans="1:20" x14ac:dyDescent="0.25">
      <c r="A10" t="s">
        <v>16</v>
      </c>
      <c r="B10" t="str">
        <f t="shared" si="10"/>
        <v>Program B</v>
      </c>
      <c r="C10" t="str">
        <f t="shared" ca="1" si="8"/>
        <v>34334487</v>
      </c>
      <c r="D10" t="str">
        <f t="shared" ca="1" si="1"/>
        <v>Female</v>
      </c>
      <c r="E10" t="str">
        <f t="shared" ca="1" si="2"/>
        <v>White (Non-Hisp)</v>
      </c>
      <c r="F10" s="4">
        <f t="shared" ca="1" si="3"/>
        <v>41692</v>
      </c>
      <c r="G10" s="4">
        <f t="shared" ca="1" si="4"/>
        <v>41694</v>
      </c>
      <c r="H10" t="str">
        <f t="shared" ca="1" si="5"/>
        <v>5+ CANS</v>
      </c>
      <c r="I10" t="str">
        <f t="shared" ca="1" si="6"/>
        <v>Entry</v>
      </c>
      <c r="J10">
        <f t="shared" ca="1" si="9"/>
        <v>0</v>
      </c>
      <c r="K10">
        <f t="shared" ca="1" si="7"/>
        <v>0</v>
      </c>
      <c r="L10">
        <f t="shared" ca="1" si="7"/>
        <v>2</v>
      </c>
      <c r="M10">
        <f t="shared" ca="1" si="7"/>
        <v>2</v>
      </c>
      <c r="N10">
        <f t="shared" ca="1" si="7"/>
        <v>2</v>
      </c>
      <c r="O10">
        <f t="shared" ca="1" si="7"/>
        <v>1</v>
      </c>
      <c r="P10">
        <f t="shared" ca="1" si="7"/>
        <v>0</v>
      </c>
      <c r="Q10">
        <f t="shared" ca="1" si="7"/>
        <v>3</v>
      </c>
      <c r="R10">
        <f t="shared" ca="1" si="7"/>
        <v>0</v>
      </c>
      <c r="S10">
        <f t="shared" ca="1" si="7"/>
        <v>2</v>
      </c>
    </row>
    <row r="11" spans="1:20" x14ac:dyDescent="0.25">
      <c r="A11" t="s">
        <v>16</v>
      </c>
      <c r="B11" t="str">
        <f t="shared" si="10"/>
        <v>Program C</v>
      </c>
      <c r="C11" t="str">
        <f t="shared" ca="1" si="8"/>
        <v>55999463</v>
      </c>
      <c r="D11" t="str">
        <f t="shared" ca="1" si="1"/>
        <v>Female</v>
      </c>
      <c r="E11" t="str">
        <f t="shared" ca="1" si="2"/>
        <v>White (Non-Hisp)</v>
      </c>
      <c r="F11" s="4">
        <f t="shared" ca="1" si="3"/>
        <v>41559</v>
      </c>
      <c r="G11" s="4">
        <f t="shared" ca="1" si="4"/>
        <v>41612</v>
      </c>
      <c r="H11" t="str">
        <f t="shared" ca="1" si="5"/>
        <v>5+ CANS</v>
      </c>
      <c r="I11" t="str">
        <f t="shared" ca="1" si="6"/>
        <v>Entry</v>
      </c>
      <c r="J11">
        <f t="shared" ca="1" si="9"/>
        <v>2</v>
      </c>
      <c r="K11">
        <f t="shared" ca="1" si="7"/>
        <v>3</v>
      </c>
      <c r="L11">
        <f t="shared" ca="1" si="7"/>
        <v>1</v>
      </c>
      <c r="M11">
        <f t="shared" ca="1" si="7"/>
        <v>0</v>
      </c>
      <c r="N11">
        <f t="shared" ca="1" si="7"/>
        <v>2</v>
      </c>
      <c r="O11">
        <f t="shared" ca="1" si="7"/>
        <v>0</v>
      </c>
      <c r="P11">
        <f t="shared" ca="1" si="7"/>
        <v>2</v>
      </c>
      <c r="Q11">
        <f t="shared" ca="1" si="7"/>
        <v>0</v>
      </c>
      <c r="R11">
        <f t="shared" ca="1" si="7"/>
        <v>1</v>
      </c>
      <c r="S11">
        <f t="shared" ca="1" si="7"/>
        <v>0</v>
      </c>
    </row>
    <row r="12" spans="1:20" x14ac:dyDescent="0.25">
      <c r="A12" t="s">
        <v>16</v>
      </c>
      <c r="B12" t="str">
        <f t="shared" si="10"/>
        <v>Program A</v>
      </c>
      <c r="C12" t="str">
        <f t="shared" ca="1" si="8"/>
        <v>55999463</v>
      </c>
      <c r="D12" t="str">
        <f t="shared" ca="1" si="1"/>
        <v>Female</v>
      </c>
      <c r="E12" t="str">
        <f t="shared" ca="1" si="2"/>
        <v>White (Non-Hisp)</v>
      </c>
      <c r="F12" s="4">
        <f t="shared" ca="1" si="3"/>
        <v>41559</v>
      </c>
      <c r="G12" s="4">
        <f t="shared" ca="1" si="4"/>
        <v>41696</v>
      </c>
      <c r="H12" t="str">
        <f t="shared" ca="1" si="5"/>
        <v>5+ CANS</v>
      </c>
      <c r="I12" t="str">
        <f t="shared" ca="1" si="6"/>
        <v>Reassessment</v>
      </c>
      <c r="J12">
        <f t="shared" ca="1" si="9"/>
        <v>1</v>
      </c>
      <c r="K12">
        <f t="shared" ca="1" si="7"/>
        <v>0</v>
      </c>
      <c r="L12">
        <f t="shared" ca="1" si="7"/>
        <v>1</v>
      </c>
      <c r="M12">
        <f t="shared" ca="1" si="7"/>
        <v>2</v>
      </c>
      <c r="N12">
        <f t="shared" ca="1" si="7"/>
        <v>3</v>
      </c>
      <c r="O12">
        <f t="shared" ca="1" si="7"/>
        <v>2</v>
      </c>
      <c r="P12">
        <f t="shared" ca="1" si="7"/>
        <v>2</v>
      </c>
      <c r="Q12">
        <f t="shared" ca="1" si="7"/>
        <v>1</v>
      </c>
      <c r="R12">
        <f t="shared" ca="1" si="7"/>
        <v>0</v>
      </c>
      <c r="S12">
        <f t="shared" ca="1" si="7"/>
        <v>0</v>
      </c>
    </row>
    <row r="13" spans="1:20" x14ac:dyDescent="0.25">
      <c r="A13" t="s">
        <v>16</v>
      </c>
      <c r="B13" t="str">
        <f t="shared" si="10"/>
        <v>Program B</v>
      </c>
      <c r="C13" t="str">
        <f t="shared" ca="1" si="8"/>
        <v>55999463</v>
      </c>
      <c r="D13" t="str">
        <f t="shared" ca="1" si="1"/>
        <v>Female</v>
      </c>
      <c r="E13" t="str">
        <f t="shared" ca="1" si="2"/>
        <v>White (Non-Hisp)</v>
      </c>
      <c r="F13" s="4">
        <f t="shared" ca="1" si="3"/>
        <v>41559</v>
      </c>
      <c r="G13" s="4">
        <f t="shared" ca="1" si="4"/>
        <v>41714</v>
      </c>
      <c r="H13" t="str">
        <f t="shared" ca="1" si="5"/>
        <v>5+ CANS</v>
      </c>
      <c r="I13" t="str">
        <f t="shared" ca="1" si="6"/>
        <v>Reassessment</v>
      </c>
      <c r="J13">
        <f t="shared" ca="1" si="9"/>
        <v>1</v>
      </c>
      <c r="K13">
        <f t="shared" ca="1" si="7"/>
        <v>2</v>
      </c>
      <c r="L13">
        <f t="shared" ca="1" si="7"/>
        <v>1</v>
      </c>
      <c r="M13">
        <f t="shared" ca="1" si="7"/>
        <v>0</v>
      </c>
      <c r="N13">
        <f t="shared" ca="1" si="7"/>
        <v>1</v>
      </c>
      <c r="O13">
        <f t="shared" ca="1" si="7"/>
        <v>1</v>
      </c>
      <c r="P13">
        <f t="shared" ca="1" si="7"/>
        <v>1</v>
      </c>
      <c r="Q13">
        <f t="shared" ca="1" si="7"/>
        <v>1</v>
      </c>
      <c r="R13">
        <f t="shared" ca="1" si="7"/>
        <v>1</v>
      </c>
      <c r="S13">
        <f t="shared" ca="1" si="7"/>
        <v>2</v>
      </c>
    </row>
    <row r="14" spans="1:20" x14ac:dyDescent="0.25">
      <c r="A14" t="s">
        <v>16</v>
      </c>
      <c r="B14" t="str">
        <f t="shared" si="10"/>
        <v>Program C</v>
      </c>
      <c r="C14" t="str">
        <f t="shared" ca="1" si="8"/>
        <v>55999463</v>
      </c>
      <c r="D14" t="str">
        <f t="shared" ca="1" si="1"/>
        <v>Female</v>
      </c>
      <c r="E14" t="str">
        <f t="shared" ca="1" si="2"/>
        <v>White (Non-Hisp)</v>
      </c>
      <c r="F14" s="4">
        <f t="shared" ca="1" si="3"/>
        <v>41559</v>
      </c>
      <c r="G14" s="4">
        <f t="shared" ca="1" si="4"/>
        <v>41784</v>
      </c>
      <c r="H14" t="str">
        <f t="shared" ca="1" si="5"/>
        <v>5+ CANS</v>
      </c>
      <c r="I14" t="str">
        <f t="shared" ca="1" si="6"/>
        <v>Reassessment</v>
      </c>
      <c r="J14">
        <f t="shared" ca="1" si="9"/>
        <v>2</v>
      </c>
      <c r="K14">
        <f t="shared" ca="1" si="7"/>
        <v>1</v>
      </c>
      <c r="L14">
        <f t="shared" ca="1" si="7"/>
        <v>1</v>
      </c>
      <c r="M14">
        <f t="shared" ca="1" si="7"/>
        <v>2</v>
      </c>
      <c r="N14">
        <f t="shared" ca="1" si="7"/>
        <v>3</v>
      </c>
      <c r="O14">
        <f t="shared" ca="1" si="7"/>
        <v>0</v>
      </c>
      <c r="P14">
        <f t="shared" ca="1" si="7"/>
        <v>0</v>
      </c>
      <c r="Q14">
        <f t="shared" ca="1" si="7"/>
        <v>2</v>
      </c>
      <c r="R14">
        <f t="shared" ca="1" si="7"/>
        <v>1</v>
      </c>
      <c r="S14">
        <f t="shared" ca="1" si="7"/>
        <v>0</v>
      </c>
    </row>
    <row r="15" spans="1:20" x14ac:dyDescent="0.25">
      <c r="A15" t="s">
        <v>16</v>
      </c>
      <c r="B15" t="str">
        <f t="shared" si="10"/>
        <v>Program A</v>
      </c>
      <c r="C15" t="str">
        <f t="shared" ca="1" si="8"/>
        <v>55999463</v>
      </c>
      <c r="D15" t="str">
        <f t="shared" ca="1" si="1"/>
        <v>Female</v>
      </c>
      <c r="E15" t="str">
        <f t="shared" ca="1" si="2"/>
        <v>White (Non-Hisp)</v>
      </c>
      <c r="F15" s="4">
        <f t="shared" ca="1" si="3"/>
        <v>41559</v>
      </c>
      <c r="G15" s="4">
        <f t="shared" ca="1" si="4"/>
        <v>41825</v>
      </c>
      <c r="H15" t="str">
        <f t="shared" ca="1" si="5"/>
        <v>5+ CANS</v>
      </c>
      <c r="I15" t="str">
        <f t="shared" ca="1" si="6"/>
        <v>Reassessment</v>
      </c>
      <c r="J15">
        <f t="shared" ca="1" si="9"/>
        <v>0</v>
      </c>
      <c r="K15">
        <f t="shared" ca="1" si="7"/>
        <v>3</v>
      </c>
      <c r="L15">
        <f t="shared" ca="1" si="7"/>
        <v>1</v>
      </c>
      <c r="M15">
        <f t="shared" ca="1" si="7"/>
        <v>2</v>
      </c>
      <c r="N15">
        <f t="shared" ca="1" si="7"/>
        <v>1</v>
      </c>
      <c r="O15">
        <f t="shared" ca="1" si="7"/>
        <v>2</v>
      </c>
      <c r="P15">
        <f t="shared" ca="1" si="7"/>
        <v>0</v>
      </c>
      <c r="Q15">
        <f t="shared" ca="1" si="7"/>
        <v>2</v>
      </c>
      <c r="R15">
        <f t="shared" ca="1" si="7"/>
        <v>0</v>
      </c>
      <c r="S15">
        <f t="shared" ca="1" si="7"/>
        <v>0</v>
      </c>
    </row>
    <row r="16" spans="1:20" x14ac:dyDescent="0.25">
      <c r="A16" t="s">
        <v>16</v>
      </c>
      <c r="B16" t="str">
        <f t="shared" si="10"/>
        <v>Program B</v>
      </c>
      <c r="C16" t="str">
        <f t="shared" ca="1" si="8"/>
        <v>55999463</v>
      </c>
      <c r="D16" t="str">
        <f t="shared" ca="1" si="1"/>
        <v>Female</v>
      </c>
      <c r="E16" t="str">
        <f t="shared" ca="1" si="2"/>
        <v>White (Non-Hisp)</v>
      </c>
      <c r="F16" s="4">
        <f t="shared" ca="1" si="3"/>
        <v>41559</v>
      </c>
      <c r="G16" s="4">
        <f t="shared" ca="1" si="4"/>
        <v>41897</v>
      </c>
      <c r="H16" t="str">
        <f t="shared" ca="1" si="5"/>
        <v>5+ CANS</v>
      </c>
      <c r="I16" t="str">
        <f t="shared" ca="1" si="6"/>
        <v>Reassessment</v>
      </c>
      <c r="J16">
        <f t="shared" ca="1" si="9"/>
        <v>2</v>
      </c>
      <c r="K16">
        <f t="shared" ca="1" si="7"/>
        <v>1</v>
      </c>
      <c r="L16">
        <f t="shared" ca="1" si="7"/>
        <v>1</v>
      </c>
      <c r="M16">
        <f t="shared" ca="1" si="7"/>
        <v>3</v>
      </c>
      <c r="N16">
        <f t="shared" ca="1" si="7"/>
        <v>3</v>
      </c>
      <c r="O16">
        <f t="shared" ca="1" si="7"/>
        <v>1</v>
      </c>
      <c r="P16">
        <f t="shared" ca="1" si="7"/>
        <v>3</v>
      </c>
      <c r="Q16">
        <f t="shared" ca="1" si="7"/>
        <v>1</v>
      </c>
      <c r="R16">
        <f t="shared" ca="1" si="7"/>
        <v>1</v>
      </c>
      <c r="S16">
        <f t="shared" ca="1" si="7"/>
        <v>0</v>
      </c>
    </row>
    <row r="17" spans="1:19" x14ac:dyDescent="0.25">
      <c r="A17" t="s">
        <v>16</v>
      </c>
      <c r="B17" t="str">
        <f t="shared" si="10"/>
        <v>Program C</v>
      </c>
      <c r="C17" t="str">
        <f t="shared" ca="1" si="8"/>
        <v>55999463</v>
      </c>
      <c r="D17" t="str">
        <f t="shared" ca="1" si="1"/>
        <v>Female</v>
      </c>
      <c r="E17" t="str">
        <f t="shared" ca="1" si="2"/>
        <v>White (Non-Hisp)</v>
      </c>
      <c r="F17" s="4">
        <f t="shared" ca="1" si="3"/>
        <v>41559</v>
      </c>
      <c r="G17" s="4">
        <f t="shared" ca="1" si="4"/>
        <v>42002</v>
      </c>
      <c r="H17" t="str">
        <f t="shared" ca="1" si="5"/>
        <v>5+ CANS</v>
      </c>
      <c r="I17" t="str">
        <f t="shared" ca="1" si="6"/>
        <v>Reassessment</v>
      </c>
      <c r="J17">
        <f t="shared" ca="1" si="9"/>
        <v>0</v>
      </c>
      <c r="K17">
        <f t="shared" ca="1" si="7"/>
        <v>1</v>
      </c>
      <c r="L17">
        <f t="shared" ca="1" si="7"/>
        <v>0</v>
      </c>
      <c r="M17">
        <f t="shared" ca="1" si="7"/>
        <v>0</v>
      </c>
      <c r="N17">
        <f t="shared" ca="1" si="7"/>
        <v>0</v>
      </c>
      <c r="O17">
        <f t="shared" ca="1" si="7"/>
        <v>3</v>
      </c>
      <c r="P17">
        <f t="shared" ca="1" si="7"/>
        <v>1</v>
      </c>
      <c r="Q17">
        <f t="shared" ca="1" si="7"/>
        <v>3</v>
      </c>
      <c r="R17">
        <f t="shared" ca="1" si="7"/>
        <v>0</v>
      </c>
      <c r="S17">
        <f t="shared" ca="1" si="7"/>
        <v>0</v>
      </c>
    </row>
    <row r="18" spans="1:19" x14ac:dyDescent="0.25">
      <c r="A18" t="s">
        <v>16</v>
      </c>
      <c r="B18" t="str">
        <f t="shared" si="10"/>
        <v>Program A</v>
      </c>
      <c r="C18" t="str">
        <f t="shared" ca="1" si="8"/>
        <v>55999463</v>
      </c>
      <c r="D18" t="str">
        <f t="shared" ca="1" si="1"/>
        <v>Female</v>
      </c>
      <c r="E18" t="str">
        <f t="shared" ca="1" si="2"/>
        <v>White (Non-Hisp)</v>
      </c>
      <c r="F18" s="4">
        <f t="shared" ca="1" si="3"/>
        <v>41559</v>
      </c>
      <c r="G18" s="4">
        <f t="shared" ca="1" si="4"/>
        <v>42057</v>
      </c>
      <c r="H18" t="str">
        <f t="shared" ca="1" si="5"/>
        <v>5+ CANS</v>
      </c>
      <c r="I18" t="str">
        <f t="shared" ca="1" si="6"/>
        <v>Reassessment</v>
      </c>
      <c r="J18">
        <f t="shared" ca="1" si="9"/>
        <v>1</v>
      </c>
      <c r="K18">
        <f t="shared" ca="1" si="7"/>
        <v>3</v>
      </c>
      <c r="L18">
        <f t="shared" ca="1" si="7"/>
        <v>2</v>
      </c>
      <c r="M18">
        <f t="shared" ca="1" si="7"/>
        <v>1</v>
      </c>
      <c r="N18">
        <f t="shared" ca="1" si="7"/>
        <v>2</v>
      </c>
      <c r="O18">
        <f t="shared" ca="1" si="7"/>
        <v>0</v>
      </c>
      <c r="P18">
        <f t="shared" ca="1" si="7"/>
        <v>1</v>
      </c>
      <c r="Q18">
        <f t="shared" ca="1" si="7"/>
        <v>3</v>
      </c>
      <c r="R18">
        <f t="shared" ca="1" si="7"/>
        <v>1</v>
      </c>
      <c r="S18">
        <f t="shared" ca="1" si="7"/>
        <v>1</v>
      </c>
    </row>
    <row r="19" spans="1:19" x14ac:dyDescent="0.25">
      <c r="A19" t="s">
        <v>16</v>
      </c>
      <c r="B19" t="str">
        <f t="shared" si="10"/>
        <v>Program B</v>
      </c>
      <c r="C19" t="str">
        <f t="shared" ca="1" si="8"/>
        <v>31236118</v>
      </c>
      <c r="D19" t="str">
        <f t="shared" ca="1" si="1"/>
        <v>Female</v>
      </c>
      <c r="E19" t="str">
        <f t="shared" ca="1" si="2"/>
        <v>Hispanic</v>
      </c>
      <c r="F19" s="4">
        <f t="shared" ca="1" si="3"/>
        <v>41643</v>
      </c>
      <c r="G19" s="4">
        <f t="shared" ca="1" si="4"/>
        <v>41689</v>
      </c>
      <c r="H19" t="str">
        <f t="shared" ca="1" si="5"/>
        <v>5+ CANS</v>
      </c>
      <c r="I19" t="str">
        <f t="shared" ca="1" si="6"/>
        <v>Entry</v>
      </c>
      <c r="J19">
        <f t="shared" ca="1" si="9"/>
        <v>2</v>
      </c>
      <c r="K19">
        <f t="shared" ca="1" si="9"/>
        <v>0</v>
      </c>
      <c r="L19">
        <f t="shared" ca="1" si="9"/>
        <v>1</v>
      </c>
      <c r="M19">
        <f t="shared" ca="1" si="9"/>
        <v>3</v>
      </c>
      <c r="N19">
        <f t="shared" ca="1" si="9"/>
        <v>1</v>
      </c>
      <c r="O19">
        <f t="shared" ca="1" si="9"/>
        <v>1</v>
      </c>
      <c r="P19">
        <f t="shared" ca="1" si="9"/>
        <v>1</v>
      </c>
      <c r="Q19">
        <f t="shared" ca="1" si="9"/>
        <v>0</v>
      </c>
      <c r="R19">
        <f t="shared" ca="1" si="9"/>
        <v>1</v>
      </c>
      <c r="S19">
        <f t="shared" ca="1" si="9"/>
        <v>1</v>
      </c>
    </row>
    <row r="20" spans="1:19" x14ac:dyDescent="0.25">
      <c r="A20" t="s">
        <v>16</v>
      </c>
      <c r="B20" t="str">
        <f t="shared" si="10"/>
        <v>Program C</v>
      </c>
      <c r="C20" t="str">
        <f t="shared" ca="1" si="8"/>
        <v>31236118</v>
      </c>
      <c r="D20" t="str">
        <f t="shared" ca="1" si="1"/>
        <v>Female</v>
      </c>
      <c r="E20" t="str">
        <f t="shared" ca="1" si="2"/>
        <v>Hispanic</v>
      </c>
      <c r="F20" s="4">
        <f t="shared" ca="1" si="3"/>
        <v>41643</v>
      </c>
      <c r="G20" s="4">
        <f t="shared" ca="1" si="4"/>
        <v>41689</v>
      </c>
      <c r="H20" t="str">
        <f t="shared" ca="1" si="5"/>
        <v>5+ CANS</v>
      </c>
      <c r="I20" t="str">
        <f t="shared" ca="1" si="6"/>
        <v>Reassessment</v>
      </c>
      <c r="J20">
        <f t="shared" ref="J20:S35" ca="1" si="11">MIN(ROUND(EXP(RAND()*J$1)-1, 0), 3)</f>
        <v>2</v>
      </c>
      <c r="K20">
        <f t="shared" ca="1" si="11"/>
        <v>2</v>
      </c>
      <c r="L20">
        <f t="shared" ca="1" si="11"/>
        <v>1</v>
      </c>
      <c r="M20">
        <f t="shared" ca="1" si="11"/>
        <v>1</v>
      </c>
      <c r="N20">
        <f t="shared" ca="1" si="11"/>
        <v>2</v>
      </c>
      <c r="O20">
        <f t="shared" ca="1" si="11"/>
        <v>0</v>
      </c>
      <c r="P20">
        <f t="shared" ca="1" si="11"/>
        <v>0</v>
      </c>
      <c r="Q20">
        <f t="shared" ca="1" si="11"/>
        <v>3</v>
      </c>
      <c r="R20">
        <f t="shared" ca="1" si="11"/>
        <v>0</v>
      </c>
      <c r="S20">
        <f t="shared" ca="1" si="11"/>
        <v>2</v>
      </c>
    </row>
    <row r="21" spans="1:19" x14ac:dyDescent="0.25">
      <c r="A21" t="s">
        <v>16</v>
      </c>
      <c r="B21" t="str">
        <f t="shared" si="10"/>
        <v>Program A</v>
      </c>
      <c r="C21" t="str">
        <f t="shared" ca="1" si="8"/>
        <v>66579143</v>
      </c>
      <c r="D21" t="str">
        <f t="shared" ca="1" si="1"/>
        <v>Male</v>
      </c>
      <c r="E21" t="str">
        <f t="shared" ca="1" si="2"/>
        <v>White (Non-Hisp)</v>
      </c>
      <c r="F21" s="4">
        <f t="shared" ca="1" si="3"/>
        <v>41526</v>
      </c>
      <c r="G21" s="4">
        <f t="shared" ca="1" si="4"/>
        <v>41528</v>
      </c>
      <c r="H21" t="str">
        <f t="shared" ca="1" si="5"/>
        <v>5+ CANS</v>
      </c>
      <c r="I21" t="str">
        <f t="shared" ca="1" si="6"/>
        <v>Entry</v>
      </c>
      <c r="J21">
        <f t="shared" ca="1" si="11"/>
        <v>1</v>
      </c>
      <c r="K21">
        <f t="shared" ca="1" si="11"/>
        <v>3</v>
      </c>
      <c r="L21">
        <f t="shared" ca="1" si="11"/>
        <v>0</v>
      </c>
      <c r="M21">
        <f t="shared" ca="1" si="11"/>
        <v>2</v>
      </c>
      <c r="N21">
        <f t="shared" ca="1" si="11"/>
        <v>1</v>
      </c>
      <c r="O21">
        <f t="shared" ca="1" si="11"/>
        <v>1</v>
      </c>
      <c r="P21">
        <f t="shared" ca="1" si="11"/>
        <v>0</v>
      </c>
      <c r="Q21">
        <f t="shared" ca="1" si="11"/>
        <v>3</v>
      </c>
      <c r="R21">
        <f t="shared" ca="1" si="11"/>
        <v>1</v>
      </c>
      <c r="S21">
        <f t="shared" ca="1" si="11"/>
        <v>2</v>
      </c>
    </row>
    <row r="22" spans="1:19" x14ac:dyDescent="0.25">
      <c r="A22" t="s">
        <v>16</v>
      </c>
      <c r="B22" t="str">
        <f t="shared" si="10"/>
        <v>Program B</v>
      </c>
      <c r="C22" t="str">
        <f t="shared" ca="1" si="8"/>
        <v>66579143</v>
      </c>
      <c r="D22" t="str">
        <f t="shared" ca="1" si="1"/>
        <v>Male</v>
      </c>
      <c r="E22" t="str">
        <f t="shared" ca="1" si="2"/>
        <v>White (Non-Hisp)</v>
      </c>
      <c r="F22" s="4">
        <f t="shared" ca="1" si="3"/>
        <v>41526</v>
      </c>
      <c r="G22" s="4">
        <f t="shared" ca="1" si="4"/>
        <v>41572</v>
      </c>
      <c r="H22" t="str">
        <f t="shared" ca="1" si="5"/>
        <v>5+ CANS</v>
      </c>
      <c r="I22" t="str">
        <f t="shared" ca="1" si="6"/>
        <v>Reassessment</v>
      </c>
      <c r="J22">
        <f t="shared" ca="1" si="11"/>
        <v>1</v>
      </c>
      <c r="K22">
        <f t="shared" ca="1" si="11"/>
        <v>2</v>
      </c>
      <c r="L22">
        <f t="shared" ca="1" si="11"/>
        <v>1</v>
      </c>
      <c r="M22">
        <f t="shared" ca="1" si="11"/>
        <v>1</v>
      </c>
      <c r="N22">
        <f t="shared" ca="1" si="11"/>
        <v>2</v>
      </c>
      <c r="O22">
        <f t="shared" ca="1" si="11"/>
        <v>1</v>
      </c>
      <c r="P22">
        <f t="shared" ca="1" si="11"/>
        <v>0</v>
      </c>
      <c r="Q22">
        <f t="shared" ca="1" si="11"/>
        <v>3</v>
      </c>
      <c r="R22">
        <f t="shared" ca="1" si="11"/>
        <v>0</v>
      </c>
      <c r="S22">
        <f t="shared" ca="1" si="11"/>
        <v>1</v>
      </c>
    </row>
    <row r="23" spans="1:19" x14ac:dyDescent="0.25">
      <c r="A23" t="s">
        <v>16</v>
      </c>
      <c r="B23" t="str">
        <f t="shared" si="10"/>
        <v>Program C</v>
      </c>
      <c r="C23" t="str">
        <f t="shared" ca="1" si="8"/>
        <v>93021797</v>
      </c>
      <c r="D23" t="str">
        <f t="shared" ca="1" si="1"/>
        <v>Male</v>
      </c>
      <c r="E23" t="str">
        <f t="shared" ca="1" si="2"/>
        <v>Hispanic</v>
      </c>
      <c r="F23" s="4">
        <f t="shared" ca="1" si="3"/>
        <v>41416</v>
      </c>
      <c r="G23" s="4">
        <f t="shared" ca="1" si="4"/>
        <v>41428</v>
      </c>
      <c r="H23" t="str">
        <f t="shared" ca="1" si="5"/>
        <v>5+ CANS</v>
      </c>
      <c r="I23" t="str">
        <f t="shared" ca="1" si="6"/>
        <v>Entry</v>
      </c>
      <c r="J23">
        <f t="shared" ca="1" si="11"/>
        <v>2</v>
      </c>
      <c r="K23">
        <f t="shared" ca="1" si="11"/>
        <v>0</v>
      </c>
      <c r="L23">
        <f t="shared" ca="1" si="11"/>
        <v>1</v>
      </c>
      <c r="M23">
        <f t="shared" ca="1" si="11"/>
        <v>1</v>
      </c>
      <c r="N23">
        <f t="shared" ca="1" si="11"/>
        <v>3</v>
      </c>
      <c r="O23">
        <f t="shared" ca="1" si="11"/>
        <v>0</v>
      </c>
      <c r="P23">
        <f t="shared" ca="1" si="11"/>
        <v>0</v>
      </c>
      <c r="Q23">
        <f t="shared" ca="1" si="11"/>
        <v>2</v>
      </c>
      <c r="R23">
        <f t="shared" ca="1" si="11"/>
        <v>1</v>
      </c>
      <c r="S23">
        <f t="shared" ca="1" si="11"/>
        <v>2</v>
      </c>
    </row>
    <row r="24" spans="1:19" x14ac:dyDescent="0.25">
      <c r="A24" t="s">
        <v>16</v>
      </c>
      <c r="B24" t="str">
        <f t="shared" si="10"/>
        <v>Program A</v>
      </c>
      <c r="C24" t="str">
        <f t="shared" ca="1" si="8"/>
        <v>93021797</v>
      </c>
      <c r="D24" t="str">
        <f t="shared" ca="1" si="1"/>
        <v>Male</v>
      </c>
      <c r="E24" t="str">
        <f t="shared" ca="1" si="2"/>
        <v>Hispanic</v>
      </c>
      <c r="F24" s="4">
        <f t="shared" ca="1" si="3"/>
        <v>41416</v>
      </c>
      <c r="G24" s="4">
        <f t="shared" ca="1" si="4"/>
        <v>41438</v>
      </c>
      <c r="H24" t="str">
        <f t="shared" ca="1" si="5"/>
        <v>5+ CANS</v>
      </c>
      <c r="I24" t="str">
        <f t="shared" ca="1" si="6"/>
        <v>Reassessment</v>
      </c>
      <c r="J24">
        <f t="shared" ca="1" si="11"/>
        <v>2</v>
      </c>
      <c r="K24">
        <f t="shared" ca="1" si="11"/>
        <v>3</v>
      </c>
      <c r="L24">
        <f t="shared" ca="1" si="11"/>
        <v>1</v>
      </c>
      <c r="M24">
        <f t="shared" ca="1" si="11"/>
        <v>1</v>
      </c>
      <c r="N24">
        <f t="shared" ca="1" si="11"/>
        <v>0</v>
      </c>
      <c r="O24">
        <f t="shared" ca="1" si="11"/>
        <v>1</v>
      </c>
      <c r="P24">
        <f t="shared" ca="1" si="11"/>
        <v>1</v>
      </c>
      <c r="Q24">
        <f t="shared" ca="1" si="11"/>
        <v>3</v>
      </c>
      <c r="R24">
        <f t="shared" ca="1" si="11"/>
        <v>1</v>
      </c>
      <c r="S24">
        <f t="shared" ca="1" si="11"/>
        <v>1</v>
      </c>
    </row>
    <row r="25" spans="1:19" x14ac:dyDescent="0.25">
      <c r="A25" t="s">
        <v>16</v>
      </c>
      <c r="B25" t="str">
        <f t="shared" si="10"/>
        <v>Program B</v>
      </c>
      <c r="C25" t="str">
        <f t="shared" ca="1" si="8"/>
        <v>93021797</v>
      </c>
      <c r="D25" t="str">
        <f t="shared" ca="1" si="1"/>
        <v>Male</v>
      </c>
      <c r="E25" t="str">
        <f t="shared" ca="1" si="2"/>
        <v>Hispanic</v>
      </c>
      <c r="F25" s="4">
        <f t="shared" ca="1" si="3"/>
        <v>41416</v>
      </c>
      <c r="G25" s="4">
        <f t="shared" ca="1" si="4"/>
        <v>41467</v>
      </c>
      <c r="H25" t="str">
        <f t="shared" ca="1" si="5"/>
        <v>5+ CANS</v>
      </c>
      <c r="I25" t="str">
        <f t="shared" ca="1" si="6"/>
        <v>Reassessment</v>
      </c>
      <c r="J25">
        <f t="shared" ca="1" si="11"/>
        <v>1</v>
      </c>
      <c r="K25">
        <f t="shared" ca="1" si="11"/>
        <v>0</v>
      </c>
      <c r="L25">
        <f t="shared" ca="1" si="11"/>
        <v>0</v>
      </c>
      <c r="M25">
        <f t="shared" ca="1" si="11"/>
        <v>2</v>
      </c>
      <c r="N25">
        <f t="shared" ca="1" si="11"/>
        <v>1</v>
      </c>
      <c r="O25">
        <f t="shared" ca="1" si="11"/>
        <v>2</v>
      </c>
      <c r="P25">
        <f t="shared" ca="1" si="11"/>
        <v>3</v>
      </c>
      <c r="Q25">
        <f t="shared" ca="1" si="11"/>
        <v>0</v>
      </c>
      <c r="R25">
        <f t="shared" ca="1" si="11"/>
        <v>3</v>
      </c>
      <c r="S25">
        <f t="shared" ca="1" si="11"/>
        <v>1</v>
      </c>
    </row>
    <row r="26" spans="1:19" x14ac:dyDescent="0.25">
      <c r="A26" t="s">
        <v>16</v>
      </c>
      <c r="B26" t="str">
        <f t="shared" si="10"/>
        <v>Program C</v>
      </c>
      <c r="C26" t="str">
        <f t="shared" ca="1" si="8"/>
        <v>93021797</v>
      </c>
      <c r="D26" t="str">
        <f t="shared" ca="1" si="1"/>
        <v>Male</v>
      </c>
      <c r="E26" t="str">
        <f t="shared" ca="1" si="2"/>
        <v>Hispanic</v>
      </c>
      <c r="F26" s="4">
        <f t="shared" ca="1" si="3"/>
        <v>41416</v>
      </c>
      <c r="G26" s="4">
        <f t="shared" ca="1" si="4"/>
        <v>41590</v>
      </c>
      <c r="H26" t="str">
        <f t="shared" ca="1" si="5"/>
        <v>5+ CANS</v>
      </c>
      <c r="I26" t="str">
        <f t="shared" ca="1" si="6"/>
        <v>Reassessment</v>
      </c>
      <c r="J26">
        <f t="shared" ca="1" si="11"/>
        <v>2</v>
      </c>
      <c r="K26">
        <f t="shared" ca="1" si="11"/>
        <v>0</v>
      </c>
      <c r="L26">
        <f t="shared" ca="1" si="11"/>
        <v>1</v>
      </c>
      <c r="M26">
        <f t="shared" ca="1" si="11"/>
        <v>1</v>
      </c>
      <c r="N26">
        <f t="shared" ca="1" si="11"/>
        <v>1</v>
      </c>
      <c r="O26">
        <f t="shared" ca="1" si="11"/>
        <v>2</v>
      </c>
      <c r="P26">
        <f t="shared" ca="1" si="11"/>
        <v>0</v>
      </c>
      <c r="Q26">
        <f t="shared" ca="1" si="11"/>
        <v>2</v>
      </c>
      <c r="R26">
        <f t="shared" ca="1" si="11"/>
        <v>1</v>
      </c>
      <c r="S26">
        <f t="shared" ca="1" si="11"/>
        <v>1</v>
      </c>
    </row>
    <row r="27" spans="1:19" x14ac:dyDescent="0.25">
      <c r="A27" t="s">
        <v>16</v>
      </c>
      <c r="B27" t="str">
        <f t="shared" si="10"/>
        <v>Program A</v>
      </c>
      <c r="C27" t="str">
        <f t="shared" ca="1" si="8"/>
        <v>93021797</v>
      </c>
      <c r="D27" t="str">
        <f t="shared" ca="1" si="1"/>
        <v>Male</v>
      </c>
      <c r="E27" t="str">
        <f t="shared" ca="1" si="2"/>
        <v>Hispanic</v>
      </c>
      <c r="F27" s="4">
        <f t="shared" ca="1" si="3"/>
        <v>41416</v>
      </c>
      <c r="G27" s="4">
        <f t="shared" ca="1" si="4"/>
        <v>41732</v>
      </c>
      <c r="H27" t="str">
        <f t="shared" ca="1" si="5"/>
        <v>5+ CANS</v>
      </c>
      <c r="I27" t="str">
        <f t="shared" ca="1" si="6"/>
        <v>Reassessment</v>
      </c>
      <c r="J27">
        <f t="shared" ca="1" si="11"/>
        <v>1</v>
      </c>
      <c r="K27">
        <f t="shared" ca="1" si="11"/>
        <v>2</v>
      </c>
      <c r="L27">
        <f t="shared" ca="1" si="11"/>
        <v>0</v>
      </c>
      <c r="M27">
        <f t="shared" ca="1" si="11"/>
        <v>1</v>
      </c>
      <c r="N27">
        <f t="shared" ca="1" si="11"/>
        <v>2</v>
      </c>
      <c r="O27">
        <f t="shared" ca="1" si="11"/>
        <v>0</v>
      </c>
      <c r="P27">
        <f t="shared" ca="1" si="11"/>
        <v>0</v>
      </c>
      <c r="Q27">
        <f t="shared" ca="1" si="11"/>
        <v>3</v>
      </c>
      <c r="R27">
        <f t="shared" ca="1" si="11"/>
        <v>1</v>
      </c>
      <c r="S27">
        <f t="shared" ca="1" si="11"/>
        <v>0</v>
      </c>
    </row>
    <row r="28" spans="1:19" x14ac:dyDescent="0.25">
      <c r="A28" t="s">
        <v>16</v>
      </c>
      <c r="B28" t="str">
        <f t="shared" si="10"/>
        <v>Program B</v>
      </c>
      <c r="C28" t="str">
        <f t="shared" ca="1" si="8"/>
        <v>93021797</v>
      </c>
      <c r="D28" t="str">
        <f t="shared" ca="1" si="1"/>
        <v>Male</v>
      </c>
      <c r="E28" t="str">
        <f t="shared" ca="1" si="2"/>
        <v>Hispanic</v>
      </c>
      <c r="F28" s="4">
        <f t="shared" ca="1" si="3"/>
        <v>41416</v>
      </c>
      <c r="G28" s="4">
        <f t="shared" ca="1" si="4"/>
        <v>41777</v>
      </c>
      <c r="H28" t="str">
        <f t="shared" ca="1" si="5"/>
        <v>5+ CANS</v>
      </c>
      <c r="I28" t="str">
        <f t="shared" ca="1" si="6"/>
        <v>Reassessment</v>
      </c>
      <c r="J28">
        <f t="shared" ca="1" si="11"/>
        <v>1</v>
      </c>
      <c r="K28">
        <f t="shared" ca="1" si="11"/>
        <v>1</v>
      </c>
      <c r="L28">
        <f t="shared" ca="1" si="11"/>
        <v>0</v>
      </c>
      <c r="M28">
        <f t="shared" ca="1" si="11"/>
        <v>0</v>
      </c>
      <c r="N28">
        <f t="shared" ca="1" si="11"/>
        <v>3</v>
      </c>
      <c r="O28">
        <f t="shared" ca="1" si="11"/>
        <v>1</v>
      </c>
      <c r="P28">
        <f t="shared" ca="1" si="11"/>
        <v>1</v>
      </c>
      <c r="Q28">
        <f t="shared" ca="1" si="11"/>
        <v>3</v>
      </c>
      <c r="R28">
        <f t="shared" ca="1" si="11"/>
        <v>0</v>
      </c>
      <c r="S28">
        <f t="shared" ca="1" si="11"/>
        <v>1</v>
      </c>
    </row>
    <row r="29" spans="1:19" x14ac:dyDescent="0.25">
      <c r="A29" t="s">
        <v>16</v>
      </c>
      <c r="B29" t="str">
        <f t="shared" si="10"/>
        <v>Program C</v>
      </c>
      <c r="C29" t="str">
        <f t="shared" ca="1" si="8"/>
        <v>93021797</v>
      </c>
      <c r="D29" t="str">
        <f t="shared" ca="1" si="1"/>
        <v>Male</v>
      </c>
      <c r="E29" t="str">
        <f t="shared" ca="1" si="2"/>
        <v>Hispanic</v>
      </c>
      <c r="F29" s="4">
        <f t="shared" ca="1" si="3"/>
        <v>41416</v>
      </c>
      <c r="G29" s="4">
        <f t="shared" ca="1" si="4"/>
        <v>41798</v>
      </c>
      <c r="H29" t="str">
        <f t="shared" ca="1" si="5"/>
        <v>5+ CANS</v>
      </c>
      <c r="I29" t="str">
        <f t="shared" ca="1" si="6"/>
        <v>Reassessment</v>
      </c>
      <c r="J29">
        <f t="shared" ca="1" si="11"/>
        <v>1</v>
      </c>
      <c r="K29">
        <f t="shared" ca="1" si="11"/>
        <v>2</v>
      </c>
      <c r="L29">
        <f t="shared" ca="1" si="11"/>
        <v>0</v>
      </c>
      <c r="M29">
        <f t="shared" ca="1" si="11"/>
        <v>3</v>
      </c>
      <c r="N29">
        <f t="shared" ca="1" si="11"/>
        <v>3</v>
      </c>
      <c r="O29">
        <f t="shared" ca="1" si="11"/>
        <v>1</v>
      </c>
      <c r="P29">
        <f t="shared" ca="1" si="11"/>
        <v>2</v>
      </c>
      <c r="Q29">
        <f t="shared" ca="1" si="11"/>
        <v>1</v>
      </c>
      <c r="R29">
        <f t="shared" ca="1" si="11"/>
        <v>1</v>
      </c>
      <c r="S29">
        <f t="shared" ca="1" si="11"/>
        <v>0</v>
      </c>
    </row>
    <row r="30" spans="1:19" x14ac:dyDescent="0.25">
      <c r="A30" t="s">
        <v>16</v>
      </c>
      <c r="B30" t="str">
        <f t="shared" si="10"/>
        <v>Program A</v>
      </c>
      <c r="C30" t="str">
        <f t="shared" ca="1" si="8"/>
        <v>79968231</v>
      </c>
      <c r="D30" t="str">
        <f t="shared" ca="1" si="1"/>
        <v>Male</v>
      </c>
      <c r="E30" t="str">
        <f t="shared" ca="1" si="2"/>
        <v>White (Non-Hisp)</v>
      </c>
      <c r="F30" s="4">
        <f t="shared" ca="1" si="3"/>
        <v>41605</v>
      </c>
      <c r="G30" s="4">
        <f t="shared" ca="1" si="4"/>
        <v>41616</v>
      </c>
      <c r="H30" t="str">
        <f t="shared" ca="1" si="5"/>
        <v>5+ CANS</v>
      </c>
      <c r="I30" t="str">
        <f t="shared" ca="1" si="6"/>
        <v>Entry</v>
      </c>
      <c r="J30">
        <f t="shared" ca="1" si="11"/>
        <v>1</v>
      </c>
      <c r="K30">
        <f t="shared" ca="1" si="11"/>
        <v>1</v>
      </c>
      <c r="L30">
        <f t="shared" ca="1" si="11"/>
        <v>0</v>
      </c>
      <c r="M30">
        <f t="shared" ca="1" si="11"/>
        <v>0</v>
      </c>
      <c r="N30">
        <f t="shared" ca="1" si="11"/>
        <v>0</v>
      </c>
      <c r="O30">
        <f t="shared" ca="1" si="11"/>
        <v>1</v>
      </c>
      <c r="P30">
        <f t="shared" ca="1" si="11"/>
        <v>3</v>
      </c>
      <c r="Q30">
        <f t="shared" ca="1" si="11"/>
        <v>1</v>
      </c>
      <c r="R30">
        <f t="shared" ca="1" si="11"/>
        <v>2</v>
      </c>
      <c r="S30">
        <f t="shared" ca="1" si="11"/>
        <v>1</v>
      </c>
    </row>
    <row r="31" spans="1:19" x14ac:dyDescent="0.25">
      <c r="A31" t="s">
        <v>16</v>
      </c>
      <c r="B31" t="str">
        <f t="shared" si="10"/>
        <v>Program B</v>
      </c>
      <c r="C31" t="str">
        <f t="shared" ca="1" si="8"/>
        <v>98608286</v>
      </c>
      <c r="D31" t="str">
        <f t="shared" ca="1" si="1"/>
        <v>Male</v>
      </c>
      <c r="E31" t="str">
        <f t="shared" ca="1" si="2"/>
        <v>Hispanic</v>
      </c>
      <c r="F31" s="4">
        <f t="shared" ca="1" si="3"/>
        <v>41459</v>
      </c>
      <c r="G31" s="4">
        <f t="shared" ca="1" si="4"/>
        <v>41502</v>
      </c>
      <c r="H31" t="str">
        <f t="shared" ca="1" si="5"/>
        <v>5+ CANS</v>
      </c>
      <c r="I31" t="str">
        <f t="shared" ca="1" si="6"/>
        <v>Entry</v>
      </c>
      <c r="J31">
        <f t="shared" ca="1" si="11"/>
        <v>2</v>
      </c>
      <c r="K31">
        <f t="shared" ca="1" si="11"/>
        <v>3</v>
      </c>
      <c r="L31">
        <f t="shared" ca="1" si="11"/>
        <v>2</v>
      </c>
      <c r="M31">
        <f t="shared" ca="1" si="11"/>
        <v>1</v>
      </c>
      <c r="N31">
        <f t="shared" ca="1" si="11"/>
        <v>3</v>
      </c>
      <c r="O31">
        <f t="shared" ca="1" si="11"/>
        <v>1</v>
      </c>
      <c r="P31">
        <f t="shared" ca="1" si="11"/>
        <v>0</v>
      </c>
      <c r="Q31">
        <f t="shared" ca="1" si="11"/>
        <v>3</v>
      </c>
      <c r="R31">
        <f t="shared" ca="1" si="11"/>
        <v>1</v>
      </c>
      <c r="S31">
        <f t="shared" ca="1" si="11"/>
        <v>1</v>
      </c>
    </row>
    <row r="32" spans="1:19" x14ac:dyDescent="0.25">
      <c r="A32" t="s">
        <v>16</v>
      </c>
      <c r="B32" t="str">
        <f t="shared" si="10"/>
        <v>Program C</v>
      </c>
      <c r="C32" t="str">
        <f t="shared" ca="1" si="8"/>
        <v>98608286</v>
      </c>
      <c r="D32" t="str">
        <f t="shared" ca="1" si="1"/>
        <v>Male</v>
      </c>
      <c r="E32" t="str">
        <f t="shared" ca="1" si="2"/>
        <v>Hispanic</v>
      </c>
      <c r="F32" s="4">
        <f t="shared" ca="1" si="3"/>
        <v>41459</v>
      </c>
      <c r="G32" s="4">
        <f t="shared" ca="1" si="4"/>
        <v>41512</v>
      </c>
      <c r="H32" t="str">
        <f t="shared" ca="1" si="5"/>
        <v>5+ CANS</v>
      </c>
      <c r="I32" t="str">
        <f t="shared" ca="1" si="6"/>
        <v>Reassessment</v>
      </c>
      <c r="J32">
        <f t="shared" ca="1" si="11"/>
        <v>0</v>
      </c>
      <c r="K32">
        <f t="shared" ca="1" si="11"/>
        <v>2</v>
      </c>
      <c r="L32">
        <f t="shared" ca="1" si="11"/>
        <v>0</v>
      </c>
      <c r="M32">
        <f t="shared" ca="1" si="11"/>
        <v>2</v>
      </c>
      <c r="N32">
        <f t="shared" ca="1" si="11"/>
        <v>2</v>
      </c>
      <c r="O32">
        <f t="shared" ca="1" si="11"/>
        <v>1</v>
      </c>
      <c r="P32">
        <f t="shared" ca="1" si="11"/>
        <v>0</v>
      </c>
      <c r="Q32">
        <f t="shared" ca="1" si="11"/>
        <v>1</v>
      </c>
      <c r="R32">
        <f t="shared" ca="1" si="11"/>
        <v>0</v>
      </c>
      <c r="S32">
        <f t="shared" ca="1" si="11"/>
        <v>0</v>
      </c>
    </row>
    <row r="33" spans="1:19" x14ac:dyDescent="0.25">
      <c r="A33" t="s">
        <v>16</v>
      </c>
      <c r="B33" t="str">
        <f t="shared" si="10"/>
        <v>Program A</v>
      </c>
      <c r="C33" t="str">
        <f t="shared" ca="1" si="8"/>
        <v>98608286</v>
      </c>
      <c r="D33" t="str">
        <f t="shared" ca="1" si="1"/>
        <v>Male</v>
      </c>
      <c r="E33" t="str">
        <f t="shared" ca="1" si="2"/>
        <v>Hispanic</v>
      </c>
      <c r="F33" s="4">
        <f t="shared" ca="1" si="3"/>
        <v>41459</v>
      </c>
      <c r="G33" s="4">
        <f t="shared" ca="1" si="4"/>
        <v>41630</v>
      </c>
      <c r="H33" t="str">
        <f t="shared" ca="1" si="5"/>
        <v>5+ CANS</v>
      </c>
      <c r="I33" t="str">
        <f t="shared" ca="1" si="6"/>
        <v>Reassessment</v>
      </c>
      <c r="J33">
        <f t="shared" ca="1" si="11"/>
        <v>1</v>
      </c>
      <c r="K33">
        <f t="shared" ca="1" si="11"/>
        <v>1</v>
      </c>
      <c r="L33">
        <f t="shared" ca="1" si="11"/>
        <v>1</v>
      </c>
      <c r="M33">
        <f t="shared" ca="1" si="11"/>
        <v>1</v>
      </c>
      <c r="N33">
        <f t="shared" ca="1" si="11"/>
        <v>1</v>
      </c>
      <c r="O33">
        <f t="shared" ca="1" si="11"/>
        <v>1</v>
      </c>
      <c r="P33">
        <f t="shared" ca="1" si="11"/>
        <v>0</v>
      </c>
      <c r="Q33">
        <f t="shared" ca="1" si="11"/>
        <v>2</v>
      </c>
      <c r="R33">
        <f t="shared" ca="1" si="11"/>
        <v>2</v>
      </c>
      <c r="S33">
        <f t="shared" ca="1" si="11"/>
        <v>2</v>
      </c>
    </row>
    <row r="34" spans="1:19" x14ac:dyDescent="0.25">
      <c r="A34" t="s">
        <v>17</v>
      </c>
      <c r="B34" t="str">
        <f t="shared" si="10"/>
        <v>Program B</v>
      </c>
      <c r="C34" t="str">
        <f t="shared" ca="1" si="8"/>
        <v>98608286</v>
      </c>
      <c r="D34" t="str">
        <f t="shared" ca="1" si="1"/>
        <v>Male</v>
      </c>
      <c r="E34" t="str">
        <f t="shared" ca="1" si="2"/>
        <v>Hispanic</v>
      </c>
      <c r="F34" s="4">
        <f t="shared" ca="1" si="3"/>
        <v>41459</v>
      </c>
      <c r="G34" s="4">
        <f t="shared" ca="1" si="4"/>
        <v>41735</v>
      </c>
      <c r="H34" t="str">
        <f t="shared" ca="1" si="5"/>
        <v>5+ CANS</v>
      </c>
      <c r="I34" t="str">
        <f t="shared" ca="1" si="6"/>
        <v>Reassessment</v>
      </c>
      <c r="J34">
        <f t="shared" ca="1" si="11"/>
        <v>1</v>
      </c>
      <c r="K34">
        <f t="shared" ca="1" si="11"/>
        <v>2</v>
      </c>
      <c r="L34">
        <f t="shared" ca="1" si="11"/>
        <v>2</v>
      </c>
      <c r="M34">
        <f t="shared" ca="1" si="11"/>
        <v>2</v>
      </c>
      <c r="N34">
        <f t="shared" ca="1" si="11"/>
        <v>1</v>
      </c>
      <c r="O34">
        <f t="shared" ca="1" si="11"/>
        <v>3</v>
      </c>
      <c r="P34">
        <f t="shared" ca="1" si="11"/>
        <v>0</v>
      </c>
      <c r="Q34">
        <f t="shared" ca="1" si="11"/>
        <v>1</v>
      </c>
      <c r="R34">
        <f t="shared" ca="1" si="11"/>
        <v>2</v>
      </c>
      <c r="S34">
        <f t="shared" ca="1" si="11"/>
        <v>2</v>
      </c>
    </row>
    <row r="35" spans="1:19" x14ac:dyDescent="0.25">
      <c r="A35" t="s">
        <v>17</v>
      </c>
      <c r="B35" t="str">
        <f t="shared" si="10"/>
        <v>Program C</v>
      </c>
      <c r="C35" t="str">
        <f t="shared" ca="1" si="8"/>
        <v>98608286</v>
      </c>
      <c r="D35" t="str">
        <f t="shared" ref="D35:D66" ca="1" si="12">IF(C35=C34, D34, IF(RAND()&lt;0.5, "Male", "Female"))</f>
        <v>Male</v>
      </c>
      <c r="E35" t="str">
        <f t="shared" ref="E35:E66" ca="1" si="13">IF(C34=C35, E34, IF(RAND()&lt;0.6, "White (Non-Hisp)", IF(RAND()&lt;0.5, "Black (Non-Hisp)", "Hispanic")))</f>
        <v>Hispanic</v>
      </c>
      <c r="F35" s="4">
        <f t="shared" ref="F35:F66" ca="1" si="14">IF(C34&lt;&gt;C35, ROUND(RAND()*500, 0)+DATE(2013, 1, 1), F34)</f>
        <v>41459</v>
      </c>
      <c r="G35" s="4">
        <f t="shared" ref="G35:G66" ca="1" si="15">IF(C34&lt;&gt;C35, F35+ROUND(RAND()*55, 0), G34+ROUND(RAND()*145, 0))</f>
        <v>41864</v>
      </c>
      <c r="H35" t="str">
        <f t="shared" ref="H35:H66" ca="1" si="16">IF(C34=C35, H34, IF(RAND()&lt;0.2, "0-4 CANS", "5+ CANS"))</f>
        <v>5+ CANS</v>
      </c>
      <c r="I35" t="str">
        <f t="shared" ref="I35:I66" ca="1" si="17">IF(C34=C35, "Reassessment", "Entry")</f>
        <v>Reassessment</v>
      </c>
      <c r="J35">
        <f t="shared" ca="1" si="11"/>
        <v>1</v>
      </c>
      <c r="K35">
        <f t="shared" ca="1" si="11"/>
        <v>1</v>
      </c>
      <c r="L35">
        <f t="shared" ca="1" si="11"/>
        <v>0</v>
      </c>
      <c r="M35">
        <f t="shared" ca="1" si="11"/>
        <v>0</v>
      </c>
      <c r="N35">
        <f t="shared" ca="1" si="11"/>
        <v>0</v>
      </c>
      <c r="O35">
        <f t="shared" ca="1" si="11"/>
        <v>0</v>
      </c>
      <c r="P35">
        <f t="shared" ca="1" si="11"/>
        <v>3</v>
      </c>
      <c r="Q35">
        <f t="shared" ca="1" si="11"/>
        <v>1</v>
      </c>
      <c r="R35">
        <f t="shared" ca="1" si="11"/>
        <v>0</v>
      </c>
      <c r="S35">
        <f t="shared" ca="1" si="11"/>
        <v>0</v>
      </c>
    </row>
    <row r="36" spans="1:19" x14ac:dyDescent="0.25">
      <c r="A36" t="s">
        <v>17</v>
      </c>
      <c r="B36" t="str">
        <f t="shared" si="10"/>
        <v>Program A</v>
      </c>
      <c r="C36" t="str">
        <f t="shared" ca="1" si="8"/>
        <v>64066342</v>
      </c>
      <c r="D36" t="str">
        <f t="shared" ca="1" si="12"/>
        <v>Female</v>
      </c>
      <c r="E36" t="str">
        <f t="shared" ca="1" si="13"/>
        <v>Hispanic</v>
      </c>
      <c r="F36" s="4">
        <f t="shared" ca="1" si="14"/>
        <v>41438</v>
      </c>
      <c r="G36" s="4">
        <f t="shared" ca="1" si="15"/>
        <v>41462</v>
      </c>
      <c r="H36" t="str">
        <f t="shared" ca="1" si="16"/>
        <v>5+ CANS</v>
      </c>
      <c r="I36" t="str">
        <f t="shared" ca="1" si="17"/>
        <v>Entry</v>
      </c>
      <c r="J36">
        <f t="shared" ref="J36:S51" ca="1" si="18">MIN(ROUND(EXP(RAND()*J$1)-1, 0), 3)</f>
        <v>2</v>
      </c>
      <c r="K36">
        <f t="shared" ca="1" si="18"/>
        <v>1</v>
      </c>
      <c r="L36">
        <f t="shared" ca="1" si="18"/>
        <v>1</v>
      </c>
      <c r="M36">
        <f t="shared" ca="1" si="18"/>
        <v>0</v>
      </c>
      <c r="N36">
        <f t="shared" ca="1" si="18"/>
        <v>0</v>
      </c>
      <c r="O36">
        <f t="shared" ca="1" si="18"/>
        <v>1</v>
      </c>
      <c r="P36">
        <f t="shared" ca="1" si="18"/>
        <v>3</v>
      </c>
      <c r="Q36">
        <f t="shared" ca="1" si="18"/>
        <v>1</v>
      </c>
      <c r="R36">
        <f t="shared" ca="1" si="18"/>
        <v>1</v>
      </c>
      <c r="S36">
        <f t="shared" ca="1" si="18"/>
        <v>2</v>
      </c>
    </row>
    <row r="37" spans="1:19" x14ac:dyDescent="0.25">
      <c r="A37" t="s">
        <v>17</v>
      </c>
      <c r="B37" t="str">
        <f t="shared" si="10"/>
        <v>Program B</v>
      </c>
      <c r="C37" t="str">
        <f t="shared" ca="1" si="8"/>
        <v>64066342</v>
      </c>
      <c r="D37" t="str">
        <f t="shared" ca="1" si="12"/>
        <v>Female</v>
      </c>
      <c r="E37" t="str">
        <f t="shared" ca="1" si="13"/>
        <v>Hispanic</v>
      </c>
      <c r="F37" s="4">
        <f t="shared" ca="1" si="14"/>
        <v>41438</v>
      </c>
      <c r="G37" s="4">
        <f t="shared" ca="1" si="15"/>
        <v>41564</v>
      </c>
      <c r="H37" t="str">
        <f t="shared" ca="1" si="16"/>
        <v>5+ CANS</v>
      </c>
      <c r="I37" t="str">
        <f t="shared" ca="1" si="17"/>
        <v>Reassessment</v>
      </c>
      <c r="J37">
        <f t="shared" ca="1" si="18"/>
        <v>0</v>
      </c>
      <c r="K37">
        <f t="shared" ca="1" si="18"/>
        <v>0</v>
      </c>
      <c r="L37">
        <f t="shared" ca="1" si="18"/>
        <v>0</v>
      </c>
      <c r="M37">
        <f t="shared" ca="1" si="18"/>
        <v>2</v>
      </c>
      <c r="N37">
        <f t="shared" ca="1" si="18"/>
        <v>1</v>
      </c>
      <c r="O37">
        <f t="shared" ca="1" si="18"/>
        <v>0</v>
      </c>
      <c r="P37">
        <f t="shared" ca="1" si="18"/>
        <v>3</v>
      </c>
      <c r="Q37">
        <f t="shared" ca="1" si="18"/>
        <v>2</v>
      </c>
      <c r="R37">
        <f t="shared" ca="1" si="18"/>
        <v>0</v>
      </c>
      <c r="S37">
        <f t="shared" ca="1" si="18"/>
        <v>2</v>
      </c>
    </row>
    <row r="38" spans="1:19" x14ac:dyDescent="0.25">
      <c r="A38" t="s">
        <v>17</v>
      </c>
      <c r="B38" t="str">
        <f t="shared" si="10"/>
        <v>Program C</v>
      </c>
      <c r="C38" t="str">
        <f t="shared" ca="1" si="8"/>
        <v>55870686</v>
      </c>
      <c r="D38" t="str">
        <f t="shared" ca="1" si="12"/>
        <v>Female</v>
      </c>
      <c r="E38" t="str">
        <f t="shared" ca="1" si="13"/>
        <v>Black (Non-Hisp)</v>
      </c>
      <c r="F38" s="4">
        <f t="shared" ca="1" si="14"/>
        <v>41730</v>
      </c>
      <c r="G38" s="4">
        <f t="shared" ca="1" si="15"/>
        <v>41734</v>
      </c>
      <c r="H38" t="str">
        <f t="shared" ca="1" si="16"/>
        <v>0-4 CANS</v>
      </c>
      <c r="I38" t="str">
        <f t="shared" ca="1" si="17"/>
        <v>Entry</v>
      </c>
      <c r="J38">
        <f t="shared" ca="1" si="18"/>
        <v>0</v>
      </c>
      <c r="K38">
        <f t="shared" ca="1" si="18"/>
        <v>1</v>
      </c>
      <c r="L38">
        <f t="shared" ca="1" si="18"/>
        <v>1</v>
      </c>
      <c r="M38">
        <f t="shared" ca="1" si="18"/>
        <v>1</v>
      </c>
      <c r="N38">
        <f t="shared" ca="1" si="18"/>
        <v>1</v>
      </c>
      <c r="O38">
        <f t="shared" ca="1" si="18"/>
        <v>1</v>
      </c>
      <c r="P38">
        <f t="shared" ca="1" si="18"/>
        <v>0</v>
      </c>
      <c r="Q38">
        <f t="shared" ca="1" si="18"/>
        <v>2</v>
      </c>
      <c r="R38">
        <f t="shared" ca="1" si="18"/>
        <v>0</v>
      </c>
      <c r="S38">
        <f t="shared" ca="1" si="18"/>
        <v>2</v>
      </c>
    </row>
    <row r="39" spans="1:19" x14ac:dyDescent="0.25">
      <c r="A39" t="s">
        <v>17</v>
      </c>
      <c r="B39" t="str">
        <f t="shared" si="10"/>
        <v>Program A</v>
      </c>
      <c r="C39" t="str">
        <f t="shared" ca="1" si="8"/>
        <v>55870686</v>
      </c>
      <c r="D39" t="str">
        <f t="shared" ca="1" si="12"/>
        <v>Female</v>
      </c>
      <c r="E39" t="str">
        <f t="shared" ca="1" si="13"/>
        <v>Black (Non-Hisp)</v>
      </c>
      <c r="F39" s="4">
        <f t="shared" ca="1" si="14"/>
        <v>41730</v>
      </c>
      <c r="G39" s="4">
        <f t="shared" ca="1" si="15"/>
        <v>41870</v>
      </c>
      <c r="H39" t="str">
        <f t="shared" ca="1" si="16"/>
        <v>0-4 CANS</v>
      </c>
      <c r="I39" t="str">
        <f t="shared" ca="1" si="17"/>
        <v>Reassessment</v>
      </c>
      <c r="J39">
        <f t="shared" ca="1" si="18"/>
        <v>0</v>
      </c>
      <c r="K39">
        <f t="shared" ca="1" si="18"/>
        <v>0</v>
      </c>
      <c r="L39">
        <f t="shared" ca="1" si="18"/>
        <v>1</v>
      </c>
      <c r="M39">
        <f t="shared" ca="1" si="18"/>
        <v>2</v>
      </c>
      <c r="N39">
        <f t="shared" ca="1" si="18"/>
        <v>2</v>
      </c>
      <c r="O39">
        <f t="shared" ca="1" si="18"/>
        <v>1</v>
      </c>
      <c r="P39">
        <f t="shared" ca="1" si="18"/>
        <v>0</v>
      </c>
      <c r="Q39">
        <f t="shared" ca="1" si="18"/>
        <v>3</v>
      </c>
      <c r="R39">
        <f t="shared" ca="1" si="18"/>
        <v>1</v>
      </c>
      <c r="S39">
        <f t="shared" ca="1" si="18"/>
        <v>1</v>
      </c>
    </row>
    <row r="40" spans="1:19" x14ac:dyDescent="0.25">
      <c r="A40" t="s">
        <v>17</v>
      </c>
      <c r="B40" t="str">
        <f t="shared" si="10"/>
        <v>Program B</v>
      </c>
      <c r="C40" t="str">
        <f t="shared" ca="1" si="8"/>
        <v>55870686</v>
      </c>
      <c r="D40" t="str">
        <f t="shared" ca="1" si="12"/>
        <v>Female</v>
      </c>
      <c r="E40" t="str">
        <f t="shared" ca="1" si="13"/>
        <v>Black (Non-Hisp)</v>
      </c>
      <c r="F40" s="4">
        <f t="shared" ca="1" si="14"/>
        <v>41730</v>
      </c>
      <c r="G40" s="4">
        <f t="shared" ca="1" si="15"/>
        <v>41906</v>
      </c>
      <c r="H40" t="str">
        <f t="shared" ca="1" si="16"/>
        <v>0-4 CANS</v>
      </c>
      <c r="I40" t="str">
        <f t="shared" ca="1" si="17"/>
        <v>Reassessment</v>
      </c>
      <c r="J40">
        <f t="shared" ca="1" si="18"/>
        <v>2</v>
      </c>
      <c r="K40">
        <f t="shared" ca="1" si="18"/>
        <v>0</v>
      </c>
      <c r="L40">
        <f t="shared" ca="1" si="18"/>
        <v>1</v>
      </c>
      <c r="M40">
        <f t="shared" ca="1" si="18"/>
        <v>1</v>
      </c>
      <c r="N40">
        <f t="shared" ca="1" si="18"/>
        <v>1</v>
      </c>
      <c r="O40">
        <f t="shared" ca="1" si="18"/>
        <v>2</v>
      </c>
      <c r="P40">
        <f t="shared" ca="1" si="18"/>
        <v>3</v>
      </c>
      <c r="Q40">
        <f t="shared" ca="1" si="18"/>
        <v>2</v>
      </c>
      <c r="R40">
        <f t="shared" ca="1" si="18"/>
        <v>0</v>
      </c>
      <c r="S40">
        <f t="shared" ca="1" si="18"/>
        <v>2</v>
      </c>
    </row>
    <row r="41" spans="1:19" x14ac:dyDescent="0.25">
      <c r="A41" t="s">
        <v>17</v>
      </c>
      <c r="B41" t="str">
        <f t="shared" si="10"/>
        <v>Program C</v>
      </c>
      <c r="C41" t="str">
        <f t="shared" ca="1" si="8"/>
        <v>55870686</v>
      </c>
      <c r="D41" t="str">
        <f t="shared" ca="1" si="12"/>
        <v>Female</v>
      </c>
      <c r="E41" t="str">
        <f t="shared" ca="1" si="13"/>
        <v>Black (Non-Hisp)</v>
      </c>
      <c r="F41" s="4">
        <f t="shared" ca="1" si="14"/>
        <v>41730</v>
      </c>
      <c r="G41" s="4">
        <f t="shared" ca="1" si="15"/>
        <v>42016</v>
      </c>
      <c r="H41" t="str">
        <f t="shared" ca="1" si="16"/>
        <v>0-4 CANS</v>
      </c>
      <c r="I41" t="str">
        <f t="shared" ca="1" si="17"/>
        <v>Reassessment</v>
      </c>
      <c r="J41">
        <f t="shared" ca="1" si="18"/>
        <v>1</v>
      </c>
      <c r="K41">
        <f t="shared" ca="1" si="18"/>
        <v>1</v>
      </c>
      <c r="L41">
        <f t="shared" ca="1" si="18"/>
        <v>0</v>
      </c>
      <c r="M41">
        <f t="shared" ca="1" si="18"/>
        <v>1</v>
      </c>
      <c r="N41">
        <f t="shared" ca="1" si="18"/>
        <v>3</v>
      </c>
      <c r="O41">
        <f t="shared" ca="1" si="18"/>
        <v>1</v>
      </c>
      <c r="P41">
        <f t="shared" ca="1" si="18"/>
        <v>3</v>
      </c>
      <c r="Q41">
        <f t="shared" ca="1" si="18"/>
        <v>1</v>
      </c>
      <c r="R41">
        <f t="shared" ca="1" si="18"/>
        <v>0</v>
      </c>
      <c r="S41">
        <f t="shared" ca="1" si="18"/>
        <v>0</v>
      </c>
    </row>
    <row r="42" spans="1:19" x14ac:dyDescent="0.25">
      <c r="A42" t="s">
        <v>17</v>
      </c>
      <c r="B42" t="str">
        <f t="shared" si="10"/>
        <v>Program A</v>
      </c>
      <c r="C42" t="str">
        <f t="shared" ca="1" si="8"/>
        <v>55870686</v>
      </c>
      <c r="D42" t="str">
        <f t="shared" ca="1" si="12"/>
        <v>Female</v>
      </c>
      <c r="E42" t="str">
        <f t="shared" ca="1" si="13"/>
        <v>Black (Non-Hisp)</v>
      </c>
      <c r="F42" s="4">
        <f t="shared" ca="1" si="14"/>
        <v>41730</v>
      </c>
      <c r="G42" s="4">
        <f t="shared" ca="1" si="15"/>
        <v>42147</v>
      </c>
      <c r="H42" t="str">
        <f t="shared" ca="1" si="16"/>
        <v>0-4 CANS</v>
      </c>
      <c r="I42" t="str">
        <f t="shared" ca="1" si="17"/>
        <v>Reassessment</v>
      </c>
      <c r="J42">
        <f t="shared" ca="1" si="18"/>
        <v>0</v>
      </c>
      <c r="K42">
        <f t="shared" ca="1" si="18"/>
        <v>3</v>
      </c>
      <c r="L42">
        <f t="shared" ca="1" si="18"/>
        <v>2</v>
      </c>
      <c r="M42">
        <f t="shared" ca="1" si="18"/>
        <v>3</v>
      </c>
      <c r="N42">
        <f t="shared" ca="1" si="18"/>
        <v>3</v>
      </c>
      <c r="O42">
        <f t="shared" ca="1" si="18"/>
        <v>0</v>
      </c>
      <c r="P42">
        <f t="shared" ca="1" si="18"/>
        <v>1</v>
      </c>
      <c r="Q42">
        <f t="shared" ca="1" si="18"/>
        <v>2</v>
      </c>
      <c r="R42">
        <f t="shared" ca="1" si="18"/>
        <v>1</v>
      </c>
      <c r="S42">
        <f t="shared" ca="1" si="18"/>
        <v>1</v>
      </c>
    </row>
    <row r="43" spans="1:19" x14ac:dyDescent="0.25">
      <c r="A43" t="s">
        <v>17</v>
      </c>
      <c r="B43" t="str">
        <f t="shared" si="10"/>
        <v>Program B</v>
      </c>
      <c r="C43" t="str">
        <f t="shared" ca="1" si="8"/>
        <v>55870686</v>
      </c>
      <c r="D43" t="str">
        <f t="shared" ca="1" si="12"/>
        <v>Female</v>
      </c>
      <c r="E43" t="str">
        <f t="shared" ca="1" si="13"/>
        <v>Black (Non-Hisp)</v>
      </c>
      <c r="F43" s="4">
        <f t="shared" ca="1" si="14"/>
        <v>41730</v>
      </c>
      <c r="G43" s="4">
        <f t="shared" ca="1" si="15"/>
        <v>42288</v>
      </c>
      <c r="H43" t="str">
        <f t="shared" ca="1" si="16"/>
        <v>0-4 CANS</v>
      </c>
      <c r="I43" t="str">
        <f t="shared" ca="1" si="17"/>
        <v>Reassessment</v>
      </c>
      <c r="J43">
        <f t="shared" ca="1" si="18"/>
        <v>0</v>
      </c>
      <c r="K43">
        <f t="shared" ca="1" si="18"/>
        <v>2</v>
      </c>
      <c r="L43">
        <f t="shared" ca="1" si="18"/>
        <v>1</v>
      </c>
      <c r="M43">
        <f t="shared" ca="1" si="18"/>
        <v>1</v>
      </c>
      <c r="N43">
        <f t="shared" ca="1" si="18"/>
        <v>0</v>
      </c>
      <c r="O43">
        <f t="shared" ca="1" si="18"/>
        <v>2</v>
      </c>
      <c r="P43">
        <f t="shared" ca="1" si="18"/>
        <v>1</v>
      </c>
      <c r="Q43">
        <f t="shared" ca="1" si="18"/>
        <v>2</v>
      </c>
      <c r="R43">
        <f t="shared" ca="1" si="18"/>
        <v>2</v>
      </c>
      <c r="S43">
        <f t="shared" ca="1" si="18"/>
        <v>1</v>
      </c>
    </row>
    <row r="44" spans="1:19" x14ac:dyDescent="0.25">
      <c r="A44" t="s">
        <v>17</v>
      </c>
      <c r="B44" t="str">
        <f t="shared" si="10"/>
        <v>Program C</v>
      </c>
      <c r="C44" t="str">
        <f t="shared" ca="1" si="8"/>
        <v>55870686</v>
      </c>
      <c r="D44" t="str">
        <f t="shared" ca="1" si="12"/>
        <v>Female</v>
      </c>
      <c r="E44" t="str">
        <f t="shared" ca="1" si="13"/>
        <v>Black (Non-Hisp)</v>
      </c>
      <c r="F44" s="4">
        <f t="shared" ca="1" si="14"/>
        <v>41730</v>
      </c>
      <c r="G44" s="4">
        <f t="shared" ca="1" si="15"/>
        <v>42362</v>
      </c>
      <c r="H44" t="str">
        <f t="shared" ca="1" si="16"/>
        <v>0-4 CANS</v>
      </c>
      <c r="I44" t="str">
        <f t="shared" ca="1" si="17"/>
        <v>Reassessment</v>
      </c>
      <c r="J44">
        <f t="shared" ca="1" si="18"/>
        <v>0</v>
      </c>
      <c r="K44">
        <f t="shared" ca="1" si="18"/>
        <v>3</v>
      </c>
      <c r="L44">
        <f t="shared" ca="1" si="18"/>
        <v>0</v>
      </c>
      <c r="M44">
        <f t="shared" ca="1" si="18"/>
        <v>2</v>
      </c>
      <c r="N44">
        <f t="shared" ca="1" si="18"/>
        <v>0</v>
      </c>
      <c r="O44">
        <f t="shared" ca="1" si="18"/>
        <v>2</v>
      </c>
      <c r="P44">
        <f t="shared" ca="1" si="18"/>
        <v>2</v>
      </c>
      <c r="Q44">
        <f t="shared" ca="1" si="18"/>
        <v>1</v>
      </c>
      <c r="R44">
        <f t="shared" ca="1" si="18"/>
        <v>1</v>
      </c>
      <c r="S44">
        <f t="shared" ca="1" si="18"/>
        <v>1</v>
      </c>
    </row>
    <row r="45" spans="1:19" x14ac:dyDescent="0.25">
      <c r="A45" t="s">
        <v>17</v>
      </c>
      <c r="B45" t="str">
        <f t="shared" si="10"/>
        <v>Program A</v>
      </c>
      <c r="C45" t="str">
        <f t="shared" ca="1" si="8"/>
        <v>88130118</v>
      </c>
      <c r="D45" t="str">
        <f t="shared" ca="1" si="12"/>
        <v>Male</v>
      </c>
      <c r="E45" t="str">
        <f t="shared" ca="1" si="13"/>
        <v>Black (Non-Hisp)</v>
      </c>
      <c r="F45" s="4">
        <f t="shared" ca="1" si="14"/>
        <v>41377</v>
      </c>
      <c r="G45" s="4">
        <f t="shared" ca="1" si="15"/>
        <v>41392</v>
      </c>
      <c r="H45" t="str">
        <f t="shared" ca="1" si="16"/>
        <v>0-4 CANS</v>
      </c>
      <c r="I45" t="str">
        <f t="shared" ca="1" si="17"/>
        <v>Entry</v>
      </c>
      <c r="J45">
        <f t="shared" ca="1" si="18"/>
        <v>1</v>
      </c>
      <c r="K45">
        <f t="shared" ca="1" si="18"/>
        <v>2</v>
      </c>
      <c r="L45">
        <f t="shared" ca="1" si="18"/>
        <v>1</v>
      </c>
      <c r="M45">
        <f t="shared" ca="1" si="18"/>
        <v>0</v>
      </c>
      <c r="N45">
        <f t="shared" ca="1" si="18"/>
        <v>1</v>
      </c>
      <c r="O45">
        <f t="shared" ca="1" si="18"/>
        <v>1</v>
      </c>
      <c r="P45">
        <f t="shared" ca="1" si="18"/>
        <v>2</v>
      </c>
      <c r="Q45">
        <f t="shared" ca="1" si="18"/>
        <v>0</v>
      </c>
      <c r="R45">
        <f t="shared" ca="1" si="18"/>
        <v>1</v>
      </c>
      <c r="S45">
        <f t="shared" ca="1" si="18"/>
        <v>0</v>
      </c>
    </row>
    <row r="46" spans="1:19" x14ac:dyDescent="0.25">
      <c r="A46" t="s">
        <v>17</v>
      </c>
      <c r="B46" t="str">
        <f t="shared" si="10"/>
        <v>Program B</v>
      </c>
      <c r="C46" t="str">
        <f t="shared" ca="1" si="8"/>
        <v>88130118</v>
      </c>
      <c r="D46" t="str">
        <f t="shared" ca="1" si="12"/>
        <v>Male</v>
      </c>
      <c r="E46" t="str">
        <f t="shared" ca="1" si="13"/>
        <v>Black (Non-Hisp)</v>
      </c>
      <c r="F46" s="4">
        <f t="shared" ca="1" si="14"/>
        <v>41377</v>
      </c>
      <c r="G46" s="4">
        <f t="shared" ca="1" si="15"/>
        <v>41446</v>
      </c>
      <c r="H46" t="str">
        <f t="shared" ca="1" si="16"/>
        <v>0-4 CANS</v>
      </c>
      <c r="I46" t="str">
        <f t="shared" ca="1" si="17"/>
        <v>Reassessment</v>
      </c>
      <c r="J46">
        <f t="shared" ca="1" si="18"/>
        <v>0</v>
      </c>
      <c r="K46">
        <f t="shared" ca="1" si="18"/>
        <v>3</v>
      </c>
      <c r="L46">
        <f t="shared" ca="1" si="18"/>
        <v>0</v>
      </c>
      <c r="M46">
        <f t="shared" ca="1" si="18"/>
        <v>2</v>
      </c>
      <c r="N46">
        <f t="shared" ca="1" si="18"/>
        <v>1</v>
      </c>
      <c r="O46">
        <f t="shared" ca="1" si="18"/>
        <v>3</v>
      </c>
      <c r="P46">
        <f t="shared" ca="1" si="18"/>
        <v>0</v>
      </c>
      <c r="Q46">
        <f t="shared" ca="1" si="18"/>
        <v>0</v>
      </c>
      <c r="R46">
        <f t="shared" ca="1" si="18"/>
        <v>1</v>
      </c>
      <c r="S46">
        <f t="shared" ca="1" si="18"/>
        <v>1</v>
      </c>
    </row>
    <row r="47" spans="1:19" x14ac:dyDescent="0.25">
      <c r="A47" t="s">
        <v>17</v>
      </c>
      <c r="B47" t="str">
        <f t="shared" si="10"/>
        <v>Program C</v>
      </c>
      <c r="C47" t="str">
        <f t="shared" ca="1" si="8"/>
        <v>88130118</v>
      </c>
      <c r="D47" t="str">
        <f t="shared" ca="1" si="12"/>
        <v>Male</v>
      </c>
      <c r="E47" t="str">
        <f t="shared" ca="1" si="13"/>
        <v>Black (Non-Hisp)</v>
      </c>
      <c r="F47" s="4">
        <f t="shared" ca="1" si="14"/>
        <v>41377</v>
      </c>
      <c r="G47" s="4">
        <f t="shared" ca="1" si="15"/>
        <v>41534</v>
      </c>
      <c r="H47" t="str">
        <f t="shared" ca="1" si="16"/>
        <v>0-4 CANS</v>
      </c>
      <c r="I47" t="str">
        <f t="shared" ca="1" si="17"/>
        <v>Reassessment</v>
      </c>
      <c r="J47">
        <f t="shared" ca="1" si="18"/>
        <v>0</v>
      </c>
      <c r="K47">
        <f t="shared" ca="1" si="18"/>
        <v>1</v>
      </c>
      <c r="L47">
        <f t="shared" ca="1" si="18"/>
        <v>1</v>
      </c>
      <c r="M47">
        <f t="shared" ca="1" si="18"/>
        <v>1</v>
      </c>
      <c r="N47">
        <f t="shared" ca="1" si="18"/>
        <v>2</v>
      </c>
      <c r="O47">
        <f t="shared" ca="1" si="18"/>
        <v>2</v>
      </c>
      <c r="P47">
        <f t="shared" ca="1" si="18"/>
        <v>1</v>
      </c>
      <c r="Q47">
        <f t="shared" ca="1" si="18"/>
        <v>0</v>
      </c>
      <c r="R47">
        <f t="shared" ca="1" si="18"/>
        <v>2</v>
      </c>
      <c r="S47">
        <f t="shared" ca="1" si="18"/>
        <v>1</v>
      </c>
    </row>
    <row r="48" spans="1:19" x14ac:dyDescent="0.25">
      <c r="A48" t="s">
        <v>17</v>
      </c>
      <c r="B48" t="str">
        <f t="shared" si="10"/>
        <v>Program A</v>
      </c>
      <c r="C48" t="str">
        <f t="shared" ca="1" si="8"/>
        <v>88130118</v>
      </c>
      <c r="D48" t="str">
        <f t="shared" ca="1" si="12"/>
        <v>Male</v>
      </c>
      <c r="E48" t="str">
        <f t="shared" ca="1" si="13"/>
        <v>Black (Non-Hisp)</v>
      </c>
      <c r="F48" s="4">
        <f t="shared" ca="1" si="14"/>
        <v>41377</v>
      </c>
      <c r="G48" s="4">
        <f t="shared" ca="1" si="15"/>
        <v>41621</v>
      </c>
      <c r="H48" t="str">
        <f t="shared" ca="1" si="16"/>
        <v>0-4 CANS</v>
      </c>
      <c r="I48" t="str">
        <f t="shared" ca="1" si="17"/>
        <v>Reassessment</v>
      </c>
      <c r="J48">
        <f t="shared" ca="1" si="18"/>
        <v>1</v>
      </c>
      <c r="K48">
        <f t="shared" ca="1" si="18"/>
        <v>0</v>
      </c>
      <c r="L48">
        <f t="shared" ca="1" si="18"/>
        <v>1</v>
      </c>
      <c r="M48">
        <f t="shared" ca="1" si="18"/>
        <v>0</v>
      </c>
      <c r="N48">
        <f t="shared" ca="1" si="18"/>
        <v>1</v>
      </c>
      <c r="O48">
        <f t="shared" ca="1" si="18"/>
        <v>3</v>
      </c>
      <c r="P48">
        <f t="shared" ca="1" si="18"/>
        <v>3</v>
      </c>
      <c r="Q48">
        <f t="shared" ca="1" si="18"/>
        <v>2</v>
      </c>
      <c r="R48">
        <f t="shared" ca="1" si="18"/>
        <v>1</v>
      </c>
      <c r="S48">
        <f t="shared" ca="1" si="18"/>
        <v>3</v>
      </c>
    </row>
    <row r="49" spans="1:19" x14ac:dyDescent="0.25">
      <c r="A49" t="s">
        <v>17</v>
      </c>
      <c r="B49" t="str">
        <f t="shared" si="10"/>
        <v>Program B</v>
      </c>
      <c r="C49" t="str">
        <f t="shared" ca="1" si="8"/>
        <v>88130118</v>
      </c>
      <c r="D49" t="str">
        <f t="shared" ca="1" si="12"/>
        <v>Male</v>
      </c>
      <c r="E49" t="str">
        <f t="shared" ca="1" si="13"/>
        <v>Black (Non-Hisp)</v>
      </c>
      <c r="F49" s="4">
        <f t="shared" ca="1" si="14"/>
        <v>41377</v>
      </c>
      <c r="G49" s="4">
        <f t="shared" ca="1" si="15"/>
        <v>41706</v>
      </c>
      <c r="H49" t="str">
        <f t="shared" ca="1" si="16"/>
        <v>0-4 CANS</v>
      </c>
      <c r="I49" t="str">
        <f t="shared" ca="1" si="17"/>
        <v>Reassessment</v>
      </c>
      <c r="J49">
        <f t="shared" ca="1" si="18"/>
        <v>1</v>
      </c>
      <c r="K49">
        <f t="shared" ca="1" si="18"/>
        <v>0</v>
      </c>
      <c r="L49">
        <f t="shared" ca="1" si="18"/>
        <v>1</v>
      </c>
      <c r="M49">
        <f t="shared" ca="1" si="18"/>
        <v>0</v>
      </c>
      <c r="N49">
        <f t="shared" ca="1" si="18"/>
        <v>3</v>
      </c>
      <c r="O49">
        <f t="shared" ca="1" si="18"/>
        <v>0</v>
      </c>
      <c r="P49">
        <f t="shared" ca="1" si="18"/>
        <v>2</v>
      </c>
      <c r="Q49">
        <f t="shared" ca="1" si="18"/>
        <v>0</v>
      </c>
      <c r="R49">
        <f t="shared" ca="1" si="18"/>
        <v>1</v>
      </c>
      <c r="S49">
        <f t="shared" ca="1" si="18"/>
        <v>0</v>
      </c>
    </row>
    <row r="50" spans="1:19" x14ac:dyDescent="0.25">
      <c r="A50" t="s">
        <v>17</v>
      </c>
      <c r="B50" t="str">
        <f t="shared" si="10"/>
        <v>Program C</v>
      </c>
      <c r="C50" t="str">
        <f t="shared" ca="1" si="8"/>
        <v>88130118</v>
      </c>
      <c r="D50" t="str">
        <f t="shared" ca="1" si="12"/>
        <v>Male</v>
      </c>
      <c r="E50" t="str">
        <f t="shared" ca="1" si="13"/>
        <v>Black (Non-Hisp)</v>
      </c>
      <c r="F50" s="4">
        <f t="shared" ca="1" si="14"/>
        <v>41377</v>
      </c>
      <c r="G50" s="4">
        <f t="shared" ca="1" si="15"/>
        <v>41772</v>
      </c>
      <c r="H50" t="str">
        <f t="shared" ca="1" si="16"/>
        <v>0-4 CANS</v>
      </c>
      <c r="I50" t="str">
        <f t="shared" ca="1" si="17"/>
        <v>Reassessment</v>
      </c>
      <c r="J50">
        <f t="shared" ca="1" si="18"/>
        <v>2</v>
      </c>
      <c r="K50">
        <f t="shared" ca="1" si="18"/>
        <v>1</v>
      </c>
      <c r="L50">
        <f t="shared" ca="1" si="18"/>
        <v>1</v>
      </c>
      <c r="M50">
        <f t="shared" ca="1" si="18"/>
        <v>1</v>
      </c>
      <c r="N50">
        <f t="shared" ca="1" si="18"/>
        <v>2</v>
      </c>
      <c r="O50">
        <f t="shared" ca="1" si="18"/>
        <v>1</v>
      </c>
      <c r="P50">
        <f t="shared" ca="1" si="18"/>
        <v>1</v>
      </c>
      <c r="Q50">
        <f t="shared" ca="1" si="18"/>
        <v>1</v>
      </c>
      <c r="R50">
        <f t="shared" ca="1" si="18"/>
        <v>1</v>
      </c>
      <c r="S50">
        <f t="shared" ca="1" si="18"/>
        <v>0</v>
      </c>
    </row>
    <row r="51" spans="1:19" x14ac:dyDescent="0.25">
      <c r="A51" t="s">
        <v>17</v>
      </c>
      <c r="B51" t="str">
        <f t="shared" si="10"/>
        <v>Program A</v>
      </c>
      <c r="C51" t="str">
        <f t="shared" ca="1" si="8"/>
        <v>04422494</v>
      </c>
      <c r="D51" t="str">
        <f t="shared" ca="1" si="12"/>
        <v>Female</v>
      </c>
      <c r="E51" t="str">
        <f t="shared" ca="1" si="13"/>
        <v>Hispanic</v>
      </c>
      <c r="F51" s="4">
        <f t="shared" ca="1" si="14"/>
        <v>41541</v>
      </c>
      <c r="G51" s="4">
        <f t="shared" ca="1" si="15"/>
        <v>41546</v>
      </c>
      <c r="H51" t="str">
        <f t="shared" ca="1" si="16"/>
        <v>5+ CANS</v>
      </c>
      <c r="I51" t="str">
        <f t="shared" ca="1" si="17"/>
        <v>Entry</v>
      </c>
      <c r="J51">
        <f t="shared" ca="1" si="18"/>
        <v>0</v>
      </c>
      <c r="K51">
        <f t="shared" ca="1" si="18"/>
        <v>1</v>
      </c>
      <c r="L51">
        <f t="shared" ca="1" si="18"/>
        <v>0</v>
      </c>
      <c r="M51">
        <f t="shared" ca="1" si="18"/>
        <v>1</v>
      </c>
      <c r="N51">
        <f t="shared" ca="1" si="18"/>
        <v>1</v>
      </c>
      <c r="O51">
        <f t="shared" ca="1" si="18"/>
        <v>1</v>
      </c>
      <c r="P51">
        <f t="shared" ca="1" si="18"/>
        <v>3</v>
      </c>
      <c r="Q51">
        <f t="shared" ca="1" si="18"/>
        <v>0</v>
      </c>
      <c r="R51">
        <f t="shared" ca="1" si="18"/>
        <v>1</v>
      </c>
      <c r="S51">
        <f t="shared" ca="1" si="18"/>
        <v>0</v>
      </c>
    </row>
    <row r="52" spans="1:19" x14ac:dyDescent="0.25">
      <c r="A52" t="s">
        <v>17</v>
      </c>
      <c r="B52" t="str">
        <f t="shared" si="10"/>
        <v>Program B</v>
      </c>
      <c r="C52" t="str">
        <f t="shared" ca="1" si="8"/>
        <v>04422494</v>
      </c>
      <c r="D52" t="str">
        <f t="shared" ca="1" si="12"/>
        <v>Female</v>
      </c>
      <c r="E52" t="str">
        <f t="shared" ca="1" si="13"/>
        <v>Hispanic</v>
      </c>
      <c r="F52" s="4">
        <f t="shared" ca="1" si="14"/>
        <v>41541</v>
      </c>
      <c r="G52" s="4">
        <f t="shared" ca="1" si="15"/>
        <v>41612</v>
      </c>
      <c r="H52" t="str">
        <f t="shared" ca="1" si="16"/>
        <v>5+ CANS</v>
      </c>
      <c r="I52" t="str">
        <f t="shared" ca="1" si="17"/>
        <v>Reassessment</v>
      </c>
      <c r="J52">
        <f t="shared" ref="J52:S67" ca="1" si="19">MIN(ROUND(EXP(RAND()*J$1)-1, 0), 3)</f>
        <v>1</v>
      </c>
      <c r="K52">
        <f t="shared" ca="1" si="19"/>
        <v>3</v>
      </c>
      <c r="L52">
        <f t="shared" ca="1" si="19"/>
        <v>1</v>
      </c>
      <c r="M52">
        <f t="shared" ca="1" si="19"/>
        <v>0</v>
      </c>
      <c r="N52">
        <f t="shared" ca="1" si="19"/>
        <v>2</v>
      </c>
      <c r="O52">
        <f t="shared" ca="1" si="19"/>
        <v>1</v>
      </c>
      <c r="P52">
        <f t="shared" ca="1" si="19"/>
        <v>2</v>
      </c>
      <c r="Q52">
        <f t="shared" ca="1" si="19"/>
        <v>1</v>
      </c>
      <c r="R52">
        <f t="shared" ca="1" si="19"/>
        <v>1</v>
      </c>
      <c r="S52">
        <f t="shared" ca="1" si="19"/>
        <v>1</v>
      </c>
    </row>
    <row r="53" spans="1:19" x14ac:dyDescent="0.25">
      <c r="A53" t="s">
        <v>17</v>
      </c>
      <c r="B53" t="str">
        <f t="shared" si="10"/>
        <v>Program C</v>
      </c>
      <c r="C53" t="str">
        <f t="shared" ca="1" si="8"/>
        <v>04422494</v>
      </c>
      <c r="D53" t="str">
        <f t="shared" ca="1" si="12"/>
        <v>Female</v>
      </c>
      <c r="E53" t="str">
        <f t="shared" ca="1" si="13"/>
        <v>Hispanic</v>
      </c>
      <c r="F53" s="4">
        <f t="shared" ca="1" si="14"/>
        <v>41541</v>
      </c>
      <c r="G53" s="4">
        <f t="shared" ca="1" si="15"/>
        <v>41680</v>
      </c>
      <c r="H53" t="str">
        <f t="shared" ca="1" si="16"/>
        <v>5+ CANS</v>
      </c>
      <c r="I53" t="str">
        <f t="shared" ca="1" si="17"/>
        <v>Reassessment</v>
      </c>
      <c r="J53">
        <f t="shared" ca="1" si="19"/>
        <v>0</v>
      </c>
      <c r="K53">
        <f t="shared" ca="1" si="19"/>
        <v>3</v>
      </c>
      <c r="L53">
        <f t="shared" ca="1" si="19"/>
        <v>0</v>
      </c>
      <c r="M53">
        <f t="shared" ca="1" si="19"/>
        <v>1</v>
      </c>
      <c r="N53">
        <f t="shared" ca="1" si="19"/>
        <v>1</v>
      </c>
      <c r="O53">
        <f t="shared" ca="1" si="19"/>
        <v>0</v>
      </c>
      <c r="P53">
        <f t="shared" ca="1" si="19"/>
        <v>3</v>
      </c>
      <c r="Q53">
        <f t="shared" ca="1" si="19"/>
        <v>3</v>
      </c>
      <c r="R53">
        <f t="shared" ca="1" si="19"/>
        <v>0</v>
      </c>
      <c r="S53">
        <f t="shared" ca="1" si="19"/>
        <v>2</v>
      </c>
    </row>
    <row r="54" spans="1:19" x14ac:dyDescent="0.25">
      <c r="A54" t="s">
        <v>17</v>
      </c>
      <c r="B54" t="str">
        <f t="shared" si="10"/>
        <v>Program A</v>
      </c>
      <c r="C54" t="str">
        <f t="shared" ca="1" si="8"/>
        <v>04422494</v>
      </c>
      <c r="D54" t="str">
        <f t="shared" ca="1" si="12"/>
        <v>Female</v>
      </c>
      <c r="E54" t="str">
        <f t="shared" ca="1" si="13"/>
        <v>Hispanic</v>
      </c>
      <c r="F54" s="4">
        <f t="shared" ca="1" si="14"/>
        <v>41541</v>
      </c>
      <c r="G54" s="4">
        <f t="shared" ca="1" si="15"/>
        <v>41682</v>
      </c>
      <c r="H54" t="str">
        <f t="shared" ca="1" si="16"/>
        <v>5+ CANS</v>
      </c>
      <c r="I54" t="str">
        <f t="shared" ca="1" si="17"/>
        <v>Reassessment</v>
      </c>
      <c r="J54">
        <f t="shared" ca="1" si="19"/>
        <v>1</v>
      </c>
      <c r="K54">
        <f t="shared" ca="1" si="19"/>
        <v>3</v>
      </c>
      <c r="L54">
        <f t="shared" ca="1" si="19"/>
        <v>0</v>
      </c>
      <c r="M54">
        <f t="shared" ca="1" si="19"/>
        <v>0</v>
      </c>
      <c r="N54">
        <f t="shared" ca="1" si="19"/>
        <v>0</v>
      </c>
      <c r="O54">
        <f t="shared" ca="1" si="19"/>
        <v>3</v>
      </c>
      <c r="P54">
        <f t="shared" ca="1" si="19"/>
        <v>1</v>
      </c>
      <c r="Q54">
        <f t="shared" ca="1" si="19"/>
        <v>1</v>
      </c>
      <c r="R54">
        <f t="shared" ca="1" si="19"/>
        <v>0</v>
      </c>
      <c r="S54">
        <f t="shared" ca="1" si="19"/>
        <v>1</v>
      </c>
    </row>
    <row r="55" spans="1:19" x14ac:dyDescent="0.25">
      <c r="A55" t="s">
        <v>17</v>
      </c>
      <c r="B55" t="str">
        <f t="shared" si="10"/>
        <v>Program B</v>
      </c>
      <c r="C55" t="str">
        <f t="shared" ca="1" si="8"/>
        <v>04422494</v>
      </c>
      <c r="D55" t="str">
        <f t="shared" ca="1" si="12"/>
        <v>Female</v>
      </c>
      <c r="E55" t="str">
        <f t="shared" ca="1" si="13"/>
        <v>Hispanic</v>
      </c>
      <c r="F55" s="4">
        <f t="shared" ca="1" si="14"/>
        <v>41541</v>
      </c>
      <c r="G55" s="4">
        <f t="shared" ca="1" si="15"/>
        <v>41757</v>
      </c>
      <c r="H55" t="str">
        <f t="shared" ca="1" si="16"/>
        <v>5+ CANS</v>
      </c>
      <c r="I55" t="str">
        <f t="shared" ca="1" si="17"/>
        <v>Reassessment</v>
      </c>
      <c r="J55">
        <f t="shared" ca="1" si="19"/>
        <v>0</v>
      </c>
      <c r="K55">
        <f t="shared" ca="1" si="19"/>
        <v>1</v>
      </c>
      <c r="L55">
        <f t="shared" ca="1" si="19"/>
        <v>0</v>
      </c>
      <c r="M55">
        <f t="shared" ca="1" si="19"/>
        <v>1</v>
      </c>
      <c r="N55">
        <f t="shared" ca="1" si="19"/>
        <v>0</v>
      </c>
      <c r="O55">
        <f t="shared" ca="1" si="19"/>
        <v>2</v>
      </c>
      <c r="P55">
        <f t="shared" ca="1" si="19"/>
        <v>2</v>
      </c>
      <c r="Q55">
        <f t="shared" ca="1" si="19"/>
        <v>1</v>
      </c>
      <c r="R55">
        <f t="shared" ca="1" si="19"/>
        <v>2</v>
      </c>
      <c r="S55">
        <f t="shared" ca="1" si="19"/>
        <v>2</v>
      </c>
    </row>
    <row r="56" spans="1:19" x14ac:dyDescent="0.25">
      <c r="A56" t="s">
        <v>17</v>
      </c>
      <c r="B56" t="str">
        <f t="shared" si="10"/>
        <v>Program C</v>
      </c>
      <c r="C56" t="str">
        <f t="shared" ca="1" si="8"/>
        <v>04422494</v>
      </c>
      <c r="D56" t="str">
        <f t="shared" ca="1" si="12"/>
        <v>Female</v>
      </c>
      <c r="E56" t="str">
        <f t="shared" ca="1" si="13"/>
        <v>Hispanic</v>
      </c>
      <c r="F56" s="4">
        <f t="shared" ca="1" si="14"/>
        <v>41541</v>
      </c>
      <c r="G56" s="4">
        <f t="shared" ca="1" si="15"/>
        <v>41820</v>
      </c>
      <c r="H56" t="str">
        <f t="shared" ca="1" si="16"/>
        <v>5+ CANS</v>
      </c>
      <c r="I56" t="str">
        <f t="shared" ca="1" si="17"/>
        <v>Reassessment</v>
      </c>
      <c r="J56">
        <f t="shared" ca="1" si="19"/>
        <v>1</v>
      </c>
      <c r="K56">
        <f t="shared" ca="1" si="19"/>
        <v>1</v>
      </c>
      <c r="L56">
        <f t="shared" ca="1" si="19"/>
        <v>2</v>
      </c>
      <c r="M56">
        <f t="shared" ca="1" si="19"/>
        <v>0</v>
      </c>
      <c r="N56">
        <f t="shared" ca="1" si="19"/>
        <v>3</v>
      </c>
      <c r="O56">
        <f t="shared" ca="1" si="19"/>
        <v>2</v>
      </c>
      <c r="P56">
        <f t="shared" ca="1" si="19"/>
        <v>1</v>
      </c>
      <c r="Q56">
        <f t="shared" ca="1" si="19"/>
        <v>2</v>
      </c>
      <c r="R56">
        <f t="shared" ca="1" si="19"/>
        <v>0</v>
      </c>
      <c r="S56">
        <f t="shared" ca="1" si="19"/>
        <v>1</v>
      </c>
    </row>
    <row r="57" spans="1:19" x14ac:dyDescent="0.25">
      <c r="A57" t="s">
        <v>17</v>
      </c>
      <c r="B57" t="str">
        <f t="shared" si="10"/>
        <v>Program A</v>
      </c>
      <c r="C57" t="str">
        <f t="shared" ca="1" si="8"/>
        <v>29187540</v>
      </c>
      <c r="D57" t="str">
        <f t="shared" ca="1" si="12"/>
        <v>Female</v>
      </c>
      <c r="E57" t="str">
        <f t="shared" ca="1" si="13"/>
        <v>Hispanic</v>
      </c>
      <c r="F57" s="4">
        <f t="shared" ca="1" si="14"/>
        <v>41339</v>
      </c>
      <c r="G57" s="4">
        <f t="shared" ca="1" si="15"/>
        <v>41341</v>
      </c>
      <c r="H57" t="str">
        <f t="shared" ca="1" si="16"/>
        <v>5+ CANS</v>
      </c>
      <c r="I57" t="str">
        <f t="shared" ca="1" si="17"/>
        <v>Entry</v>
      </c>
      <c r="J57">
        <f t="shared" ca="1" si="19"/>
        <v>0</v>
      </c>
      <c r="K57">
        <f t="shared" ca="1" si="19"/>
        <v>0</v>
      </c>
      <c r="L57">
        <f t="shared" ca="1" si="19"/>
        <v>2</v>
      </c>
      <c r="M57">
        <f t="shared" ca="1" si="19"/>
        <v>1</v>
      </c>
      <c r="N57">
        <f t="shared" ca="1" si="19"/>
        <v>3</v>
      </c>
      <c r="O57">
        <f t="shared" ca="1" si="19"/>
        <v>0</v>
      </c>
      <c r="P57">
        <f t="shared" ca="1" si="19"/>
        <v>0</v>
      </c>
      <c r="Q57">
        <f t="shared" ca="1" si="19"/>
        <v>2</v>
      </c>
      <c r="R57">
        <f t="shared" ca="1" si="19"/>
        <v>0</v>
      </c>
      <c r="S57">
        <f t="shared" ca="1" si="19"/>
        <v>0</v>
      </c>
    </row>
    <row r="58" spans="1:19" x14ac:dyDescent="0.25">
      <c r="A58" t="s">
        <v>17</v>
      </c>
      <c r="B58" t="str">
        <f t="shared" si="10"/>
        <v>Program B</v>
      </c>
      <c r="C58" t="str">
        <f t="shared" ca="1" si="8"/>
        <v>29187540</v>
      </c>
      <c r="D58" t="str">
        <f t="shared" ca="1" si="12"/>
        <v>Female</v>
      </c>
      <c r="E58" t="str">
        <f t="shared" ca="1" si="13"/>
        <v>Hispanic</v>
      </c>
      <c r="F58" s="4">
        <f t="shared" ca="1" si="14"/>
        <v>41339</v>
      </c>
      <c r="G58" s="4">
        <f t="shared" ca="1" si="15"/>
        <v>41407</v>
      </c>
      <c r="H58" t="str">
        <f t="shared" ca="1" si="16"/>
        <v>5+ CANS</v>
      </c>
      <c r="I58" t="str">
        <f t="shared" ca="1" si="17"/>
        <v>Reassessment</v>
      </c>
      <c r="J58">
        <f t="shared" ca="1" si="19"/>
        <v>0</v>
      </c>
      <c r="K58">
        <f t="shared" ca="1" si="19"/>
        <v>1</v>
      </c>
      <c r="L58">
        <f t="shared" ca="1" si="19"/>
        <v>1</v>
      </c>
      <c r="M58">
        <f t="shared" ca="1" si="19"/>
        <v>1</v>
      </c>
      <c r="N58">
        <f t="shared" ca="1" si="19"/>
        <v>3</v>
      </c>
      <c r="O58">
        <f t="shared" ca="1" si="19"/>
        <v>2</v>
      </c>
      <c r="P58">
        <f t="shared" ca="1" si="19"/>
        <v>0</v>
      </c>
      <c r="Q58">
        <f t="shared" ca="1" si="19"/>
        <v>0</v>
      </c>
      <c r="R58">
        <f t="shared" ca="1" si="19"/>
        <v>2</v>
      </c>
      <c r="S58">
        <f t="shared" ca="1" si="19"/>
        <v>1</v>
      </c>
    </row>
    <row r="59" spans="1:19" x14ac:dyDescent="0.25">
      <c r="A59" t="s">
        <v>17</v>
      </c>
      <c r="B59" t="str">
        <f t="shared" si="10"/>
        <v>Program C</v>
      </c>
      <c r="C59" t="str">
        <f t="shared" ca="1" si="8"/>
        <v>29187540</v>
      </c>
      <c r="D59" t="str">
        <f t="shared" ca="1" si="12"/>
        <v>Female</v>
      </c>
      <c r="E59" t="str">
        <f t="shared" ca="1" si="13"/>
        <v>Hispanic</v>
      </c>
      <c r="F59" s="4">
        <f t="shared" ca="1" si="14"/>
        <v>41339</v>
      </c>
      <c r="G59" s="4">
        <f t="shared" ca="1" si="15"/>
        <v>41428</v>
      </c>
      <c r="H59" t="str">
        <f t="shared" ca="1" si="16"/>
        <v>5+ CANS</v>
      </c>
      <c r="I59" t="str">
        <f t="shared" ca="1" si="17"/>
        <v>Reassessment</v>
      </c>
      <c r="J59">
        <f t="shared" ca="1" si="19"/>
        <v>1</v>
      </c>
      <c r="K59">
        <f t="shared" ca="1" si="19"/>
        <v>1</v>
      </c>
      <c r="L59">
        <f t="shared" ca="1" si="19"/>
        <v>0</v>
      </c>
      <c r="M59">
        <f t="shared" ca="1" si="19"/>
        <v>1</v>
      </c>
      <c r="N59">
        <f t="shared" ca="1" si="19"/>
        <v>1</v>
      </c>
      <c r="O59">
        <f t="shared" ca="1" si="19"/>
        <v>3</v>
      </c>
      <c r="P59">
        <f t="shared" ca="1" si="19"/>
        <v>2</v>
      </c>
      <c r="Q59">
        <f t="shared" ca="1" si="19"/>
        <v>1</v>
      </c>
      <c r="R59">
        <f t="shared" ca="1" si="19"/>
        <v>0</v>
      </c>
      <c r="S59">
        <f t="shared" ca="1" si="19"/>
        <v>2</v>
      </c>
    </row>
    <row r="60" spans="1:19" x14ac:dyDescent="0.25">
      <c r="A60" t="s">
        <v>17</v>
      </c>
      <c r="B60" t="str">
        <f t="shared" si="10"/>
        <v>Program A</v>
      </c>
      <c r="C60" t="str">
        <f t="shared" ca="1" si="8"/>
        <v>29187540</v>
      </c>
      <c r="D60" t="str">
        <f t="shared" ca="1" si="12"/>
        <v>Female</v>
      </c>
      <c r="E60" t="str">
        <f t="shared" ca="1" si="13"/>
        <v>Hispanic</v>
      </c>
      <c r="F60" s="4">
        <f t="shared" ca="1" si="14"/>
        <v>41339</v>
      </c>
      <c r="G60" s="4">
        <f t="shared" ca="1" si="15"/>
        <v>41548</v>
      </c>
      <c r="H60" t="str">
        <f t="shared" ca="1" si="16"/>
        <v>5+ CANS</v>
      </c>
      <c r="I60" t="str">
        <f t="shared" ca="1" si="17"/>
        <v>Reassessment</v>
      </c>
      <c r="J60">
        <f t="shared" ca="1" si="19"/>
        <v>2</v>
      </c>
      <c r="K60">
        <f t="shared" ca="1" si="19"/>
        <v>2</v>
      </c>
      <c r="L60">
        <f t="shared" ca="1" si="19"/>
        <v>0</v>
      </c>
      <c r="M60">
        <f t="shared" ca="1" si="19"/>
        <v>2</v>
      </c>
      <c r="N60">
        <f t="shared" ca="1" si="19"/>
        <v>3</v>
      </c>
      <c r="O60">
        <f t="shared" ca="1" si="19"/>
        <v>1</v>
      </c>
      <c r="P60">
        <f t="shared" ca="1" si="19"/>
        <v>1</v>
      </c>
      <c r="Q60">
        <f t="shared" ca="1" si="19"/>
        <v>3</v>
      </c>
      <c r="R60">
        <f t="shared" ca="1" si="19"/>
        <v>1</v>
      </c>
      <c r="S60">
        <f t="shared" ca="1" si="19"/>
        <v>1</v>
      </c>
    </row>
    <row r="61" spans="1:19" x14ac:dyDescent="0.25">
      <c r="A61" t="s">
        <v>17</v>
      </c>
      <c r="B61" t="str">
        <f t="shared" si="10"/>
        <v>Program B</v>
      </c>
      <c r="C61" t="str">
        <f t="shared" ca="1" si="8"/>
        <v>29187540</v>
      </c>
      <c r="D61" t="str">
        <f t="shared" ca="1" si="12"/>
        <v>Female</v>
      </c>
      <c r="E61" t="str">
        <f t="shared" ca="1" si="13"/>
        <v>Hispanic</v>
      </c>
      <c r="F61" s="4">
        <f t="shared" ca="1" si="14"/>
        <v>41339</v>
      </c>
      <c r="G61" s="4">
        <f t="shared" ca="1" si="15"/>
        <v>41595</v>
      </c>
      <c r="H61" t="str">
        <f t="shared" ca="1" si="16"/>
        <v>5+ CANS</v>
      </c>
      <c r="I61" t="str">
        <f t="shared" ca="1" si="17"/>
        <v>Reassessment</v>
      </c>
      <c r="J61">
        <f t="shared" ca="1" si="19"/>
        <v>1</v>
      </c>
      <c r="K61">
        <f t="shared" ca="1" si="19"/>
        <v>3</v>
      </c>
      <c r="L61">
        <f t="shared" ca="1" si="19"/>
        <v>2</v>
      </c>
      <c r="M61">
        <f t="shared" ca="1" si="19"/>
        <v>0</v>
      </c>
      <c r="N61">
        <f t="shared" ca="1" si="19"/>
        <v>3</v>
      </c>
      <c r="O61">
        <f t="shared" ca="1" si="19"/>
        <v>0</v>
      </c>
      <c r="P61">
        <f t="shared" ca="1" si="19"/>
        <v>0</v>
      </c>
      <c r="Q61">
        <f t="shared" ca="1" si="19"/>
        <v>1</v>
      </c>
      <c r="R61">
        <f t="shared" ca="1" si="19"/>
        <v>1</v>
      </c>
      <c r="S61">
        <f t="shared" ca="1" si="19"/>
        <v>0</v>
      </c>
    </row>
    <row r="62" spans="1:19" x14ac:dyDescent="0.25">
      <c r="A62" t="s">
        <v>17</v>
      </c>
      <c r="B62" t="str">
        <f t="shared" si="10"/>
        <v>Program C</v>
      </c>
      <c r="C62" t="str">
        <f t="shared" ca="1" si="8"/>
        <v>29187540</v>
      </c>
      <c r="D62" t="str">
        <f t="shared" ca="1" si="12"/>
        <v>Female</v>
      </c>
      <c r="E62" t="str">
        <f t="shared" ca="1" si="13"/>
        <v>Hispanic</v>
      </c>
      <c r="F62" s="4">
        <f t="shared" ca="1" si="14"/>
        <v>41339</v>
      </c>
      <c r="G62" s="4">
        <f t="shared" ca="1" si="15"/>
        <v>41666</v>
      </c>
      <c r="H62" t="str">
        <f t="shared" ca="1" si="16"/>
        <v>5+ CANS</v>
      </c>
      <c r="I62" t="str">
        <f t="shared" ca="1" si="17"/>
        <v>Reassessment</v>
      </c>
      <c r="J62">
        <f t="shared" ca="1" si="19"/>
        <v>0</v>
      </c>
      <c r="K62">
        <f t="shared" ca="1" si="19"/>
        <v>2</v>
      </c>
      <c r="L62">
        <f t="shared" ca="1" si="19"/>
        <v>0</v>
      </c>
      <c r="M62">
        <f t="shared" ca="1" si="19"/>
        <v>0</v>
      </c>
      <c r="N62">
        <f t="shared" ca="1" si="19"/>
        <v>2</v>
      </c>
      <c r="O62">
        <f t="shared" ca="1" si="19"/>
        <v>2</v>
      </c>
      <c r="P62">
        <f t="shared" ca="1" si="19"/>
        <v>1</v>
      </c>
      <c r="Q62">
        <f t="shared" ca="1" si="19"/>
        <v>1</v>
      </c>
      <c r="R62">
        <f t="shared" ca="1" si="19"/>
        <v>1</v>
      </c>
      <c r="S62">
        <f t="shared" ca="1" si="19"/>
        <v>0</v>
      </c>
    </row>
    <row r="63" spans="1:19" x14ac:dyDescent="0.25">
      <c r="A63" t="s">
        <v>17</v>
      </c>
      <c r="B63" t="str">
        <f t="shared" si="10"/>
        <v>Program A</v>
      </c>
      <c r="C63" t="str">
        <f t="shared" ca="1" si="8"/>
        <v>29187540</v>
      </c>
      <c r="D63" t="str">
        <f t="shared" ca="1" si="12"/>
        <v>Female</v>
      </c>
      <c r="E63" t="str">
        <f t="shared" ca="1" si="13"/>
        <v>Hispanic</v>
      </c>
      <c r="F63" s="4">
        <f t="shared" ca="1" si="14"/>
        <v>41339</v>
      </c>
      <c r="G63" s="4">
        <f t="shared" ca="1" si="15"/>
        <v>41681</v>
      </c>
      <c r="H63" t="str">
        <f t="shared" ca="1" si="16"/>
        <v>5+ CANS</v>
      </c>
      <c r="I63" t="str">
        <f t="shared" ca="1" si="17"/>
        <v>Reassessment</v>
      </c>
      <c r="J63">
        <f t="shared" ca="1" si="19"/>
        <v>1</v>
      </c>
      <c r="K63">
        <f t="shared" ca="1" si="19"/>
        <v>0</v>
      </c>
      <c r="L63">
        <f t="shared" ca="1" si="19"/>
        <v>0</v>
      </c>
      <c r="M63">
        <f t="shared" ca="1" si="19"/>
        <v>0</v>
      </c>
      <c r="N63">
        <f t="shared" ca="1" si="19"/>
        <v>3</v>
      </c>
      <c r="O63">
        <f t="shared" ca="1" si="19"/>
        <v>1</v>
      </c>
      <c r="P63">
        <f t="shared" ca="1" si="19"/>
        <v>2</v>
      </c>
      <c r="Q63">
        <f t="shared" ca="1" si="19"/>
        <v>1</v>
      </c>
      <c r="R63">
        <f t="shared" ca="1" si="19"/>
        <v>2</v>
      </c>
      <c r="S63">
        <f t="shared" ca="1" si="19"/>
        <v>2</v>
      </c>
    </row>
    <row r="64" spans="1:19" x14ac:dyDescent="0.25">
      <c r="A64" t="s">
        <v>18</v>
      </c>
      <c r="B64" t="str">
        <f t="shared" si="10"/>
        <v>Program B</v>
      </c>
      <c r="C64" t="str">
        <f t="shared" ca="1" si="8"/>
        <v>29187540</v>
      </c>
      <c r="D64" t="str">
        <f t="shared" ca="1" si="12"/>
        <v>Female</v>
      </c>
      <c r="E64" t="str">
        <f t="shared" ca="1" si="13"/>
        <v>Hispanic</v>
      </c>
      <c r="F64" s="4">
        <f t="shared" ca="1" si="14"/>
        <v>41339</v>
      </c>
      <c r="G64" s="4">
        <f t="shared" ca="1" si="15"/>
        <v>41733</v>
      </c>
      <c r="H64" t="str">
        <f t="shared" ca="1" si="16"/>
        <v>5+ CANS</v>
      </c>
      <c r="I64" t="str">
        <f t="shared" ca="1" si="17"/>
        <v>Reassessment</v>
      </c>
      <c r="J64">
        <f t="shared" ca="1" si="19"/>
        <v>0</v>
      </c>
      <c r="K64">
        <f t="shared" ca="1" si="19"/>
        <v>0</v>
      </c>
      <c r="L64">
        <f t="shared" ca="1" si="19"/>
        <v>2</v>
      </c>
      <c r="M64">
        <f t="shared" ca="1" si="19"/>
        <v>2</v>
      </c>
      <c r="N64">
        <f t="shared" ca="1" si="19"/>
        <v>0</v>
      </c>
      <c r="O64">
        <f t="shared" ca="1" si="19"/>
        <v>1</v>
      </c>
      <c r="P64">
        <f t="shared" ca="1" si="19"/>
        <v>0</v>
      </c>
      <c r="Q64">
        <f t="shared" ca="1" si="19"/>
        <v>1</v>
      </c>
      <c r="R64">
        <f t="shared" ca="1" si="19"/>
        <v>1</v>
      </c>
      <c r="S64">
        <f t="shared" ca="1" si="19"/>
        <v>2</v>
      </c>
    </row>
    <row r="65" spans="1:19" x14ac:dyDescent="0.25">
      <c r="A65" t="s">
        <v>18</v>
      </c>
      <c r="B65" t="str">
        <f t="shared" si="10"/>
        <v>Program C</v>
      </c>
      <c r="C65" t="str">
        <f t="shared" ca="1" si="8"/>
        <v>29187540</v>
      </c>
      <c r="D65" t="str">
        <f t="shared" ca="1" si="12"/>
        <v>Female</v>
      </c>
      <c r="E65" t="str">
        <f t="shared" ca="1" si="13"/>
        <v>Hispanic</v>
      </c>
      <c r="F65" s="4">
        <f t="shared" ca="1" si="14"/>
        <v>41339</v>
      </c>
      <c r="G65" s="4">
        <f t="shared" ca="1" si="15"/>
        <v>41755</v>
      </c>
      <c r="H65" t="str">
        <f t="shared" ca="1" si="16"/>
        <v>5+ CANS</v>
      </c>
      <c r="I65" t="str">
        <f t="shared" ca="1" si="17"/>
        <v>Reassessment</v>
      </c>
      <c r="J65">
        <f t="shared" ca="1" si="19"/>
        <v>1</v>
      </c>
      <c r="K65">
        <f t="shared" ca="1" si="19"/>
        <v>0</v>
      </c>
      <c r="L65">
        <f t="shared" ca="1" si="19"/>
        <v>2</v>
      </c>
      <c r="M65">
        <f t="shared" ca="1" si="19"/>
        <v>2</v>
      </c>
      <c r="N65">
        <f t="shared" ca="1" si="19"/>
        <v>2</v>
      </c>
      <c r="O65">
        <f t="shared" ca="1" si="19"/>
        <v>0</v>
      </c>
      <c r="P65">
        <f t="shared" ca="1" si="19"/>
        <v>1</v>
      </c>
      <c r="Q65">
        <f t="shared" ca="1" si="19"/>
        <v>3</v>
      </c>
      <c r="R65">
        <f t="shared" ca="1" si="19"/>
        <v>2</v>
      </c>
      <c r="S65">
        <f t="shared" ca="1" si="19"/>
        <v>1</v>
      </c>
    </row>
    <row r="66" spans="1:19" x14ac:dyDescent="0.25">
      <c r="A66" t="s">
        <v>18</v>
      </c>
      <c r="B66" t="str">
        <f t="shared" si="10"/>
        <v>Program A</v>
      </c>
      <c r="C66" t="str">
        <f t="shared" ca="1" si="8"/>
        <v>29187540</v>
      </c>
      <c r="D66" t="str">
        <f t="shared" ca="1" si="12"/>
        <v>Female</v>
      </c>
      <c r="E66" t="str">
        <f t="shared" ca="1" si="13"/>
        <v>Hispanic</v>
      </c>
      <c r="F66" s="4">
        <f t="shared" ca="1" si="14"/>
        <v>41339</v>
      </c>
      <c r="G66" s="4">
        <f t="shared" ca="1" si="15"/>
        <v>41852</v>
      </c>
      <c r="H66" t="str">
        <f t="shared" ca="1" si="16"/>
        <v>5+ CANS</v>
      </c>
      <c r="I66" t="str">
        <f t="shared" ca="1" si="17"/>
        <v>Reassessment</v>
      </c>
      <c r="J66">
        <f t="shared" ca="1" si="19"/>
        <v>0</v>
      </c>
      <c r="K66">
        <f t="shared" ca="1" si="19"/>
        <v>0</v>
      </c>
      <c r="L66">
        <f t="shared" ca="1" si="19"/>
        <v>0</v>
      </c>
      <c r="M66">
        <f t="shared" ca="1" si="19"/>
        <v>0</v>
      </c>
      <c r="N66">
        <f t="shared" ca="1" si="19"/>
        <v>3</v>
      </c>
      <c r="O66">
        <f t="shared" ca="1" si="19"/>
        <v>1</v>
      </c>
      <c r="P66">
        <f t="shared" ca="1" si="19"/>
        <v>2</v>
      </c>
      <c r="Q66">
        <f t="shared" ca="1" si="19"/>
        <v>1</v>
      </c>
      <c r="R66">
        <f t="shared" ca="1" si="19"/>
        <v>2</v>
      </c>
      <c r="S66">
        <f t="shared" ca="1" si="19"/>
        <v>1</v>
      </c>
    </row>
    <row r="67" spans="1:19" x14ac:dyDescent="0.25">
      <c r="A67" t="s">
        <v>18</v>
      </c>
      <c r="B67" t="str">
        <f t="shared" si="10"/>
        <v>Program B</v>
      </c>
      <c r="C67" t="str">
        <f t="shared" ca="1" si="8"/>
        <v>29187540</v>
      </c>
      <c r="D67" t="str">
        <f t="shared" ref="D67:D98" ca="1" si="20">IF(C67=C66, D66, IF(RAND()&lt;0.5, "Male", "Female"))</f>
        <v>Female</v>
      </c>
      <c r="E67" t="str">
        <f t="shared" ref="E67:E98" ca="1" si="21">IF(C66=C67, E66, IF(RAND()&lt;0.6, "White (Non-Hisp)", IF(RAND()&lt;0.5, "Black (Non-Hisp)", "Hispanic")))</f>
        <v>Hispanic</v>
      </c>
      <c r="F67" s="4">
        <f t="shared" ref="F67:F98" ca="1" si="22">IF(C66&lt;&gt;C67, ROUND(RAND()*500, 0)+DATE(2013, 1, 1), F66)</f>
        <v>41339</v>
      </c>
      <c r="G67" s="4">
        <f t="shared" ref="G67:G98" ca="1" si="23">IF(C66&lt;&gt;C67, F67+ROUND(RAND()*55, 0), G66+ROUND(RAND()*145, 0))</f>
        <v>41994</v>
      </c>
      <c r="H67" t="str">
        <f t="shared" ref="H67:H98" ca="1" si="24">IF(C66=C67, H66, IF(RAND()&lt;0.2, "0-4 CANS", "5+ CANS"))</f>
        <v>5+ CANS</v>
      </c>
      <c r="I67" t="str">
        <f t="shared" ref="I67:I98" ca="1" si="25">IF(C66=C67, "Reassessment", "Entry")</f>
        <v>Reassessment</v>
      </c>
      <c r="J67">
        <f t="shared" ca="1" si="19"/>
        <v>2</v>
      </c>
      <c r="K67">
        <f t="shared" ca="1" si="19"/>
        <v>3</v>
      </c>
      <c r="L67">
        <f t="shared" ca="1" si="19"/>
        <v>0</v>
      </c>
      <c r="M67">
        <f t="shared" ca="1" si="19"/>
        <v>3</v>
      </c>
      <c r="N67">
        <f t="shared" ca="1" si="19"/>
        <v>2</v>
      </c>
      <c r="O67">
        <f t="shared" ca="1" si="19"/>
        <v>1</v>
      </c>
      <c r="P67">
        <f t="shared" ca="1" si="19"/>
        <v>1</v>
      </c>
      <c r="Q67">
        <f t="shared" ca="1" si="19"/>
        <v>3</v>
      </c>
      <c r="R67">
        <f t="shared" ca="1" si="19"/>
        <v>2</v>
      </c>
      <c r="S67">
        <f t="shared" ca="1" si="19"/>
        <v>0</v>
      </c>
    </row>
    <row r="68" spans="1:19" x14ac:dyDescent="0.25">
      <c r="A68" t="s">
        <v>18</v>
      </c>
      <c r="B68" t="str">
        <f t="shared" si="10"/>
        <v>Program C</v>
      </c>
      <c r="C68" t="str">
        <f t="shared" ref="C68:C131" ca="1" si="26">TEXT(IF(OR(RAND()&lt;0.3, ROW()=3), ROUND(RAND()*100000000, 0), C67), "00000000")</f>
        <v>29187540</v>
      </c>
      <c r="D68" t="str">
        <f t="shared" ca="1" si="20"/>
        <v>Female</v>
      </c>
      <c r="E68" t="str">
        <f t="shared" ca="1" si="21"/>
        <v>Hispanic</v>
      </c>
      <c r="F68" s="4">
        <f t="shared" ca="1" si="22"/>
        <v>41339</v>
      </c>
      <c r="G68" s="4">
        <f t="shared" ca="1" si="23"/>
        <v>42014</v>
      </c>
      <c r="H68" t="str">
        <f t="shared" ca="1" si="24"/>
        <v>5+ CANS</v>
      </c>
      <c r="I68" t="str">
        <f t="shared" ca="1" si="25"/>
        <v>Reassessment</v>
      </c>
      <c r="J68">
        <f t="shared" ref="J68:S83" ca="1" si="27">MIN(ROUND(EXP(RAND()*J$1)-1, 0), 3)</f>
        <v>1</v>
      </c>
      <c r="K68">
        <f t="shared" ca="1" si="27"/>
        <v>0</v>
      </c>
      <c r="L68">
        <f t="shared" ca="1" si="27"/>
        <v>0</v>
      </c>
      <c r="M68">
        <f t="shared" ca="1" si="27"/>
        <v>0</v>
      </c>
      <c r="N68">
        <f t="shared" ca="1" si="27"/>
        <v>3</v>
      </c>
      <c r="O68">
        <f t="shared" ca="1" si="27"/>
        <v>0</v>
      </c>
      <c r="P68">
        <f t="shared" ca="1" si="27"/>
        <v>1</v>
      </c>
      <c r="Q68">
        <f t="shared" ca="1" si="27"/>
        <v>0</v>
      </c>
      <c r="R68">
        <f t="shared" ca="1" si="27"/>
        <v>1</v>
      </c>
      <c r="S68">
        <f t="shared" ca="1" si="27"/>
        <v>0</v>
      </c>
    </row>
    <row r="69" spans="1:19" x14ac:dyDescent="0.25">
      <c r="A69" t="s">
        <v>18</v>
      </c>
      <c r="B69" t="str">
        <f t="shared" si="10"/>
        <v>Program A</v>
      </c>
      <c r="C69" t="str">
        <f t="shared" ca="1" si="26"/>
        <v>35029975</v>
      </c>
      <c r="D69" t="str">
        <f t="shared" ca="1" si="20"/>
        <v>Male</v>
      </c>
      <c r="E69" t="str">
        <f t="shared" ca="1" si="21"/>
        <v>Hispanic</v>
      </c>
      <c r="F69" s="4">
        <f t="shared" ca="1" si="22"/>
        <v>41417</v>
      </c>
      <c r="G69" s="4">
        <f t="shared" ca="1" si="23"/>
        <v>41429</v>
      </c>
      <c r="H69" t="str">
        <f t="shared" ca="1" si="24"/>
        <v>5+ CANS</v>
      </c>
      <c r="I69" t="str">
        <f t="shared" ca="1" si="25"/>
        <v>Entry</v>
      </c>
      <c r="J69">
        <f t="shared" ca="1" si="27"/>
        <v>1</v>
      </c>
      <c r="K69">
        <f t="shared" ca="1" si="27"/>
        <v>0</v>
      </c>
      <c r="L69">
        <f t="shared" ca="1" si="27"/>
        <v>1</v>
      </c>
      <c r="M69">
        <f t="shared" ca="1" si="27"/>
        <v>1</v>
      </c>
      <c r="N69">
        <f t="shared" ca="1" si="27"/>
        <v>1</v>
      </c>
      <c r="O69">
        <f t="shared" ca="1" si="27"/>
        <v>1</v>
      </c>
      <c r="P69">
        <f t="shared" ca="1" si="27"/>
        <v>3</v>
      </c>
      <c r="Q69">
        <f t="shared" ca="1" si="27"/>
        <v>0</v>
      </c>
      <c r="R69">
        <f t="shared" ca="1" si="27"/>
        <v>1</v>
      </c>
      <c r="S69">
        <f t="shared" ca="1" si="27"/>
        <v>2</v>
      </c>
    </row>
    <row r="70" spans="1:19" x14ac:dyDescent="0.25">
      <c r="A70" t="s">
        <v>18</v>
      </c>
      <c r="B70" t="str">
        <f t="shared" si="10"/>
        <v>Program B</v>
      </c>
      <c r="C70" t="str">
        <f t="shared" ca="1" si="26"/>
        <v>18740960</v>
      </c>
      <c r="D70" t="str">
        <f t="shared" ca="1" si="20"/>
        <v>Female</v>
      </c>
      <c r="E70" t="str">
        <f t="shared" ca="1" si="21"/>
        <v>Hispanic</v>
      </c>
      <c r="F70" s="4">
        <f t="shared" ca="1" si="22"/>
        <v>41476</v>
      </c>
      <c r="G70" s="4">
        <f t="shared" ca="1" si="23"/>
        <v>41515</v>
      </c>
      <c r="H70" t="str">
        <f t="shared" ca="1" si="24"/>
        <v>5+ CANS</v>
      </c>
      <c r="I70" t="str">
        <f t="shared" ca="1" si="25"/>
        <v>Entry</v>
      </c>
      <c r="J70">
        <f t="shared" ca="1" si="27"/>
        <v>1</v>
      </c>
      <c r="K70">
        <f t="shared" ca="1" si="27"/>
        <v>0</v>
      </c>
      <c r="L70">
        <f t="shared" ca="1" si="27"/>
        <v>1</v>
      </c>
      <c r="M70">
        <f t="shared" ca="1" si="27"/>
        <v>1</v>
      </c>
      <c r="N70">
        <f t="shared" ca="1" si="27"/>
        <v>3</v>
      </c>
      <c r="O70">
        <f t="shared" ca="1" si="27"/>
        <v>2</v>
      </c>
      <c r="P70">
        <f t="shared" ca="1" si="27"/>
        <v>1</v>
      </c>
      <c r="Q70">
        <f t="shared" ca="1" si="27"/>
        <v>3</v>
      </c>
      <c r="R70">
        <f t="shared" ca="1" si="27"/>
        <v>2</v>
      </c>
      <c r="S70">
        <f t="shared" ca="1" si="27"/>
        <v>0</v>
      </c>
    </row>
    <row r="71" spans="1:19" x14ac:dyDescent="0.25">
      <c r="A71" t="s">
        <v>18</v>
      </c>
      <c r="B71" t="str">
        <f t="shared" ref="B71:B134" si="28">B68</f>
        <v>Program C</v>
      </c>
      <c r="C71" t="str">
        <f t="shared" ca="1" si="26"/>
        <v>60175214</v>
      </c>
      <c r="D71" t="str">
        <f t="shared" ca="1" si="20"/>
        <v>Female</v>
      </c>
      <c r="E71" t="str">
        <f t="shared" ca="1" si="21"/>
        <v>Hispanic</v>
      </c>
      <c r="F71" s="4">
        <f t="shared" ca="1" si="22"/>
        <v>41300</v>
      </c>
      <c r="G71" s="4">
        <f t="shared" ca="1" si="23"/>
        <v>41318</v>
      </c>
      <c r="H71" t="str">
        <f t="shared" ca="1" si="24"/>
        <v>5+ CANS</v>
      </c>
      <c r="I71" t="str">
        <f t="shared" ca="1" si="25"/>
        <v>Entry</v>
      </c>
      <c r="J71">
        <f t="shared" ca="1" si="27"/>
        <v>0</v>
      </c>
      <c r="K71">
        <f t="shared" ca="1" si="27"/>
        <v>2</v>
      </c>
      <c r="L71">
        <f t="shared" ca="1" si="27"/>
        <v>2</v>
      </c>
      <c r="M71">
        <f t="shared" ca="1" si="27"/>
        <v>3</v>
      </c>
      <c r="N71">
        <f t="shared" ca="1" si="27"/>
        <v>2</v>
      </c>
      <c r="O71">
        <f t="shared" ca="1" si="27"/>
        <v>0</v>
      </c>
      <c r="P71">
        <f t="shared" ca="1" si="27"/>
        <v>2</v>
      </c>
      <c r="Q71">
        <f t="shared" ca="1" si="27"/>
        <v>2</v>
      </c>
      <c r="R71">
        <f t="shared" ca="1" si="27"/>
        <v>2</v>
      </c>
      <c r="S71">
        <f t="shared" ca="1" si="27"/>
        <v>0</v>
      </c>
    </row>
    <row r="72" spans="1:19" x14ac:dyDescent="0.25">
      <c r="A72" t="s">
        <v>18</v>
      </c>
      <c r="B72" t="str">
        <f t="shared" si="28"/>
        <v>Program A</v>
      </c>
      <c r="C72" t="str">
        <f t="shared" ca="1" si="26"/>
        <v>60175214</v>
      </c>
      <c r="D72" t="str">
        <f t="shared" ca="1" si="20"/>
        <v>Female</v>
      </c>
      <c r="E72" t="str">
        <f t="shared" ca="1" si="21"/>
        <v>Hispanic</v>
      </c>
      <c r="F72" s="4">
        <f t="shared" ca="1" si="22"/>
        <v>41300</v>
      </c>
      <c r="G72" s="4">
        <f t="shared" ca="1" si="23"/>
        <v>41418</v>
      </c>
      <c r="H72" t="str">
        <f t="shared" ca="1" si="24"/>
        <v>5+ CANS</v>
      </c>
      <c r="I72" t="str">
        <f t="shared" ca="1" si="25"/>
        <v>Reassessment</v>
      </c>
      <c r="J72">
        <f t="shared" ca="1" si="27"/>
        <v>2</v>
      </c>
      <c r="K72">
        <f t="shared" ca="1" si="27"/>
        <v>2</v>
      </c>
      <c r="L72">
        <f t="shared" ca="1" si="27"/>
        <v>2</v>
      </c>
      <c r="M72">
        <f t="shared" ca="1" si="27"/>
        <v>1</v>
      </c>
      <c r="N72">
        <f t="shared" ca="1" si="27"/>
        <v>1</v>
      </c>
      <c r="O72">
        <f t="shared" ca="1" si="27"/>
        <v>1</v>
      </c>
      <c r="P72">
        <f t="shared" ca="1" si="27"/>
        <v>0</v>
      </c>
      <c r="Q72">
        <f t="shared" ca="1" si="27"/>
        <v>3</v>
      </c>
      <c r="R72">
        <f t="shared" ca="1" si="27"/>
        <v>1</v>
      </c>
      <c r="S72">
        <f t="shared" ca="1" si="27"/>
        <v>2</v>
      </c>
    </row>
    <row r="73" spans="1:19" x14ac:dyDescent="0.25">
      <c r="A73" t="s">
        <v>18</v>
      </c>
      <c r="B73" t="str">
        <f t="shared" si="28"/>
        <v>Program B</v>
      </c>
      <c r="C73" t="str">
        <f t="shared" ca="1" si="26"/>
        <v>60175214</v>
      </c>
      <c r="D73" t="str">
        <f t="shared" ca="1" si="20"/>
        <v>Female</v>
      </c>
      <c r="E73" t="str">
        <f t="shared" ca="1" si="21"/>
        <v>Hispanic</v>
      </c>
      <c r="F73" s="4">
        <f t="shared" ca="1" si="22"/>
        <v>41300</v>
      </c>
      <c r="G73" s="4">
        <f t="shared" ca="1" si="23"/>
        <v>41515</v>
      </c>
      <c r="H73" t="str">
        <f t="shared" ca="1" si="24"/>
        <v>5+ CANS</v>
      </c>
      <c r="I73" t="str">
        <f t="shared" ca="1" si="25"/>
        <v>Reassessment</v>
      </c>
      <c r="J73">
        <f t="shared" ca="1" si="27"/>
        <v>1</v>
      </c>
      <c r="K73">
        <f t="shared" ca="1" si="27"/>
        <v>3</v>
      </c>
      <c r="L73">
        <f t="shared" ca="1" si="27"/>
        <v>0</v>
      </c>
      <c r="M73">
        <f t="shared" ca="1" si="27"/>
        <v>2</v>
      </c>
      <c r="N73">
        <f t="shared" ca="1" si="27"/>
        <v>3</v>
      </c>
      <c r="O73">
        <f t="shared" ca="1" si="27"/>
        <v>1</v>
      </c>
      <c r="P73">
        <f t="shared" ca="1" si="27"/>
        <v>0</v>
      </c>
      <c r="Q73">
        <f t="shared" ca="1" si="27"/>
        <v>3</v>
      </c>
      <c r="R73">
        <f t="shared" ca="1" si="27"/>
        <v>1</v>
      </c>
      <c r="S73">
        <f t="shared" ca="1" si="27"/>
        <v>1</v>
      </c>
    </row>
    <row r="74" spans="1:19" x14ac:dyDescent="0.25">
      <c r="A74" t="s">
        <v>18</v>
      </c>
      <c r="B74" t="str">
        <f t="shared" si="28"/>
        <v>Program C</v>
      </c>
      <c r="C74" t="str">
        <f t="shared" ca="1" si="26"/>
        <v>37248692</v>
      </c>
      <c r="D74" t="str">
        <f t="shared" ca="1" si="20"/>
        <v>Female</v>
      </c>
      <c r="E74" t="str">
        <f t="shared" ca="1" si="21"/>
        <v>White (Non-Hisp)</v>
      </c>
      <c r="F74" s="4">
        <f t="shared" ca="1" si="22"/>
        <v>41334</v>
      </c>
      <c r="G74" s="4">
        <f t="shared" ca="1" si="23"/>
        <v>41370</v>
      </c>
      <c r="H74" t="str">
        <f t="shared" ca="1" si="24"/>
        <v>5+ CANS</v>
      </c>
      <c r="I74" t="str">
        <f t="shared" ca="1" si="25"/>
        <v>Entry</v>
      </c>
      <c r="J74">
        <f t="shared" ca="1" si="27"/>
        <v>1</v>
      </c>
      <c r="K74">
        <f t="shared" ca="1" si="27"/>
        <v>0</v>
      </c>
      <c r="L74">
        <f t="shared" ca="1" si="27"/>
        <v>1</v>
      </c>
      <c r="M74">
        <f t="shared" ca="1" si="27"/>
        <v>1</v>
      </c>
      <c r="N74">
        <f t="shared" ca="1" si="27"/>
        <v>0</v>
      </c>
      <c r="O74">
        <f t="shared" ca="1" si="27"/>
        <v>1</v>
      </c>
      <c r="P74">
        <f t="shared" ca="1" si="27"/>
        <v>2</v>
      </c>
      <c r="Q74">
        <f t="shared" ca="1" si="27"/>
        <v>2</v>
      </c>
      <c r="R74">
        <f t="shared" ca="1" si="27"/>
        <v>0</v>
      </c>
      <c r="S74">
        <f t="shared" ca="1" si="27"/>
        <v>1</v>
      </c>
    </row>
    <row r="75" spans="1:19" x14ac:dyDescent="0.25">
      <c r="A75" t="s">
        <v>18</v>
      </c>
      <c r="B75" t="str">
        <f t="shared" si="28"/>
        <v>Program A</v>
      </c>
      <c r="C75" t="str">
        <f t="shared" ca="1" si="26"/>
        <v>37248692</v>
      </c>
      <c r="D75" t="str">
        <f t="shared" ca="1" si="20"/>
        <v>Female</v>
      </c>
      <c r="E75" t="str">
        <f t="shared" ca="1" si="21"/>
        <v>White (Non-Hisp)</v>
      </c>
      <c r="F75" s="4">
        <f t="shared" ca="1" si="22"/>
        <v>41334</v>
      </c>
      <c r="G75" s="4">
        <f t="shared" ca="1" si="23"/>
        <v>41386</v>
      </c>
      <c r="H75" t="str">
        <f t="shared" ca="1" si="24"/>
        <v>5+ CANS</v>
      </c>
      <c r="I75" t="str">
        <f t="shared" ca="1" si="25"/>
        <v>Reassessment</v>
      </c>
      <c r="J75">
        <f t="shared" ca="1" si="27"/>
        <v>1</v>
      </c>
      <c r="K75">
        <f t="shared" ca="1" si="27"/>
        <v>3</v>
      </c>
      <c r="L75">
        <f t="shared" ca="1" si="27"/>
        <v>2</v>
      </c>
      <c r="M75">
        <f t="shared" ca="1" si="27"/>
        <v>1</v>
      </c>
      <c r="N75">
        <f t="shared" ca="1" si="27"/>
        <v>3</v>
      </c>
      <c r="O75">
        <f t="shared" ca="1" si="27"/>
        <v>2</v>
      </c>
      <c r="P75">
        <f t="shared" ca="1" si="27"/>
        <v>2</v>
      </c>
      <c r="Q75">
        <f t="shared" ca="1" si="27"/>
        <v>1</v>
      </c>
      <c r="R75">
        <f t="shared" ca="1" si="27"/>
        <v>1</v>
      </c>
      <c r="S75">
        <f t="shared" ca="1" si="27"/>
        <v>0</v>
      </c>
    </row>
    <row r="76" spans="1:19" x14ac:dyDescent="0.25">
      <c r="A76" t="s">
        <v>18</v>
      </c>
      <c r="B76" t="str">
        <f t="shared" si="28"/>
        <v>Program B</v>
      </c>
      <c r="C76" t="str">
        <f t="shared" ca="1" si="26"/>
        <v>37248692</v>
      </c>
      <c r="D76" t="str">
        <f t="shared" ca="1" si="20"/>
        <v>Female</v>
      </c>
      <c r="E76" t="str">
        <f t="shared" ca="1" si="21"/>
        <v>White (Non-Hisp)</v>
      </c>
      <c r="F76" s="4">
        <f t="shared" ca="1" si="22"/>
        <v>41334</v>
      </c>
      <c r="G76" s="4">
        <f t="shared" ca="1" si="23"/>
        <v>41528</v>
      </c>
      <c r="H76" t="str">
        <f t="shared" ca="1" si="24"/>
        <v>5+ CANS</v>
      </c>
      <c r="I76" t="str">
        <f t="shared" ca="1" si="25"/>
        <v>Reassessment</v>
      </c>
      <c r="J76">
        <f t="shared" ca="1" si="27"/>
        <v>0</v>
      </c>
      <c r="K76">
        <f t="shared" ca="1" si="27"/>
        <v>2</v>
      </c>
      <c r="L76">
        <f t="shared" ca="1" si="27"/>
        <v>1</v>
      </c>
      <c r="M76">
        <f t="shared" ca="1" si="27"/>
        <v>3</v>
      </c>
      <c r="N76">
        <f t="shared" ca="1" si="27"/>
        <v>2</v>
      </c>
      <c r="O76">
        <f t="shared" ca="1" si="27"/>
        <v>0</v>
      </c>
      <c r="P76">
        <f t="shared" ca="1" si="27"/>
        <v>3</v>
      </c>
      <c r="Q76">
        <f t="shared" ca="1" si="27"/>
        <v>0</v>
      </c>
      <c r="R76">
        <f t="shared" ca="1" si="27"/>
        <v>0</v>
      </c>
      <c r="S76">
        <f t="shared" ca="1" si="27"/>
        <v>2</v>
      </c>
    </row>
    <row r="77" spans="1:19" x14ac:dyDescent="0.25">
      <c r="A77" t="s">
        <v>18</v>
      </c>
      <c r="B77" t="str">
        <f t="shared" si="28"/>
        <v>Program C</v>
      </c>
      <c r="C77" t="str">
        <f t="shared" ca="1" si="26"/>
        <v>90728628</v>
      </c>
      <c r="D77" t="str">
        <f t="shared" ca="1" si="20"/>
        <v>Male</v>
      </c>
      <c r="E77" t="str">
        <f t="shared" ca="1" si="21"/>
        <v>White (Non-Hisp)</v>
      </c>
      <c r="F77" s="4">
        <f t="shared" ca="1" si="22"/>
        <v>41496</v>
      </c>
      <c r="G77" s="4">
        <f t="shared" ca="1" si="23"/>
        <v>41513</v>
      </c>
      <c r="H77" t="str">
        <f t="shared" ca="1" si="24"/>
        <v>0-4 CANS</v>
      </c>
      <c r="I77" t="str">
        <f t="shared" ca="1" si="25"/>
        <v>Entry</v>
      </c>
      <c r="J77">
        <f t="shared" ca="1" si="27"/>
        <v>2</v>
      </c>
      <c r="K77">
        <f t="shared" ca="1" si="27"/>
        <v>1</v>
      </c>
      <c r="L77">
        <f t="shared" ca="1" si="27"/>
        <v>0</v>
      </c>
      <c r="M77">
        <f t="shared" ca="1" si="27"/>
        <v>1</v>
      </c>
      <c r="N77">
        <f t="shared" ca="1" si="27"/>
        <v>3</v>
      </c>
      <c r="O77">
        <f t="shared" ca="1" si="27"/>
        <v>3</v>
      </c>
      <c r="P77">
        <f t="shared" ca="1" si="27"/>
        <v>1</v>
      </c>
      <c r="Q77">
        <f t="shared" ca="1" si="27"/>
        <v>2</v>
      </c>
      <c r="R77">
        <f t="shared" ca="1" si="27"/>
        <v>1</v>
      </c>
      <c r="S77">
        <f t="shared" ca="1" si="27"/>
        <v>2</v>
      </c>
    </row>
    <row r="78" spans="1:19" x14ac:dyDescent="0.25">
      <c r="A78" t="s">
        <v>18</v>
      </c>
      <c r="B78" t="str">
        <f t="shared" si="28"/>
        <v>Program A</v>
      </c>
      <c r="C78" t="str">
        <f t="shared" ca="1" si="26"/>
        <v>90728628</v>
      </c>
      <c r="D78" t="str">
        <f t="shared" ca="1" si="20"/>
        <v>Male</v>
      </c>
      <c r="E78" t="str">
        <f t="shared" ca="1" si="21"/>
        <v>White (Non-Hisp)</v>
      </c>
      <c r="F78" s="4">
        <f t="shared" ca="1" si="22"/>
        <v>41496</v>
      </c>
      <c r="G78" s="4">
        <f t="shared" ca="1" si="23"/>
        <v>41617</v>
      </c>
      <c r="H78" t="str">
        <f t="shared" ca="1" si="24"/>
        <v>0-4 CANS</v>
      </c>
      <c r="I78" t="str">
        <f t="shared" ca="1" si="25"/>
        <v>Reassessment</v>
      </c>
      <c r="J78">
        <f t="shared" ca="1" si="27"/>
        <v>1</v>
      </c>
      <c r="K78">
        <f t="shared" ca="1" si="27"/>
        <v>3</v>
      </c>
      <c r="L78">
        <f t="shared" ca="1" si="27"/>
        <v>1</v>
      </c>
      <c r="M78">
        <f t="shared" ca="1" si="27"/>
        <v>1</v>
      </c>
      <c r="N78">
        <f t="shared" ca="1" si="27"/>
        <v>1</v>
      </c>
      <c r="O78">
        <f t="shared" ca="1" si="27"/>
        <v>3</v>
      </c>
      <c r="P78">
        <f t="shared" ca="1" si="27"/>
        <v>2</v>
      </c>
      <c r="Q78">
        <f t="shared" ca="1" si="27"/>
        <v>0</v>
      </c>
      <c r="R78">
        <f t="shared" ca="1" si="27"/>
        <v>0</v>
      </c>
      <c r="S78">
        <f t="shared" ca="1" si="27"/>
        <v>0</v>
      </c>
    </row>
    <row r="79" spans="1:19" x14ac:dyDescent="0.25">
      <c r="A79" t="s">
        <v>18</v>
      </c>
      <c r="B79" t="str">
        <f t="shared" si="28"/>
        <v>Program B</v>
      </c>
      <c r="C79" t="str">
        <f t="shared" ca="1" si="26"/>
        <v>90728628</v>
      </c>
      <c r="D79" t="str">
        <f t="shared" ca="1" si="20"/>
        <v>Male</v>
      </c>
      <c r="E79" t="str">
        <f t="shared" ca="1" si="21"/>
        <v>White (Non-Hisp)</v>
      </c>
      <c r="F79" s="4">
        <f t="shared" ca="1" si="22"/>
        <v>41496</v>
      </c>
      <c r="G79" s="4">
        <f t="shared" ca="1" si="23"/>
        <v>41737</v>
      </c>
      <c r="H79" t="str">
        <f t="shared" ca="1" si="24"/>
        <v>0-4 CANS</v>
      </c>
      <c r="I79" t="str">
        <f t="shared" ca="1" si="25"/>
        <v>Reassessment</v>
      </c>
      <c r="J79">
        <f t="shared" ca="1" si="27"/>
        <v>0</v>
      </c>
      <c r="K79">
        <f t="shared" ca="1" si="27"/>
        <v>2</v>
      </c>
      <c r="L79">
        <f t="shared" ca="1" si="27"/>
        <v>2</v>
      </c>
      <c r="M79">
        <f t="shared" ca="1" si="27"/>
        <v>0</v>
      </c>
      <c r="N79">
        <f t="shared" ca="1" si="27"/>
        <v>3</v>
      </c>
      <c r="O79">
        <f t="shared" ca="1" si="27"/>
        <v>0</v>
      </c>
      <c r="P79">
        <f t="shared" ca="1" si="27"/>
        <v>1</v>
      </c>
      <c r="Q79">
        <f t="shared" ca="1" si="27"/>
        <v>0</v>
      </c>
      <c r="R79">
        <f t="shared" ca="1" si="27"/>
        <v>0</v>
      </c>
      <c r="S79">
        <f t="shared" ca="1" si="27"/>
        <v>2</v>
      </c>
    </row>
    <row r="80" spans="1:19" x14ac:dyDescent="0.25">
      <c r="A80" t="s">
        <v>18</v>
      </c>
      <c r="B80" t="str">
        <f t="shared" si="28"/>
        <v>Program C</v>
      </c>
      <c r="C80" t="str">
        <f t="shared" ca="1" si="26"/>
        <v>90728628</v>
      </c>
      <c r="D80" t="str">
        <f t="shared" ca="1" si="20"/>
        <v>Male</v>
      </c>
      <c r="E80" t="str">
        <f t="shared" ca="1" si="21"/>
        <v>White (Non-Hisp)</v>
      </c>
      <c r="F80" s="4">
        <f t="shared" ca="1" si="22"/>
        <v>41496</v>
      </c>
      <c r="G80" s="4">
        <f t="shared" ca="1" si="23"/>
        <v>41791</v>
      </c>
      <c r="H80" t="str">
        <f t="shared" ca="1" si="24"/>
        <v>0-4 CANS</v>
      </c>
      <c r="I80" t="str">
        <f t="shared" ca="1" si="25"/>
        <v>Reassessment</v>
      </c>
      <c r="J80">
        <f t="shared" ca="1" si="27"/>
        <v>0</v>
      </c>
      <c r="K80">
        <f t="shared" ca="1" si="27"/>
        <v>1</v>
      </c>
      <c r="L80">
        <f t="shared" ca="1" si="27"/>
        <v>1</v>
      </c>
      <c r="M80">
        <f t="shared" ca="1" si="27"/>
        <v>3</v>
      </c>
      <c r="N80">
        <f t="shared" ca="1" si="27"/>
        <v>3</v>
      </c>
      <c r="O80">
        <f t="shared" ca="1" si="27"/>
        <v>1</v>
      </c>
      <c r="P80">
        <f t="shared" ca="1" si="27"/>
        <v>3</v>
      </c>
      <c r="Q80">
        <f t="shared" ca="1" si="27"/>
        <v>0</v>
      </c>
      <c r="R80">
        <f t="shared" ca="1" si="27"/>
        <v>1</v>
      </c>
      <c r="S80">
        <f t="shared" ca="1" si="27"/>
        <v>1</v>
      </c>
    </row>
    <row r="81" spans="1:19" x14ac:dyDescent="0.25">
      <c r="A81" t="s">
        <v>18</v>
      </c>
      <c r="B81" t="str">
        <f t="shared" si="28"/>
        <v>Program A</v>
      </c>
      <c r="C81" t="str">
        <f t="shared" ca="1" si="26"/>
        <v>90728628</v>
      </c>
      <c r="D81" t="str">
        <f t="shared" ca="1" si="20"/>
        <v>Male</v>
      </c>
      <c r="E81" t="str">
        <f t="shared" ca="1" si="21"/>
        <v>White (Non-Hisp)</v>
      </c>
      <c r="F81" s="4">
        <f t="shared" ca="1" si="22"/>
        <v>41496</v>
      </c>
      <c r="G81" s="4">
        <f t="shared" ca="1" si="23"/>
        <v>41877</v>
      </c>
      <c r="H81" t="str">
        <f t="shared" ca="1" si="24"/>
        <v>0-4 CANS</v>
      </c>
      <c r="I81" t="str">
        <f t="shared" ca="1" si="25"/>
        <v>Reassessment</v>
      </c>
      <c r="J81">
        <f t="shared" ca="1" si="27"/>
        <v>2</v>
      </c>
      <c r="K81">
        <f t="shared" ca="1" si="27"/>
        <v>2</v>
      </c>
      <c r="L81">
        <f t="shared" ca="1" si="27"/>
        <v>1</v>
      </c>
      <c r="M81">
        <f t="shared" ca="1" si="27"/>
        <v>1</v>
      </c>
      <c r="N81">
        <f t="shared" ca="1" si="27"/>
        <v>3</v>
      </c>
      <c r="O81">
        <f t="shared" ca="1" si="27"/>
        <v>1</v>
      </c>
      <c r="P81">
        <f t="shared" ca="1" si="27"/>
        <v>3</v>
      </c>
      <c r="Q81">
        <f t="shared" ca="1" si="27"/>
        <v>1</v>
      </c>
      <c r="R81">
        <f t="shared" ca="1" si="27"/>
        <v>0</v>
      </c>
      <c r="S81">
        <f t="shared" ca="1" si="27"/>
        <v>1</v>
      </c>
    </row>
    <row r="82" spans="1:19" x14ac:dyDescent="0.25">
      <c r="A82" t="s">
        <v>18</v>
      </c>
      <c r="B82" t="str">
        <f t="shared" si="28"/>
        <v>Program B</v>
      </c>
      <c r="C82" t="str">
        <f t="shared" ca="1" si="26"/>
        <v>90728628</v>
      </c>
      <c r="D82" t="str">
        <f t="shared" ca="1" si="20"/>
        <v>Male</v>
      </c>
      <c r="E82" t="str">
        <f t="shared" ca="1" si="21"/>
        <v>White (Non-Hisp)</v>
      </c>
      <c r="F82" s="4">
        <f t="shared" ca="1" si="22"/>
        <v>41496</v>
      </c>
      <c r="G82" s="4">
        <f t="shared" ca="1" si="23"/>
        <v>41960</v>
      </c>
      <c r="H82" t="str">
        <f t="shared" ca="1" si="24"/>
        <v>0-4 CANS</v>
      </c>
      <c r="I82" t="str">
        <f t="shared" ca="1" si="25"/>
        <v>Reassessment</v>
      </c>
      <c r="J82">
        <f t="shared" ca="1" si="27"/>
        <v>0</v>
      </c>
      <c r="K82">
        <f t="shared" ca="1" si="27"/>
        <v>0</v>
      </c>
      <c r="L82">
        <f t="shared" ca="1" si="27"/>
        <v>1</v>
      </c>
      <c r="M82">
        <f t="shared" ca="1" si="27"/>
        <v>1</v>
      </c>
      <c r="N82">
        <f t="shared" ca="1" si="27"/>
        <v>0</v>
      </c>
      <c r="O82">
        <f t="shared" ca="1" si="27"/>
        <v>0</v>
      </c>
      <c r="P82">
        <f t="shared" ca="1" si="27"/>
        <v>0</v>
      </c>
      <c r="Q82">
        <f t="shared" ca="1" si="27"/>
        <v>3</v>
      </c>
      <c r="R82">
        <f t="shared" ca="1" si="27"/>
        <v>1</v>
      </c>
      <c r="S82">
        <f t="shared" ca="1" si="27"/>
        <v>2</v>
      </c>
    </row>
    <row r="83" spans="1:19" x14ac:dyDescent="0.25">
      <c r="A83" t="s">
        <v>18</v>
      </c>
      <c r="B83" t="str">
        <f t="shared" si="28"/>
        <v>Program C</v>
      </c>
      <c r="C83" t="str">
        <f t="shared" ca="1" si="26"/>
        <v>90728628</v>
      </c>
      <c r="D83" t="str">
        <f t="shared" ca="1" si="20"/>
        <v>Male</v>
      </c>
      <c r="E83" t="str">
        <f t="shared" ca="1" si="21"/>
        <v>White (Non-Hisp)</v>
      </c>
      <c r="F83" s="4">
        <f t="shared" ca="1" si="22"/>
        <v>41496</v>
      </c>
      <c r="G83" s="4">
        <f t="shared" ca="1" si="23"/>
        <v>42076</v>
      </c>
      <c r="H83" t="str">
        <f t="shared" ca="1" si="24"/>
        <v>0-4 CANS</v>
      </c>
      <c r="I83" t="str">
        <f t="shared" ca="1" si="25"/>
        <v>Reassessment</v>
      </c>
      <c r="J83">
        <f t="shared" ca="1" si="27"/>
        <v>0</v>
      </c>
      <c r="K83">
        <f t="shared" ca="1" si="27"/>
        <v>0</v>
      </c>
      <c r="L83">
        <f t="shared" ca="1" si="27"/>
        <v>0</v>
      </c>
      <c r="M83">
        <f t="shared" ca="1" si="27"/>
        <v>1</v>
      </c>
      <c r="N83">
        <f t="shared" ca="1" si="27"/>
        <v>3</v>
      </c>
      <c r="O83">
        <f t="shared" ca="1" si="27"/>
        <v>1</v>
      </c>
      <c r="P83">
        <f t="shared" ca="1" si="27"/>
        <v>2</v>
      </c>
      <c r="Q83">
        <f t="shared" ca="1" si="27"/>
        <v>3</v>
      </c>
      <c r="R83">
        <f t="shared" ca="1" si="27"/>
        <v>1</v>
      </c>
      <c r="S83">
        <f t="shared" ca="1" si="27"/>
        <v>2</v>
      </c>
    </row>
    <row r="84" spans="1:19" x14ac:dyDescent="0.25">
      <c r="A84" t="s">
        <v>18</v>
      </c>
      <c r="B84" t="str">
        <f t="shared" si="28"/>
        <v>Program A</v>
      </c>
      <c r="C84" t="str">
        <f t="shared" ca="1" si="26"/>
        <v>90728628</v>
      </c>
      <c r="D84" t="str">
        <f t="shared" ca="1" si="20"/>
        <v>Male</v>
      </c>
      <c r="E84" t="str">
        <f t="shared" ca="1" si="21"/>
        <v>White (Non-Hisp)</v>
      </c>
      <c r="F84" s="4">
        <f t="shared" ca="1" si="22"/>
        <v>41496</v>
      </c>
      <c r="G84" s="4">
        <f t="shared" ca="1" si="23"/>
        <v>42117</v>
      </c>
      <c r="H84" t="str">
        <f t="shared" ca="1" si="24"/>
        <v>0-4 CANS</v>
      </c>
      <c r="I84" t="str">
        <f t="shared" ca="1" si="25"/>
        <v>Reassessment</v>
      </c>
      <c r="J84">
        <f t="shared" ref="J84:S99" ca="1" si="29">MIN(ROUND(EXP(RAND()*J$1)-1, 0), 3)</f>
        <v>2</v>
      </c>
      <c r="K84">
        <f t="shared" ca="1" si="29"/>
        <v>1</v>
      </c>
      <c r="L84">
        <f t="shared" ca="1" si="29"/>
        <v>1</v>
      </c>
      <c r="M84">
        <f t="shared" ca="1" si="29"/>
        <v>1</v>
      </c>
      <c r="N84">
        <f t="shared" ca="1" si="29"/>
        <v>3</v>
      </c>
      <c r="O84">
        <f t="shared" ca="1" si="29"/>
        <v>1</v>
      </c>
      <c r="P84">
        <f t="shared" ca="1" si="29"/>
        <v>3</v>
      </c>
      <c r="Q84">
        <f t="shared" ca="1" si="29"/>
        <v>3</v>
      </c>
      <c r="R84">
        <f t="shared" ca="1" si="29"/>
        <v>2</v>
      </c>
      <c r="S84">
        <f t="shared" ca="1" si="29"/>
        <v>2</v>
      </c>
    </row>
    <row r="85" spans="1:19" x14ac:dyDescent="0.25">
      <c r="A85" t="s">
        <v>18</v>
      </c>
      <c r="B85" t="str">
        <f t="shared" si="28"/>
        <v>Program B</v>
      </c>
      <c r="C85" t="str">
        <f t="shared" ca="1" si="26"/>
        <v>90728628</v>
      </c>
      <c r="D85" t="str">
        <f t="shared" ca="1" si="20"/>
        <v>Male</v>
      </c>
      <c r="E85" t="str">
        <f t="shared" ca="1" si="21"/>
        <v>White (Non-Hisp)</v>
      </c>
      <c r="F85" s="4">
        <f t="shared" ca="1" si="22"/>
        <v>41496</v>
      </c>
      <c r="G85" s="4">
        <f t="shared" ca="1" si="23"/>
        <v>42160</v>
      </c>
      <c r="H85" t="str">
        <f t="shared" ca="1" si="24"/>
        <v>0-4 CANS</v>
      </c>
      <c r="I85" t="str">
        <f t="shared" ca="1" si="25"/>
        <v>Reassessment</v>
      </c>
      <c r="J85">
        <f t="shared" ca="1" si="29"/>
        <v>1</v>
      </c>
      <c r="K85">
        <f t="shared" ca="1" si="29"/>
        <v>3</v>
      </c>
      <c r="L85">
        <f t="shared" ca="1" si="29"/>
        <v>0</v>
      </c>
      <c r="M85">
        <f t="shared" ca="1" si="29"/>
        <v>0</v>
      </c>
      <c r="N85">
        <f t="shared" ca="1" si="29"/>
        <v>2</v>
      </c>
      <c r="O85">
        <f t="shared" ca="1" si="29"/>
        <v>0</v>
      </c>
      <c r="P85">
        <f t="shared" ca="1" si="29"/>
        <v>1</v>
      </c>
      <c r="Q85">
        <f t="shared" ca="1" si="29"/>
        <v>0</v>
      </c>
      <c r="R85">
        <f t="shared" ca="1" si="29"/>
        <v>1</v>
      </c>
      <c r="S85">
        <f t="shared" ca="1" si="29"/>
        <v>1</v>
      </c>
    </row>
    <row r="86" spans="1:19" x14ac:dyDescent="0.25">
      <c r="A86" t="s">
        <v>18</v>
      </c>
      <c r="B86" t="str">
        <f t="shared" si="28"/>
        <v>Program C</v>
      </c>
      <c r="C86" t="str">
        <f t="shared" ca="1" si="26"/>
        <v>90728628</v>
      </c>
      <c r="D86" t="str">
        <f t="shared" ca="1" si="20"/>
        <v>Male</v>
      </c>
      <c r="E86" t="str">
        <f t="shared" ca="1" si="21"/>
        <v>White (Non-Hisp)</v>
      </c>
      <c r="F86" s="4">
        <f t="shared" ca="1" si="22"/>
        <v>41496</v>
      </c>
      <c r="G86" s="4">
        <f t="shared" ca="1" si="23"/>
        <v>42223</v>
      </c>
      <c r="H86" t="str">
        <f t="shared" ca="1" si="24"/>
        <v>0-4 CANS</v>
      </c>
      <c r="I86" t="str">
        <f t="shared" ca="1" si="25"/>
        <v>Reassessment</v>
      </c>
      <c r="J86">
        <f t="shared" ca="1" si="29"/>
        <v>0</v>
      </c>
      <c r="K86">
        <f t="shared" ca="1" si="29"/>
        <v>0</v>
      </c>
      <c r="L86">
        <f t="shared" ca="1" si="29"/>
        <v>0</v>
      </c>
      <c r="M86">
        <f t="shared" ca="1" si="29"/>
        <v>1</v>
      </c>
      <c r="N86">
        <f t="shared" ca="1" si="29"/>
        <v>3</v>
      </c>
      <c r="O86">
        <f t="shared" ca="1" si="29"/>
        <v>0</v>
      </c>
      <c r="P86">
        <f t="shared" ca="1" si="29"/>
        <v>3</v>
      </c>
      <c r="Q86">
        <f t="shared" ca="1" si="29"/>
        <v>3</v>
      </c>
      <c r="R86">
        <f t="shared" ca="1" si="29"/>
        <v>0</v>
      </c>
      <c r="S86">
        <f t="shared" ca="1" si="29"/>
        <v>2</v>
      </c>
    </row>
    <row r="87" spans="1:19" x14ac:dyDescent="0.25">
      <c r="A87" t="s">
        <v>18</v>
      </c>
      <c r="B87" t="str">
        <f t="shared" si="28"/>
        <v>Program A</v>
      </c>
      <c r="C87" t="str">
        <f t="shared" ca="1" si="26"/>
        <v>90728628</v>
      </c>
      <c r="D87" t="str">
        <f t="shared" ca="1" si="20"/>
        <v>Male</v>
      </c>
      <c r="E87" t="str">
        <f t="shared" ca="1" si="21"/>
        <v>White (Non-Hisp)</v>
      </c>
      <c r="F87" s="4">
        <f t="shared" ca="1" si="22"/>
        <v>41496</v>
      </c>
      <c r="G87" s="4">
        <f t="shared" ca="1" si="23"/>
        <v>42344</v>
      </c>
      <c r="H87" t="str">
        <f t="shared" ca="1" si="24"/>
        <v>0-4 CANS</v>
      </c>
      <c r="I87" t="str">
        <f t="shared" ca="1" si="25"/>
        <v>Reassessment</v>
      </c>
      <c r="J87">
        <f t="shared" ca="1" si="29"/>
        <v>1</v>
      </c>
      <c r="K87">
        <f t="shared" ca="1" si="29"/>
        <v>3</v>
      </c>
      <c r="L87">
        <f t="shared" ca="1" si="29"/>
        <v>0</v>
      </c>
      <c r="M87">
        <f t="shared" ca="1" si="29"/>
        <v>0</v>
      </c>
      <c r="N87">
        <f t="shared" ca="1" si="29"/>
        <v>3</v>
      </c>
      <c r="O87">
        <f t="shared" ca="1" si="29"/>
        <v>2</v>
      </c>
      <c r="P87">
        <f t="shared" ca="1" si="29"/>
        <v>0</v>
      </c>
      <c r="Q87">
        <f t="shared" ca="1" si="29"/>
        <v>1</v>
      </c>
      <c r="R87">
        <f t="shared" ca="1" si="29"/>
        <v>1</v>
      </c>
      <c r="S87">
        <f t="shared" ca="1" si="29"/>
        <v>2</v>
      </c>
    </row>
    <row r="88" spans="1:19" x14ac:dyDescent="0.25">
      <c r="A88" t="s">
        <v>18</v>
      </c>
      <c r="B88" t="str">
        <f t="shared" si="28"/>
        <v>Program B</v>
      </c>
      <c r="C88" t="str">
        <f t="shared" ca="1" si="26"/>
        <v>48187414</v>
      </c>
      <c r="D88" t="str">
        <f t="shared" ca="1" si="20"/>
        <v>Female</v>
      </c>
      <c r="E88" t="str">
        <f t="shared" ca="1" si="21"/>
        <v>White (Non-Hisp)</v>
      </c>
      <c r="F88" s="4">
        <f t="shared" ca="1" si="22"/>
        <v>41482</v>
      </c>
      <c r="G88" s="4">
        <f t="shared" ca="1" si="23"/>
        <v>41503</v>
      </c>
      <c r="H88" t="str">
        <f t="shared" ca="1" si="24"/>
        <v>5+ CANS</v>
      </c>
      <c r="I88" t="str">
        <f t="shared" ca="1" si="25"/>
        <v>Entry</v>
      </c>
      <c r="J88">
        <f t="shared" ca="1" si="29"/>
        <v>0</v>
      </c>
      <c r="K88">
        <f t="shared" ca="1" si="29"/>
        <v>2</v>
      </c>
      <c r="L88">
        <f t="shared" ca="1" si="29"/>
        <v>2</v>
      </c>
      <c r="M88">
        <f t="shared" ca="1" si="29"/>
        <v>2</v>
      </c>
      <c r="N88">
        <f t="shared" ca="1" si="29"/>
        <v>0</v>
      </c>
      <c r="O88">
        <f t="shared" ca="1" si="29"/>
        <v>0</v>
      </c>
      <c r="P88">
        <f t="shared" ca="1" si="29"/>
        <v>1</v>
      </c>
      <c r="Q88">
        <f t="shared" ca="1" si="29"/>
        <v>1</v>
      </c>
      <c r="R88">
        <f t="shared" ca="1" si="29"/>
        <v>0</v>
      </c>
      <c r="S88">
        <f t="shared" ca="1" si="29"/>
        <v>1</v>
      </c>
    </row>
    <row r="89" spans="1:19" x14ac:dyDescent="0.25">
      <c r="A89" t="s">
        <v>18</v>
      </c>
      <c r="B89" t="str">
        <f t="shared" si="28"/>
        <v>Program C</v>
      </c>
      <c r="C89" t="str">
        <f t="shared" ca="1" si="26"/>
        <v>48187414</v>
      </c>
      <c r="D89" t="str">
        <f t="shared" ca="1" si="20"/>
        <v>Female</v>
      </c>
      <c r="E89" t="str">
        <f t="shared" ca="1" si="21"/>
        <v>White (Non-Hisp)</v>
      </c>
      <c r="F89" s="4">
        <f t="shared" ca="1" si="22"/>
        <v>41482</v>
      </c>
      <c r="G89" s="4">
        <f t="shared" ca="1" si="23"/>
        <v>41522</v>
      </c>
      <c r="H89" t="str">
        <f t="shared" ca="1" si="24"/>
        <v>5+ CANS</v>
      </c>
      <c r="I89" t="str">
        <f t="shared" ca="1" si="25"/>
        <v>Reassessment</v>
      </c>
      <c r="J89">
        <f t="shared" ca="1" si="29"/>
        <v>2</v>
      </c>
      <c r="K89">
        <f t="shared" ca="1" si="29"/>
        <v>3</v>
      </c>
      <c r="L89">
        <f t="shared" ca="1" si="29"/>
        <v>1</v>
      </c>
      <c r="M89">
        <f t="shared" ca="1" si="29"/>
        <v>0</v>
      </c>
      <c r="N89">
        <f t="shared" ca="1" si="29"/>
        <v>3</v>
      </c>
      <c r="O89">
        <f t="shared" ca="1" si="29"/>
        <v>0</v>
      </c>
      <c r="P89">
        <f t="shared" ca="1" si="29"/>
        <v>2</v>
      </c>
      <c r="Q89">
        <f t="shared" ca="1" si="29"/>
        <v>1</v>
      </c>
      <c r="R89">
        <f t="shared" ca="1" si="29"/>
        <v>1</v>
      </c>
      <c r="S89">
        <f t="shared" ca="1" si="29"/>
        <v>0</v>
      </c>
    </row>
    <row r="90" spans="1:19" x14ac:dyDescent="0.25">
      <c r="A90" t="s">
        <v>18</v>
      </c>
      <c r="B90" t="str">
        <f t="shared" si="28"/>
        <v>Program A</v>
      </c>
      <c r="C90" t="str">
        <f t="shared" ca="1" si="26"/>
        <v>48187414</v>
      </c>
      <c r="D90" t="str">
        <f t="shared" ca="1" si="20"/>
        <v>Female</v>
      </c>
      <c r="E90" t="str">
        <f t="shared" ca="1" si="21"/>
        <v>White (Non-Hisp)</v>
      </c>
      <c r="F90" s="4">
        <f t="shared" ca="1" si="22"/>
        <v>41482</v>
      </c>
      <c r="G90" s="4">
        <f t="shared" ca="1" si="23"/>
        <v>41651</v>
      </c>
      <c r="H90" t="str">
        <f t="shared" ca="1" si="24"/>
        <v>5+ CANS</v>
      </c>
      <c r="I90" t="str">
        <f t="shared" ca="1" si="25"/>
        <v>Reassessment</v>
      </c>
      <c r="J90">
        <f t="shared" ca="1" si="29"/>
        <v>0</v>
      </c>
      <c r="K90">
        <f t="shared" ca="1" si="29"/>
        <v>1</v>
      </c>
      <c r="L90">
        <f t="shared" ca="1" si="29"/>
        <v>1</v>
      </c>
      <c r="M90">
        <f t="shared" ca="1" si="29"/>
        <v>1</v>
      </c>
      <c r="N90">
        <f t="shared" ca="1" si="29"/>
        <v>3</v>
      </c>
      <c r="O90">
        <f t="shared" ca="1" si="29"/>
        <v>1</v>
      </c>
      <c r="P90">
        <f t="shared" ca="1" si="29"/>
        <v>1</v>
      </c>
      <c r="Q90">
        <f t="shared" ca="1" si="29"/>
        <v>1</v>
      </c>
      <c r="R90">
        <f t="shared" ca="1" si="29"/>
        <v>0</v>
      </c>
      <c r="S90">
        <f t="shared" ca="1" si="29"/>
        <v>0</v>
      </c>
    </row>
    <row r="91" spans="1:19" x14ac:dyDescent="0.25">
      <c r="A91" t="s">
        <v>18</v>
      </c>
      <c r="B91" t="str">
        <f t="shared" si="28"/>
        <v>Program B</v>
      </c>
      <c r="C91" t="str">
        <f t="shared" ca="1" si="26"/>
        <v>48187414</v>
      </c>
      <c r="D91" t="str">
        <f t="shared" ca="1" si="20"/>
        <v>Female</v>
      </c>
      <c r="E91" t="str">
        <f t="shared" ca="1" si="21"/>
        <v>White (Non-Hisp)</v>
      </c>
      <c r="F91" s="4">
        <f t="shared" ca="1" si="22"/>
        <v>41482</v>
      </c>
      <c r="G91" s="4">
        <f t="shared" ca="1" si="23"/>
        <v>41679</v>
      </c>
      <c r="H91" t="str">
        <f t="shared" ca="1" si="24"/>
        <v>5+ CANS</v>
      </c>
      <c r="I91" t="str">
        <f t="shared" ca="1" si="25"/>
        <v>Reassessment</v>
      </c>
      <c r="J91">
        <f t="shared" ca="1" si="29"/>
        <v>0</v>
      </c>
      <c r="K91">
        <f t="shared" ca="1" si="29"/>
        <v>1</v>
      </c>
      <c r="L91">
        <f t="shared" ca="1" si="29"/>
        <v>2</v>
      </c>
      <c r="M91">
        <f t="shared" ca="1" si="29"/>
        <v>1</v>
      </c>
      <c r="N91">
        <f t="shared" ca="1" si="29"/>
        <v>3</v>
      </c>
      <c r="O91">
        <f t="shared" ca="1" si="29"/>
        <v>1</v>
      </c>
      <c r="P91">
        <f t="shared" ca="1" si="29"/>
        <v>2</v>
      </c>
      <c r="Q91">
        <f t="shared" ca="1" si="29"/>
        <v>2</v>
      </c>
      <c r="R91">
        <f t="shared" ca="1" si="29"/>
        <v>0</v>
      </c>
      <c r="S91">
        <f t="shared" ca="1" si="29"/>
        <v>1</v>
      </c>
    </row>
    <row r="92" spans="1:19" x14ac:dyDescent="0.25">
      <c r="A92" t="s">
        <v>18</v>
      </c>
      <c r="B92" t="str">
        <f t="shared" si="28"/>
        <v>Program C</v>
      </c>
      <c r="C92" t="str">
        <f t="shared" ca="1" si="26"/>
        <v>48187414</v>
      </c>
      <c r="D92" t="str">
        <f t="shared" ca="1" si="20"/>
        <v>Female</v>
      </c>
      <c r="E92" t="str">
        <f t="shared" ca="1" si="21"/>
        <v>White (Non-Hisp)</v>
      </c>
      <c r="F92" s="4">
        <f t="shared" ca="1" si="22"/>
        <v>41482</v>
      </c>
      <c r="G92" s="4">
        <f t="shared" ca="1" si="23"/>
        <v>41777</v>
      </c>
      <c r="H92" t="str">
        <f t="shared" ca="1" si="24"/>
        <v>5+ CANS</v>
      </c>
      <c r="I92" t="str">
        <f t="shared" ca="1" si="25"/>
        <v>Reassessment</v>
      </c>
      <c r="J92">
        <f t="shared" ca="1" si="29"/>
        <v>1</v>
      </c>
      <c r="K92">
        <f t="shared" ca="1" si="29"/>
        <v>2</v>
      </c>
      <c r="L92">
        <f t="shared" ca="1" si="29"/>
        <v>0</v>
      </c>
      <c r="M92">
        <f t="shared" ca="1" si="29"/>
        <v>2</v>
      </c>
      <c r="N92">
        <f t="shared" ca="1" si="29"/>
        <v>0</v>
      </c>
      <c r="O92">
        <f t="shared" ca="1" si="29"/>
        <v>3</v>
      </c>
      <c r="P92">
        <f t="shared" ca="1" si="29"/>
        <v>0</v>
      </c>
      <c r="Q92">
        <f t="shared" ca="1" si="29"/>
        <v>3</v>
      </c>
      <c r="R92">
        <f t="shared" ca="1" si="29"/>
        <v>1</v>
      </c>
      <c r="S92">
        <f t="shared" ca="1" si="29"/>
        <v>0</v>
      </c>
    </row>
    <row r="93" spans="1:19" x14ac:dyDescent="0.25">
      <c r="A93" t="s">
        <v>18</v>
      </c>
      <c r="B93" t="str">
        <f t="shared" si="28"/>
        <v>Program A</v>
      </c>
      <c r="C93" t="str">
        <f t="shared" ca="1" si="26"/>
        <v>46437505</v>
      </c>
      <c r="D93" t="str">
        <f t="shared" ca="1" si="20"/>
        <v>Male</v>
      </c>
      <c r="E93" t="str">
        <f t="shared" ca="1" si="21"/>
        <v>White (Non-Hisp)</v>
      </c>
      <c r="F93" s="4">
        <f t="shared" ca="1" si="22"/>
        <v>41616</v>
      </c>
      <c r="G93" s="4">
        <f t="shared" ca="1" si="23"/>
        <v>41639</v>
      </c>
      <c r="H93" t="str">
        <f t="shared" ca="1" si="24"/>
        <v>5+ CANS</v>
      </c>
      <c r="I93" t="str">
        <f t="shared" ca="1" si="25"/>
        <v>Entry</v>
      </c>
      <c r="J93">
        <f t="shared" ca="1" si="29"/>
        <v>0</v>
      </c>
      <c r="K93">
        <f t="shared" ca="1" si="29"/>
        <v>3</v>
      </c>
      <c r="L93">
        <f t="shared" ca="1" si="29"/>
        <v>0</v>
      </c>
      <c r="M93">
        <f t="shared" ca="1" si="29"/>
        <v>0</v>
      </c>
      <c r="N93">
        <f t="shared" ca="1" si="29"/>
        <v>3</v>
      </c>
      <c r="O93">
        <f t="shared" ca="1" si="29"/>
        <v>2</v>
      </c>
      <c r="P93">
        <f t="shared" ca="1" si="29"/>
        <v>3</v>
      </c>
      <c r="Q93">
        <f t="shared" ca="1" si="29"/>
        <v>2</v>
      </c>
      <c r="R93">
        <f t="shared" ca="1" si="29"/>
        <v>0</v>
      </c>
      <c r="S93">
        <f t="shared" ca="1" si="29"/>
        <v>0</v>
      </c>
    </row>
    <row r="94" spans="1:19" x14ac:dyDescent="0.25">
      <c r="A94" t="s">
        <v>16</v>
      </c>
      <c r="B94" t="str">
        <f t="shared" si="28"/>
        <v>Program B</v>
      </c>
      <c r="C94" t="str">
        <f t="shared" ca="1" si="26"/>
        <v>46437505</v>
      </c>
      <c r="D94" t="str">
        <f t="shared" ca="1" si="20"/>
        <v>Male</v>
      </c>
      <c r="E94" t="str">
        <f t="shared" ca="1" si="21"/>
        <v>White (Non-Hisp)</v>
      </c>
      <c r="F94" s="4">
        <f t="shared" ca="1" si="22"/>
        <v>41616</v>
      </c>
      <c r="G94" s="4">
        <f t="shared" ca="1" si="23"/>
        <v>41658</v>
      </c>
      <c r="H94" t="str">
        <f t="shared" ca="1" si="24"/>
        <v>5+ CANS</v>
      </c>
      <c r="I94" t="str">
        <f t="shared" ca="1" si="25"/>
        <v>Reassessment</v>
      </c>
      <c r="J94">
        <f t="shared" ca="1" si="29"/>
        <v>1</v>
      </c>
      <c r="K94">
        <f t="shared" ca="1" si="29"/>
        <v>0</v>
      </c>
      <c r="L94">
        <f t="shared" ca="1" si="29"/>
        <v>0</v>
      </c>
      <c r="M94">
        <f t="shared" ca="1" si="29"/>
        <v>0</v>
      </c>
      <c r="N94">
        <f t="shared" ca="1" si="29"/>
        <v>1</v>
      </c>
      <c r="O94">
        <f t="shared" ca="1" si="29"/>
        <v>3</v>
      </c>
      <c r="P94">
        <f t="shared" ca="1" si="29"/>
        <v>2</v>
      </c>
      <c r="Q94">
        <f t="shared" ca="1" si="29"/>
        <v>0</v>
      </c>
      <c r="R94">
        <f t="shared" ca="1" si="29"/>
        <v>2</v>
      </c>
      <c r="S94">
        <f t="shared" ca="1" si="29"/>
        <v>0</v>
      </c>
    </row>
    <row r="95" spans="1:19" x14ac:dyDescent="0.25">
      <c r="A95" t="s">
        <v>16</v>
      </c>
      <c r="B95" t="str">
        <f t="shared" si="28"/>
        <v>Program C</v>
      </c>
      <c r="C95" t="str">
        <f t="shared" ca="1" si="26"/>
        <v>46437505</v>
      </c>
      <c r="D95" t="str">
        <f t="shared" ca="1" si="20"/>
        <v>Male</v>
      </c>
      <c r="E95" t="str">
        <f t="shared" ca="1" si="21"/>
        <v>White (Non-Hisp)</v>
      </c>
      <c r="F95" s="4">
        <f t="shared" ca="1" si="22"/>
        <v>41616</v>
      </c>
      <c r="G95" s="4">
        <f t="shared" ca="1" si="23"/>
        <v>41711</v>
      </c>
      <c r="H95" t="str">
        <f t="shared" ca="1" si="24"/>
        <v>5+ CANS</v>
      </c>
      <c r="I95" t="str">
        <f t="shared" ca="1" si="25"/>
        <v>Reassessment</v>
      </c>
      <c r="J95">
        <f t="shared" ca="1" si="29"/>
        <v>1</v>
      </c>
      <c r="K95">
        <f t="shared" ca="1" si="29"/>
        <v>2</v>
      </c>
      <c r="L95">
        <f t="shared" ca="1" si="29"/>
        <v>1</v>
      </c>
      <c r="M95">
        <f t="shared" ca="1" si="29"/>
        <v>1</v>
      </c>
      <c r="N95">
        <f t="shared" ca="1" si="29"/>
        <v>2</v>
      </c>
      <c r="O95">
        <f t="shared" ca="1" si="29"/>
        <v>3</v>
      </c>
      <c r="P95">
        <f t="shared" ca="1" si="29"/>
        <v>0</v>
      </c>
      <c r="Q95">
        <f t="shared" ca="1" si="29"/>
        <v>0</v>
      </c>
      <c r="R95">
        <f t="shared" ca="1" si="29"/>
        <v>0</v>
      </c>
      <c r="S95">
        <f t="shared" ca="1" si="29"/>
        <v>0</v>
      </c>
    </row>
    <row r="96" spans="1:19" x14ac:dyDescent="0.25">
      <c r="A96" t="s">
        <v>16</v>
      </c>
      <c r="B96" t="str">
        <f t="shared" si="28"/>
        <v>Program A</v>
      </c>
      <c r="C96" t="str">
        <f t="shared" ca="1" si="26"/>
        <v>46437505</v>
      </c>
      <c r="D96" t="str">
        <f t="shared" ca="1" si="20"/>
        <v>Male</v>
      </c>
      <c r="E96" t="str">
        <f t="shared" ca="1" si="21"/>
        <v>White (Non-Hisp)</v>
      </c>
      <c r="F96" s="4">
        <f t="shared" ca="1" si="22"/>
        <v>41616</v>
      </c>
      <c r="G96" s="4">
        <f t="shared" ca="1" si="23"/>
        <v>41726</v>
      </c>
      <c r="H96" t="str">
        <f t="shared" ca="1" si="24"/>
        <v>5+ CANS</v>
      </c>
      <c r="I96" t="str">
        <f t="shared" ca="1" si="25"/>
        <v>Reassessment</v>
      </c>
      <c r="J96">
        <f t="shared" ca="1" si="29"/>
        <v>0</v>
      </c>
      <c r="K96">
        <f t="shared" ca="1" si="29"/>
        <v>2</v>
      </c>
      <c r="L96">
        <f t="shared" ca="1" si="29"/>
        <v>1</v>
      </c>
      <c r="M96">
        <f t="shared" ca="1" si="29"/>
        <v>0</v>
      </c>
      <c r="N96">
        <f t="shared" ca="1" si="29"/>
        <v>1</v>
      </c>
      <c r="O96">
        <f t="shared" ca="1" si="29"/>
        <v>1</v>
      </c>
      <c r="P96">
        <f t="shared" ca="1" si="29"/>
        <v>2</v>
      </c>
      <c r="Q96">
        <f t="shared" ca="1" si="29"/>
        <v>0</v>
      </c>
      <c r="R96">
        <f t="shared" ca="1" si="29"/>
        <v>1</v>
      </c>
      <c r="S96">
        <f t="shared" ca="1" si="29"/>
        <v>1</v>
      </c>
    </row>
    <row r="97" spans="1:19" x14ac:dyDescent="0.25">
      <c r="A97" t="s">
        <v>16</v>
      </c>
      <c r="B97" t="str">
        <f t="shared" si="28"/>
        <v>Program B</v>
      </c>
      <c r="C97" t="str">
        <f t="shared" ca="1" si="26"/>
        <v>14020469</v>
      </c>
      <c r="D97" t="str">
        <f t="shared" ca="1" si="20"/>
        <v>Male</v>
      </c>
      <c r="E97" t="str">
        <f t="shared" ca="1" si="21"/>
        <v>White (Non-Hisp)</v>
      </c>
      <c r="F97" s="4">
        <f t="shared" ca="1" si="22"/>
        <v>41289</v>
      </c>
      <c r="G97" s="4">
        <f t="shared" ca="1" si="23"/>
        <v>41300</v>
      </c>
      <c r="H97" t="str">
        <f t="shared" ca="1" si="24"/>
        <v>0-4 CANS</v>
      </c>
      <c r="I97" t="str">
        <f t="shared" ca="1" si="25"/>
        <v>Entry</v>
      </c>
      <c r="J97">
        <f t="shared" ca="1" si="29"/>
        <v>1</v>
      </c>
      <c r="K97">
        <f t="shared" ca="1" si="29"/>
        <v>1</v>
      </c>
      <c r="L97">
        <f t="shared" ca="1" si="29"/>
        <v>2</v>
      </c>
      <c r="M97">
        <f t="shared" ca="1" si="29"/>
        <v>2</v>
      </c>
      <c r="N97">
        <f t="shared" ca="1" si="29"/>
        <v>1</v>
      </c>
      <c r="O97">
        <f t="shared" ca="1" si="29"/>
        <v>0</v>
      </c>
      <c r="P97">
        <f t="shared" ca="1" si="29"/>
        <v>0</v>
      </c>
      <c r="Q97">
        <f t="shared" ca="1" si="29"/>
        <v>0</v>
      </c>
      <c r="R97">
        <f t="shared" ca="1" si="29"/>
        <v>1</v>
      </c>
      <c r="S97">
        <f t="shared" ca="1" si="29"/>
        <v>0</v>
      </c>
    </row>
    <row r="98" spans="1:19" x14ac:dyDescent="0.25">
      <c r="A98" t="s">
        <v>16</v>
      </c>
      <c r="B98" t="str">
        <f t="shared" si="28"/>
        <v>Program C</v>
      </c>
      <c r="C98" t="str">
        <f t="shared" ca="1" si="26"/>
        <v>14020469</v>
      </c>
      <c r="D98" t="str">
        <f t="shared" ca="1" si="20"/>
        <v>Male</v>
      </c>
      <c r="E98" t="str">
        <f t="shared" ca="1" si="21"/>
        <v>White (Non-Hisp)</v>
      </c>
      <c r="F98" s="4">
        <f t="shared" ca="1" si="22"/>
        <v>41289</v>
      </c>
      <c r="G98" s="4">
        <f t="shared" ca="1" si="23"/>
        <v>41303</v>
      </c>
      <c r="H98" t="str">
        <f t="shared" ca="1" si="24"/>
        <v>0-4 CANS</v>
      </c>
      <c r="I98" t="str">
        <f t="shared" ca="1" si="25"/>
        <v>Reassessment</v>
      </c>
      <c r="J98">
        <f t="shared" ca="1" si="29"/>
        <v>2</v>
      </c>
      <c r="K98">
        <f t="shared" ca="1" si="29"/>
        <v>0</v>
      </c>
      <c r="L98">
        <f t="shared" ca="1" si="29"/>
        <v>1</v>
      </c>
      <c r="M98">
        <f t="shared" ca="1" si="29"/>
        <v>1</v>
      </c>
      <c r="N98">
        <f t="shared" ca="1" si="29"/>
        <v>0</v>
      </c>
      <c r="O98">
        <f t="shared" ca="1" si="29"/>
        <v>3</v>
      </c>
      <c r="P98">
        <f t="shared" ca="1" si="29"/>
        <v>1</v>
      </c>
      <c r="Q98">
        <f t="shared" ca="1" si="29"/>
        <v>3</v>
      </c>
      <c r="R98">
        <f t="shared" ca="1" si="29"/>
        <v>0</v>
      </c>
      <c r="S98">
        <f t="shared" ca="1" si="29"/>
        <v>2</v>
      </c>
    </row>
    <row r="99" spans="1:19" x14ac:dyDescent="0.25">
      <c r="A99" t="s">
        <v>16</v>
      </c>
      <c r="B99" t="str">
        <f t="shared" si="28"/>
        <v>Program A</v>
      </c>
      <c r="C99" t="str">
        <f t="shared" ca="1" si="26"/>
        <v>14020469</v>
      </c>
      <c r="D99" t="str">
        <f t="shared" ref="D99:D130" ca="1" si="30">IF(C99=C98, D98, IF(RAND()&lt;0.5, "Male", "Female"))</f>
        <v>Male</v>
      </c>
      <c r="E99" t="str">
        <f t="shared" ref="E99:E130" ca="1" si="31">IF(C98=C99, E98, IF(RAND()&lt;0.6, "White (Non-Hisp)", IF(RAND()&lt;0.5, "Black (Non-Hisp)", "Hispanic")))</f>
        <v>White (Non-Hisp)</v>
      </c>
      <c r="F99" s="4">
        <f t="shared" ref="F99:F130" ca="1" si="32">IF(C98&lt;&gt;C99, ROUND(RAND()*500, 0)+DATE(2013, 1, 1), F98)</f>
        <v>41289</v>
      </c>
      <c r="G99" s="4">
        <f t="shared" ref="G99:G130" ca="1" si="33">IF(C98&lt;&gt;C99, F99+ROUND(RAND()*55, 0), G98+ROUND(RAND()*145, 0))</f>
        <v>41316</v>
      </c>
      <c r="H99" t="str">
        <f t="shared" ref="H99:H130" ca="1" si="34">IF(C98=C99, H98, IF(RAND()&lt;0.2, "0-4 CANS", "5+ CANS"))</f>
        <v>0-4 CANS</v>
      </c>
      <c r="I99" t="str">
        <f t="shared" ref="I99:I130" ca="1" si="35">IF(C98=C99, "Reassessment", "Entry")</f>
        <v>Reassessment</v>
      </c>
      <c r="J99">
        <f t="shared" ca="1" si="29"/>
        <v>1</v>
      </c>
      <c r="K99">
        <f t="shared" ca="1" si="29"/>
        <v>0</v>
      </c>
      <c r="L99">
        <f t="shared" ca="1" si="29"/>
        <v>0</v>
      </c>
      <c r="M99">
        <f t="shared" ca="1" si="29"/>
        <v>0</v>
      </c>
      <c r="N99">
        <f t="shared" ca="1" si="29"/>
        <v>3</v>
      </c>
      <c r="O99">
        <f t="shared" ca="1" si="29"/>
        <v>2</v>
      </c>
      <c r="P99">
        <f t="shared" ca="1" si="29"/>
        <v>0</v>
      </c>
      <c r="Q99">
        <f t="shared" ca="1" si="29"/>
        <v>1</v>
      </c>
      <c r="R99">
        <f t="shared" ca="1" si="29"/>
        <v>0</v>
      </c>
      <c r="S99">
        <f t="shared" ca="1" si="29"/>
        <v>2</v>
      </c>
    </row>
    <row r="100" spans="1:19" x14ac:dyDescent="0.25">
      <c r="A100" t="s">
        <v>16</v>
      </c>
      <c r="B100" t="str">
        <f t="shared" si="28"/>
        <v>Program B</v>
      </c>
      <c r="C100" t="str">
        <f t="shared" ca="1" si="26"/>
        <v>14020469</v>
      </c>
      <c r="D100" t="str">
        <f t="shared" ca="1" si="30"/>
        <v>Male</v>
      </c>
      <c r="E100" t="str">
        <f t="shared" ca="1" si="31"/>
        <v>White (Non-Hisp)</v>
      </c>
      <c r="F100" s="4">
        <f t="shared" ca="1" si="32"/>
        <v>41289</v>
      </c>
      <c r="G100" s="4">
        <f t="shared" ca="1" si="33"/>
        <v>41356</v>
      </c>
      <c r="H100" t="str">
        <f t="shared" ca="1" si="34"/>
        <v>0-4 CANS</v>
      </c>
      <c r="I100" t="str">
        <f t="shared" ca="1" si="35"/>
        <v>Reassessment</v>
      </c>
      <c r="J100">
        <f t="shared" ref="J100:S115" ca="1" si="36">MIN(ROUND(EXP(RAND()*J$1)-1, 0), 3)</f>
        <v>0</v>
      </c>
      <c r="K100">
        <f t="shared" ca="1" si="36"/>
        <v>1</v>
      </c>
      <c r="L100">
        <f t="shared" ca="1" si="36"/>
        <v>2</v>
      </c>
      <c r="M100">
        <f t="shared" ca="1" si="36"/>
        <v>1</v>
      </c>
      <c r="N100">
        <f t="shared" ca="1" si="36"/>
        <v>0</v>
      </c>
      <c r="O100">
        <f t="shared" ca="1" si="36"/>
        <v>0</v>
      </c>
      <c r="P100">
        <f t="shared" ca="1" si="36"/>
        <v>0</v>
      </c>
      <c r="Q100">
        <f t="shared" ca="1" si="36"/>
        <v>0</v>
      </c>
      <c r="R100">
        <f t="shared" ca="1" si="36"/>
        <v>1</v>
      </c>
      <c r="S100">
        <f t="shared" ca="1" si="36"/>
        <v>0</v>
      </c>
    </row>
    <row r="101" spans="1:19" x14ac:dyDescent="0.25">
      <c r="A101" t="s">
        <v>16</v>
      </c>
      <c r="B101" t="str">
        <f t="shared" si="28"/>
        <v>Program C</v>
      </c>
      <c r="C101" t="str">
        <f t="shared" ca="1" si="26"/>
        <v>01729789</v>
      </c>
      <c r="D101" t="str">
        <f t="shared" ca="1" si="30"/>
        <v>Male</v>
      </c>
      <c r="E101" t="str">
        <f t="shared" ca="1" si="31"/>
        <v>White (Non-Hisp)</v>
      </c>
      <c r="F101" s="4">
        <f t="shared" ca="1" si="32"/>
        <v>41627</v>
      </c>
      <c r="G101" s="4">
        <f t="shared" ca="1" si="33"/>
        <v>41647</v>
      </c>
      <c r="H101" t="str">
        <f t="shared" ca="1" si="34"/>
        <v>5+ CANS</v>
      </c>
      <c r="I101" t="str">
        <f t="shared" ca="1" si="35"/>
        <v>Entry</v>
      </c>
      <c r="J101">
        <f t="shared" ca="1" si="36"/>
        <v>1</v>
      </c>
      <c r="K101">
        <f t="shared" ca="1" si="36"/>
        <v>0</v>
      </c>
      <c r="L101">
        <f t="shared" ca="1" si="36"/>
        <v>1</v>
      </c>
      <c r="M101">
        <f t="shared" ca="1" si="36"/>
        <v>1</v>
      </c>
      <c r="N101">
        <f t="shared" ca="1" si="36"/>
        <v>3</v>
      </c>
      <c r="O101">
        <f t="shared" ca="1" si="36"/>
        <v>2</v>
      </c>
      <c r="P101">
        <f t="shared" ca="1" si="36"/>
        <v>2</v>
      </c>
      <c r="Q101">
        <f t="shared" ca="1" si="36"/>
        <v>0</v>
      </c>
      <c r="R101">
        <f t="shared" ca="1" si="36"/>
        <v>2</v>
      </c>
      <c r="S101">
        <f t="shared" ca="1" si="36"/>
        <v>1</v>
      </c>
    </row>
    <row r="102" spans="1:19" x14ac:dyDescent="0.25">
      <c r="A102" t="s">
        <v>16</v>
      </c>
      <c r="B102" t="str">
        <f t="shared" si="28"/>
        <v>Program A</v>
      </c>
      <c r="C102" t="str">
        <f t="shared" ca="1" si="26"/>
        <v>01729789</v>
      </c>
      <c r="D102" t="str">
        <f t="shared" ca="1" si="30"/>
        <v>Male</v>
      </c>
      <c r="E102" t="str">
        <f t="shared" ca="1" si="31"/>
        <v>White (Non-Hisp)</v>
      </c>
      <c r="F102" s="4">
        <f t="shared" ca="1" si="32"/>
        <v>41627</v>
      </c>
      <c r="G102" s="4">
        <f t="shared" ca="1" si="33"/>
        <v>41654</v>
      </c>
      <c r="H102" t="str">
        <f t="shared" ca="1" si="34"/>
        <v>5+ CANS</v>
      </c>
      <c r="I102" t="str">
        <f t="shared" ca="1" si="35"/>
        <v>Reassessment</v>
      </c>
      <c r="J102">
        <f t="shared" ca="1" si="36"/>
        <v>0</v>
      </c>
      <c r="K102">
        <f t="shared" ca="1" si="36"/>
        <v>2</v>
      </c>
      <c r="L102">
        <f t="shared" ca="1" si="36"/>
        <v>0</v>
      </c>
      <c r="M102">
        <f t="shared" ca="1" si="36"/>
        <v>1</v>
      </c>
      <c r="N102">
        <f t="shared" ca="1" si="36"/>
        <v>3</v>
      </c>
      <c r="O102">
        <f t="shared" ca="1" si="36"/>
        <v>0</v>
      </c>
      <c r="P102">
        <f t="shared" ca="1" si="36"/>
        <v>1</v>
      </c>
      <c r="Q102">
        <f t="shared" ca="1" si="36"/>
        <v>3</v>
      </c>
      <c r="R102">
        <f t="shared" ca="1" si="36"/>
        <v>2</v>
      </c>
      <c r="S102">
        <f t="shared" ca="1" si="36"/>
        <v>1</v>
      </c>
    </row>
    <row r="103" spans="1:19" x14ac:dyDescent="0.25">
      <c r="A103" t="s">
        <v>16</v>
      </c>
      <c r="B103" t="str">
        <f t="shared" si="28"/>
        <v>Program B</v>
      </c>
      <c r="C103" t="str">
        <f t="shared" ca="1" si="26"/>
        <v>01729789</v>
      </c>
      <c r="D103" t="str">
        <f t="shared" ca="1" si="30"/>
        <v>Male</v>
      </c>
      <c r="E103" t="str">
        <f t="shared" ca="1" si="31"/>
        <v>White (Non-Hisp)</v>
      </c>
      <c r="F103" s="4">
        <f t="shared" ca="1" si="32"/>
        <v>41627</v>
      </c>
      <c r="G103" s="4">
        <f t="shared" ca="1" si="33"/>
        <v>41739</v>
      </c>
      <c r="H103" t="str">
        <f t="shared" ca="1" si="34"/>
        <v>5+ CANS</v>
      </c>
      <c r="I103" t="str">
        <f t="shared" ca="1" si="35"/>
        <v>Reassessment</v>
      </c>
      <c r="J103">
        <f t="shared" ca="1" si="36"/>
        <v>1</v>
      </c>
      <c r="K103">
        <f t="shared" ca="1" si="36"/>
        <v>3</v>
      </c>
      <c r="L103">
        <f t="shared" ca="1" si="36"/>
        <v>0</v>
      </c>
      <c r="M103">
        <f t="shared" ca="1" si="36"/>
        <v>2</v>
      </c>
      <c r="N103">
        <f t="shared" ca="1" si="36"/>
        <v>2</v>
      </c>
      <c r="O103">
        <f t="shared" ca="1" si="36"/>
        <v>1</v>
      </c>
      <c r="P103">
        <f t="shared" ca="1" si="36"/>
        <v>3</v>
      </c>
      <c r="Q103">
        <f t="shared" ca="1" si="36"/>
        <v>3</v>
      </c>
      <c r="R103">
        <f t="shared" ca="1" si="36"/>
        <v>1</v>
      </c>
      <c r="S103">
        <f t="shared" ca="1" si="36"/>
        <v>1</v>
      </c>
    </row>
    <row r="104" spans="1:19" x14ac:dyDescent="0.25">
      <c r="A104" t="s">
        <v>16</v>
      </c>
      <c r="B104" t="str">
        <f t="shared" si="28"/>
        <v>Program C</v>
      </c>
      <c r="C104" t="str">
        <f t="shared" ca="1" si="26"/>
        <v>79679416</v>
      </c>
      <c r="D104" t="str">
        <f t="shared" ca="1" si="30"/>
        <v>Female</v>
      </c>
      <c r="E104" t="str">
        <f t="shared" ca="1" si="31"/>
        <v>White (Non-Hisp)</v>
      </c>
      <c r="F104" s="4">
        <f t="shared" ca="1" si="32"/>
        <v>41589</v>
      </c>
      <c r="G104" s="4">
        <f t="shared" ca="1" si="33"/>
        <v>41610</v>
      </c>
      <c r="H104" t="str">
        <f t="shared" ca="1" si="34"/>
        <v>5+ CANS</v>
      </c>
      <c r="I104" t="str">
        <f t="shared" ca="1" si="35"/>
        <v>Entry</v>
      </c>
      <c r="J104">
        <f t="shared" ca="1" si="36"/>
        <v>1</v>
      </c>
      <c r="K104">
        <f t="shared" ca="1" si="36"/>
        <v>1</v>
      </c>
      <c r="L104">
        <f t="shared" ca="1" si="36"/>
        <v>2</v>
      </c>
      <c r="M104">
        <f t="shared" ca="1" si="36"/>
        <v>2</v>
      </c>
      <c r="N104">
        <f t="shared" ca="1" si="36"/>
        <v>1</v>
      </c>
      <c r="O104">
        <f t="shared" ca="1" si="36"/>
        <v>2</v>
      </c>
      <c r="P104">
        <f t="shared" ca="1" si="36"/>
        <v>2</v>
      </c>
      <c r="Q104">
        <f t="shared" ca="1" si="36"/>
        <v>2</v>
      </c>
      <c r="R104">
        <f t="shared" ca="1" si="36"/>
        <v>0</v>
      </c>
      <c r="S104">
        <f t="shared" ca="1" si="36"/>
        <v>0</v>
      </c>
    </row>
    <row r="105" spans="1:19" x14ac:dyDescent="0.25">
      <c r="A105" t="s">
        <v>16</v>
      </c>
      <c r="B105" t="str">
        <f t="shared" si="28"/>
        <v>Program A</v>
      </c>
      <c r="C105" t="str">
        <f t="shared" ca="1" si="26"/>
        <v>79679416</v>
      </c>
      <c r="D105" t="str">
        <f t="shared" ca="1" si="30"/>
        <v>Female</v>
      </c>
      <c r="E105" t="str">
        <f t="shared" ca="1" si="31"/>
        <v>White (Non-Hisp)</v>
      </c>
      <c r="F105" s="4">
        <f t="shared" ca="1" si="32"/>
        <v>41589</v>
      </c>
      <c r="G105" s="4">
        <f t="shared" ca="1" si="33"/>
        <v>41641</v>
      </c>
      <c r="H105" t="str">
        <f t="shared" ca="1" si="34"/>
        <v>5+ CANS</v>
      </c>
      <c r="I105" t="str">
        <f t="shared" ca="1" si="35"/>
        <v>Reassessment</v>
      </c>
      <c r="J105">
        <f t="shared" ca="1" si="36"/>
        <v>1</v>
      </c>
      <c r="K105">
        <f t="shared" ca="1" si="36"/>
        <v>3</v>
      </c>
      <c r="L105">
        <f t="shared" ca="1" si="36"/>
        <v>2</v>
      </c>
      <c r="M105">
        <f t="shared" ca="1" si="36"/>
        <v>0</v>
      </c>
      <c r="N105">
        <f t="shared" ca="1" si="36"/>
        <v>0</v>
      </c>
      <c r="O105">
        <f t="shared" ca="1" si="36"/>
        <v>0</v>
      </c>
      <c r="P105">
        <f t="shared" ca="1" si="36"/>
        <v>1</v>
      </c>
      <c r="Q105">
        <f t="shared" ca="1" si="36"/>
        <v>3</v>
      </c>
      <c r="R105">
        <f t="shared" ca="1" si="36"/>
        <v>2</v>
      </c>
      <c r="S105">
        <f t="shared" ca="1" si="36"/>
        <v>0</v>
      </c>
    </row>
    <row r="106" spans="1:19" x14ac:dyDescent="0.25">
      <c r="A106" t="s">
        <v>16</v>
      </c>
      <c r="B106" t="str">
        <f t="shared" si="28"/>
        <v>Program B</v>
      </c>
      <c r="C106" t="str">
        <f t="shared" ca="1" si="26"/>
        <v>79679416</v>
      </c>
      <c r="D106" t="str">
        <f t="shared" ca="1" si="30"/>
        <v>Female</v>
      </c>
      <c r="E106" t="str">
        <f t="shared" ca="1" si="31"/>
        <v>White (Non-Hisp)</v>
      </c>
      <c r="F106" s="4">
        <f t="shared" ca="1" si="32"/>
        <v>41589</v>
      </c>
      <c r="G106" s="4">
        <f t="shared" ca="1" si="33"/>
        <v>41764</v>
      </c>
      <c r="H106" t="str">
        <f t="shared" ca="1" si="34"/>
        <v>5+ CANS</v>
      </c>
      <c r="I106" t="str">
        <f t="shared" ca="1" si="35"/>
        <v>Reassessment</v>
      </c>
      <c r="J106">
        <f t="shared" ca="1" si="36"/>
        <v>0</v>
      </c>
      <c r="K106">
        <f t="shared" ca="1" si="36"/>
        <v>0</v>
      </c>
      <c r="L106">
        <f t="shared" ca="1" si="36"/>
        <v>0</v>
      </c>
      <c r="M106">
        <f t="shared" ca="1" si="36"/>
        <v>3</v>
      </c>
      <c r="N106">
        <f t="shared" ca="1" si="36"/>
        <v>2</v>
      </c>
      <c r="O106">
        <f t="shared" ca="1" si="36"/>
        <v>3</v>
      </c>
      <c r="P106">
        <f t="shared" ca="1" si="36"/>
        <v>0</v>
      </c>
      <c r="Q106">
        <f t="shared" ca="1" si="36"/>
        <v>1</v>
      </c>
      <c r="R106">
        <f t="shared" ca="1" si="36"/>
        <v>0</v>
      </c>
      <c r="S106">
        <f t="shared" ca="1" si="36"/>
        <v>2</v>
      </c>
    </row>
    <row r="107" spans="1:19" x14ac:dyDescent="0.25">
      <c r="A107" t="s">
        <v>16</v>
      </c>
      <c r="B107" t="str">
        <f t="shared" si="28"/>
        <v>Program C</v>
      </c>
      <c r="C107" t="str">
        <f t="shared" ca="1" si="26"/>
        <v>79679416</v>
      </c>
      <c r="D107" t="str">
        <f t="shared" ca="1" si="30"/>
        <v>Female</v>
      </c>
      <c r="E107" t="str">
        <f t="shared" ca="1" si="31"/>
        <v>White (Non-Hisp)</v>
      </c>
      <c r="F107" s="4">
        <f t="shared" ca="1" si="32"/>
        <v>41589</v>
      </c>
      <c r="G107" s="4">
        <f t="shared" ca="1" si="33"/>
        <v>41900</v>
      </c>
      <c r="H107" t="str">
        <f t="shared" ca="1" si="34"/>
        <v>5+ CANS</v>
      </c>
      <c r="I107" t="str">
        <f t="shared" ca="1" si="35"/>
        <v>Reassessment</v>
      </c>
      <c r="J107">
        <f t="shared" ca="1" si="36"/>
        <v>1</v>
      </c>
      <c r="K107">
        <f t="shared" ca="1" si="36"/>
        <v>0</v>
      </c>
      <c r="L107">
        <f t="shared" ca="1" si="36"/>
        <v>1</v>
      </c>
      <c r="M107">
        <f t="shared" ca="1" si="36"/>
        <v>0</v>
      </c>
      <c r="N107">
        <f t="shared" ca="1" si="36"/>
        <v>2</v>
      </c>
      <c r="O107">
        <f t="shared" ca="1" si="36"/>
        <v>0</v>
      </c>
      <c r="P107">
        <f t="shared" ca="1" si="36"/>
        <v>0</v>
      </c>
      <c r="Q107">
        <f t="shared" ca="1" si="36"/>
        <v>2</v>
      </c>
      <c r="R107">
        <f t="shared" ca="1" si="36"/>
        <v>1</v>
      </c>
      <c r="S107">
        <f t="shared" ca="1" si="36"/>
        <v>1</v>
      </c>
    </row>
    <row r="108" spans="1:19" x14ac:dyDescent="0.25">
      <c r="A108" t="s">
        <v>16</v>
      </c>
      <c r="B108" t="str">
        <f t="shared" si="28"/>
        <v>Program A</v>
      </c>
      <c r="C108" t="str">
        <f t="shared" ca="1" si="26"/>
        <v>79679416</v>
      </c>
      <c r="D108" t="str">
        <f t="shared" ca="1" si="30"/>
        <v>Female</v>
      </c>
      <c r="E108" t="str">
        <f t="shared" ca="1" si="31"/>
        <v>White (Non-Hisp)</v>
      </c>
      <c r="F108" s="4">
        <f t="shared" ca="1" si="32"/>
        <v>41589</v>
      </c>
      <c r="G108" s="4">
        <f t="shared" ca="1" si="33"/>
        <v>41958</v>
      </c>
      <c r="H108" t="str">
        <f t="shared" ca="1" si="34"/>
        <v>5+ CANS</v>
      </c>
      <c r="I108" t="str">
        <f t="shared" ca="1" si="35"/>
        <v>Reassessment</v>
      </c>
      <c r="J108">
        <f t="shared" ca="1" si="36"/>
        <v>0</v>
      </c>
      <c r="K108">
        <f t="shared" ca="1" si="36"/>
        <v>0</v>
      </c>
      <c r="L108">
        <f t="shared" ca="1" si="36"/>
        <v>1</v>
      </c>
      <c r="M108">
        <f t="shared" ca="1" si="36"/>
        <v>3</v>
      </c>
      <c r="N108">
        <f t="shared" ca="1" si="36"/>
        <v>3</v>
      </c>
      <c r="O108">
        <f t="shared" ca="1" si="36"/>
        <v>0</v>
      </c>
      <c r="P108">
        <f t="shared" ca="1" si="36"/>
        <v>3</v>
      </c>
      <c r="Q108">
        <f t="shared" ca="1" si="36"/>
        <v>3</v>
      </c>
      <c r="R108">
        <f t="shared" ca="1" si="36"/>
        <v>2</v>
      </c>
      <c r="S108">
        <f t="shared" ca="1" si="36"/>
        <v>2</v>
      </c>
    </row>
    <row r="109" spans="1:19" x14ac:dyDescent="0.25">
      <c r="A109" t="s">
        <v>16</v>
      </c>
      <c r="B109" t="str">
        <f t="shared" si="28"/>
        <v>Program B</v>
      </c>
      <c r="C109" t="str">
        <f t="shared" ca="1" si="26"/>
        <v>44201997</v>
      </c>
      <c r="D109" t="str">
        <f t="shared" ca="1" si="30"/>
        <v>Female</v>
      </c>
      <c r="E109" t="str">
        <f t="shared" ca="1" si="31"/>
        <v>Hispanic</v>
      </c>
      <c r="F109" s="4">
        <f t="shared" ca="1" si="32"/>
        <v>41280</v>
      </c>
      <c r="G109" s="4">
        <f t="shared" ca="1" si="33"/>
        <v>41320</v>
      </c>
      <c r="H109" t="str">
        <f t="shared" ca="1" si="34"/>
        <v>5+ CANS</v>
      </c>
      <c r="I109" t="str">
        <f t="shared" ca="1" si="35"/>
        <v>Entry</v>
      </c>
      <c r="J109">
        <f t="shared" ca="1" si="36"/>
        <v>1</v>
      </c>
      <c r="K109">
        <f t="shared" ca="1" si="36"/>
        <v>1</v>
      </c>
      <c r="L109">
        <f t="shared" ca="1" si="36"/>
        <v>2</v>
      </c>
      <c r="M109">
        <f t="shared" ca="1" si="36"/>
        <v>1</v>
      </c>
      <c r="N109">
        <f t="shared" ca="1" si="36"/>
        <v>3</v>
      </c>
      <c r="O109">
        <f t="shared" ca="1" si="36"/>
        <v>2</v>
      </c>
      <c r="P109">
        <f t="shared" ca="1" si="36"/>
        <v>2</v>
      </c>
      <c r="Q109">
        <f t="shared" ca="1" si="36"/>
        <v>2</v>
      </c>
      <c r="R109">
        <f t="shared" ca="1" si="36"/>
        <v>3</v>
      </c>
      <c r="S109">
        <f t="shared" ca="1" si="36"/>
        <v>2</v>
      </c>
    </row>
    <row r="110" spans="1:19" x14ac:dyDescent="0.25">
      <c r="A110" t="s">
        <v>16</v>
      </c>
      <c r="B110" t="str">
        <f t="shared" si="28"/>
        <v>Program C</v>
      </c>
      <c r="C110" t="str">
        <f t="shared" ca="1" si="26"/>
        <v>44201997</v>
      </c>
      <c r="D110" t="str">
        <f t="shared" ca="1" si="30"/>
        <v>Female</v>
      </c>
      <c r="E110" t="str">
        <f t="shared" ca="1" si="31"/>
        <v>Hispanic</v>
      </c>
      <c r="F110" s="4">
        <f t="shared" ca="1" si="32"/>
        <v>41280</v>
      </c>
      <c r="G110" s="4">
        <f t="shared" ca="1" si="33"/>
        <v>41379</v>
      </c>
      <c r="H110" t="str">
        <f t="shared" ca="1" si="34"/>
        <v>5+ CANS</v>
      </c>
      <c r="I110" t="str">
        <f t="shared" ca="1" si="35"/>
        <v>Reassessment</v>
      </c>
      <c r="J110">
        <f t="shared" ca="1" si="36"/>
        <v>1</v>
      </c>
      <c r="K110">
        <f t="shared" ca="1" si="36"/>
        <v>3</v>
      </c>
      <c r="L110">
        <f t="shared" ca="1" si="36"/>
        <v>1</v>
      </c>
      <c r="M110">
        <f t="shared" ca="1" si="36"/>
        <v>0</v>
      </c>
      <c r="N110">
        <f t="shared" ca="1" si="36"/>
        <v>3</v>
      </c>
      <c r="O110">
        <f t="shared" ca="1" si="36"/>
        <v>0</v>
      </c>
      <c r="P110">
        <f t="shared" ca="1" si="36"/>
        <v>0</v>
      </c>
      <c r="Q110">
        <f t="shared" ca="1" si="36"/>
        <v>1</v>
      </c>
      <c r="R110">
        <f t="shared" ca="1" si="36"/>
        <v>0</v>
      </c>
      <c r="S110">
        <f t="shared" ca="1" si="36"/>
        <v>1</v>
      </c>
    </row>
    <row r="111" spans="1:19" x14ac:dyDescent="0.25">
      <c r="A111" t="s">
        <v>16</v>
      </c>
      <c r="B111" t="str">
        <f t="shared" si="28"/>
        <v>Program A</v>
      </c>
      <c r="C111" t="str">
        <f t="shared" ca="1" si="26"/>
        <v>44201997</v>
      </c>
      <c r="D111" t="str">
        <f t="shared" ca="1" si="30"/>
        <v>Female</v>
      </c>
      <c r="E111" t="str">
        <f t="shared" ca="1" si="31"/>
        <v>Hispanic</v>
      </c>
      <c r="F111" s="4">
        <f t="shared" ca="1" si="32"/>
        <v>41280</v>
      </c>
      <c r="G111" s="4">
        <f t="shared" ca="1" si="33"/>
        <v>41470</v>
      </c>
      <c r="H111" t="str">
        <f t="shared" ca="1" si="34"/>
        <v>5+ CANS</v>
      </c>
      <c r="I111" t="str">
        <f t="shared" ca="1" si="35"/>
        <v>Reassessment</v>
      </c>
      <c r="J111">
        <f t="shared" ca="1" si="36"/>
        <v>1</v>
      </c>
      <c r="K111">
        <f t="shared" ca="1" si="36"/>
        <v>0</v>
      </c>
      <c r="L111">
        <f t="shared" ca="1" si="36"/>
        <v>1</v>
      </c>
      <c r="M111">
        <f t="shared" ca="1" si="36"/>
        <v>0</v>
      </c>
      <c r="N111">
        <f t="shared" ca="1" si="36"/>
        <v>2</v>
      </c>
      <c r="O111">
        <f t="shared" ca="1" si="36"/>
        <v>2</v>
      </c>
      <c r="P111">
        <f t="shared" ca="1" si="36"/>
        <v>3</v>
      </c>
      <c r="Q111">
        <f t="shared" ca="1" si="36"/>
        <v>1</v>
      </c>
      <c r="R111">
        <f t="shared" ca="1" si="36"/>
        <v>2</v>
      </c>
      <c r="S111">
        <f t="shared" ca="1" si="36"/>
        <v>2</v>
      </c>
    </row>
    <row r="112" spans="1:19" x14ac:dyDescent="0.25">
      <c r="A112" t="s">
        <v>16</v>
      </c>
      <c r="B112" t="str">
        <f t="shared" si="28"/>
        <v>Program B</v>
      </c>
      <c r="C112" t="str">
        <f t="shared" ca="1" si="26"/>
        <v>44201997</v>
      </c>
      <c r="D112" t="str">
        <f t="shared" ca="1" si="30"/>
        <v>Female</v>
      </c>
      <c r="E112" t="str">
        <f t="shared" ca="1" si="31"/>
        <v>Hispanic</v>
      </c>
      <c r="F112" s="4">
        <f t="shared" ca="1" si="32"/>
        <v>41280</v>
      </c>
      <c r="G112" s="4">
        <f t="shared" ca="1" si="33"/>
        <v>41541</v>
      </c>
      <c r="H112" t="str">
        <f t="shared" ca="1" si="34"/>
        <v>5+ CANS</v>
      </c>
      <c r="I112" t="str">
        <f t="shared" ca="1" si="35"/>
        <v>Reassessment</v>
      </c>
      <c r="J112">
        <f t="shared" ca="1" si="36"/>
        <v>2</v>
      </c>
      <c r="K112">
        <f t="shared" ca="1" si="36"/>
        <v>0</v>
      </c>
      <c r="L112">
        <f t="shared" ca="1" si="36"/>
        <v>0</v>
      </c>
      <c r="M112">
        <f t="shared" ca="1" si="36"/>
        <v>0</v>
      </c>
      <c r="N112">
        <f t="shared" ca="1" si="36"/>
        <v>1</v>
      </c>
      <c r="O112">
        <f t="shared" ca="1" si="36"/>
        <v>3</v>
      </c>
      <c r="P112">
        <f t="shared" ca="1" si="36"/>
        <v>1</v>
      </c>
      <c r="Q112">
        <f t="shared" ca="1" si="36"/>
        <v>0</v>
      </c>
      <c r="R112">
        <f t="shared" ca="1" si="36"/>
        <v>2</v>
      </c>
      <c r="S112">
        <f t="shared" ca="1" si="36"/>
        <v>2</v>
      </c>
    </row>
    <row r="113" spans="1:19" x14ac:dyDescent="0.25">
      <c r="A113" t="s">
        <v>16</v>
      </c>
      <c r="B113" t="str">
        <f t="shared" si="28"/>
        <v>Program C</v>
      </c>
      <c r="C113" t="str">
        <f t="shared" ca="1" si="26"/>
        <v>44201997</v>
      </c>
      <c r="D113" t="str">
        <f t="shared" ca="1" si="30"/>
        <v>Female</v>
      </c>
      <c r="E113" t="str">
        <f t="shared" ca="1" si="31"/>
        <v>Hispanic</v>
      </c>
      <c r="F113" s="4">
        <f t="shared" ca="1" si="32"/>
        <v>41280</v>
      </c>
      <c r="G113" s="4">
        <f t="shared" ca="1" si="33"/>
        <v>41643</v>
      </c>
      <c r="H113" t="str">
        <f t="shared" ca="1" si="34"/>
        <v>5+ CANS</v>
      </c>
      <c r="I113" t="str">
        <f t="shared" ca="1" si="35"/>
        <v>Reassessment</v>
      </c>
      <c r="J113">
        <f t="shared" ca="1" si="36"/>
        <v>1</v>
      </c>
      <c r="K113">
        <f t="shared" ca="1" si="36"/>
        <v>3</v>
      </c>
      <c r="L113">
        <f t="shared" ca="1" si="36"/>
        <v>1</v>
      </c>
      <c r="M113">
        <f t="shared" ca="1" si="36"/>
        <v>1</v>
      </c>
      <c r="N113">
        <f t="shared" ca="1" si="36"/>
        <v>0</v>
      </c>
      <c r="O113">
        <f t="shared" ca="1" si="36"/>
        <v>1</v>
      </c>
      <c r="P113">
        <f t="shared" ca="1" si="36"/>
        <v>1</v>
      </c>
      <c r="Q113">
        <f t="shared" ca="1" si="36"/>
        <v>1</v>
      </c>
      <c r="R113">
        <f t="shared" ca="1" si="36"/>
        <v>2</v>
      </c>
      <c r="S113">
        <f t="shared" ca="1" si="36"/>
        <v>2</v>
      </c>
    </row>
    <row r="114" spans="1:19" x14ac:dyDescent="0.25">
      <c r="A114" t="s">
        <v>16</v>
      </c>
      <c r="B114" t="str">
        <f t="shared" si="28"/>
        <v>Program A</v>
      </c>
      <c r="C114" t="str">
        <f t="shared" ca="1" si="26"/>
        <v>44201997</v>
      </c>
      <c r="D114" t="str">
        <f t="shared" ca="1" si="30"/>
        <v>Female</v>
      </c>
      <c r="E114" t="str">
        <f t="shared" ca="1" si="31"/>
        <v>Hispanic</v>
      </c>
      <c r="F114" s="4">
        <f t="shared" ca="1" si="32"/>
        <v>41280</v>
      </c>
      <c r="G114" s="4">
        <f t="shared" ca="1" si="33"/>
        <v>41692</v>
      </c>
      <c r="H114" t="str">
        <f t="shared" ca="1" si="34"/>
        <v>5+ CANS</v>
      </c>
      <c r="I114" t="str">
        <f t="shared" ca="1" si="35"/>
        <v>Reassessment</v>
      </c>
      <c r="J114">
        <f t="shared" ca="1" si="36"/>
        <v>1</v>
      </c>
      <c r="K114">
        <f t="shared" ca="1" si="36"/>
        <v>2</v>
      </c>
      <c r="L114">
        <f t="shared" ca="1" si="36"/>
        <v>0</v>
      </c>
      <c r="M114">
        <f t="shared" ca="1" si="36"/>
        <v>1</v>
      </c>
      <c r="N114">
        <f t="shared" ca="1" si="36"/>
        <v>1</v>
      </c>
      <c r="O114">
        <f t="shared" ca="1" si="36"/>
        <v>2</v>
      </c>
      <c r="P114">
        <f t="shared" ca="1" si="36"/>
        <v>1</v>
      </c>
      <c r="Q114">
        <f t="shared" ca="1" si="36"/>
        <v>1</v>
      </c>
      <c r="R114">
        <f t="shared" ca="1" si="36"/>
        <v>2</v>
      </c>
      <c r="S114">
        <f t="shared" ca="1" si="36"/>
        <v>1</v>
      </c>
    </row>
    <row r="115" spans="1:19" x14ac:dyDescent="0.25">
      <c r="A115" t="s">
        <v>16</v>
      </c>
      <c r="B115" t="str">
        <f t="shared" si="28"/>
        <v>Program B</v>
      </c>
      <c r="C115" t="str">
        <f t="shared" ca="1" si="26"/>
        <v>80467156</v>
      </c>
      <c r="D115" t="str">
        <f t="shared" ca="1" si="30"/>
        <v>Female</v>
      </c>
      <c r="E115" t="str">
        <f t="shared" ca="1" si="31"/>
        <v>White (Non-Hisp)</v>
      </c>
      <c r="F115" s="4">
        <f t="shared" ca="1" si="32"/>
        <v>41379</v>
      </c>
      <c r="G115" s="4">
        <f t="shared" ca="1" si="33"/>
        <v>41429</v>
      </c>
      <c r="H115" t="str">
        <f t="shared" ca="1" si="34"/>
        <v>5+ CANS</v>
      </c>
      <c r="I115" t="str">
        <f t="shared" ca="1" si="35"/>
        <v>Entry</v>
      </c>
      <c r="J115">
        <f t="shared" ca="1" si="36"/>
        <v>1</v>
      </c>
      <c r="K115">
        <f t="shared" ca="1" si="36"/>
        <v>2</v>
      </c>
      <c r="L115">
        <f t="shared" ca="1" si="36"/>
        <v>1</v>
      </c>
      <c r="M115">
        <f t="shared" ca="1" si="36"/>
        <v>1</v>
      </c>
      <c r="N115">
        <f t="shared" ca="1" si="36"/>
        <v>3</v>
      </c>
      <c r="O115">
        <f t="shared" ca="1" si="36"/>
        <v>2</v>
      </c>
      <c r="P115">
        <f t="shared" ca="1" si="36"/>
        <v>3</v>
      </c>
      <c r="Q115">
        <f t="shared" ca="1" si="36"/>
        <v>2</v>
      </c>
      <c r="R115">
        <f t="shared" ca="1" si="36"/>
        <v>2</v>
      </c>
      <c r="S115">
        <f t="shared" ca="1" si="36"/>
        <v>2</v>
      </c>
    </row>
    <row r="116" spans="1:19" x14ac:dyDescent="0.25">
      <c r="A116" t="s">
        <v>16</v>
      </c>
      <c r="B116" t="str">
        <f t="shared" si="28"/>
        <v>Program C</v>
      </c>
      <c r="C116" t="str">
        <f t="shared" ca="1" si="26"/>
        <v>29117824</v>
      </c>
      <c r="D116" t="str">
        <f t="shared" ca="1" si="30"/>
        <v>Female</v>
      </c>
      <c r="E116" t="str">
        <f t="shared" ca="1" si="31"/>
        <v>Black (Non-Hisp)</v>
      </c>
      <c r="F116" s="4">
        <f t="shared" ca="1" si="32"/>
        <v>41752</v>
      </c>
      <c r="G116" s="4">
        <f t="shared" ca="1" si="33"/>
        <v>41786</v>
      </c>
      <c r="H116" t="str">
        <f t="shared" ca="1" si="34"/>
        <v>5+ CANS</v>
      </c>
      <c r="I116" t="str">
        <f t="shared" ca="1" si="35"/>
        <v>Entry</v>
      </c>
      <c r="J116">
        <f t="shared" ref="J116:S131" ca="1" si="37">MIN(ROUND(EXP(RAND()*J$1)-1, 0), 3)</f>
        <v>2</v>
      </c>
      <c r="K116">
        <f t="shared" ca="1" si="37"/>
        <v>0</v>
      </c>
      <c r="L116">
        <f t="shared" ca="1" si="37"/>
        <v>1</v>
      </c>
      <c r="M116">
        <f t="shared" ca="1" si="37"/>
        <v>1</v>
      </c>
      <c r="N116">
        <f t="shared" ca="1" si="37"/>
        <v>2</v>
      </c>
      <c r="O116">
        <f t="shared" ca="1" si="37"/>
        <v>1</v>
      </c>
      <c r="P116">
        <f t="shared" ca="1" si="37"/>
        <v>0</v>
      </c>
      <c r="Q116">
        <f t="shared" ca="1" si="37"/>
        <v>2</v>
      </c>
      <c r="R116">
        <f t="shared" ca="1" si="37"/>
        <v>2</v>
      </c>
      <c r="S116">
        <f t="shared" ca="1" si="37"/>
        <v>2</v>
      </c>
    </row>
    <row r="117" spans="1:19" x14ac:dyDescent="0.25">
      <c r="A117" t="s">
        <v>16</v>
      </c>
      <c r="B117" t="str">
        <f t="shared" si="28"/>
        <v>Program A</v>
      </c>
      <c r="C117" t="str">
        <f t="shared" ca="1" si="26"/>
        <v>47398021</v>
      </c>
      <c r="D117" t="str">
        <f t="shared" ca="1" si="30"/>
        <v>Female</v>
      </c>
      <c r="E117" t="str">
        <f t="shared" ca="1" si="31"/>
        <v>White (Non-Hisp)</v>
      </c>
      <c r="F117" s="4">
        <f t="shared" ca="1" si="32"/>
        <v>41628</v>
      </c>
      <c r="G117" s="4">
        <f t="shared" ca="1" si="33"/>
        <v>41668</v>
      </c>
      <c r="H117" t="str">
        <f t="shared" ca="1" si="34"/>
        <v>0-4 CANS</v>
      </c>
      <c r="I117" t="str">
        <f t="shared" ca="1" si="35"/>
        <v>Entry</v>
      </c>
      <c r="J117">
        <f t="shared" ca="1" si="37"/>
        <v>1</v>
      </c>
      <c r="K117">
        <f t="shared" ca="1" si="37"/>
        <v>0</v>
      </c>
      <c r="L117">
        <f t="shared" ca="1" si="37"/>
        <v>2</v>
      </c>
      <c r="M117">
        <f t="shared" ca="1" si="37"/>
        <v>0</v>
      </c>
      <c r="N117">
        <f t="shared" ca="1" si="37"/>
        <v>2</v>
      </c>
      <c r="O117">
        <f t="shared" ca="1" si="37"/>
        <v>1</v>
      </c>
      <c r="P117">
        <f t="shared" ca="1" si="37"/>
        <v>2</v>
      </c>
      <c r="Q117">
        <f t="shared" ca="1" si="37"/>
        <v>1</v>
      </c>
      <c r="R117">
        <f t="shared" ca="1" si="37"/>
        <v>1</v>
      </c>
      <c r="S117">
        <f t="shared" ca="1" si="37"/>
        <v>0</v>
      </c>
    </row>
    <row r="118" spans="1:19" x14ac:dyDescent="0.25">
      <c r="A118" t="s">
        <v>16</v>
      </c>
      <c r="B118" t="str">
        <f t="shared" si="28"/>
        <v>Program B</v>
      </c>
      <c r="C118" t="str">
        <f t="shared" ca="1" si="26"/>
        <v>47398021</v>
      </c>
      <c r="D118" t="str">
        <f t="shared" ca="1" si="30"/>
        <v>Female</v>
      </c>
      <c r="E118" t="str">
        <f t="shared" ca="1" si="31"/>
        <v>White (Non-Hisp)</v>
      </c>
      <c r="F118" s="4">
        <f t="shared" ca="1" si="32"/>
        <v>41628</v>
      </c>
      <c r="G118" s="4">
        <f t="shared" ca="1" si="33"/>
        <v>41757</v>
      </c>
      <c r="H118" t="str">
        <f t="shared" ca="1" si="34"/>
        <v>0-4 CANS</v>
      </c>
      <c r="I118" t="str">
        <f t="shared" ca="1" si="35"/>
        <v>Reassessment</v>
      </c>
      <c r="J118">
        <f t="shared" ca="1" si="37"/>
        <v>0</v>
      </c>
      <c r="K118">
        <f t="shared" ca="1" si="37"/>
        <v>0</v>
      </c>
      <c r="L118">
        <f t="shared" ca="1" si="37"/>
        <v>1</v>
      </c>
      <c r="M118">
        <f t="shared" ca="1" si="37"/>
        <v>1</v>
      </c>
      <c r="N118">
        <f t="shared" ca="1" si="37"/>
        <v>1</v>
      </c>
      <c r="O118">
        <f t="shared" ca="1" si="37"/>
        <v>2</v>
      </c>
      <c r="P118">
        <f t="shared" ca="1" si="37"/>
        <v>0</v>
      </c>
      <c r="Q118">
        <f t="shared" ca="1" si="37"/>
        <v>2</v>
      </c>
      <c r="R118">
        <f t="shared" ca="1" si="37"/>
        <v>2</v>
      </c>
      <c r="S118">
        <f t="shared" ca="1" si="37"/>
        <v>2</v>
      </c>
    </row>
    <row r="119" spans="1:19" x14ac:dyDescent="0.25">
      <c r="A119" t="s">
        <v>16</v>
      </c>
      <c r="B119" t="str">
        <f t="shared" si="28"/>
        <v>Program C</v>
      </c>
      <c r="C119" t="str">
        <f t="shared" ca="1" si="26"/>
        <v>47398021</v>
      </c>
      <c r="D119" t="str">
        <f t="shared" ca="1" si="30"/>
        <v>Female</v>
      </c>
      <c r="E119" t="str">
        <f t="shared" ca="1" si="31"/>
        <v>White (Non-Hisp)</v>
      </c>
      <c r="F119" s="4">
        <f t="shared" ca="1" si="32"/>
        <v>41628</v>
      </c>
      <c r="G119" s="4">
        <f t="shared" ca="1" si="33"/>
        <v>41862</v>
      </c>
      <c r="H119" t="str">
        <f t="shared" ca="1" si="34"/>
        <v>0-4 CANS</v>
      </c>
      <c r="I119" t="str">
        <f t="shared" ca="1" si="35"/>
        <v>Reassessment</v>
      </c>
      <c r="J119">
        <f t="shared" ca="1" si="37"/>
        <v>2</v>
      </c>
      <c r="K119">
        <f t="shared" ca="1" si="37"/>
        <v>2</v>
      </c>
      <c r="L119">
        <f t="shared" ca="1" si="37"/>
        <v>2</v>
      </c>
      <c r="M119">
        <f t="shared" ca="1" si="37"/>
        <v>0</v>
      </c>
      <c r="N119">
        <f t="shared" ca="1" si="37"/>
        <v>2</v>
      </c>
      <c r="O119">
        <f t="shared" ca="1" si="37"/>
        <v>3</v>
      </c>
      <c r="P119">
        <f t="shared" ca="1" si="37"/>
        <v>0</v>
      </c>
      <c r="Q119">
        <f t="shared" ca="1" si="37"/>
        <v>3</v>
      </c>
      <c r="R119">
        <f t="shared" ca="1" si="37"/>
        <v>2</v>
      </c>
      <c r="S119">
        <f t="shared" ca="1" si="37"/>
        <v>2</v>
      </c>
    </row>
    <row r="120" spans="1:19" x14ac:dyDescent="0.25">
      <c r="A120" t="s">
        <v>16</v>
      </c>
      <c r="B120" t="str">
        <f t="shared" si="28"/>
        <v>Program A</v>
      </c>
      <c r="C120" t="str">
        <f t="shared" ca="1" si="26"/>
        <v>47398021</v>
      </c>
      <c r="D120" t="str">
        <f t="shared" ca="1" si="30"/>
        <v>Female</v>
      </c>
      <c r="E120" t="str">
        <f t="shared" ca="1" si="31"/>
        <v>White (Non-Hisp)</v>
      </c>
      <c r="F120" s="4">
        <f t="shared" ca="1" si="32"/>
        <v>41628</v>
      </c>
      <c r="G120" s="4">
        <f t="shared" ca="1" si="33"/>
        <v>41975</v>
      </c>
      <c r="H120" t="str">
        <f t="shared" ca="1" si="34"/>
        <v>0-4 CANS</v>
      </c>
      <c r="I120" t="str">
        <f t="shared" ca="1" si="35"/>
        <v>Reassessment</v>
      </c>
      <c r="J120">
        <f t="shared" ca="1" si="37"/>
        <v>1</v>
      </c>
      <c r="K120">
        <f t="shared" ca="1" si="37"/>
        <v>1</v>
      </c>
      <c r="L120">
        <f t="shared" ca="1" si="37"/>
        <v>0</v>
      </c>
      <c r="M120">
        <f t="shared" ca="1" si="37"/>
        <v>1</v>
      </c>
      <c r="N120">
        <f t="shared" ca="1" si="37"/>
        <v>3</v>
      </c>
      <c r="O120">
        <f t="shared" ca="1" si="37"/>
        <v>0</v>
      </c>
      <c r="P120">
        <f t="shared" ca="1" si="37"/>
        <v>3</v>
      </c>
      <c r="Q120">
        <f t="shared" ca="1" si="37"/>
        <v>1</v>
      </c>
      <c r="R120">
        <f t="shared" ca="1" si="37"/>
        <v>0</v>
      </c>
      <c r="S120">
        <f t="shared" ca="1" si="37"/>
        <v>0</v>
      </c>
    </row>
    <row r="121" spans="1:19" x14ac:dyDescent="0.25">
      <c r="A121" t="s">
        <v>16</v>
      </c>
      <c r="B121" t="str">
        <f t="shared" si="28"/>
        <v>Program B</v>
      </c>
      <c r="C121" t="str">
        <f t="shared" ca="1" si="26"/>
        <v>71662823</v>
      </c>
      <c r="D121" t="str">
        <f t="shared" ca="1" si="30"/>
        <v>Male</v>
      </c>
      <c r="E121" t="str">
        <f t="shared" ca="1" si="31"/>
        <v>Hispanic</v>
      </c>
      <c r="F121" s="4">
        <f t="shared" ca="1" si="32"/>
        <v>41390</v>
      </c>
      <c r="G121" s="4">
        <f t="shared" ca="1" si="33"/>
        <v>41397</v>
      </c>
      <c r="H121" t="str">
        <f t="shared" ca="1" si="34"/>
        <v>5+ CANS</v>
      </c>
      <c r="I121" t="str">
        <f t="shared" ca="1" si="35"/>
        <v>Entry</v>
      </c>
      <c r="J121">
        <f t="shared" ca="1" si="37"/>
        <v>1</v>
      </c>
      <c r="K121">
        <f t="shared" ca="1" si="37"/>
        <v>2</v>
      </c>
      <c r="L121">
        <f t="shared" ca="1" si="37"/>
        <v>0</v>
      </c>
      <c r="M121">
        <f t="shared" ca="1" si="37"/>
        <v>0</v>
      </c>
      <c r="N121">
        <f t="shared" ca="1" si="37"/>
        <v>0</v>
      </c>
      <c r="O121">
        <f t="shared" ca="1" si="37"/>
        <v>0</v>
      </c>
      <c r="P121">
        <f t="shared" ca="1" si="37"/>
        <v>0</v>
      </c>
      <c r="Q121">
        <f t="shared" ca="1" si="37"/>
        <v>0</v>
      </c>
      <c r="R121">
        <f t="shared" ca="1" si="37"/>
        <v>0</v>
      </c>
      <c r="S121">
        <f t="shared" ca="1" si="37"/>
        <v>1</v>
      </c>
    </row>
    <row r="122" spans="1:19" x14ac:dyDescent="0.25">
      <c r="A122" t="s">
        <v>16</v>
      </c>
      <c r="B122" t="str">
        <f t="shared" si="28"/>
        <v>Program C</v>
      </c>
      <c r="C122" t="str">
        <f t="shared" ca="1" si="26"/>
        <v>71662823</v>
      </c>
      <c r="D122" t="str">
        <f t="shared" ca="1" si="30"/>
        <v>Male</v>
      </c>
      <c r="E122" t="str">
        <f t="shared" ca="1" si="31"/>
        <v>Hispanic</v>
      </c>
      <c r="F122" s="4">
        <f t="shared" ca="1" si="32"/>
        <v>41390</v>
      </c>
      <c r="G122" s="4">
        <f t="shared" ca="1" si="33"/>
        <v>41503</v>
      </c>
      <c r="H122" t="str">
        <f t="shared" ca="1" si="34"/>
        <v>5+ CANS</v>
      </c>
      <c r="I122" t="str">
        <f t="shared" ca="1" si="35"/>
        <v>Reassessment</v>
      </c>
      <c r="J122">
        <f t="shared" ca="1" si="37"/>
        <v>0</v>
      </c>
      <c r="K122">
        <f t="shared" ca="1" si="37"/>
        <v>3</v>
      </c>
      <c r="L122">
        <f t="shared" ca="1" si="37"/>
        <v>0</v>
      </c>
      <c r="M122">
        <f t="shared" ca="1" si="37"/>
        <v>0</v>
      </c>
      <c r="N122">
        <f t="shared" ca="1" si="37"/>
        <v>0</v>
      </c>
      <c r="O122">
        <f t="shared" ca="1" si="37"/>
        <v>3</v>
      </c>
      <c r="P122">
        <f t="shared" ca="1" si="37"/>
        <v>0</v>
      </c>
      <c r="Q122">
        <f t="shared" ca="1" si="37"/>
        <v>2</v>
      </c>
      <c r="R122">
        <f t="shared" ca="1" si="37"/>
        <v>0</v>
      </c>
      <c r="S122">
        <f t="shared" ca="1" si="37"/>
        <v>0</v>
      </c>
    </row>
    <row r="123" spans="1:19" x14ac:dyDescent="0.25">
      <c r="A123" t="s">
        <v>16</v>
      </c>
      <c r="B123" t="s">
        <v>22</v>
      </c>
      <c r="C123" t="str">
        <f t="shared" ca="1" si="26"/>
        <v>71662823</v>
      </c>
      <c r="D123" t="str">
        <f t="shared" ca="1" si="30"/>
        <v>Male</v>
      </c>
      <c r="E123" t="str">
        <f t="shared" ca="1" si="31"/>
        <v>Hispanic</v>
      </c>
      <c r="F123" s="4">
        <f t="shared" ca="1" si="32"/>
        <v>41390</v>
      </c>
      <c r="G123" s="4">
        <f t="shared" ca="1" si="33"/>
        <v>41629</v>
      </c>
      <c r="H123" t="str">
        <f t="shared" ca="1" si="34"/>
        <v>5+ CANS</v>
      </c>
      <c r="I123" t="str">
        <f t="shared" ca="1" si="35"/>
        <v>Reassessment</v>
      </c>
      <c r="J123">
        <f t="shared" ca="1" si="37"/>
        <v>1</v>
      </c>
      <c r="K123">
        <f t="shared" ca="1" si="37"/>
        <v>2</v>
      </c>
      <c r="L123">
        <f t="shared" ca="1" si="37"/>
        <v>1</v>
      </c>
      <c r="M123">
        <f t="shared" ca="1" si="37"/>
        <v>1</v>
      </c>
      <c r="N123">
        <f t="shared" ca="1" si="37"/>
        <v>0</v>
      </c>
      <c r="O123">
        <f t="shared" ca="1" si="37"/>
        <v>1</v>
      </c>
      <c r="P123">
        <f t="shared" ca="1" si="37"/>
        <v>0</v>
      </c>
      <c r="Q123">
        <f t="shared" ca="1" si="37"/>
        <v>1</v>
      </c>
      <c r="R123">
        <f t="shared" ca="1" si="37"/>
        <v>2</v>
      </c>
      <c r="S123">
        <f t="shared" ca="1" si="37"/>
        <v>1</v>
      </c>
    </row>
    <row r="124" spans="1:19" x14ac:dyDescent="0.25">
      <c r="A124" t="s">
        <v>16</v>
      </c>
      <c r="B124" t="str">
        <f t="shared" si="28"/>
        <v>Program B</v>
      </c>
      <c r="C124" t="str">
        <f t="shared" ca="1" si="26"/>
        <v>71662823</v>
      </c>
      <c r="D124" t="str">
        <f t="shared" ca="1" si="30"/>
        <v>Male</v>
      </c>
      <c r="E124" t="str">
        <f t="shared" ca="1" si="31"/>
        <v>Hispanic</v>
      </c>
      <c r="F124" s="4">
        <f t="shared" ca="1" si="32"/>
        <v>41390</v>
      </c>
      <c r="G124" s="4">
        <f t="shared" ca="1" si="33"/>
        <v>41740</v>
      </c>
      <c r="H124" t="str">
        <f t="shared" ca="1" si="34"/>
        <v>5+ CANS</v>
      </c>
      <c r="I124" t="str">
        <f t="shared" ca="1" si="35"/>
        <v>Reassessment</v>
      </c>
      <c r="J124">
        <f t="shared" ca="1" si="37"/>
        <v>1</v>
      </c>
      <c r="K124">
        <f t="shared" ca="1" si="37"/>
        <v>1</v>
      </c>
      <c r="L124">
        <f t="shared" ca="1" si="37"/>
        <v>1</v>
      </c>
      <c r="M124">
        <f t="shared" ca="1" si="37"/>
        <v>1</v>
      </c>
      <c r="N124">
        <f t="shared" ca="1" si="37"/>
        <v>0</v>
      </c>
      <c r="O124">
        <f t="shared" ca="1" si="37"/>
        <v>0</v>
      </c>
      <c r="P124">
        <f t="shared" ca="1" si="37"/>
        <v>3</v>
      </c>
      <c r="Q124">
        <f t="shared" ca="1" si="37"/>
        <v>2</v>
      </c>
      <c r="R124">
        <f t="shared" ca="1" si="37"/>
        <v>1</v>
      </c>
      <c r="S124">
        <f t="shared" ca="1" si="37"/>
        <v>2</v>
      </c>
    </row>
    <row r="125" spans="1:19" x14ac:dyDescent="0.25">
      <c r="A125" t="s">
        <v>17</v>
      </c>
      <c r="B125" t="str">
        <f t="shared" si="28"/>
        <v>Program C</v>
      </c>
      <c r="C125" t="str">
        <f t="shared" ca="1" si="26"/>
        <v>71662823</v>
      </c>
      <c r="D125" t="str">
        <f t="shared" ca="1" si="30"/>
        <v>Male</v>
      </c>
      <c r="E125" t="str">
        <f t="shared" ca="1" si="31"/>
        <v>Hispanic</v>
      </c>
      <c r="F125" s="4">
        <f t="shared" ca="1" si="32"/>
        <v>41390</v>
      </c>
      <c r="G125" s="4">
        <f t="shared" ca="1" si="33"/>
        <v>41864</v>
      </c>
      <c r="H125" t="str">
        <f t="shared" ca="1" si="34"/>
        <v>5+ CANS</v>
      </c>
      <c r="I125" t="str">
        <f t="shared" ca="1" si="35"/>
        <v>Reassessment</v>
      </c>
      <c r="J125">
        <f t="shared" ca="1" si="37"/>
        <v>0</v>
      </c>
      <c r="K125">
        <f t="shared" ca="1" si="37"/>
        <v>0</v>
      </c>
      <c r="L125">
        <f t="shared" ca="1" si="37"/>
        <v>2</v>
      </c>
      <c r="M125">
        <f t="shared" ca="1" si="37"/>
        <v>2</v>
      </c>
      <c r="N125">
        <f t="shared" ca="1" si="37"/>
        <v>1</v>
      </c>
      <c r="O125">
        <f t="shared" ca="1" si="37"/>
        <v>3</v>
      </c>
      <c r="P125">
        <f t="shared" ca="1" si="37"/>
        <v>1</v>
      </c>
      <c r="Q125">
        <f t="shared" ca="1" si="37"/>
        <v>3</v>
      </c>
      <c r="R125">
        <f t="shared" ca="1" si="37"/>
        <v>2</v>
      </c>
      <c r="S125">
        <f t="shared" ca="1" si="37"/>
        <v>2</v>
      </c>
    </row>
    <row r="126" spans="1:19" x14ac:dyDescent="0.25">
      <c r="A126" t="s">
        <v>17</v>
      </c>
      <c r="B126" t="str">
        <f t="shared" si="28"/>
        <v>Program D</v>
      </c>
      <c r="C126" t="str">
        <f t="shared" ca="1" si="26"/>
        <v>26350669</v>
      </c>
      <c r="D126" t="str">
        <f t="shared" ca="1" si="30"/>
        <v>Female</v>
      </c>
      <c r="E126" t="str">
        <f t="shared" ca="1" si="31"/>
        <v>Black (Non-Hisp)</v>
      </c>
      <c r="F126" s="4">
        <f t="shared" ca="1" si="32"/>
        <v>41624</v>
      </c>
      <c r="G126" s="4">
        <f t="shared" ca="1" si="33"/>
        <v>41668</v>
      </c>
      <c r="H126" t="str">
        <f t="shared" ca="1" si="34"/>
        <v>5+ CANS</v>
      </c>
      <c r="I126" t="str">
        <f t="shared" ca="1" si="35"/>
        <v>Entry</v>
      </c>
      <c r="J126">
        <f t="shared" ca="1" si="37"/>
        <v>0</v>
      </c>
      <c r="K126">
        <f t="shared" ca="1" si="37"/>
        <v>1</v>
      </c>
      <c r="L126">
        <f t="shared" ca="1" si="37"/>
        <v>0</v>
      </c>
      <c r="M126">
        <f t="shared" ca="1" si="37"/>
        <v>0</v>
      </c>
      <c r="N126">
        <f t="shared" ca="1" si="37"/>
        <v>3</v>
      </c>
      <c r="O126">
        <f t="shared" ca="1" si="37"/>
        <v>0</v>
      </c>
      <c r="P126">
        <f t="shared" ca="1" si="37"/>
        <v>0</v>
      </c>
      <c r="Q126">
        <f t="shared" ca="1" si="37"/>
        <v>3</v>
      </c>
      <c r="R126">
        <f t="shared" ca="1" si="37"/>
        <v>2</v>
      </c>
      <c r="S126">
        <f t="shared" ca="1" si="37"/>
        <v>0</v>
      </c>
    </row>
    <row r="127" spans="1:19" x14ac:dyDescent="0.25">
      <c r="A127" t="s">
        <v>17</v>
      </c>
      <c r="B127" t="str">
        <f t="shared" si="28"/>
        <v>Program B</v>
      </c>
      <c r="C127" t="str">
        <f t="shared" ca="1" si="26"/>
        <v>26350669</v>
      </c>
      <c r="D127" t="str">
        <f t="shared" ca="1" si="30"/>
        <v>Female</v>
      </c>
      <c r="E127" t="str">
        <f t="shared" ca="1" si="31"/>
        <v>Black (Non-Hisp)</v>
      </c>
      <c r="F127" s="4">
        <f t="shared" ca="1" si="32"/>
        <v>41624</v>
      </c>
      <c r="G127" s="4">
        <f t="shared" ca="1" si="33"/>
        <v>41759</v>
      </c>
      <c r="H127" t="str">
        <f t="shared" ca="1" si="34"/>
        <v>5+ CANS</v>
      </c>
      <c r="I127" t="str">
        <f t="shared" ca="1" si="35"/>
        <v>Reassessment</v>
      </c>
      <c r="J127">
        <f t="shared" ca="1" si="37"/>
        <v>1</v>
      </c>
      <c r="K127">
        <f t="shared" ca="1" si="37"/>
        <v>3</v>
      </c>
      <c r="L127">
        <f t="shared" ca="1" si="37"/>
        <v>2</v>
      </c>
      <c r="M127">
        <f t="shared" ca="1" si="37"/>
        <v>0</v>
      </c>
      <c r="N127">
        <f t="shared" ca="1" si="37"/>
        <v>2</v>
      </c>
      <c r="O127">
        <f t="shared" ca="1" si="37"/>
        <v>1</v>
      </c>
      <c r="P127">
        <f t="shared" ca="1" si="37"/>
        <v>1</v>
      </c>
      <c r="Q127">
        <f t="shared" ca="1" si="37"/>
        <v>0</v>
      </c>
      <c r="R127">
        <f t="shared" ca="1" si="37"/>
        <v>0</v>
      </c>
      <c r="S127">
        <f t="shared" ca="1" si="37"/>
        <v>2</v>
      </c>
    </row>
    <row r="128" spans="1:19" x14ac:dyDescent="0.25">
      <c r="A128" t="s">
        <v>17</v>
      </c>
      <c r="B128" t="str">
        <f t="shared" si="28"/>
        <v>Program C</v>
      </c>
      <c r="C128" t="str">
        <f t="shared" ca="1" si="26"/>
        <v>26350669</v>
      </c>
      <c r="D128" t="str">
        <f t="shared" ca="1" si="30"/>
        <v>Female</v>
      </c>
      <c r="E128" t="str">
        <f t="shared" ca="1" si="31"/>
        <v>Black (Non-Hisp)</v>
      </c>
      <c r="F128" s="4">
        <f t="shared" ca="1" si="32"/>
        <v>41624</v>
      </c>
      <c r="G128" s="4">
        <f t="shared" ca="1" si="33"/>
        <v>41772</v>
      </c>
      <c r="H128" t="str">
        <f t="shared" ca="1" si="34"/>
        <v>5+ CANS</v>
      </c>
      <c r="I128" t="str">
        <f t="shared" ca="1" si="35"/>
        <v>Reassessment</v>
      </c>
      <c r="J128">
        <f t="shared" ca="1" si="37"/>
        <v>2</v>
      </c>
      <c r="K128">
        <f t="shared" ca="1" si="37"/>
        <v>3</v>
      </c>
      <c r="L128">
        <f t="shared" ca="1" si="37"/>
        <v>0</v>
      </c>
      <c r="M128">
        <f t="shared" ca="1" si="37"/>
        <v>2</v>
      </c>
      <c r="N128">
        <f t="shared" ca="1" si="37"/>
        <v>2</v>
      </c>
      <c r="O128">
        <f t="shared" ca="1" si="37"/>
        <v>0</v>
      </c>
      <c r="P128">
        <f t="shared" ca="1" si="37"/>
        <v>2</v>
      </c>
      <c r="Q128">
        <f t="shared" ca="1" si="37"/>
        <v>2</v>
      </c>
      <c r="R128">
        <f t="shared" ca="1" si="37"/>
        <v>1</v>
      </c>
      <c r="S128">
        <f t="shared" ca="1" si="37"/>
        <v>2</v>
      </c>
    </row>
    <row r="129" spans="1:19" x14ac:dyDescent="0.25">
      <c r="A129" t="s">
        <v>17</v>
      </c>
      <c r="B129" t="str">
        <f t="shared" si="28"/>
        <v>Program D</v>
      </c>
      <c r="C129" t="str">
        <f t="shared" ca="1" si="26"/>
        <v>26350669</v>
      </c>
      <c r="D129" t="str">
        <f t="shared" ca="1" si="30"/>
        <v>Female</v>
      </c>
      <c r="E129" t="str">
        <f t="shared" ca="1" si="31"/>
        <v>Black (Non-Hisp)</v>
      </c>
      <c r="F129" s="4">
        <f t="shared" ca="1" si="32"/>
        <v>41624</v>
      </c>
      <c r="G129" s="4">
        <f t="shared" ca="1" si="33"/>
        <v>41896</v>
      </c>
      <c r="H129" t="str">
        <f t="shared" ca="1" si="34"/>
        <v>5+ CANS</v>
      </c>
      <c r="I129" t="str">
        <f t="shared" ca="1" si="35"/>
        <v>Reassessment</v>
      </c>
      <c r="J129">
        <f t="shared" ca="1" si="37"/>
        <v>1</v>
      </c>
      <c r="K129">
        <f t="shared" ca="1" si="37"/>
        <v>3</v>
      </c>
      <c r="L129">
        <f t="shared" ca="1" si="37"/>
        <v>0</v>
      </c>
      <c r="M129">
        <f t="shared" ca="1" si="37"/>
        <v>0</v>
      </c>
      <c r="N129">
        <f t="shared" ca="1" si="37"/>
        <v>1</v>
      </c>
      <c r="O129">
        <f t="shared" ca="1" si="37"/>
        <v>2</v>
      </c>
      <c r="P129">
        <f t="shared" ca="1" si="37"/>
        <v>2</v>
      </c>
      <c r="Q129">
        <f t="shared" ca="1" si="37"/>
        <v>0</v>
      </c>
      <c r="R129">
        <f t="shared" ca="1" si="37"/>
        <v>2</v>
      </c>
      <c r="S129">
        <f t="shared" ca="1" si="37"/>
        <v>0</v>
      </c>
    </row>
    <row r="130" spans="1:19" x14ac:dyDescent="0.25">
      <c r="A130" t="s">
        <v>17</v>
      </c>
      <c r="B130" t="str">
        <f t="shared" si="28"/>
        <v>Program B</v>
      </c>
      <c r="C130" t="str">
        <f t="shared" ca="1" si="26"/>
        <v>26350669</v>
      </c>
      <c r="D130" t="str">
        <f t="shared" ca="1" si="30"/>
        <v>Female</v>
      </c>
      <c r="E130" t="str">
        <f t="shared" ca="1" si="31"/>
        <v>Black (Non-Hisp)</v>
      </c>
      <c r="F130" s="4">
        <f t="shared" ca="1" si="32"/>
        <v>41624</v>
      </c>
      <c r="G130" s="4">
        <f t="shared" ca="1" si="33"/>
        <v>41973</v>
      </c>
      <c r="H130" t="str">
        <f t="shared" ca="1" si="34"/>
        <v>5+ CANS</v>
      </c>
      <c r="I130" t="str">
        <f t="shared" ca="1" si="35"/>
        <v>Reassessment</v>
      </c>
      <c r="J130">
        <f t="shared" ca="1" si="37"/>
        <v>2</v>
      </c>
      <c r="K130">
        <f t="shared" ca="1" si="37"/>
        <v>0</v>
      </c>
      <c r="L130">
        <f t="shared" ca="1" si="37"/>
        <v>1</v>
      </c>
      <c r="M130">
        <f t="shared" ca="1" si="37"/>
        <v>1</v>
      </c>
      <c r="N130">
        <f t="shared" ca="1" si="37"/>
        <v>1</v>
      </c>
      <c r="O130">
        <f t="shared" ca="1" si="37"/>
        <v>1</v>
      </c>
      <c r="P130">
        <f t="shared" ca="1" si="37"/>
        <v>3</v>
      </c>
      <c r="Q130">
        <f t="shared" ca="1" si="37"/>
        <v>1</v>
      </c>
      <c r="R130">
        <f t="shared" ca="1" si="37"/>
        <v>2</v>
      </c>
      <c r="S130">
        <f t="shared" ca="1" si="37"/>
        <v>2</v>
      </c>
    </row>
    <row r="131" spans="1:19" x14ac:dyDescent="0.25">
      <c r="A131" t="s">
        <v>17</v>
      </c>
      <c r="B131" t="str">
        <f t="shared" si="28"/>
        <v>Program C</v>
      </c>
      <c r="C131" t="str">
        <f t="shared" ca="1" si="26"/>
        <v>26350669</v>
      </c>
      <c r="D131" t="str">
        <f t="shared" ref="D131:D162" ca="1" si="38">IF(C131=C130, D130, IF(RAND()&lt;0.5, "Male", "Female"))</f>
        <v>Female</v>
      </c>
      <c r="E131" t="str">
        <f t="shared" ref="E131:E162" ca="1" si="39">IF(C130=C131, E130, IF(RAND()&lt;0.6, "White (Non-Hisp)", IF(RAND()&lt;0.5, "Black (Non-Hisp)", "Hispanic")))</f>
        <v>Black (Non-Hisp)</v>
      </c>
      <c r="F131" s="4">
        <f t="shared" ref="F131:F162" ca="1" si="40">IF(C130&lt;&gt;C131, ROUND(RAND()*500, 0)+DATE(2013, 1, 1), F130)</f>
        <v>41624</v>
      </c>
      <c r="G131" s="4">
        <f t="shared" ref="G131:G162" ca="1" si="41">IF(C130&lt;&gt;C131, F131+ROUND(RAND()*55, 0), G130+ROUND(RAND()*145, 0))</f>
        <v>41982</v>
      </c>
      <c r="H131" t="str">
        <f t="shared" ref="H131:H162" ca="1" si="42">IF(C130=C131, H130, IF(RAND()&lt;0.2, "0-4 CANS", "5+ CANS"))</f>
        <v>5+ CANS</v>
      </c>
      <c r="I131" t="str">
        <f t="shared" ref="I131:I162" ca="1" si="43">IF(C130=C131, "Reassessment", "Entry")</f>
        <v>Reassessment</v>
      </c>
      <c r="J131">
        <f t="shared" ca="1" si="37"/>
        <v>1</v>
      </c>
      <c r="K131">
        <f t="shared" ca="1" si="37"/>
        <v>0</v>
      </c>
      <c r="L131">
        <f t="shared" ca="1" si="37"/>
        <v>2</v>
      </c>
      <c r="M131">
        <f t="shared" ca="1" si="37"/>
        <v>1</v>
      </c>
      <c r="N131">
        <f t="shared" ca="1" si="37"/>
        <v>0</v>
      </c>
      <c r="O131">
        <f t="shared" ca="1" si="37"/>
        <v>1</v>
      </c>
      <c r="P131">
        <f t="shared" ca="1" si="37"/>
        <v>3</v>
      </c>
      <c r="Q131">
        <f t="shared" ca="1" si="37"/>
        <v>1</v>
      </c>
      <c r="R131">
        <f t="shared" ca="1" si="37"/>
        <v>1</v>
      </c>
      <c r="S131">
        <f t="shared" ca="1" si="37"/>
        <v>0</v>
      </c>
    </row>
    <row r="132" spans="1:19" x14ac:dyDescent="0.25">
      <c r="A132" t="s">
        <v>17</v>
      </c>
      <c r="B132" t="str">
        <f t="shared" si="28"/>
        <v>Program D</v>
      </c>
      <c r="C132" t="str">
        <f t="shared" ref="C132:C184" ca="1" si="44">TEXT(IF(OR(RAND()&lt;0.3, ROW()=3), ROUND(RAND()*100000000, 0), C131), "00000000")</f>
        <v>26350669</v>
      </c>
      <c r="D132" t="str">
        <f t="shared" ca="1" si="38"/>
        <v>Female</v>
      </c>
      <c r="E132" t="str">
        <f t="shared" ca="1" si="39"/>
        <v>Black (Non-Hisp)</v>
      </c>
      <c r="F132" s="4">
        <f t="shared" ca="1" si="40"/>
        <v>41624</v>
      </c>
      <c r="G132" s="4">
        <f t="shared" ca="1" si="41"/>
        <v>42077</v>
      </c>
      <c r="H132" t="str">
        <f t="shared" ca="1" si="42"/>
        <v>5+ CANS</v>
      </c>
      <c r="I132" t="str">
        <f t="shared" ca="1" si="43"/>
        <v>Reassessment</v>
      </c>
      <c r="J132">
        <f t="shared" ref="J132:S147" ca="1" si="45">MIN(ROUND(EXP(RAND()*J$1)-1, 0), 3)</f>
        <v>2</v>
      </c>
      <c r="K132">
        <f t="shared" ca="1" si="45"/>
        <v>2</v>
      </c>
      <c r="L132">
        <f t="shared" ca="1" si="45"/>
        <v>1</v>
      </c>
      <c r="M132">
        <f t="shared" ca="1" si="45"/>
        <v>0</v>
      </c>
      <c r="N132">
        <f t="shared" ca="1" si="45"/>
        <v>1</v>
      </c>
      <c r="O132">
        <f t="shared" ca="1" si="45"/>
        <v>2</v>
      </c>
      <c r="P132">
        <f t="shared" ca="1" si="45"/>
        <v>1</v>
      </c>
      <c r="Q132">
        <f t="shared" ca="1" si="45"/>
        <v>3</v>
      </c>
      <c r="R132">
        <f t="shared" ca="1" si="45"/>
        <v>1</v>
      </c>
      <c r="S132">
        <f t="shared" ca="1" si="45"/>
        <v>2</v>
      </c>
    </row>
    <row r="133" spans="1:19" x14ac:dyDescent="0.25">
      <c r="A133" t="s">
        <v>17</v>
      </c>
      <c r="B133" t="str">
        <f t="shared" si="28"/>
        <v>Program B</v>
      </c>
      <c r="C133" t="str">
        <f t="shared" ca="1" si="44"/>
        <v>86271190</v>
      </c>
      <c r="D133" t="str">
        <f t="shared" ca="1" si="38"/>
        <v>Female</v>
      </c>
      <c r="E133" t="str">
        <f t="shared" ca="1" si="39"/>
        <v>Hispanic</v>
      </c>
      <c r="F133" s="4">
        <f t="shared" ca="1" si="40"/>
        <v>41512</v>
      </c>
      <c r="G133" s="4">
        <f t="shared" ca="1" si="41"/>
        <v>41565</v>
      </c>
      <c r="H133" t="str">
        <f t="shared" ca="1" si="42"/>
        <v>5+ CANS</v>
      </c>
      <c r="I133" t="str">
        <f t="shared" ca="1" si="43"/>
        <v>Entry</v>
      </c>
      <c r="J133">
        <f t="shared" ca="1" si="45"/>
        <v>0</v>
      </c>
      <c r="K133">
        <f t="shared" ca="1" si="45"/>
        <v>1</v>
      </c>
      <c r="L133">
        <f t="shared" ca="1" si="45"/>
        <v>0</v>
      </c>
      <c r="M133">
        <f t="shared" ca="1" si="45"/>
        <v>0</v>
      </c>
      <c r="N133">
        <f t="shared" ca="1" si="45"/>
        <v>1</v>
      </c>
      <c r="O133">
        <f t="shared" ca="1" si="45"/>
        <v>1</v>
      </c>
      <c r="P133">
        <f t="shared" ca="1" si="45"/>
        <v>1</v>
      </c>
      <c r="Q133">
        <f t="shared" ca="1" si="45"/>
        <v>2</v>
      </c>
      <c r="R133">
        <f t="shared" ca="1" si="45"/>
        <v>1</v>
      </c>
      <c r="S133">
        <f t="shared" ca="1" si="45"/>
        <v>2</v>
      </c>
    </row>
    <row r="134" spans="1:19" x14ac:dyDescent="0.25">
      <c r="A134" t="s">
        <v>17</v>
      </c>
      <c r="B134" t="str">
        <f t="shared" si="28"/>
        <v>Program C</v>
      </c>
      <c r="C134" t="str">
        <f t="shared" ca="1" si="44"/>
        <v>86271190</v>
      </c>
      <c r="D134" t="str">
        <f t="shared" ca="1" si="38"/>
        <v>Female</v>
      </c>
      <c r="E134" t="str">
        <f t="shared" ca="1" si="39"/>
        <v>Hispanic</v>
      </c>
      <c r="F134" s="4">
        <f t="shared" ca="1" si="40"/>
        <v>41512</v>
      </c>
      <c r="G134" s="4">
        <f t="shared" ca="1" si="41"/>
        <v>41652</v>
      </c>
      <c r="H134" t="str">
        <f t="shared" ca="1" si="42"/>
        <v>5+ CANS</v>
      </c>
      <c r="I134" t="str">
        <f t="shared" ca="1" si="43"/>
        <v>Reassessment</v>
      </c>
      <c r="J134">
        <f t="shared" ca="1" si="45"/>
        <v>1</v>
      </c>
      <c r="K134">
        <f t="shared" ca="1" si="45"/>
        <v>3</v>
      </c>
      <c r="L134">
        <f t="shared" ca="1" si="45"/>
        <v>2</v>
      </c>
      <c r="M134">
        <f t="shared" ca="1" si="45"/>
        <v>0</v>
      </c>
      <c r="N134">
        <f t="shared" ca="1" si="45"/>
        <v>0</v>
      </c>
      <c r="O134">
        <f t="shared" ca="1" si="45"/>
        <v>1</v>
      </c>
      <c r="P134">
        <f t="shared" ca="1" si="45"/>
        <v>0</v>
      </c>
      <c r="Q134">
        <f t="shared" ca="1" si="45"/>
        <v>3</v>
      </c>
      <c r="R134">
        <f t="shared" ca="1" si="45"/>
        <v>0</v>
      </c>
      <c r="S134">
        <f t="shared" ca="1" si="45"/>
        <v>0</v>
      </c>
    </row>
    <row r="135" spans="1:19" x14ac:dyDescent="0.25">
      <c r="A135" t="s">
        <v>17</v>
      </c>
      <c r="B135" t="str">
        <f t="shared" ref="B135:B184" si="46">B132</f>
        <v>Program D</v>
      </c>
      <c r="C135" t="str">
        <f t="shared" ca="1" si="44"/>
        <v>86271190</v>
      </c>
      <c r="D135" t="str">
        <f t="shared" ca="1" si="38"/>
        <v>Female</v>
      </c>
      <c r="E135" t="str">
        <f t="shared" ca="1" si="39"/>
        <v>Hispanic</v>
      </c>
      <c r="F135" s="4">
        <f t="shared" ca="1" si="40"/>
        <v>41512</v>
      </c>
      <c r="G135" s="4">
        <f t="shared" ca="1" si="41"/>
        <v>41729</v>
      </c>
      <c r="H135" t="str">
        <f t="shared" ca="1" si="42"/>
        <v>5+ CANS</v>
      </c>
      <c r="I135" t="str">
        <f t="shared" ca="1" si="43"/>
        <v>Reassessment</v>
      </c>
      <c r="J135">
        <f t="shared" ca="1" si="45"/>
        <v>1</v>
      </c>
      <c r="K135">
        <f t="shared" ca="1" si="45"/>
        <v>1</v>
      </c>
      <c r="L135">
        <f t="shared" ca="1" si="45"/>
        <v>2</v>
      </c>
      <c r="M135">
        <f t="shared" ca="1" si="45"/>
        <v>1</v>
      </c>
      <c r="N135">
        <f t="shared" ca="1" si="45"/>
        <v>3</v>
      </c>
      <c r="O135">
        <f t="shared" ca="1" si="45"/>
        <v>0</v>
      </c>
      <c r="P135">
        <f t="shared" ca="1" si="45"/>
        <v>0</v>
      </c>
      <c r="Q135">
        <f t="shared" ca="1" si="45"/>
        <v>1</v>
      </c>
      <c r="R135">
        <f t="shared" ca="1" si="45"/>
        <v>1</v>
      </c>
      <c r="S135">
        <f t="shared" ca="1" si="45"/>
        <v>1</v>
      </c>
    </row>
    <row r="136" spans="1:19" x14ac:dyDescent="0.25">
      <c r="A136" t="s">
        <v>17</v>
      </c>
      <c r="B136" t="str">
        <f t="shared" si="46"/>
        <v>Program B</v>
      </c>
      <c r="C136" t="str">
        <f t="shared" ca="1" si="44"/>
        <v>17199771</v>
      </c>
      <c r="D136" t="str">
        <f t="shared" ca="1" si="38"/>
        <v>Male</v>
      </c>
      <c r="E136" t="str">
        <f t="shared" ca="1" si="39"/>
        <v>White (Non-Hisp)</v>
      </c>
      <c r="F136" s="4">
        <f t="shared" ca="1" si="40"/>
        <v>41369</v>
      </c>
      <c r="G136" s="4">
        <f t="shared" ca="1" si="41"/>
        <v>41400</v>
      </c>
      <c r="H136" t="str">
        <f t="shared" ca="1" si="42"/>
        <v>5+ CANS</v>
      </c>
      <c r="I136" t="str">
        <f t="shared" ca="1" si="43"/>
        <v>Entry</v>
      </c>
      <c r="J136">
        <f t="shared" ca="1" si="45"/>
        <v>1</v>
      </c>
      <c r="K136">
        <f t="shared" ca="1" si="45"/>
        <v>0</v>
      </c>
      <c r="L136">
        <f t="shared" ca="1" si="45"/>
        <v>1</v>
      </c>
      <c r="M136">
        <f t="shared" ca="1" si="45"/>
        <v>1</v>
      </c>
      <c r="N136">
        <f t="shared" ca="1" si="45"/>
        <v>3</v>
      </c>
      <c r="O136">
        <f t="shared" ca="1" si="45"/>
        <v>2</v>
      </c>
      <c r="P136">
        <f t="shared" ca="1" si="45"/>
        <v>2</v>
      </c>
      <c r="Q136">
        <f t="shared" ca="1" si="45"/>
        <v>0</v>
      </c>
      <c r="R136">
        <f t="shared" ca="1" si="45"/>
        <v>2</v>
      </c>
      <c r="S136">
        <f t="shared" ca="1" si="45"/>
        <v>0</v>
      </c>
    </row>
    <row r="137" spans="1:19" x14ac:dyDescent="0.25">
      <c r="A137" t="s">
        <v>17</v>
      </c>
      <c r="B137" t="str">
        <f t="shared" si="46"/>
        <v>Program C</v>
      </c>
      <c r="C137" t="str">
        <f t="shared" ca="1" si="44"/>
        <v>90559069</v>
      </c>
      <c r="D137" t="str">
        <f t="shared" ca="1" si="38"/>
        <v>Male</v>
      </c>
      <c r="E137" t="str">
        <f t="shared" ca="1" si="39"/>
        <v>White (Non-Hisp)</v>
      </c>
      <c r="F137" s="4">
        <f t="shared" ca="1" si="40"/>
        <v>41555</v>
      </c>
      <c r="G137" s="4">
        <f t="shared" ca="1" si="41"/>
        <v>41595</v>
      </c>
      <c r="H137" t="str">
        <f t="shared" ca="1" si="42"/>
        <v>5+ CANS</v>
      </c>
      <c r="I137" t="str">
        <f t="shared" ca="1" si="43"/>
        <v>Entry</v>
      </c>
      <c r="J137">
        <f t="shared" ca="1" si="45"/>
        <v>1</v>
      </c>
      <c r="K137">
        <f t="shared" ca="1" si="45"/>
        <v>2</v>
      </c>
      <c r="L137">
        <f t="shared" ca="1" si="45"/>
        <v>1</v>
      </c>
      <c r="M137">
        <f t="shared" ca="1" si="45"/>
        <v>0</v>
      </c>
      <c r="N137">
        <f t="shared" ca="1" si="45"/>
        <v>2</v>
      </c>
      <c r="O137">
        <f t="shared" ca="1" si="45"/>
        <v>0</v>
      </c>
      <c r="P137">
        <f t="shared" ca="1" si="45"/>
        <v>1</v>
      </c>
      <c r="Q137">
        <f t="shared" ca="1" si="45"/>
        <v>1</v>
      </c>
      <c r="R137">
        <f t="shared" ca="1" si="45"/>
        <v>1</v>
      </c>
      <c r="S137">
        <f t="shared" ca="1" si="45"/>
        <v>1</v>
      </c>
    </row>
    <row r="138" spans="1:19" x14ac:dyDescent="0.25">
      <c r="A138" t="s">
        <v>17</v>
      </c>
      <c r="B138" t="str">
        <f t="shared" si="46"/>
        <v>Program D</v>
      </c>
      <c r="C138" t="str">
        <f t="shared" ca="1" si="44"/>
        <v>53914447</v>
      </c>
      <c r="D138" t="str">
        <f t="shared" ca="1" si="38"/>
        <v>Male</v>
      </c>
      <c r="E138" t="str">
        <f t="shared" ca="1" si="39"/>
        <v>White (Non-Hisp)</v>
      </c>
      <c r="F138" s="4">
        <f t="shared" ca="1" si="40"/>
        <v>41411</v>
      </c>
      <c r="G138" s="4">
        <f t="shared" ca="1" si="41"/>
        <v>41443</v>
      </c>
      <c r="H138" t="str">
        <f t="shared" ca="1" si="42"/>
        <v>5+ CANS</v>
      </c>
      <c r="I138" t="str">
        <f t="shared" ca="1" si="43"/>
        <v>Entry</v>
      </c>
      <c r="J138">
        <f t="shared" ca="1" si="45"/>
        <v>1</v>
      </c>
      <c r="K138">
        <f t="shared" ca="1" si="45"/>
        <v>1</v>
      </c>
      <c r="L138">
        <f t="shared" ca="1" si="45"/>
        <v>0</v>
      </c>
      <c r="M138">
        <f t="shared" ca="1" si="45"/>
        <v>1</v>
      </c>
      <c r="N138">
        <f t="shared" ca="1" si="45"/>
        <v>3</v>
      </c>
      <c r="O138">
        <f t="shared" ca="1" si="45"/>
        <v>0</v>
      </c>
      <c r="P138">
        <f t="shared" ca="1" si="45"/>
        <v>0</v>
      </c>
      <c r="Q138">
        <f t="shared" ca="1" si="45"/>
        <v>0</v>
      </c>
      <c r="R138">
        <f t="shared" ca="1" si="45"/>
        <v>2</v>
      </c>
      <c r="S138">
        <f t="shared" ca="1" si="45"/>
        <v>2</v>
      </c>
    </row>
    <row r="139" spans="1:19" x14ac:dyDescent="0.25">
      <c r="A139" t="s">
        <v>17</v>
      </c>
      <c r="B139" t="str">
        <f t="shared" si="46"/>
        <v>Program B</v>
      </c>
      <c r="C139" t="str">
        <f t="shared" ca="1" si="44"/>
        <v>53914447</v>
      </c>
      <c r="D139" t="str">
        <f t="shared" ca="1" si="38"/>
        <v>Male</v>
      </c>
      <c r="E139" t="str">
        <f t="shared" ca="1" si="39"/>
        <v>White (Non-Hisp)</v>
      </c>
      <c r="F139" s="4">
        <f t="shared" ca="1" si="40"/>
        <v>41411</v>
      </c>
      <c r="G139" s="4">
        <f t="shared" ca="1" si="41"/>
        <v>41517</v>
      </c>
      <c r="H139" t="str">
        <f t="shared" ca="1" si="42"/>
        <v>5+ CANS</v>
      </c>
      <c r="I139" t="str">
        <f t="shared" ca="1" si="43"/>
        <v>Reassessment</v>
      </c>
      <c r="J139">
        <f t="shared" ca="1" si="45"/>
        <v>1</v>
      </c>
      <c r="K139">
        <f t="shared" ca="1" si="45"/>
        <v>1</v>
      </c>
      <c r="L139">
        <f t="shared" ca="1" si="45"/>
        <v>0</v>
      </c>
      <c r="M139">
        <f t="shared" ca="1" si="45"/>
        <v>2</v>
      </c>
      <c r="N139">
        <f t="shared" ca="1" si="45"/>
        <v>3</v>
      </c>
      <c r="O139">
        <f t="shared" ca="1" si="45"/>
        <v>3</v>
      </c>
      <c r="P139">
        <f t="shared" ca="1" si="45"/>
        <v>3</v>
      </c>
      <c r="Q139">
        <f t="shared" ca="1" si="45"/>
        <v>0</v>
      </c>
      <c r="R139">
        <f t="shared" ca="1" si="45"/>
        <v>0</v>
      </c>
      <c r="S139">
        <f t="shared" ca="1" si="45"/>
        <v>2</v>
      </c>
    </row>
    <row r="140" spans="1:19" x14ac:dyDescent="0.25">
      <c r="A140" t="s">
        <v>17</v>
      </c>
      <c r="B140" t="str">
        <f t="shared" si="46"/>
        <v>Program C</v>
      </c>
      <c r="C140" t="str">
        <f t="shared" ca="1" si="44"/>
        <v>53914447</v>
      </c>
      <c r="D140" t="str">
        <f t="shared" ca="1" si="38"/>
        <v>Male</v>
      </c>
      <c r="E140" t="str">
        <f t="shared" ca="1" si="39"/>
        <v>White (Non-Hisp)</v>
      </c>
      <c r="F140" s="4">
        <f t="shared" ca="1" si="40"/>
        <v>41411</v>
      </c>
      <c r="G140" s="4">
        <f t="shared" ca="1" si="41"/>
        <v>41589</v>
      </c>
      <c r="H140" t="str">
        <f t="shared" ca="1" si="42"/>
        <v>5+ CANS</v>
      </c>
      <c r="I140" t="str">
        <f t="shared" ca="1" si="43"/>
        <v>Reassessment</v>
      </c>
      <c r="J140">
        <f t="shared" ca="1" si="45"/>
        <v>1</v>
      </c>
      <c r="K140">
        <f t="shared" ca="1" si="45"/>
        <v>1</v>
      </c>
      <c r="L140">
        <f t="shared" ca="1" si="45"/>
        <v>0</v>
      </c>
      <c r="M140">
        <f t="shared" ca="1" si="45"/>
        <v>1</v>
      </c>
      <c r="N140">
        <f t="shared" ca="1" si="45"/>
        <v>2</v>
      </c>
      <c r="O140">
        <f t="shared" ca="1" si="45"/>
        <v>0</v>
      </c>
      <c r="P140">
        <f t="shared" ca="1" si="45"/>
        <v>1</v>
      </c>
      <c r="Q140">
        <f t="shared" ca="1" si="45"/>
        <v>2</v>
      </c>
      <c r="R140">
        <f t="shared" ca="1" si="45"/>
        <v>0</v>
      </c>
      <c r="S140">
        <f t="shared" ca="1" si="45"/>
        <v>1</v>
      </c>
    </row>
    <row r="141" spans="1:19" x14ac:dyDescent="0.25">
      <c r="A141" t="s">
        <v>17</v>
      </c>
      <c r="B141" t="str">
        <f t="shared" si="46"/>
        <v>Program D</v>
      </c>
      <c r="C141" t="str">
        <f t="shared" ca="1" si="44"/>
        <v>53914447</v>
      </c>
      <c r="D141" t="str">
        <f t="shared" ca="1" si="38"/>
        <v>Male</v>
      </c>
      <c r="E141" t="str">
        <f t="shared" ca="1" si="39"/>
        <v>White (Non-Hisp)</v>
      </c>
      <c r="F141" s="4">
        <f t="shared" ca="1" si="40"/>
        <v>41411</v>
      </c>
      <c r="G141" s="4">
        <f t="shared" ca="1" si="41"/>
        <v>41636</v>
      </c>
      <c r="H141" t="str">
        <f t="shared" ca="1" si="42"/>
        <v>5+ CANS</v>
      </c>
      <c r="I141" t="str">
        <f t="shared" ca="1" si="43"/>
        <v>Reassessment</v>
      </c>
      <c r="J141">
        <f t="shared" ca="1" si="45"/>
        <v>1</v>
      </c>
      <c r="K141">
        <f t="shared" ca="1" si="45"/>
        <v>1</v>
      </c>
      <c r="L141">
        <f t="shared" ca="1" si="45"/>
        <v>2</v>
      </c>
      <c r="M141">
        <f t="shared" ca="1" si="45"/>
        <v>0</v>
      </c>
      <c r="N141">
        <f t="shared" ca="1" si="45"/>
        <v>3</v>
      </c>
      <c r="O141">
        <f t="shared" ca="1" si="45"/>
        <v>1</v>
      </c>
      <c r="P141">
        <f t="shared" ca="1" si="45"/>
        <v>1</v>
      </c>
      <c r="Q141">
        <f t="shared" ca="1" si="45"/>
        <v>3</v>
      </c>
      <c r="R141">
        <f t="shared" ca="1" si="45"/>
        <v>0</v>
      </c>
      <c r="S141">
        <f t="shared" ca="1" si="45"/>
        <v>0</v>
      </c>
    </row>
    <row r="142" spans="1:19" x14ac:dyDescent="0.25">
      <c r="A142" t="s">
        <v>17</v>
      </c>
      <c r="B142" t="str">
        <f t="shared" si="46"/>
        <v>Program B</v>
      </c>
      <c r="C142" t="str">
        <f t="shared" ca="1" si="44"/>
        <v>53914447</v>
      </c>
      <c r="D142" t="str">
        <f t="shared" ca="1" si="38"/>
        <v>Male</v>
      </c>
      <c r="E142" t="str">
        <f t="shared" ca="1" si="39"/>
        <v>White (Non-Hisp)</v>
      </c>
      <c r="F142" s="4">
        <f t="shared" ca="1" si="40"/>
        <v>41411</v>
      </c>
      <c r="G142" s="4">
        <f t="shared" ca="1" si="41"/>
        <v>41656</v>
      </c>
      <c r="H142" t="str">
        <f t="shared" ca="1" si="42"/>
        <v>5+ CANS</v>
      </c>
      <c r="I142" t="str">
        <f t="shared" ca="1" si="43"/>
        <v>Reassessment</v>
      </c>
      <c r="J142">
        <f t="shared" ca="1" si="45"/>
        <v>0</v>
      </c>
      <c r="K142">
        <f t="shared" ca="1" si="45"/>
        <v>1</v>
      </c>
      <c r="L142">
        <f t="shared" ca="1" si="45"/>
        <v>1</v>
      </c>
      <c r="M142">
        <f t="shared" ca="1" si="45"/>
        <v>0</v>
      </c>
      <c r="N142">
        <f t="shared" ca="1" si="45"/>
        <v>0</v>
      </c>
      <c r="O142">
        <f t="shared" ca="1" si="45"/>
        <v>3</v>
      </c>
      <c r="P142">
        <f t="shared" ca="1" si="45"/>
        <v>0</v>
      </c>
      <c r="Q142">
        <f t="shared" ca="1" si="45"/>
        <v>3</v>
      </c>
      <c r="R142">
        <f t="shared" ca="1" si="45"/>
        <v>0</v>
      </c>
      <c r="S142">
        <f t="shared" ca="1" si="45"/>
        <v>1</v>
      </c>
    </row>
    <row r="143" spans="1:19" x14ac:dyDescent="0.25">
      <c r="A143" t="s">
        <v>17</v>
      </c>
      <c r="B143" t="str">
        <f t="shared" si="46"/>
        <v>Program C</v>
      </c>
      <c r="C143" t="str">
        <f t="shared" ca="1" si="44"/>
        <v>53914447</v>
      </c>
      <c r="D143" t="str">
        <f t="shared" ca="1" si="38"/>
        <v>Male</v>
      </c>
      <c r="E143" t="str">
        <f t="shared" ca="1" si="39"/>
        <v>White (Non-Hisp)</v>
      </c>
      <c r="F143" s="4">
        <f t="shared" ca="1" si="40"/>
        <v>41411</v>
      </c>
      <c r="G143" s="4">
        <f t="shared" ca="1" si="41"/>
        <v>41681</v>
      </c>
      <c r="H143" t="str">
        <f t="shared" ca="1" si="42"/>
        <v>5+ CANS</v>
      </c>
      <c r="I143" t="str">
        <f t="shared" ca="1" si="43"/>
        <v>Reassessment</v>
      </c>
      <c r="J143">
        <f t="shared" ca="1" si="45"/>
        <v>2</v>
      </c>
      <c r="K143">
        <f t="shared" ca="1" si="45"/>
        <v>0</v>
      </c>
      <c r="L143">
        <f t="shared" ca="1" si="45"/>
        <v>0</v>
      </c>
      <c r="M143">
        <f t="shared" ca="1" si="45"/>
        <v>2</v>
      </c>
      <c r="N143">
        <f t="shared" ca="1" si="45"/>
        <v>3</v>
      </c>
      <c r="O143">
        <f t="shared" ca="1" si="45"/>
        <v>1</v>
      </c>
      <c r="P143">
        <f t="shared" ca="1" si="45"/>
        <v>0</v>
      </c>
      <c r="Q143">
        <f t="shared" ca="1" si="45"/>
        <v>0</v>
      </c>
      <c r="R143">
        <f t="shared" ca="1" si="45"/>
        <v>3</v>
      </c>
      <c r="S143">
        <f t="shared" ca="1" si="45"/>
        <v>1</v>
      </c>
    </row>
    <row r="144" spans="1:19" x14ac:dyDescent="0.25">
      <c r="A144" t="s">
        <v>17</v>
      </c>
      <c r="B144" t="str">
        <f t="shared" si="46"/>
        <v>Program D</v>
      </c>
      <c r="C144" t="str">
        <f t="shared" ca="1" si="44"/>
        <v>53914447</v>
      </c>
      <c r="D144" t="str">
        <f t="shared" ca="1" si="38"/>
        <v>Male</v>
      </c>
      <c r="E144" t="str">
        <f t="shared" ca="1" si="39"/>
        <v>White (Non-Hisp)</v>
      </c>
      <c r="F144" s="4">
        <f t="shared" ca="1" si="40"/>
        <v>41411</v>
      </c>
      <c r="G144" s="4">
        <f t="shared" ca="1" si="41"/>
        <v>41785</v>
      </c>
      <c r="H144" t="str">
        <f t="shared" ca="1" si="42"/>
        <v>5+ CANS</v>
      </c>
      <c r="I144" t="str">
        <f t="shared" ca="1" si="43"/>
        <v>Reassessment</v>
      </c>
      <c r="J144">
        <f t="shared" ca="1" si="45"/>
        <v>0</v>
      </c>
      <c r="K144">
        <f t="shared" ca="1" si="45"/>
        <v>3</v>
      </c>
      <c r="L144">
        <f t="shared" ca="1" si="45"/>
        <v>1</v>
      </c>
      <c r="M144">
        <f t="shared" ca="1" si="45"/>
        <v>0</v>
      </c>
      <c r="N144">
        <f t="shared" ca="1" si="45"/>
        <v>3</v>
      </c>
      <c r="O144">
        <f t="shared" ca="1" si="45"/>
        <v>1</v>
      </c>
      <c r="P144">
        <f t="shared" ca="1" si="45"/>
        <v>2</v>
      </c>
      <c r="Q144">
        <f t="shared" ca="1" si="45"/>
        <v>1</v>
      </c>
      <c r="R144">
        <f t="shared" ca="1" si="45"/>
        <v>0</v>
      </c>
      <c r="S144">
        <f t="shared" ca="1" si="45"/>
        <v>1</v>
      </c>
    </row>
    <row r="145" spans="1:19" x14ac:dyDescent="0.25">
      <c r="A145" t="s">
        <v>17</v>
      </c>
      <c r="B145" t="str">
        <f t="shared" si="46"/>
        <v>Program B</v>
      </c>
      <c r="C145" t="str">
        <f t="shared" ca="1" si="44"/>
        <v>53914447</v>
      </c>
      <c r="D145" t="str">
        <f t="shared" ca="1" si="38"/>
        <v>Male</v>
      </c>
      <c r="E145" t="str">
        <f t="shared" ca="1" si="39"/>
        <v>White (Non-Hisp)</v>
      </c>
      <c r="F145" s="4">
        <f t="shared" ca="1" si="40"/>
        <v>41411</v>
      </c>
      <c r="G145" s="4">
        <f t="shared" ca="1" si="41"/>
        <v>41930</v>
      </c>
      <c r="H145" t="str">
        <f t="shared" ca="1" si="42"/>
        <v>5+ CANS</v>
      </c>
      <c r="I145" t="str">
        <f t="shared" ca="1" si="43"/>
        <v>Reassessment</v>
      </c>
      <c r="J145">
        <f t="shared" ca="1" si="45"/>
        <v>1</v>
      </c>
      <c r="K145">
        <f t="shared" ca="1" si="45"/>
        <v>1</v>
      </c>
      <c r="L145">
        <f t="shared" ca="1" si="45"/>
        <v>2</v>
      </c>
      <c r="M145">
        <f t="shared" ca="1" si="45"/>
        <v>0</v>
      </c>
      <c r="N145">
        <f t="shared" ca="1" si="45"/>
        <v>2</v>
      </c>
      <c r="O145">
        <f t="shared" ca="1" si="45"/>
        <v>1</v>
      </c>
      <c r="P145">
        <f t="shared" ca="1" si="45"/>
        <v>0</v>
      </c>
      <c r="Q145">
        <f t="shared" ca="1" si="45"/>
        <v>3</v>
      </c>
      <c r="R145">
        <f t="shared" ca="1" si="45"/>
        <v>1</v>
      </c>
      <c r="S145">
        <f t="shared" ca="1" si="45"/>
        <v>0</v>
      </c>
    </row>
    <row r="146" spans="1:19" x14ac:dyDescent="0.25">
      <c r="A146" t="s">
        <v>17</v>
      </c>
      <c r="B146" t="str">
        <f t="shared" si="46"/>
        <v>Program C</v>
      </c>
      <c r="C146" t="str">
        <f t="shared" ca="1" si="44"/>
        <v>53914447</v>
      </c>
      <c r="D146" t="str">
        <f t="shared" ca="1" si="38"/>
        <v>Male</v>
      </c>
      <c r="E146" t="str">
        <f t="shared" ca="1" si="39"/>
        <v>White (Non-Hisp)</v>
      </c>
      <c r="F146" s="4">
        <f t="shared" ca="1" si="40"/>
        <v>41411</v>
      </c>
      <c r="G146" s="4">
        <f t="shared" ca="1" si="41"/>
        <v>41945</v>
      </c>
      <c r="H146" t="str">
        <f t="shared" ca="1" si="42"/>
        <v>5+ CANS</v>
      </c>
      <c r="I146" t="str">
        <f t="shared" ca="1" si="43"/>
        <v>Reassessment</v>
      </c>
      <c r="J146">
        <f t="shared" ca="1" si="45"/>
        <v>0</v>
      </c>
      <c r="K146">
        <f t="shared" ca="1" si="45"/>
        <v>0</v>
      </c>
      <c r="L146">
        <f t="shared" ca="1" si="45"/>
        <v>2</v>
      </c>
      <c r="M146">
        <f t="shared" ca="1" si="45"/>
        <v>1</v>
      </c>
      <c r="N146">
        <f t="shared" ca="1" si="45"/>
        <v>3</v>
      </c>
      <c r="O146">
        <f t="shared" ca="1" si="45"/>
        <v>2</v>
      </c>
      <c r="P146">
        <f t="shared" ca="1" si="45"/>
        <v>1</v>
      </c>
      <c r="Q146">
        <f t="shared" ca="1" si="45"/>
        <v>1</v>
      </c>
      <c r="R146">
        <f t="shared" ca="1" si="45"/>
        <v>0</v>
      </c>
      <c r="S146">
        <f t="shared" ca="1" si="45"/>
        <v>0</v>
      </c>
    </row>
    <row r="147" spans="1:19" x14ac:dyDescent="0.25">
      <c r="A147" t="s">
        <v>17</v>
      </c>
      <c r="B147" t="str">
        <f t="shared" si="46"/>
        <v>Program D</v>
      </c>
      <c r="C147" t="str">
        <f t="shared" ca="1" si="44"/>
        <v>53914447</v>
      </c>
      <c r="D147" t="str">
        <f t="shared" ca="1" si="38"/>
        <v>Male</v>
      </c>
      <c r="E147" t="str">
        <f t="shared" ca="1" si="39"/>
        <v>White (Non-Hisp)</v>
      </c>
      <c r="F147" s="4">
        <f t="shared" ca="1" si="40"/>
        <v>41411</v>
      </c>
      <c r="G147" s="4">
        <f t="shared" ca="1" si="41"/>
        <v>41988</v>
      </c>
      <c r="H147" t="str">
        <f t="shared" ca="1" si="42"/>
        <v>5+ CANS</v>
      </c>
      <c r="I147" t="str">
        <f t="shared" ca="1" si="43"/>
        <v>Reassessment</v>
      </c>
      <c r="J147">
        <f t="shared" ca="1" si="45"/>
        <v>0</v>
      </c>
      <c r="K147">
        <f t="shared" ca="1" si="45"/>
        <v>1</v>
      </c>
      <c r="L147">
        <f t="shared" ca="1" si="45"/>
        <v>2</v>
      </c>
      <c r="M147">
        <f t="shared" ca="1" si="45"/>
        <v>0</v>
      </c>
      <c r="N147">
        <f t="shared" ca="1" si="45"/>
        <v>3</v>
      </c>
      <c r="O147">
        <f t="shared" ca="1" si="45"/>
        <v>1</v>
      </c>
      <c r="P147">
        <f t="shared" ca="1" si="45"/>
        <v>1</v>
      </c>
      <c r="Q147">
        <f t="shared" ca="1" si="45"/>
        <v>3</v>
      </c>
      <c r="R147">
        <f t="shared" ca="1" si="45"/>
        <v>0</v>
      </c>
      <c r="S147">
        <f t="shared" ca="1" si="45"/>
        <v>1</v>
      </c>
    </row>
    <row r="148" spans="1:19" x14ac:dyDescent="0.25">
      <c r="A148" t="s">
        <v>17</v>
      </c>
      <c r="B148" t="str">
        <f t="shared" si="46"/>
        <v>Program B</v>
      </c>
      <c r="C148" t="str">
        <f t="shared" ca="1" si="44"/>
        <v>53914447</v>
      </c>
      <c r="D148" t="str">
        <f t="shared" ca="1" si="38"/>
        <v>Male</v>
      </c>
      <c r="E148" t="str">
        <f t="shared" ca="1" si="39"/>
        <v>White (Non-Hisp)</v>
      </c>
      <c r="F148" s="4">
        <f t="shared" ca="1" si="40"/>
        <v>41411</v>
      </c>
      <c r="G148" s="4">
        <f t="shared" ca="1" si="41"/>
        <v>42014</v>
      </c>
      <c r="H148" t="str">
        <f t="shared" ca="1" si="42"/>
        <v>5+ CANS</v>
      </c>
      <c r="I148" t="str">
        <f t="shared" ca="1" si="43"/>
        <v>Reassessment</v>
      </c>
      <c r="J148">
        <f t="shared" ref="J148:S163" ca="1" si="47">MIN(ROUND(EXP(RAND()*J$1)-1, 0), 3)</f>
        <v>2</v>
      </c>
      <c r="K148">
        <f t="shared" ca="1" si="47"/>
        <v>2</v>
      </c>
      <c r="L148">
        <f t="shared" ca="1" si="47"/>
        <v>1</v>
      </c>
      <c r="M148">
        <f t="shared" ca="1" si="47"/>
        <v>0</v>
      </c>
      <c r="N148">
        <f t="shared" ca="1" si="47"/>
        <v>1</v>
      </c>
      <c r="O148">
        <f t="shared" ca="1" si="47"/>
        <v>1</v>
      </c>
      <c r="P148">
        <f t="shared" ca="1" si="47"/>
        <v>3</v>
      </c>
      <c r="Q148">
        <f t="shared" ca="1" si="47"/>
        <v>0</v>
      </c>
      <c r="R148">
        <f t="shared" ca="1" si="47"/>
        <v>2</v>
      </c>
      <c r="S148">
        <f t="shared" ca="1" si="47"/>
        <v>1</v>
      </c>
    </row>
    <row r="149" spans="1:19" x14ac:dyDescent="0.25">
      <c r="A149" t="s">
        <v>17</v>
      </c>
      <c r="B149" t="str">
        <f t="shared" si="46"/>
        <v>Program C</v>
      </c>
      <c r="C149" t="str">
        <f t="shared" ca="1" si="44"/>
        <v>74964397</v>
      </c>
      <c r="D149" t="str">
        <f t="shared" ca="1" si="38"/>
        <v>Male</v>
      </c>
      <c r="E149" t="str">
        <f t="shared" ca="1" si="39"/>
        <v>White (Non-Hisp)</v>
      </c>
      <c r="F149" s="4">
        <f t="shared" ca="1" si="40"/>
        <v>41338</v>
      </c>
      <c r="G149" s="4">
        <f t="shared" ca="1" si="41"/>
        <v>41343</v>
      </c>
      <c r="H149" t="str">
        <f t="shared" ca="1" si="42"/>
        <v>5+ CANS</v>
      </c>
      <c r="I149" t="str">
        <f t="shared" ca="1" si="43"/>
        <v>Entry</v>
      </c>
      <c r="J149">
        <f t="shared" ca="1" si="47"/>
        <v>2</v>
      </c>
      <c r="K149">
        <f t="shared" ca="1" si="47"/>
        <v>1</v>
      </c>
      <c r="L149">
        <f t="shared" ca="1" si="47"/>
        <v>1</v>
      </c>
      <c r="M149">
        <f t="shared" ca="1" si="47"/>
        <v>2</v>
      </c>
      <c r="N149">
        <f t="shared" ca="1" si="47"/>
        <v>2</v>
      </c>
      <c r="O149">
        <f t="shared" ca="1" si="47"/>
        <v>1</v>
      </c>
      <c r="P149">
        <f t="shared" ca="1" si="47"/>
        <v>2</v>
      </c>
      <c r="Q149">
        <f t="shared" ca="1" si="47"/>
        <v>0</v>
      </c>
      <c r="R149">
        <f t="shared" ca="1" si="47"/>
        <v>1</v>
      </c>
      <c r="S149">
        <f t="shared" ca="1" si="47"/>
        <v>2</v>
      </c>
    </row>
    <row r="150" spans="1:19" x14ac:dyDescent="0.25">
      <c r="A150" t="s">
        <v>17</v>
      </c>
      <c r="B150" t="str">
        <f t="shared" si="46"/>
        <v>Program D</v>
      </c>
      <c r="C150" t="str">
        <f t="shared" ca="1" si="44"/>
        <v>74964397</v>
      </c>
      <c r="D150" t="str">
        <f t="shared" ca="1" si="38"/>
        <v>Male</v>
      </c>
      <c r="E150" t="str">
        <f t="shared" ca="1" si="39"/>
        <v>White (Non-Hisp)</v>
      </c>
      <c r="F150" s="4">
        <f t="shared" ca="1" si="40"/>
        <v>41338</v>
      </c>
      <c r="G150" s="4">
        <f t="shared" ca="1" si="41"/>
        <v>41478</v>
      </c>
      <c r="H150" t="str">
        <f t="shared" ca="1" si="42"/>
        <v>5+ CANS</v>
      </c>
      <c r="I150" t="str">
        <f t="shared" ca="1" si="43"/>
        <v>Reassessment</v>
      </c>
      <c r="J150">
        <f t="shared" ca="1" si="47"/>
        <v>1</v>
      </c>
      <c r="K150">
        <f t="shared" ca="1" si="47"/>
        <v>1</v>
      </c>
      <c r="L150">
        <f t="shared" ca="1" si="47"/>
        <v>1</v>
      </c>
      <c r="M150">
        <f t="shared" ca="1" si="47"/>
        <v>1</v>
      </c>
      <c r="N150">
        <f t="shared" ca="1" si="47"/>
        <v>3</v>
      </c>
      <c r="O150">
        <f t="shared" ca="1" si="47"/>
        <v>3</v>
      </c>
      <c r="P150">
        <f t="shared" ca="1" si="47"/>
        <v>0</v>
      </c>
      <c r="Q150">
        <f t="shared" ca="1" si="47"/>
        <v>2</v>
      </c>
      <c r="R150">
        <f t="shared" ca="1" si="47"/>
        <v>2</v>
      </c>
      <c r="S150">
        <f t="shared" ca="1" si="47"/>
        <v>2</v>
      </c>
    </row>
    <row r="151" spans="1:19" x14ac:dyDescent="0.25">
      <c r="A151" t="s">
        <v>17</v>
      </c>
      <c r="B151" t="str">
        <f t="shared" si="46"/>
        <v>Program B</v>
      </c>
      <c r="C151" t="str">
        <f t="shared" ca="1" si="44"/>
        <v>79781872</v>
      </c>
      <c r="D151" t="str">
        <f t="shared" ca="1" si="38"/>
        <v>Male</v>
      </c>
      <c r="E151" t="str">
        <f t="shared" ca="1" si="39"/>
        <v>White (Non-Hisp)</v>
      </c>
      <c r="F151" s="4">
        <f t="shared" ca="1" si="40"/>
        <v>41371</v>
      </c>
      <c r="G151" s="4">
        <f t="shared" ca="1" si="41"/>
        <v>41380</v>
      </c>
      <c r="H151" t="str">
        <f t="shared" ca="1" si="42"/>
        <v>5+ CANS</v>
      </c>
      <c r="I151" t="str">
        <f t="shared" ca="1" si="43"/>
        <v>Entry</v>
      </c>
      <c r="J151">
        <f t="shared" ca="1" si="47"/>
        <v>1</v>
      </c>
      <c r="K151">
        <f t="shared" ca="1" si="47"/>
        <v>1</v>
      </c>
      <c r="L151">
        <f t="shared" ca="1" si="47"/>
        <v>1</v>
      </c>
      <c r="M151">
        <f t="shared" ca="1" si="47"/>
        <v>0</v>
      </c>
      <c r="N151">
        <f t="shared" ca="1" si="47"/>
        <v>3</v>
      </c>
      <c r="O151">
        <f t="shared" ca="1" si="47"/>
        <v>3</v>
      </c>
      <c r="P151">
        <f t="shared" ca="1" si="47"/>
        <v>0</v>
      </c>
      <c r="Q151">
        <f t="shared" ca="1" si="47"/>
        <v>2</v>
      </c>
      <c r="R151">
        <f t="shared" ca="1" si="47"/>
        <v>2</v>
      </c>
      <c r="S151">
        <f t="shared" ca="1" si="47"/>
        <v>2</v>
      </c>
    </row>
    <row r="152" spans="1:19" x14ac:dyDescent="0.25">
      <c r="A152" t="s">
        <v>17</v>
      </c>
      <c r="B152" t="str">
        <f t="shared" si="46"/>
        <v>Program C</v>
      </c>
      <c r="C152" t="str">
        <f t="shared" ca="1" si="44"/>
        <v>33754043</v>
      </c>
      <c r="D152" t="str">
        <f t="shared" ca="1" si="38"/>
        <v>Male</v>
      </c>
      <c r="E152" t="str">
        <f t="shared" ca="1" si="39"/>
        <v>White (Non-Hisp)</v>
      </c>
      <c r="F152" s="4">
        <f t="shared" ca="1" si="40"/>
        <v>41326</v>
      </c>
      <c r="G152" s="4">
        <f t="shared" ca="1" si="41"/>
        <v>41334</v>
      </c>
      <c r="H152" t="str">
        <f t="shared" ca="1" si="42"/>
        <v>5+ CANS</v>
      </c>
      <c r="I152" t="str">
        <f t="shared" ca="1" si="43"/>
        <v>Entry</v>
      </c>
      <c r="J152">
        <f t="shared" ca="1" si="47"/>
        <v>1</v>
      </c>
      <c r="K152">
        <f t="shared" ca="1" si="47"/>
        <v>0</v>
      </c>
      <c r="L152">
        <f t="shared" ca="1" si="47"/>
        <v>1</v>
      </c>
      <c r="M152">
        <f t="shared" ca="1" si="47"/>
        <v>2</v>
      </c>
      <c r="N152">
        <f t="shared" ca="1" si="47"/>
        <v>1</v>
      </c>
      <c r="O152">
        <f t="shared" ca="1" si="47"/>
        <v>2</v>
      </c>
      <c r="P152">
        <f t="shared" ca="1" si="47"/>
        <v>2</v>
      </c>
      <c r="Q152">
        <f t="shared" ca="1" si="47"/>
        <v>1</v>
      </c>
      <c r="R152">
        <f t="shared" ca="1" si="47"/>
        <v>0</v>
      </c>
      <c r="S152">
        <f t="shared" ca="1" si="47"/>
        <v>0</v>
      </c>
    </row>
    <row r="153" spans="1:19" x14ac:dyDescent="0.25">
      <c r="A153" t="s">
        <v>17</v>
      </c>
      <c r="B153" t="str">
        <f t="shared" si="46"/>
        <v>Program D</v>
      </c>
      <c r="C153" t="str">
        <f t="shared" ca="1" si="44"/>
        <v>33754043</v>
      </c>
      <c r="D153" t="str">
        <f t="shared" ca="1" si="38"/>
        <v>Male</v>
      </c>
      <c r="E153" t="str">
        <f t="shared" ca="1" si="39"/>
        <v>White (Non-Hisp)</v>
      </c>
      <c r="F153" s="4">
        <f t="shared" ca="1" si="40"/>
        <v>41326</v>
      </c>
      <c r="G153" s="4">
        <f t="shared" ca="1" si="41"/>
        <v>41360</v>
      </c>
      <c r="H153" t="str">
        <f t="shared" ca="1" si="42"/>
        <v>5+ CANS</v>
      </c>
      <c r="I153" t="str">
        <f t="shared" ca="1" si="43"/>
        <v>Reassessment</v>
      </c>
      <c r="J153">
        <f t="shared" ca="1" si="47"/>
        <v>1</v>
      </c>
      <c r="K153">
        <f t="shared" ca="1" si="47"/>
        <v>3</v>
      </c>
      <c r="L153">
        <f t="shared" ca="1" si="47"/>
        <v>0</v>
      </c>
      <c r="M153">
        <f t="shared" ca="1" si="47"/>
        <v>2</v>
      </c>
      <c r="N153">
        <f t="shared" ca="1" si="47"/>
        <v>2</v>
      </c>
      <c r="O153">
        <f t="shared" ca="1" si="47"/>
        <v>1</v>
      </c>
      <c r="P153">
        <f t="shared" ca="1" si="47"/>
        <v>2</v>
      </c>
      <c r="Q153">
        <f t="shared" ca="1" si="47"/>
        <v>0</v>
      </c>
      <c r="R153">
        <f t="shared" ca="1" si="47"/>
        <v>0</v>
      </c>
      <c r="S153">
        <f t="shared" ca="1" si="47"/>
        <v>1</v>
      </c>
    </row>
    <row r="154" spans="1:19" x14ac:dyDescent="0.25">
      <c r="A154" t="s">
        <v>17</v>
      </c>
      <c r="B154" t="str">
        <f t="shared" si="46"/>
        <v>Program B</v>
      </c>
      <c r="C154" t="str">
        <f t="shared" ca="1" si="44"/>
        <v>67123933</v>
      </c>
      <c r="D154" t="str">
        <f t="shared" ca="1" si="38"/>
        <v>Female</v>
      </c>
      <c r="E154" t="str">
        <f t="shared" ca="1" si="39"/>
        <v>White (Non-Hisp)</v>
      </c>
      <c r="F154" s="4">
        <f t="shared" ca="1" si="40"/>
        <v>41599</v>
      </c>
      <c r="G154" s="4">
        <f t="shared" ca="1" si="41"/>
        <v>41629</v>
      </c>
      <c r="H154" t="str">
        <f t="shared" ca="1" si="42"/>
        <v>5+ CANS</v>
      </c>
      <c r="I154" t="str">
        <f t="shared" ca="1" si="43"/>
        <v>Entry</v>
      </c>
      <c r="J154">
        <f t="shared" ca="1" si="47"/>
        <v>1</v>
      </c>
      <c r="K154">
        <f t="shared" ca="1" si="47"/>
        <v>3</v>
      </c>
      <c r="L154">
        <f t="shared" ca="1" si="47"/>
        <v>1</v>
      </c>
      <c r="M154">
        <f t="shared" ca="1" si="47"/>
        <v>2</v>
      </c>
      <c r="N154">
        <f t="shared" ca="1" si="47"/>
        <v>2</v>
      </c>
      <c r="O154">
        <f t="shared" ca="1" si="47"/>
        <v>1</v>
      </c>
      <c r="P154">
        <f t="shared" ca="1" si="47"/>
        <v>3</v>
      </c>
      <c r="Q154">
        <f t="shared" ca="1" si="47"/>
        <v>0</v>
      </c>
      <c r="R154">
        <f t="shared" ca="1" si="47"/>
        <v>2</v>
      </c>
      <c r="S154">
        <f t="shared" ca="1" si="47"/>
        <v>0</v>
      </c>
    </row>
    <row r="155" spans="1:19" x14ac:dyDescent="0.25">
      <c r="A155" t="s">
        <v>18</v>
      </c>
      <c r="B155" t="str">
        <f t="shared" si="46"/>
        <v>Program C</v>
      </c>
      <c r="C155" t="str">
        <f t="shared" ca="1" si="44"/>
        <v>67123933</v>
      </c>
      <c r="D155" t="str">
        <f t="shared" ca="1" si="38"/>
        <v>Female</v>
      </c>
      <c r="E155" t="str">
        <f t="shared" ca="1" si="39"/>
        <v>White (Non-Hisp)</v>
      </c>
      <c r="F155" s="4">
        <f t="shared" ca="1" si="40"/>
        <v>41599</v>
      </c>
      <c r="G155" s="4">
        <f t="shared" ca="1" si="41"/>
        <v>41722</v>
      </c>
      <c r="H155" t="str">
        <f t="shared" ca="1" si="42"/>
        <v>5+ CANS</v>
      </c>
      <c r="I155" t="str">
        <f t="shared" ca="1" si="43"/>
        <v>Reassessment</v>
      </c>
      <c r="J155">
        <f t="shared" ca="1" si="47"/>
        <v>0</v>
      </c>
      <c r="K155">
        <f t="shared" ca="1" si="47"/>
        <v>1</v>
      </c>
      <c r="L155">
        <f t="shared" ca="1" si="47"/>
        <v>1</v>
      </c>
      <c r="M155">
        <f t="shared" ca="1" si="47"/>
        <v>2</v>
      </c>
      <c r="N155">
        <f t="shared" ca="1" si="47"/>
        <v>3</v>
      </c>
      <c r="O155">
        <f t="shared" ca="1" si="47"/>
        <v>1</v>
      </c>
      <c r="P155">
        <f t="shared" ca="1" si="47"/>
        <v>1</v>
      </c>
      <c r="Q155">
        <f t="shared" ca="1" si="47"/>
        <v>1</v>
      </c>
      <c r="R155">
        <f t="shared" ca="1" si="47"/>
        <v>2</v>
      </c>
      <c r="S155">
        <f t="shared" ca="1" si="47"/>
        <v>2</v>
      </c>
    </row>
    <row r="156" spans="1:19" x14ac:dyDescent="0.25">
      <c r="A156" t="s">
        <v>18</v>
      </c>
      <c r="B156" t="str">
        <f t="shared" si="46"/>
        <v>Program D</v>
      </c>
      <c r="C156" t="str">
        <f t="shared" ca="1" si="44"/>
        <v>34697371</v>
      </c>
      <c r="D156" t="str">
        <f t="shared" ca="1" si="38"/>
        <v>Female</v>
      </c>
      <c r="E156" t="str">
        <f t="shared" ca="1" si="39"/>
        <v>White (Non-Hisp)</v>
      </c>
      <c r="F156" s="4">
        <f t="shared" ca="1" si="40"/>
        <v>41591</v>
      </c>
      <c r="G156" s="4">
        <f t="shared" ca="1" si="41"/>
        <v>41609</v>
      </c>
      <c r="H156" t="str">
        <f t="shared" ca="1" si="42"/>
        <v>5+ CANS</v>
      </c>
      <c r="I156" t="str">
        <f t="shared" ca="1" si="43"/>
        <v>Entry</v>
      </c>
      <c r="J156">
        <f t="shared" ca="1" si="47"/>
        <v>0</v>
      </c>
      <c r="K156">
        <f t="shared" ca="1" si="47"/>
        <v>2</v>
      </c>
      <c r="L156">
        <f t="shared" ca="1" si="47"/>
        <v>1</v>
      </c>
      <c r="M156">
        <f t="shared" ca="1" si="47"/>
        <v>2</v>
      </c>
      <c r="N156">
        <f t="shared" ca="1" si="47"/>
        <v>3</v>
      </c>
      <c r="O156">
        <f t="shared" ca="1" si="47"/>
        <v>1</v>
      </c>
      <c r="P156">
        <f t="shared" ca="1" si="47"/>
        <v>2</v>
      </c>
      <c r="Q156">
        <f t="shared" ca="1" si="47"/>
        <v>3</v>
      </c>
      <c r="R156">
        <f t="shared" ca="1" si="47"/>
        <v>1</v>
      </c>
      <c r="S156">
        <f t="shared" ca="1" si="47"/>
        <v>2</v>
      </c>
    </row>
    <row r="157" spans="1:19" x14ac:dyDescent="0.25">
      <c r="A157" t="s">
        <v>18</v>
      </c>
      <c r="B157" t="str">
        <f t="shared" si="46"/>
        <v>Program B</v>
      </c>
      <c r="C157" t="str">
        <f t="shared" ca="1" si="44"/>
        <v>34697371</v>
      </c>
      <c r="D157" t="str">
        <f t="shared" ca="1" si="38"/>
        <v>Female</v>
      </c>
      <c r="E157" t="str">
        <f t="shared" ca="1" si="39"/>
        <v>White (Non-Hisp)</v>
      </c>
      <c r="F157" s="4">
        <f t="shared" ca="1" si="40"/>
        <v>41591</v>
      </c>
      <c r="G157" s="4">
        <f t="shared" ca="1" si="41"/>
        <v>41688</v>
      </c>
      <c r="H157" t="str">
        <f t="shared" ca="1" si="42"/>
        <v>5+ CANS</v>
      </c>
      <c r="I157" t="str">
        <f t="shared" ca="1" si="43"/>
        <v>Reassessment</v>
      </c>
      <c r="J157">
        <f t="shared" ca="1" si="47"/>
        <v>0</v>
      </c>
      <c r="K157">
        <f t="shared" ca="1" si="47"/>
        <v>1</v>
      </c>
      <c r="L157">
        <f t="shared" ca="1" si="47"/>
        <v>0</v>
      </c>
      <c r="M157">
        <f t="shared" ca="1" si="47"/>
        <v>0</v>
      </c>
      <c r="N157">
        <f t="shared" ca="1" si="47"/>
        <v>3</v>
      </c>
      <c r="O157">
        <f t="shared" ca="1" si="47"/>
        <v>0</v>
      </c>
      <c r="P157">
        <f t="shared" ca="1" si="47"/>
        <v>1</v>
      </c>
      <c r="Q157">
        <f t="shared" ca="1" si="47"/>
        <v>0</v>
      </c>
      <c r="R157">
        <f t="shared" ca="1" si="47"/>
        <v>1</v>
      </c>
      <c r="S157">
        <f t="shared" ca="1" si="47"/>
        <v>1</v>
      </c>
    </row>
    <row r="158" spans="1:19" x14ac:dyDescent="0.25">
      <c r="A158" t="s">
        <v>18</v>
      </c>
      <c r="B158" t="str">
        <f t="shared" si="46"/>
        <v>Program C</v>
      </c>
      <c r="C158" t="str">
        <f t="shared" ca="1" si="44"/>
        <v>34697371</v>
      </c>
      <c r="D158" t="str">
        <f t="shared" ca="1" si="38"/>
        <v>Female</v>
      </c>
      <c r="E158" t="str">
        <f t="shared" ca="1" si="39"/>
        <v>White (Non-Hisp)</v>
      </c>
      <c r="F158" s="4">
        <f t="shared" ca="1" si="40"/>
        <v>41591</v>
      </c>
      <c r="G158" s="4">
        <f t="shared" ca="1" si="41"/>
        <v>41788</v>
      </c>
      <c r="H158" t="str">
        <f t="shared" ca="1" si="42"/>
        <v>5+ CANS</v>
      </c>
      <c r="I158" t="str">
        <f t="shared" ca="1" si="43"/>
        <v>Reassessment</v>
      </c>
      <c r="J158">
        <f t="shared" ca="1" si="47"/>
        <v>1</v>
      </c>
      <c r="K158">
        <f t="shared" ca="1" si="47"/>
        <v>3</v>
      </c>
      <c r="L158">
        <f t="shared" ca="1" si="47"/>
        <v>1</v>
      </c>
      <c r="M158">
        <f t="shared" ca="1" si="47"/>
        <v>2</v>
      </c>
      <c r="N158">
        <f t="shared" ca="1" si="47"/>
        <v>1</v>
      </c>
      <c r="O158">
        <f t="shared" ca="1" si="47"/>
        <v>3</v>
      </c>
      <c r="P158">
        <f t="shared" ca="1" si="47"/>
        <v>1</v>
      </c>
      <c r="Q158">
        <f t="shared" ca="1" si="47"/>
        <v>1</v>
      </c>
      <c r="R158">
        <f t="shared" ca="1" si="47"/>
        <v>1</v>
      </c>
      <c r="S158">
        <f t="shared" ca="1" si="47"/>
        <v>0</v>
      </c>
    </row>
    <row r="159" spans="1:19" x14ac:dyDescent="0.25">
      <c r="A159" t="s">
        <v>18</v>
      </c>
      <c r="B159" t="str">
        <f t="shared" si="46"/>
        <v>Program D</v>
      </c>
      <c r="C159" t="str">
        <f t="shared" ca="1" si="44"/>
        <v>34697371</v>
      </c>
      <c r="D159" t="str">
        <f t="shared" ca="1" si="38"/>
        <v>Female</v>
      </c>
      <c r="E159" t="str">
        <f t="shared" ca="1" si="39"/>
        <v>White (Non-Hisp)</v>
      </c>
      <c r="F159" s="4">
        <f t="shared" ca="1" si="40"/>
        <v>41591</v>
      </c>
      <c r="G159" s="4">
        <f t="shared" ca="1" si="41"/>
        <v>41834</v>
      </c>
      <c r="H159" t="str">
        <f t="shared" ca="1" si="42"/>
        <v>5+ CANS</v>
      </c>
      <c r="I159" t="str">
        <f t="shared" ca="1" si="43"/>
        <v>Reassessment</v>
      </c>
      <c r="J159">
        <f t="shared" ca="1" si="47"/>
        <v>0</v>
      </c>
      <c r="K159">
        <f t="shared" ca="1" si="47"/>
        <v>1</v>
      </c>
      <c r="L159">
        <f t="shared" ca="1" si="47"/>
        <v>1</v>
      </c>
      <c r="M159">
        <f t="shared" ca="1" si="47"/>
        <v>3</v>
      </c>
      <c r="N159">
        <f t="shared" ca="1" si="47"/>
        <v>3</v>
      </c>
      <c r="O159">
        <f t="shared" ca="1" si="47"/>
        <v>2</v>
      </c>
      <c r="P159">
        <f t="shared" ca="1" si="47"/>
        <v>0</v>
      </c>
      <c r="Q159">
        <f t="shared" ca="1" si="47"/>
        <v>1</v>
      </c>
      <c r="R159">
        <f t="shared" ca="1" si="47"/>
        <v>1</v>
      </c>
      <c r="S159">
        <f t="shared" ca="1" si="47"/>
        <v>0</v>
      </c>
    </row>
    <row r="160" spans="1:19" x14ac:dyDescent="0.25">
      <c r="A160" t="s">
        <v>18</v>
      </c>
      <c r="B160" t="str">
        <f t="shared" si="46"/>
        <v>Program B</v>
      </c>
      <c r="C160" t="str">
        <f t="shared" ca="1" si="44"/>
        <v>34697371</v>
      </c>
      <c r="D160" t="str">
        <f t="shared" ca="1" si="38"/>
        <v>Female</v>
      </c>
      <c r="E160" t="str">
        <f t="shared" ca="1" si="39"/>
        <v>White (Non-Hisp)</v>
      </c>
      <c r="F160" s="4">
        <f t="shared" ca="1" si="40"/>
        <v>41591</v>
      </c>
      <c r="G160" s="4">
        <f t="shared" ca="1" si="41"/>
        <v>41890</v>
      </c>
      <c r="H160" t="str">
        <f t="shared" ca="1" si="42"/>
        <v>5+ CANS</v>
      </c>
      <c r="I160" t="str">
        <f t="shared" ca="1" si="43"/>
        <v>Reassessment</v>
      </c>
      <c r="J160">
        <f t="shared" ca="1" si="47"/>
        <v>2</v>
      </c>
      <c r="K160">
        <f t="shared" ca="1" si="47"/>
        <v>2</v>
      </c>
      <c r="L160">
        <f t="shared" ca="1" si="47"/>
        <v>0</v>
      </c>
      <c r="M160">
        <f t="shared" ca="1" si="47"/>
        <v>0</v>
      </c>
      <c r="N160">
        <f t="shared" ca="1" si="47"/>
        <v>3</v>
      </c>
      <c r="O160">
        <f t="shared" ca="1" si="47"/>
        <v>3</v>
      </c>
      <c r="P160">
        <f t="shared" ca="1" si="47"/>
        <v>0</v>
      </c>
      <c r="Q160">
        <f t="shared" ca="1" si="47"/>
        <v>0</v>
      </c>
      <c r="R160">
        <f t="shared" ca="1" si="47"/>
        <v>3</v>
      </c>
      <c r="S160">
        <f t="shared" ca="1" si="47"/>
        <v>2</v>
      </c>
    </row>
    <row r="161" spans="1:19" x14ac:dyDescent="0.25">
      <c r="A161" t="s">
        <v>18</v>
      </c>
      <c r="B161" t="str">
        <f t="shared" si="46"/>
        <v>Program C</v>
      </c>
      <c r="C161" t="str">
        <f t="shared" ca="1" si="44"/>
        <v>34697371</v>
      </c>
      <c r="D161" t="str">
        <f t="shared" ca="1" si="38"/>
        <v>Female</v>
      </c>
      <c r="E161" t="str">
        <f t="shared" ca="1" si="39"/>
        <v>White (Non-Hisp)</v>
      </c>
      <c r="F161" s="4">
        <f t="shared" ca="1" si="40"/>
        <v>41591</v>
      </c>
      <c r="G161" s="4">
        <f t="shared" ca="1" si="41"/>
        <v>41937</v>
      </c>
      <c r="H161" t="str">
        <f t="shared" ca="1" si="42"/>
        <v>5+ CANS</v>
      </c>
      <c r="I161" t="str">
        <f t="shared" ca="1" si="43"/>
        <v>Reassessment</v>
      </c>
      <c r="J161">
        <f t="shared" ca="1" si="47"/>
        <v>1</v>
      </c>
      <c r="K161">
        <f t="shared" ca="1" si="47"/>
        <v>1</v>
      </c>
      <c r="L161">
        <f t="shared" ca="1" si="47"/>
        <v>2</v>
      </c>
      <c r="M161">
        <f t="shared" ca="1" si="47"/>
        <v>0</v>
      </c>
      <c r="N161">
        <f t="shared" ca="1" si="47"/>
        <v>1</v>
      </c>
      <c r="O161">
        <f t="shared" ca="1" si="47"/>
        <v>2</v>
      </c>
      <c r="P161">
        <f t="shared" ca="1" si="47"/>
        <v>3</v>
      </c>
      <c r="Q161">
        <f t="shared" ca="1" si="47"/>
        <v>0</v>
      </c>
      <c r="R161">
        <f t="shared" ca="1" si="47"/>
        <v>1</v>
      </c>
      <c r="S161">
        <f t="shared" ca="1" si="47"/>
        <v>1</v>
      </c>
    </row>
    <row r="162" spans="1:19" x14ac:dyDescent="0.25">
      <c r="A162" t="s">
        <v>18</v>
      </c>
      <c r="B162" t="str">
        <f t="shared" si="46"/>
        <v>Program D</v>
      </c>
      <c r="C162" t="str">
        <f t="shared" ca="1" si="44"/>
        <v>34697371</v>
      </c>
      <c r="D162" t="str">
        <f t="shared" ca="1" si="38"/>
        <v>Female</v>
      </c>
      <c r="E162" t="str">
        <f t="shared" ca="1" si="39"/>
        <v>White (Non-Hisp)</v>
      </c>
      <c r="F162" s="4">
        <f t="shared" ca="1" si="40"/>
        <v>41591</v>
      </c>
      <c r="G162" s="4">
        <f t="shared" ca="1" si="41"/>
        <v>42015</v>
      </c>
      <c r="H162" t="str">
        <f t="shared" ca="1" si="42"/>
        <v>5+ CANS</v>
      </c>
      <c r="I162" t="str">
        <f t="shared" ca="1" si="43"/>
        <v>Reassessment</v>
      </c>
      <c r="J162">
        <f t="shared" ca="1" si="47"/>
        <v>2</v>
      </c>
      <c r="K162">
        <f t="shared" ca="1" si="47"/>
        <v>1</v>
      </c>
      <c r="L162">
        <f t="shared" ca="1" si="47"/>
        <v>1</v>
      </c>
      <c r="M162">
        <f t="shared" ca="1" si="47"/>
        <v>2</v>
      </c>
      <c r="N162">
        <f t="shared" ca="1" si="47"/>
        <v>3</v>
      </c>
      <c r="O162">
        <f t="shared" ca="1" si="47"/>
        <v>1</v>
      </c>
      <c r="P162">
        <f t="shared" ca="1" si="47"/>
        <v>3</v>
      </c>
      <c r="Q162">
        <f t="shared" ca="1" si="47"/>
        <v>1</v>
      </c>
      <c r="R162">
        <f t="shared" ca="1" si="47"/>
        <v>0</v>
      </c>
      <c r="S162">
        <f t="shared" ca="1" si="47"/>
        <v>0</v>
      </c>
    </row>
    <row r="163" spans="1:19" x14ac:dyDescent="0.25">
      <c r="A163" t="s">
        <v>18</v>
      </c>
      <c r="B163" t="str">
        <f t="shared" si="46"/>
        <v>Program B</v>
      </c>
      <c r="C163" t="str">
        <f t="shared" ca="1" si="44"/>
        <v>83735077</v>
      </c>
      <c r="D163" t="str">
        <f t="shared" ref="D163:D184" ca="1" si="48">IF(C163=C162, D162, IF(RAND()&lt;0.5, "Male", "Female"))</f>
        <v>Male</v>
      </c>
      <c r="E163" t="str">
        <f t="shared" ref="E163:E184" ca="1" si="49">IF(C162=C163, E162, IF(RAND()&lt;0.6, "White (Non-Hisp)", IF(RAND()&lt;0.5, "Black (Non-Hisp)", "Hispanic")))</f>
        <v>White (Non-Hisp)</v>
      </c>
      <c r="F163" s="4">
        <f t="shared" ref="F163:F184" ca="1" si="50">IF(C162&lt;&gt;C163, ROUND(RAND()*500, 0)+DATE(2013, 1, 1), F162)</f>
        <v>41761</v>
      </c>
      <c r="G163" s="4">
        <f t="shared" ref="G163:G184" ca="1" si="51">IF(C162&lt;&gt;C163, F163+ROUND(RAND()*55, 0), G162+ROUND(RAND()*145, 0))</f>
        <v>41766</v>
      </c>
      <c r="H163" t="str">
        <f t="shared" ref="H163:H184" ca="1" si="52">IF(C162=C163, H162, IF(RAND()&lt;0.2, "0-4 CANS", "5+ CANS"))</f>
        <v>5+ CANS</v>
      </c>
      <c r="I163" t="str">
        <f t="shared" ref="I163:I184" ca="1" si="53">IF(C162=C163, "Reassessment", "Entry")</f>
        <v>Entry</v>
      </c>
      <c r="J163">
        <f t="shared" ca="1" si="47"/>
        <v>0</v>
      </c>
      <c r="K163">
        <f t="shared" ca="1" si="47"/>
        <v>3</v>
      </c>
      <c r="L163">
        <f t="shared" ca="1" si="47"/>
        <v>1</v>
      </c>
      <c r="M163">
        <f t="shared" ca="1" si="47"/>
        <v>0</v>
      </c>
      <c r="N163">
        <f t="shared" ca="1" si="47"/>
        <v>1</v>
      </c>
      <c r="O163">
        <f t="shared" ca="1" si="47"/>
        <v>1</v>
      </c>
      <c r="P163">
        <f t="shared" ca="1" si="47"/>
        <v>3</v>
      </c>
      <c r="Q163">
        <f t="shared" ca="1" si="47"/>
        <v>2</v>
      </c>
      <c r="R163">
        <f t="shared" ca="1" si="47"/>
        <v>2</v>
      </c>
      <c r="S163">
        <f t="shared" ca="1" si="47"/>
        <v>0</v>
      </c>
    </row>
    <row r="164" spans="1:19" x14ac:dyDescent="0.25">
      <c r="A164" t="s">
        <v>18</v>
      </c>
      <c r="B164" t="str">
        <f t="shared" si="46"/>
        <v>Program C</v>
      </c>
      <c r="C164" t="str">
        <f t="shared" ca="1" si="44"/>
        <v>57061620</v>
      </c>
      <c r="D164" t="str">
        <f t="shared" ca="1" si="48"/>
        <v>Male</v>
      </c>
      <c r="E164" t="str">
        <f t="shared" ca="1" si="49"/>
        <v>Black (Non-Hisp)</v>
      </c>
      <c r="F164" s="4">
        <f t="shared" ca="1" si="50"/>
        <v>41646</v>
      </c>
      <c r="G164" s="4">
        <f t="shared" ca="1" si="51"/>
        <v>41684</v>
      </c>
      <c r="H164" t="str">
        <f t="shared" ca="1" si="52"/>
        <v>5+ CANS</v>
      </c>
      <c r="I164" t="str">
        <f t="shared" ca="1" si="53"/>
        <v>Entry</v>
      </c>
      <c r="J164">
        <f t="shared" ref="J164:S179" ca="1" si="54">MIN(ROUND(EXP(RAND()*J$1)-1, 0), 3)</f>
        <v>1</v>
      </c>
      <c r="K164">
        <f t="shared" ca="1" si="54"/>
        <v>0</v>
      </c>
      <c r="L164">
        <f t="shared" ca="1" si="54"/>
        <v>0</v>
      </c>
      <c r="M164">
        <f t="shared" ca="1" si="54"/>
        <v>0</v>
      </c>
      <c r="N164">
        <f t="shared" ca="1" si="54"/>
        <v>0</v>
      </c>
      <c r="O164">
        <f t="shared" ca="1" si="54"/>
        <v>3</v>
      </c>
      <c r="P164">
        <f t="shared" ca="1" si="54"/>
        <v>2</v>
      </c>
      <c r="Q164">
        <f t="shared" ca="1" si="54"/>
        <v>0</v>
      </c>
      <c r="R164">
        <f t="shared" ca="1" si="54"/>
        <v>0</v>
      </c>
      <c r="S164">
        <f t="shared" ca="1" si="54"/>
        <v>1</v>
      </c>
    </row>
    <row r="165" spans="1:19" x14ac:dyDescent="0.25">
      <c r="A165" t="s">
        <v>18</v>
      </c>
      <c r="B165" t="str">
        <f t="shared" si="46"/>
        <v>Program D</v>
      </c>
      <c r="C165" t="str">
        <f t="shared" ca="1" si="44"/>
        <v>57061620</v>
      </c>
      <c r="D165" t="str">
        <f t="shared" ca="1" si="48"/>
        <v>Male</v>
      </c>
      <c r="E165" t="str">
        <f t="shared" ca="1" si="49"/>
        <v>Black (Non-Hisp)</v>
      </c>
      <c r="F165" s="4">
        <f t="shared" ca="1" si="50"/>
        <v>41646</v>
      </c>
      <c r="G165" s="4">
        <f t="shared" ca="1" si="51"/>
        <v>41687</v>
      </c>
      <c r="H165" t="str">
        <f t="shared" ca="1" si="52"/>
        <v>5+ CANS</v>
      </c>
      <c r="I165" t="str">
        <f t="shared" ca="1" si="53"/>
        <v>Reassessment</v>
      </c>
      <c r="J165">
        <f t="shared" ca="1" si="54"/>
        <v>0</v>
      </c>
      <c r="K165">
        <f t="shared" ca="1" si="54"/>
        <v>1</v>
      </c>
      <c r="L165">
        <f t="shared" ca="1" si="54"/>
        <v>0</v>
      </c>
      <c r="M165">
        <f t="shared" ca="1" si="54"/>
        <v>1</v>
      </c>
      <c r="N165">
        <f t="shared" ca="1" si="54"/>
        <v>2</v>
      </c>
      <c r="O165">
        <f t="shared" ca="1" si="54"/>
        <v>1</v>
      </c>
      <c r="P165">
        <f t="shared" ca="1" si="54"/>
        <v>1</v>
      </c>
      <c r="Q165">
        <f t="shared" ca="1" si="54"/>
        <v>1</v>
      </c>
      <c r="R165">
        <f t="shared" ca="1" si="54"/>
        <v>1</v>
      </c>
      <c r="S165">
        <f t="shared" ca="1" si="54"/>
        <v>2</v>
      </c>
    </row>
    <row r="166" spans="1:19" x14ac:dyDescent="0.25">
      <c r="A166" t="s">
        <v>18</v>
      </c>
      <c r="B166" t="str">
        <f t="shared" si="46"/>
        <v>Program B</v>
      </c>
      <c r="C166" t="str">
        <f t="shared" ca="1" si="44"/>
        <v>57061620</v>
      </c>
      <c r="D166" t="str">
        <f t="shared" ca="1" si="48"/>
        <v>Male</v>
      </c>
      <c r="E166" t="str">
        <f t="shared" ca="1" si="49"/>
        <v>Black (Non-Hisp)</v>
      </c>
      <c r="F166" s="4">
        <f t="shared" ca="1" si="50"/>
        <v>41646</v>
      </c>
      <c r="G166" s="4">
        <f t="shared" ca="1" si="51"/>
        <v>41831</v>
      </c>
      <c r="H166" t="str">
        <f t="shared" ca="1" si="52"/>
        <v>5+ CANS</v>
      </c>
      <c r="I166" t="str">
        <f t="shared" ca="1" si="53"/>
        <v>Reassessment</v>
      </c>
      <c r="J166">
        <f t="shared" ca="1" si="54"/>
        <v>1</v>
      </c>
      <c r="K166">
        <f t="shared" ca="1" si="54"/>
        <v>1</v>
      </c>
      <c r="L166">
        <f t="shared" ca="1" si="54"/>
        <v>0</v>
      </c>
      <c r="M166">
        <f t="shared" ca="1" si="54"/>
        <v>1</v>
      </c>
      <c r="N166">
        <f t="shared" ca="1" si="54"/>
        <v>1</v>
      </c>
      <c r="O166">
        <f t="shared" ca="1" si="54"/>
        <v>0</v>
      </c>
      <c r="P166">
        <f t="shared" ca="1" si="54"/>
        <v>1</v>
      </c>
      <c r="Q166">
        <f t="shared" ca="1" si="54"/>
        <v>2</v>
      </c>
      <c r="R166">
        <f t="shared" ca="1" si="54"/>
        <v>1</v>
      </c>
      <c r="S166">
        <f t="shared" ca="1" si="54"/>
        <v>2</v>
      </c>
    </row>
    <row r="167" spans="1:19" x14ac:dyDescent="0.25">
      <c r="A167" t="s">
        <v>18</v>
      </c>
      <c r="B167" t="str">
        <f t="shared" si="46"/>
        <v>Program C</v>
      </c>
      <c r="C167" t="str">
        <f t="shared" ca="1" si="44"/>
        <v>72599004</v>
      </c>
      <c r="D167" t="str">
        <f t="shared" ca="1" si="48"/>
        <v>Female</v>
      </c>
      <c r="E167" t="str">
        <f t="shared" ca="1" si="49"/>
        <v>White (Non-Hisp)</v>
      </c>
      <c r="F167" s="4">
        <f t="shared" ca="1" si="50"/>
        <v>41634</v>
      </c>
      <c r="G167" s="4">
        <f t="shared" ca="1" si="51"/>
        <v>41666</v>
      </c>
      <c r="H167" t="str">
        <f t="shared" ca="1" si="52"/>
        <v>0-4 CANS</v>
      </c>
      <c r="I167" t="str">
        <f t="shared" ca="1" si="53"/>
        <v>Entry</v>
      </c>
      <c r="J167">
        <f t="shared" ca="1" si="54"/>
        <v>0</v>
      </c>
      <c r="K167">
        <f t="shared" ca="1" si="54"/>
        <v>3</v>
      </c>
      <c r="L167">
        <f t="shared" ca="1" si="54"/>
        <v>1</v>
      </c>
      <c r="M167">
        <f t="shared" ca="1" si="54"/>
        <v>1</v>
      </c>
      <c r="N167">
        <f t="shared" ca="1" si="54"/>
        <v>1</v>
      </c>
      <c r="O167">
        <f t="shared" ca="1" si="54"/>
        <v>2</v>
      </c>
      <c r="P167">
        <f t="shared" ca="1" si="54"/>
        <v>1</v>
      </c>
      <c r="Q167">
        <f t="shared" ca="1" si="54"/>
        <v>1</v>
      </c>
      <c r="R167">
        <f t="shared" ca="1" si="54"/>
        <v>1</v>
      </c>
      <c r="S167">
        <f t="shared" ca="1" si="54"/>
        <v>1</v>
      </c>
    </row>
    <row r="168" spans="1:19" x14ac:dyDescent="0.25">
      <c r="A168" t="s">
        <v>18</v>
      </c>
      <c r="B168" t="str">
        <f t="shared" si="46"/>
        <v>Program D</v>
      </c>
      <c r="C168" t="str">
        <f t="shared" ca="1" si="44"/>
        <v>72599004</v>
      </c>
      <c r="D168" t="str">
        <f t="shared" ca="1" si="48"/>
        <v>Female</v>
      </c>
      <c r="E168" t="str">
        <f t="shared" ca="1" si="49"/>
        <v>White (Non-Hisp)</v>
      </c>
      <c r="F168" s="4">
        <f t="shared" ca="1" si="50"/>
        <v>41634</v>
      </c>
      <c r="G168" s="4">
        <f t="shared" ca="1" si="51"/>
        <v>41798</v>
      </c>
      <c r="H168" t="str">
        <f t="shared" ca="1" si="52"/>
        <v>0-4 CANS</v>
      </c>
      <c r="I168" t="str">
        <f t="shared" ca="1" si="53"/>
        <v>Reassessment</v>
      </c>
      <c r="J168">
        <f t="shared" ca="1" si="54"/>
        <v>2</v>
      </c>
      <c r="K168">
        <f t="shared" ca="1" si="54"/>
        <v>3</v>
      </c>
      <c r="L168">
        <f t="shared" ca="1" si="54"/>
        <v>1</v>
      </c>
      <c r="M168">
        <f t="shared" ca="1" si="54"/>
        <v>0</v>
      </c>
      <c r="N168">
        <f t="shared" ca="1" si="54"/>
        <v>1</v>
      </c>
      <c r="O168">
        <f t="shared" ca="1" si="54"/>
        <v>0</v>
      </c>
      <c r="P168">
        <f t="shared" ca="1" si="54"/>
        <v>2</v>
      </c>
      <c r="Q168">
        <f t="shared" ca="1" si="54"/>
        <v>2</v>
      </c>
      <c r="R168">
        <f t="shared" ca="1" si="54"/>
        <v>0</v>
      </c>
      <c r="S168">
        <f t="shared" ca="1" si="54"/>
        <v>1</v>
      </c>
    </row>
    <row r="169" spans="1:19" x14ac:dyDescent="0.25">
      <c r="A169" t="s">
        <v>18</v>
      </c>
      <c r="B169" t="str">
        <f t="shared" si="46"/>
        <v>Program B</v>
      </c>
      <c r="C169" t="str">
        <f t="shared" ca="1" si="44"/>
        <v>02974405</v>
      </c>
      <c r="D169" t="str">
        <f t="shared" ca="1" si="48"/>
        <v>Female</v>
      </c>
      <c r="E169" t="str">
        <f t="shared" ca="1" si="49"/>
        <v>White (Non-Hisp)</v>
      </c>
      <c r="F169" s="4">
        <f t="shared" ca="1" si="50"/>
        <v>41566</v>
      </c>
      <c r="G169" s="4">
        <f t="shared" ca="1" si="51"/>
        <v>41568</v>
      </c>
      <c r="H169" t="str">
        <f t="shared" ca="1" si="52"/>
        <v>5+ CANS</v>
      </c>
      <c r="I169" t="str">
        <f t="shared" ca="1" si="53"/>
        <v>Entry</v>
      </c>
      <c r="J169">
        <f t="shared" ca="1" si="54"/>
        <v>0</v>
      </c>
      <c r="K169">
        <f t="shared" ca="1" si="54"/>
        <v>0</v>
      </c>
      <c r="L169">
        <f t="shared" ca="1" si="54"/>
        <v>0</v>
      </c>
      <c r="M169">
        <f t="shared" ca="1" si="54"/>
        <v>1</v>
      </c>
      <c r="N169">
        <f t="shared" ca="1" si="54"/>
        <v>2</v>
      </c>
      <c r="O169">
        <f t="shared" ca="1" si="54"/>
        <v>0</v>
      </c>
      <c r="P169">
        <f t="shared" ca="1" si="54"/>
        <v>0</v>
      </c>
      <c r="Q169">
        <f t="shared" ca="1" si="54"/>
        <v>0</v>
      </c>
      <c r="R169">
        <f t="shared" ca="1" si="54"/>
        <v>1</v>
      </c>
      <c r="S169">
        <f t="shared" ca="1" si="54"/>
        <v>0</v>
      </c>
    </row>
    <row r="170" spans="1:19" x14ac:dyDescent="0.25">
      <c r="A170" t="s">
        <v>18</v>
      </c>
      <c r="B170" t="str">
        <f t="shared" si="46"/>
        <v>Program C</v>
      </c>
      <c r="C170" t="str">
        <f t="shared" ca="1" si="44"/>
        <v>02974405</v>
      </c>
      <c r="D170" t="str">
        <f t="shared" ca="1" si="48"/>
        <v>Female</v>
      </c>
      <c r="E170" t="str">
        <f t="shared" ca="1" si="49"/>
        <v>White (Non-Hisp)</v>
      </c>
      <c r="F170" s="4">
        <f t="shared" ca="1" si="50"/>
        <v>41566</v>
      </c>
      <c r="G170" s="4">
        <f t="shared" ca="1" si="51"/>
        <v>41646</v>
      </c>
      <c r="H170" t="str">
        <f t="shared" ca="1" si="52"/>
        <v>5+ CANS</v>
      </c>
      <c r="I170" t="str">
        <f t="shared" ca="1" si="53"/>
        <v>Reassessment</v>
      </c>
      <c r="J170">
        <f t="shared" ca="1" si="54"/>
        <v>0</v>
      </c>
      <c r="K170">
        <f t="shared" ca="1" si="54"/>
        <v>0</v>
      </c>
      <c r="L170">
        <f t="shared" ca="1" si="54"/>
        <v>1</v>
      </c>
      <c r="M170">
        <f t="shared" ca="1" si="54"/>
        <v>0</v>
      </c>
      <c r="N170">
        <f t="shared" ca="1" si="54"/>
        <v>3</v>
      </c>
      <c r="O170">
        <f t="shared" ca="1" si="54"/>
        <v>1</v>
      </c>
      <c r="P170">
        <f t="shared" ca="1" si="54"/>
        <v>3</v>
      </c>
      <c r="Q170">
        <f t="shared" ca="1" si="54"/>
        <v>0</v>
      </c>
      <c r="R170">
        <f t="shared" ca="1" si="54"/>
        <v>2</v>
      </c>
      <c r="S170">
        <f t="shared" ca="1" si="54"/>
        <v>0</v>
      </c>
    </row>
    <row r="171" spans="1:19" x14ac:dyDescent="0.25">
      <c r="A171" t="s">
        <v>18</v>
      </c>
      <c r="B171" t="str">
        <f t="shared" si="46"/>
        <v>Program D</v>
      </c>
      <c r="C171" t="str">
        <f t="shared" ca="1" si="44"/>
        <v>02974405</v>
      </c>
      <c r="D171" t="str">
        <f t="shared" ca="1" si="48"/>
        <v>Female</v>
      </c>
      <c r="E171" t="str">
        <f t="shared" ca="1" si="49"/>
        <v>White (Non-Hisp)</v>
      </c>
      <c r="F171" s="4">
        <f t="shared" ca="1" si="50"/>
        <v>41566</v>
      </c>
      <c r="G171" s="4">
        <f t="shared" ca="1" si="51"/>
        <v>41739</v>
      </c>
      <c r="H171" t="str">
        <f t="shared" ca="1" si="52"/>
        <v>5+ CANS</v>
      </c>
      <c r="I171" t="str">
        <f t="shared" ca="1" si="53"/>
        <v>Reassessment</v>
      </c>
      <c r="J171">
        <f t="shared" ca="1" si="54"/>
        <v>2</v>
      </c>
      <c r="K171">
        <f t="shared" ca="1" si="54"/>
        <v>2</v>
      </c>
      <c r="L171">
        <f t="shared" ca="1" si="54"/>
        <v>0</v>
      </c>
      <c r="M171">
        <f t="shared" ca="1" si="54"/>
        <v>1</v>
      </c>
      <c r="N171">
        <f t="shared" ca="1" si="54"/>
        <v>0</v>
      </c>
      <c r="O171">
        <f t="shared" ca="1" si="54"/>
        <v>1</v>
      </c>
      <c r="P171">
        <f t="shared" ca="1" si="54"/>
        <v>1</v>
      </c>
      <c r="Q171">
        <f t="shared" ca="1" si="54"/>
        <v>1</v>
      </c>
      <c r="R171">
        <f t="shared" ca="1" si="54"/>
        <v>1</v>
      </c>
      <c r="S171">
        <f t="shared" ca="1" si="54"/>
        <v>1</v>
      </c>
    </row>
    <row r="172" spans="1:19" x14ac:dyDescent="0.25">
      <c r="A172" t="s">
        <v>18</v>
      </c>
      <c r="B172" t="str">
        <f t="shared" si="46"/>
        <v>Program B</v>
      </c>
      <c r="C172" t="str">
        <f t="shared" ca="1" si="44"/>
        <v>02974405</v>
      </c>
      <c r="D172" t="str">
        <f t="shared" ca="1" si="48"/>
        <v>Female</v>
      </c>
      <c r="E172" t="str">
        <f t="shared" ca="1" si="49"/>
        <v>White (Non-Hisp)</v>
      </c>
      <c r="F172" s="4">
        <f t="shared" ca="1" si="50"/>
        <v>41566</v>
      </c>
      <c r="G172" s="4">
        <f t="shared" ca="1" si="51"/>
        <v>41814</v>
      </c>
      <c r="H172" t="str">
        <f t="shared" ca="1" si="52"/>
        <v>5+ CANS</v>
      </c>
      <c r="I172" t="str">
        <f t="shared" ca="1" si="53"/>
        <v>Reassessment</v>
      </c>
      <c r="J172">
        <f t="shared" ca="1" si="54"/>
        <v>1</v>
      </c>
      <c r="K172">
        <f t="shared" ca="1" si="54"/>
        <v>0</v>
      </c>
      <c r="L172">
        <f t="shared" ca="1" si="54"/>
        <v>0</v>
      </c>
      <c r="M172">
        <f t="shared" ca="1" si="54"/>
        <v>1</v>
      </c>
      <c r="N172">
        <f t="shared" ca="1" si="54"/>
        <v>3</v>
      </c>
      <c r="O172">
        <f t="shared" ca="1" si="54"/>
        <v>2</v>
      </c>
      <c r="P172">
        <f t="shared" ca="1" si="54"/>
        <v>2</v>
      </c>
      <c r="Q172">
        <f t="shared" ca="1" si="54"/>
        <v>1</v>
      </c>
      <c r="R172">
        <f t="shared" ca="1" si="54"/>
        <v>0</v>
      </c>
      <c r="S172">
        <f t="shared" ca="1" si="54"/>
        <v>0</v>
      </c>
    </row>
    <row r="173" spans="1:19" x14ac:dyDescent="0.25">
      <c r="A173" t="s">
        <v>18</v>
      </c>
      <c r="B173" t="str">
        <f t="shared" si="46"/>
        <v>Program C</v>
      </c>
      <c r="C173" t="str">
        <f t="shared" ca="1" si="44"/>
        <v>45115994</v>
      </c>
      <c r="D173" t="str">
        <f t="shared" ca="1" si="48"/>
        <v>Female</v>
      </c>
      <c r="E173" t="str">
        <f t="shared" ca="1" si="49"/>
        <v>Hispanic</v>
      </c>
      <c r="F173" s="4">
        <f t="shared" ca="1" si="50"/>
        <v>41523</v>
      </c>
      <c r="G173" s="4">
        <f t="shared" ca="1" si="51"/>
        <v>41546</v>
      </c>
      <c r="H173" t="str">
        <f t="shared" ca="1" si="52"/>
        <v>0-4 CANS</v>
      </c>
      <c r="I173" t="str">
        <f t="shared" ca="1" si="53"/>
        <v>Entry</v>
      </c>
      <c r="J173">
        <f t="shared" ca="1" si="54"/>
        <v>0</v>
      </c>
      <c r="K173">
        <f t="shared" ca="1" si="54"/>
        <v>0</v>
      </c>
      <c r="L173">
        <f t="shared" ca="1" si="54"/>
        <v>0</v>
      </c>
      <c r="M173">
        <f t="shared" ca="1" si="54"/>
        <v>1</v>
      </c>
      <c r="N173">
        <f t="shared" ca="1" si="54"/>
        <v>3</v>
      </c>
      <c r="O173">
        <f t="shared" ca="1" si="54"/>
        <v>0</v>
      </c>
      <c r="P173">
        <f t="shared" ca="1" si="54"/>
        <v>2</v>
      </c>
      <c r="Q173">
        <f t="shared" ca="1" si="54"/>
        <v>0</v>
      </c>
      <c r="R173">
        <f t="shared" ca="1" si="54"/>
        <v>1</v>
      </c>
      <c r="S173">
        <f t="shared" ca="1" si="54"/>
        <v>0</v>
      </c>
    </row>
    <row r="174" spans="1:19" x14ac:dyDescent="0.25">
      <c r="A174" t="s">
        <v>18</v>
      </c>
      <c r="B174" t="str">
        <f t="shared" si="46"/>
        <v>Program D</v>
      </c>
      <c r="C174" t="str">
        <f t="shared" ca="1" si="44"/>
        <v>45115994</v>
      </c>
      <c r="D174" t="str">
        <f t="shared" ca="1" si="48"/>
        <v>Female</v>
      </c>
      <c r="E174" t="str">
        <f t="shared" ca="1" si="49"/>
        <v>Hispanic</v>
      </c>
      <c r="F174" s="4">
        <f t="shared" ca="1" si="50"/>
        <v>41523</v>
      </c>
      <c r="G174" s="4">
        <f t="shared" ca="1" si="51"/>
        <v>41635</v>
      </c>
      <c r="H174" t="str">
        <f t="shared" ca="1" si="52"/>
        <v>0-4 CANS</v>
      </c>
      <c r="I174" t="str">
        <f t="shared" ca="1" si="53"/>
        <v>Reassessment</v>
      </c>
      <c r="J174">
        <f t="shared" ca="1" si="54"/>
        <v>1</v>
      </c>
      <c r="K174">
        <f t="shared" ca="1" si="54"/>
        <v>3</v>
      </c>
      <c r="L174">
        <f t="shared" ca="1" si="54"/>
        <v>0</v>
      </c>
      <c r="M174">
        <f t="shared" ca="1" si="54"/>
        <v>0</v>
      </c>
      <c r="N174">
        <f t="shared" ca="1" si="54"/>
        <v>3</v>
      </c>
      <c r="O174">
        <f t="shared" ca="1" si="54"/>
        <v>2</v>
      </c>
      <c r="P174">
        <f t="shared" ca="1" si="54"/>
        <v>1</v>
      </c>
      <c r="Q174">
        <f t="shared" ca="1" si="54"/>
        <v>1</v>
      </c>
      <c r="R174">
        <f t="shared" ca="1" si="54"/>
        <v>2</v>
      </c>
      <c r="S174">
        <f t="shared" ca="1" si="54"/>
        <v>0</v>
      </c>
    </row>
    <row r="175" spans="1:19" x14ac:dyDescent="0.25">
      <c r="A175" t="s">
        <v>18</v>
      </c>
      <c r="B175" t="str">
        <f t="shared" si="46"/>
        <v>Program B</v>
      </c>
      <c r="C175" t="str">
        <f t="shared" ca="1" si="44"/>
        <v>90203449</v>
      </c>
      <c r="D175" t="str">
        <f t="shared" ca="1" si="48"/>
        <v>Female</v>
      </c>
      <c r="E175" t="str">
        <f t="shared" ca="1" si="49"/>
        <v>White (Non-Hisp)</v>
      </c>
      <c r="F175" s="4">
        <f t="shared" ca="1" si="50"/>
        <v>41734</v>
      </c>
      <c r="G175" s="4">
        <f t="shared" ca="1" si="51"/>
        <v>41747</v>
      </c>
      <c r="H175" t="str">
        <f t="shared" ca="1" si="52"/>
        <v>5+ CANS</v>
      </c>
      <c r="I175" t="str">
        <f t="shared" ca="1" si="53"/>
        <v>Entry</v>
      </c>
      <c r="J175">
        <f t="shared" ca="1" si="54"/>
        <v>1</v>
      </c>
      <c r="K175">
        <f t="shared" ca="1" si="54"/>
        <v>0</v>
      </c>
      <c r="L175">
        <f t="shared" ca="1" si="54"/>
        <v>2</v>
      </c>
      <c r="M175">
        <f t="shared" ca="1" si="54"/>
        <v>2</v>
      </c>
      <c r="N175">
        <f t="shared" ca="1" si="54"/>
        <v>2</v>
      </c>
      <c r="O175">
        <f t="shared" ca="1" si="54"/>
        <v>2</v>
      </c>
      <c r="P175">
        <f t="shared" ca="1" si="54"/>
        <v>1</v>
      </c>
      <c r="Q175">
        <f t="shared" ca="1" si="54"/>
        <v>1</v>
      </c>
      <c r="R175">
        <f t="shared" ca="1" si="54"/>
        <v>2</v>
      </c>
      <c r="S175">
        <f t="shared" ca="1" si="54"/>
        <v>1</v>
      </c>
    </row>
    <row r="176" spans="1:19" x14ac:dyDescent="0.25">
      <c r="A176" t="s">
        <v>18</v>
      </c>
      <c r="B176" t="str">
        <f t="shared" si="46"/>
        <v>Program C</v>
      </c>
      <c r="C176" t="str">
        <f t="shared" ca="1" si="44"/>
        <v>90203449</v>
      </c>
      <c r="D176" t="str">
        <f t="shared" ca="1" si="48"/>
        <v>Female</v>
      </c>
      <c r="E176" t="str">
        <f t="shared" ca="1" si="49"/>
        <v>White (Non-Hisp)</v>
      </c>
      <c r="F176" s="4">
        <f t="shared" ca="1" si="50"/>
        <v>41734</v>
      </c>
      <c r="G176" s="4">
        <f t="shared" ca="1" si="51"/>
        <v>41797</v>
      </c>
      <c r="H176" t="str">
        <f t="shared" ca="1" si="52"/>
        <v>5+ CANS</v>
      </c>
      <c r="I176" t="str">
        <f t="shared" ca="1" si="53"/>
        <v>Reassessment</v>
      </c>
      <c r="J176">
        <f t="shared" ca="1" si="54"/>
        <v>1</v>
      </c>
      <c r="K176">
        <f t="shared" ca="1" si="54"/>
        <v>0</v>
      </c>
      <c r="L176">
        <f t="shared" ca="1" si="54"/>
        <v>1</v>
      </c>
      <c r="M176">
        <f t="shared" ca="1" si="54"/>
        <v>0</v>
      </c>
      <c r="N176">
        <f t="shared" ca="1" si="54"/>
        <v>3</v>
      </c>
      <c r="O176">
        <f t="shared" ca="1" si="54"/>
        <v>1</v>
      </c>
      <c r="P176">
        <f t="shared" ca="1" si="54"/>
        <v>0</v>
      </c>
      <c r="Q176">
        <f t="shared" ca="1" si="54"/>
        <v>3</v>
      </c>
      <c r="R176">
        <f t="shared" ca="1" si="54"/>
        <v>1</v>
      </c>
      <c r="S176">
        <f t="shared" ca="1" si="54"/>
        <v>1</v>
      </c>
    </row>
    <row r="177" spans="1:19" x14ac:dyDescent="0.25">
      <c r="A177" t="s">
        <v>18</v>
      </c>
      <c r="B177" t="str">
        <f t="shared" si="46"/>
        <v>Program D</v>
      </c>
      <c r="C177" t="str">
        <f t="shared" ca="1" si="44"/>
        <v>90203449</v>
      </c>
      <c r="D177" t="str">
        <f t="shared" ca="1" si="48"/>
        <v>Female</v>
      </c>
      <c r="E177" t="str">
        <f t="shared" ca="1" si="49"/>
        <v>White (Non-Hisp)</v>
      </c>
      <c r="F177" s="4">
        <f t="shared" ca="1" si="50"/>
        <v>41734</v>
      </c>
      <c r="G177" s="4">
        <f t="shared" ca="1" si="51"/>
        <v>41814</v>
      </c>
      <c r="H177" t="str">
        <f t="shared" ca="1" si="52"/>
        <v>5+ CANS</v>
      </c>
      <c r="I177" t="str">
        <f t="shared" ca="1" si="53"/>
        <v>Reassessment</v>
      </c>
      <c r="J177">
        <f t="shared" ca="1" si="54"/>
        <v>0</v>
      </c>
      <c r="K177">
        <f t="shared" ca="1" si="54"/>
        <v>3</v>
      </c>
      <c r="L177">
        <f t="shared" ca="1" si="54"/>
        <v>2</v>
      </c>
      <c r="M177">
        <f t="shared" ca="1" si="54"/>
        <v>0</v>
      </c>
      <c r="N177">
        <f t="shared" ca="1" si="54"/>
        <v>2</v>
      </c>
      <c r="O177">
        <f t="shared" ca="1" si="54"/>
        <v>2</v>
      </c>
      <c r="P177">
        <f t="shared" ca="1" si="54"/>
        <v>2</v>
      </c>
      <c r="Q177">
        <f t="shared" ca="1" si="54"/>
        <v>1</v>
      </c>
      <c r="R177">
        <f t="shared" ca="1" si="54"/>
        <v>1</v>
      </c>
      <c r="S177">
        <f t="shared" ca="1" si="54"/>
        <v>2</v>
      </c>
    </row>
    <row r="178" spans="1:19" x14ac:dyDescent="0.25">
      <c r="A178" t="s">
        <v>18</v>
      </c>
      <c r="B178" t="str">
        <f t="shared" si="46"/>
        <v>Program B</v>
      </c>
      <c r="C178" t="str">
        <f t="shared" ca="1" si="44"/>
        <v>90203449</v>
      </c>
      <c r="D178" t="str">
        <f t="shared" ca="1" si="48"/>
        <v>Female</v>
      </c>
      <c r="E178" t="str">
        <f t="shared" ca="1" si="49"/>
        <v>White (Non-Hisp)</v>
      </c>
      <c r="F178" s="4">
        <f t="shared" ca="1" si="50"/>
        <v>41734</v>
      </c>
      <c r="G178" s="4">
        <f t="shared" ca="1" si="51"/>
        <v>41900</v>
      </c>
      <c r="H178" t="str">
        <f t="shared" ca="1" si="52"/>
        <v>5+ CANS</v>
      </c>
      <c r="I178" t="str">
        <f t="shared" ca="1" si="53"/>
        <v>Reassessment</v>
      </c>
      <c r="J178">
        <f t="shared" ca="1" si="54"/>
        <v>1</v>
      </c>
      <c r="K178">
        <f t="shared" ca="1" si="54"/>
        <v>1</v>
      </c>
      <c r="L178">
        <f t="shared" ca="1" si="54"/>
        <v>1</v>
      </c>
      <c r="M178">
        <f t="shared" ca="1" si="54"/>
        <v>2</v>
      </c>
      <c r="N178">
        <f t="shared" ca="1" si="54"/>
        <v>2</v>
      </c>
      <c r="O178">
        <f t="shared" ca="1" si="54"/>
        <v>1</v>
      </c>
      <c r="P178">
        <f t="shared" ca="1" si="54"/>
        <v>0</v>
      </c>
      <c r="Q178">
        <f t="shared" ca="1" si="54"/>
        <v>1</v>
      </c>
      <c r="R178">
        <f t="shared" ca="1" si="54"/>
        <v>1</v>
      </c>
      <c r="S178">
        <f t="shared" ca="1" si="54"/>
        <v>1</v>
      </c>
    </row>
    <row r="179" spans="1:19" x14ac:dyDescent="0.25">
      <c r="A179" t="s">
        <v>18</v>
      </c>
      <c r="B179" t="str">
        <f t="shared" si="46"/>
        <v>Program C</v>
      </c>
      <c r="C179" t="str">
        <f t="shared" ca="1" si="44"/>
        <v>22174913</v>
      </c>
      <c r="D179" t="str">
        <f t="shared" ca="1" si="48"/>
        <v>Female</v>
      </c>
      <c r="E179" t="str">
        <f t="shared" ca="1" si="49"/>
        <v>White (Non-Hisp)</v>
      </c>
      <c r="F179" s="4">
        <f t="shared" ca="1" si="50"/>
        <v>41634</v>
      </c>
      <c r="G179" s="4">
        <f t="shared" ca="1" si="51"/>
        <v>41639</v>
      </c>
      <c r="H179" t="str">
        <f t="shared" ca="1" si="52"/>
        <v>0-4 CANS</v>
      </c>
      <c r="I179" t="str">
        <f t="shared" ca="1" si="53"/>
        <v>Entry</v>
      </c>
      <c r="J179">
        <f t="shared" ca="1" si="54"/>
        <v>1</v>
      </c>
      <c r="K179">
        <f t="shared" ca="1" si="54"/>
        <v>3</v>
      </c>
      <c r="L179">
        <f t="shared" ca="1" si="54"/>
        <v>1</v>
      </c>
      <c r="M179">
        <f t="shared" ca="1" si="54"/>
        <v>2</v>
      </c>
      <c r="N179">
        <f t="shared" ca="1" si="54"/>
        <v>1</v>
      </c>
      <c r="O179">
        <f t="shared" ca="1" si="54"/>
        <v>1</v>
      </c>
      <c r="P179">
        <f t="shared" ca="1" si="54"/>
        <v>2</v>
      </c>
      <c r="Q179">
        <f t="shared" ca="1" si="54"/>
        <v>2</v>
      </c>
      <c r="R179">
        <f t="shared" ca="1" si="54"/>
        <v>1</v>
      </c>
      <c r="S179">
        <f t="shared" ca="1" si="54"/>
        <v>2</v>
      </c>
    </row>
    <row r="180" spans="1:19" x14ac:dyDescent="0.25">
      <c r="A180" t="s">
        <v>18</v>
      </c>
      <c r="B180" t="str">
        <f t="shared" si="46"/>
        <v>Program D</v>
      </c>
      <c r="C180" t="str">
        <f t="shared" ca="1" si="44"/>
        <v>22174913</v>
      </c>
      <c r="D180" t="str">
        <f t="shared" ca="1" si="48"/>
        <v>Female</v>
      </c>
      <c r="E180" t="str">
        <f t="shared" ca="1" si="49"/>
        <v>White (Non-Hisp)</v>
      </c>
      <c r="F180" s="4">
        <f t="shared" ca="1" si="50"/>
        <v>41634</v>
      </c>
      <c r="G180" s="4">
        <f t="shared" ca="1" si="51"/>
        <v>41673</v>
      </c>
      <c r="H180" t="str">
        <f t="shared" ca="1" si="52"/>
        <v>0-4 CANS</v>
      </c>
      <c r="I180" t="str">
        <f t="shared" ca="1" si="53"/>
        <v>Reassessment</v>
      </c>
      <c r="J180">
        <f t="shared" ref="J180:S184" ca="1" si="55">MIN(ROUND(EXP(RAND()*J$1)-1, 0), 3)</f>
        <v>2</v>
      </c>
      <c r="K180">
        <f t="shared" ca="1" si="55"/>
        <v>2</v>
      </c>
      <c r="L180">
        <f t="shared" ca="1" si="55"/>
        <v>2</v>
      </c>
      <c r="M180">
        <f t="shared" ca="1" si="55"/>
        <v>2</v>
      </c>
      <c r="N180">
        <f t="shared" ca="1" si="55"/>
        <v>2</v>
      </c>
      <c r="O180">
        <f t="shared" ca="1" si="55"/>
        <v>0</v>
      </c>
      <c r="P180">
        <f t="shared" ca="1" si="55"/>
        <v>1</v>
      </c>
      <c r="Q180">
        <f t="shared" ca="1" si="55"/>
        <v>1</v>
      </c>
      <c r="R180">
        <f t="shared" ca="1" si="55"/>
        <v>0</v>
      </c>
      <c r="S180">
        <f t="shared" ca="1" si="55"/>
        <v>1</v>
      </c>
    </row>
    <row r="181" spans="1:19" x14ac:dyDescent="0.25">
      <c r="A181" t="s">
        <v>18</v>
      </c>
      <c r="B181" t="str">
        <f t="shared" si="46"/>
        <v>Program B</v>
      </c>
      <c r="C181" t="str">
        <f t="shared" ca="1" si="44"/>
        <v>22174913</v>
      </c>
      <c r="D181" t="str">
        <f t="shared" ca="1" si="48"/>
        <v>Female</v>
      </c>
      <c r="E181" t="str">
        <f t="shared" ca="1" si="49"/>
        <v>White (Non-Hisp)</v>
      </c>
      <c r="F181" s="4">
        <f t="shared" ca="1" si="50"/>
        <v>41634</v>
      </c>
      <c r="G181" s="4">
        <f t="shared" ca="1" si="51"/>
        <v>41689</v>
      </c>
      <c r="H181" t="str">
        <f t="shared" ca="1" si="52"/>
        <v>0-4 CANS</v>
      </c>
      <c r="I181" t="str">
        <f t="shared" ca="1" si="53"/>
        <v>Reassessment</v>
      </c>
      <c r="J181">
        <f t="shared" ca="1" si="55"/>
        <v>1</v>
      </c>
      <c r="K181">
        <f t="shared" ca="1" si="55"/>
        <v>0</v>
      </c>
      <c r="L181">
        <f t="shared" ca="1" si="55"/>
        <v>0</v>
      </c>
      <c r="M181">
        <f t="shared" ca="1" si="55"/>
        <v>1</v>
      </c>
      <c r="N181">
        <f t="shared" ca="1" si="55"/>
        <v>0</v>
      </c>
      <c r="O181">
        <f t="shared" ca="1" si="55"/>
        <v>1</v>
      </c>
      <c r="P181">
        <f t="shared" ca="1" si="55"/>
        <v>0</v>
      </c>
      <c r="Q181">
        <f t="shared" ca="1" si="55"/>
        <v>2</v>
      </c>
      <c r="R181">
        <f t="shared" ca="1" si="55"/>
        <v>3</v>
      </c>
      <c r="S181">
        <f t="shared" ca="1" si="55"/>
        <v>1</v>
      </c>
    </row>
    <row r="182" spans="1:19" x14ac:dyDescent="0.25">
      <c r="A182" t="s">
        <v>18</v>
      </c>
      <c r="B182" t="str">
        <f t="shared" si="46"/>
        <v>Program C</v>
      </c>
      <c r="C182" t="str">
        <f t="shared" ca="1" si="44"/>
        <v>22174913</v>
      </c>
      <c r="D182" t="str">
        <f t="shared" ca="1" si="48"/>
        <v>Female</v>
      </c>
      <c r="E182" t="str">
        <f t="shared" ca="1" si="49"/>
        <v>White (Non-Hisp)</v>
      </c>
      <c r="F182" s="4">
        <f t="shared" ca="1" si="50"/>
        <v>41634</v>
      </c>
      <c r="G182" s="4">
        <f t="shared" ca="1" si="51"/>
        <v>41740</v>
      </c>
      <c r="H182" t="str">
        <f t="shared" ca="1" si="52"/>
        <v>0-4 CANS</v>
      </c>
      <c r="I182" t="str">
        <f t="shared" ca="1" si="53"/>
        <v>Reassessment</v>
      </c>
      <c r="J182">
        <f t="shared" ca="1" si="55"/>
        <v>1</v>
      </c>
      <c r="K182">
        <f t="shared" ca="1" si="55"/>
        <v>1</v>
      </c>
      <c r="L182">
        <f t="shared" ca="1" si="55"/>
        <v>1</v>
      </c>
      <c r="M182">
        <f t="shared" ca="1" si="55"/>
        <v>1</v>
      </c>
      <c r="N182">
        <f t="shared" ca="1" si="55"/>
        <v>3</v>
      </c>
      <c r="O182">
        <f t="shared" ca="1" si="55"/>
        <v>0</v>
      </c>
      <c r="P182">
        <f t="shared" ca="1" si="55"/>
        <v>2</v>
      </c>
      <c r="Q182">
        <f t="shared" ca="1" si="55"/>
        <v>1</v>
      </c>
      <c r="R182">
        <f t="shared" ca="1" si="55"/>
        <v>1</v>
      </c>
      <c r="S182">
        <f t="shared" ca="1" si="55"/>
        <v>2</v>
      </c>
    </row>
    <row r="183" spans="1:19" x14ac:dyDescent="0.25">
      <c r="A183" t="s">
        <v>18</v>
      </c>
      <c r="B183" t="str">
        <f t="shared" si="46"/>
        <v>Program D</v>
      </c>
      <c r="C183" t="str">
        <f t="shared" ca="1" si="44"/>
        <v>22174913</v>
      </c>
      <c r="D183" t="str">
        <f t="shared" ca="1" si="48"/>
        <v>Female</v>
      </c>
      <c r="E183" t="str">
        <f t="shared" ca="1" si="49"/>
        <v>White (Non-Hisp)</v>
      </c>
      <c r="F183" s="4">
        <f t="shared" ca="1" si="50"/>
        <v>41634</v>
      </c>
      <c r="G183" s="4">
        <f t="shared" ca="1" si="51"/>
        <v>41794</v>
      </c>
      <c r="H183" t="str">
        <f t="shared" ca="1" si="52"/>
        <v>0-4 CANS</v>
      </c>
      <c r="I183" t="str">
        <f t="shared" ca="1" si="53"/>
        <v>Reassessment</v>
      </c>
      <c r="J183">
        <f t="shared" ca="1" si="55"/>
        <v>1</v>
      </c>
      <c r="K183">
        <f t="shared" ca="1" si="55"/>
        <v>2</v>
      </c>
      <c r="L183">
        <f t="shared" ca="1" si="55"/>
        <v>1</v>
      </c>
      <c r="M183">
        <f t="shared" ca="1" si="55"/>
        <v>2</v>
      </c>
      <c r="N183">
        <f t="shared" ca="1" si="55"/>
        <v>3</v>
      </c>
      <c r="O183">
        <f t="shared" ca="1" si="55"/>
        <v>2</v>
      </c>
      <c r="P183">
        <f t="shared" ca="1" si="55"/>
        <v>2</v>
      </c>
      <c r="Q183">
        <f t="shared" ca="1" si="55"/>
        <v>1</v>
      </c>
      <c r="R183">
        <f t="shared" ca="1" si="55"/>
        <v>3</v>
      </c>
      <c r="S183">
        <f t="shared" ca="1" si="55"/>
        <v>0</v>
      </c>
    </row>
    <row r="184" spans="1:19" x14ac:dyDescent="0.25">
      <c r="A184" t="s">
        <v>18</v>
      </c>
      <c r="B184" t="str">
        <f t="shared" si="46"/>
        <v>Program B</v>
      </c>
      <c r="C184" t="str">
        <f t="shared" ca="1" si="44"/>
        <v>34493830</v>
      </c>
      <c r="D184" t="str">
        <f t="shared" ca="1" si="48"/>
        <v>Male</v>
      </c>
      <c r="E184" t="str">
        <f t="shared" ca="1" si="49"/>
        <v>White (Non-Hisp)</v>
      </c>
      <c r="F184" s="4">
        <f t="shared" ca="1" si="50"/>
        <v>41363</v>
      </c>
      <c r="G184" s="4">
        <f t="shared" ca="1" si="51"/>
        <v>41367</v>
      </c>
      <c r="H184" t="str">
        <f t="shared" ca="1" si="52"/>
        <v>5+ CANS</v>
      </c>
      <c r="I184" t="str">
        <f t="shared" ca="1" si="53"/>
        <v>Entry</v>
      </c>
      <c r="J184">
        <f t="shared" ca="1" si="55"/>
        <v>1</v>
      </c>
      <c r="K184">
        <f t="shared" ca="1" si="55"/>
        <v>1</v>
      </c>
      <c r="L184">
        <f t="shared" ca="1" si="55"/>
        <v>1</v>
      </c>
      <c r="M184">
        <f t="shared" ca="1" si="55"/>
        <v>0</v>
      </c>
      <c r="N184">
        <f t="shared" ca="1" si="55"/>
        <v>2</v>
      </c>
      <c r="O184">
        <f t="shared" ca="1" si="55"/>
        <v>1</v>
      </c>
      <c r="P184">
        <f t="shared" ca="1" si="55"/>
        <v>3</v>
      </c>
      <c r="Q184">
        <f t="shared" ca="1" si="55"/>
        <v>3</v>
      </c>
      <c r="R184">
        <f t="shared" ca="1" si="55"/>
        <v>3</v>
      </c>
      <c r="S184">
        <f t="shared" ca="1" si="55"/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8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85546875" bestFit="1" customWidth="1"/>
    <col min="2" max="2" width="10.140625" bestFit="1" customWidth="1"/>
    <col min="3" max="3" width="9" bestFit="1" customWidth="1"/>
    <col min="4" max="4" width="7.5703125" bestFit="1" customWidth="1"/>
    <col min="5" max="5" width="16.7109375" bestFit="1" customWidth="1"/>
    <col min="6" max="6" width="10.7109375" bestFit="1" customWidth="1"/>
    <col min="7" max="7" width="16.28515625" bestFit="1" customWidth="1"/>
    <col min="8" max="8" width="9" bestFit="1" customWidth="1"/>
    <col min="9" max="9" width="14.42578125" bestFit="1" customWidth="1"/>
    <col min="10" max="10" width="21" bestFit="1" customWidth="1"/>
    <col min="11" max="11" width="13.42578125" bestFit="1" customWidth="1"/>
    <col min="12" max="12" width="7.85546875" bestFit="1" customWidth="1"/>
    <col min="13" max="13" width="8.28515625" bestFit="1" customWidth="1"/>
    <col min="14" max="14" width="11" bestFit="1" customWidth="1"/>
    <col min="15" max="15" width="14" bestFit="1" customWidth="1"/>
    <col min="16" max="16" width="12.42578125" bestFit="1" customWidth="1"/>
    <col min="17" max="17" width="9.42578125" bestFit="1" customWidth="1"/>
    <col min="18" max="18" width="12.5703125" bestFit="1" customWidth="1"/>
    <col min="19" max="19" width="16.140625" bestFit="1" customWidth="1"/>
  </cols>
  <sheetData>
    <row r="1" spans="1:19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24</v>
      </c>
      <c r="G1" s="2" t="s">
        <v>25</v>
      </c>
      <c r="H1" s="2" t="s">
        <v>2</v>
      </c>
      <c r="I1" s="2" t="s">
        <v>23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  <c r="S1" s="2" t="s">
        <v>15</v>
      </c>
    </row>
    <row r="2" spans="1:19" x14ac:dyDescent="0.25">
      <c r="A2" t="s">
        <v>16</v>
      </c>
      <c r="B2" t="s">
        <v>19</v>
      </c>
      <c r="C2" t="s">
        <v>52</v>
      </c>
      <c r="D2" t="s">
        <v>48</v>
      </c>
      <c r="E2" t="s">
        <v>44</v>
      </c>
      <c r="F2" s="4">
        <v>41677</v>
      </c>
      <c r="G2" s="4">
        <v>41713</v>
      </c>
      <c r="H2" t="s">
        <v>49</v>
      </c>
      <c r="I2" t="s">
        <v>46</v>
      </c>
      <c r="J2">
        <v>0</v>
      </c>
      <c r="K2">
        <v>2</v>
      </c>
      <c r="L2">
        <v>2</v>
      </c>
      <c r="M2">
        <v>1</v>
      </c>
      <c r="N2">
        <v>2</v>
      </c>
      <c r="O2">
        <v>2</v>
      </c>
      <c r="P2">
        <v>3</v>
      </c>
      <c r="Q2">
        <v>1</v>
      </c>
      <c r="R2">
        <v>1</v>
      </c>
      <c r="S2">
        <v>2</v>
      </c>
    </row>
    <row r="3" spans="1:19" x14ac:dyDescent="0.25">
      <c r="A3" t="s">
        <v>16</v>
      </c>
      <c r="B3" t="s">
        <v>20</v>
      </c>
      <c r="C3" t="s">
        <v>52</v>
      </c>
      <c r="D3" t="s">
        <v>48</v>
      </c>
      <c r="E3" t="s">
        <v>44</v>
      </c>
      <c r="F3" s="4">
        <v>41677</v>
      </c>
      <c r="G3" s="4">
        <v>41752</v>
      </c>
      <c r="H3" t="s">
        <v>49</v>
      </c>
      <c r="I3" t="s">
        <v>47</v>
      </c>
      <c r="J3">
        <v>1</v>
      </c>
      <c r="K3">
        <v>0</v>
      </c>
      <c r="L3">
        <v>3</v>
      </c>
      <c r="M3">
        <v>3</v>
      </c>
      <c r="N3">
        <v>1</v>
      </c>
      <c r="O3">
        <v>0</v>
      </c>
      <c r="P3">
        <v>1</v>
      </c>
      <c r="Q3">
        <v>1</v>
      </c>
      <c r="R3">
        <v>2</v>
      </c>
      <c r="S3">
        <v>1</v>
      </c>
    </row>
    <row r="4" spans="1:19" x14ac:dyDescent="0.25">
      <c r="A4" t="s">
        <v>16</v>
      </c>
      <c r="B4" t="s">
        <v>21</v>
      </c>
      <c r="C4" t="s">
        <v>52</v>
      </c>
      <c r="D4" t="s">
        <v>48</v>
      </c>
      <c r="E4" t="s">
        <v>44</v>
      </c>
      <c r="F4" s="4">
        <v>41677</v>
      </c>
      <c r="G4" s="4">
        <v>41871</v>
      </c>
      <c r="H4" t="s">
        <v>49</v>
      </c>
      <c r="I4" t="s">
        <v>47</v>
      </c>
      <c r="J4">
        <v>1</v>
      </c>
      <c r="K4">
        <v>1</v>
      </c>
      <c r="L4">
        <v>3</v>
      </c>
      <c r="M4">
        <v>3</v>
      </c>
      <c r="N4">
        <v>2</v>
      </c>
      <c r="O4">
        <v>2</v>
      </c>
      <c r="P4">
        <v>3</v>
      </c>
      <c r="Q4">
        <v>1</v>
      </c>
      <c r="R4">
        <v>3</v>
      </c>
      <c r="S4">
        <v>0</v>
      </c>
    </row>
    <row r="5" spans="1:19" x14ac:dyDescent="0.25">
      <c r="A5" t="s">
        <v>16</v>
      </c>
      <c r="B5" t="s">
        <v>19</v>
      </c>
      <c r="C5" t="s">
        <v>52</v>
      </c>
      <c r="D5" t="s">
        <v>48</v>
      </c>
      <c r="E5" t="s">
        <v>44</v>
      </c>
      <c r="F5" s="4">
        <v>41677</v>
      </c>
      <c r="G5" s="4">
        <v>41937</v>
      </c>
      <c r="H5" t="s">
        <v>49</v>
      </c>
      <c r="I5" t="s">
        <v>47</v>
      </c>
      <c r="J5">
        <v>0</v>
      </c>
      <c r="K5">
        <v>0</v>
      </c>
      <c r="L5">
        <v>3</v>
      </c>
      <c r="M5">
        <v>2</v>
      </c>
      <c r="N5">
        <v>0</v>
      </c>
      <c r="O5">
        <v>2</v>
      </c>
      <c r="P5">
        <v>2</v>
      </c>
      <c r="Q5">
        <v>1</v>
      </c>
      <c r="R5">
        <v>1</v>
      </c>
      <c r="S5">
        <v>1</v>
      </c>
    </row>
    <row r="6" spans="1:19" x14ac:dyDescent="0.25">
      <c r="A6" t="s">
        <v>16</v>
      </c>
      <c r="B6" t="s">
        <v>20</v>
      </c>
      <c r="C6" t="s">
        <v>52</v>
      </c>
      <c r="D6" t="s">
        <v>48</v>
      </c>
      <c r="E6" t="s">
        <v>44</v>
      </c>
      <c r="F6" s="4">
        <v>41677</v>
      </c>
      <c r="G6" s="4">
        <v>42054</v>
      </c>
      <c r="H6" t="s">
        <v>49</v>
      </c>
      <c r="I6" t="s">
        <v>47</v>
      </c>
      <c r="J6">
        <v>0</v>
      </c>
      <c r="K6">
        <v>0</v>
      </c>
      <c r="L6">
        <v>1</v>
      </c>
      <c r="M6">
        <v>0</v>
      </c>
      <c r="N6">
        <v>1</v>
      </c>
      <c r="O6">
        <v>0</v>
      </c>
      <c r="P6">
        <v>1</v>
      </c>
      <c r="Q6">
        <v>0</v>
      </c>
      <c r="R6">
        <v>1</v>
      </c>
      <c r="S6">
        <v>0</v>
      </c>
    </row>
    <row r="7" spans="1:19" x14ac:dyDescent="0.25">
      <c r="A7" t="s">
        <v>16</v>
      </c>
      <c r="B7" t="s">
        <v>21</v>
      </c>
      <c r="C7" t="s">
        <v>52</v>
      </c>
      <c r="D7" t="s">
        <v>48</v>
      </c>
      <c r="E7" t="s">
        <v>44</v>
      </c>
      <c r="F7" s="4">
        <v>41677</v>
      </c>
      <c r="G7" s="4">
        <v>42119</v>
      </c>
      <c r="H7" t="s">
        <v>49</v>
      </c>
      <c r="I7" t="s">
        <v>47</v>
      </c>
      <c r="J7">
        <v>2</v>
      </c>
      <c r="K7">
        <v>0</v>
      </c>
      <c r="L7">
        <v>1</v>
      </c>
      <c r="M7">
        <v>0</v>
      </c>
      <c r="N7">
        <v>1</v>
      </c>
      <c r="O7">
        <v>3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16</v>
      </c>
      <c r="B8" t="s">
        <v>19</v>
      </c>
      <c r="C8" t="s">
        <v>52</v>
      </c>
      <c r="D8" t="s">
        <v>48</v>
      </c>
      <c r="E8" t="s">
        <v>44</v>
      </c>
      <c r="F8" s="4">
        <v>41677</v>
      </c>
      <c r="G8" s="4">
        <v>42149</v>
      </c>
      <c r="H8" t="s">
        <v>49</v>
      </c>
      <c r="I8" t="s">
        <v>47</v>
      </c>
      <c r="J8">
        <v>1</v>
      </c>
      <c r="K8">
        <v>0</v>
      </c>
      <c r="L8">
        <v>1</v>
      </c>
      <c r="M8">
        <v>0</v>
      </c>
      <c r="N8">
        <v>1</v>
      </c>
      <c r="O8">
        <v>2</v>
      </c>
      <c r="P8">
        <v>1</v>
      </c>
      <c r="Q8">
        <v>1</v>
      </c>
      <c r="R8">
        <v>2</v>
      </c>
      <c r="S8">
        <v>2</v>
      </c>
    </row>
    <row r="9" spans="1:19" x14ac:dyDescent="0.25">
      <c r="A9" t="s">
        <v>16</v>
      </c>
      <c r="B9" t="s">
        <v>20</v>
      </c>
      <c r="C9" t="s">
        <v>52</v>
      </c>
      <c r="D9" t="s">
        <v>48</v>
      </c>
      <c r="E9" t="s">
        <v>44</v>
      </c>
      <c r="F9" s="4">
        <v>41677</v>
      </c>
      <c r="G9" s="4">
        <v>42282</v>
      </c>
      <c r="H9" t="s">
        <v>49</v>
      </c>
      <c r="I9" t="s">
        <v>47</v>
      </c>
      <c r="J9">
        <v>1</v>
      </c>
      <c r="K9">
        <v>1</v>
      </c>
      <c r="L9">
        <v>0</v>
      </c>
      <c r="M9">
        <v>0</v>
      </c>
      <c r="N9">
        <v>1</v>
      </c>
      <c r="O9">
        <v>1</v>
      </c>
      <c r="P9">
        <v>1</v>
      </c>
      <c r="Q9">
        <v>2</v>
      </c>
      <c r="R9">
        <v>1</v>
      </c>
      <c r="S9">
        <v>1</v>
      </c>
    </row>
    <row r="10" spans="1:19" x14ac:dyDescent="0.25">
      <c r="A10" t="s">
        <v>16</v>
      </c>
      <c r="B10" t="s">
        <v>21</v>
      </c>
      <c r="C10" t="s">
        <v>52</v>
      </c>
      <c r="D10" t="s">
        <v>48</v>
      </c>
      <c r="E10" t="s">
        <v>44</v>
      </c>
      <c r="F10" s="4">
        <v>41677</v>
      </c>
      <c r="G10" s="4">
        <v>42398</v>
      </c>
      <c r="H10" t="s">
        <v>49</v>
      </c>
      <c r="I10" t="s">
        <v>47</v>
      </c>
      <c r="J10">
        <v>0</v>
      </c>
      <c r="K10">
        <v>1</v>
      </c>
      <c r="L10">
        <v>3</v>
      </c>
      <c r="M10">
        <v>3</v>
      </c>
      <c r="N10">
        <v>2</v>
      </c>
      <c r="O10">
        <v>3</v>
      </c>
      <c r="P10">
        <v>2</v>
      </c>
      <c r="Q10">
        <v>0</v>
      </c>
      <c r="R10">
        <v>2</v>
      </c>
      <c r="S10">
        <v>2</v>
      </c>
    </row>
    <row r="11" spans="1:19" x14ac:dyDescent="0.25">
      <c r="A11" t="s">
        <v>16</v>
      </c>
      <c r="B11" t="s">
        <v>19</v>
      </c>
      <c r="C11" t="s">
        <v>53</v>
      </c>
      <c r="D11" t="s">
        <v>48</v>
      </c>
      <c r="E11" t="s">
        <v>50</v>
      </c>
      <c r="F11" s="4">
        <v>41425</v>
      </c>
      <c r="G11" s="4">
        <v>41467</v>
      </c>
      <c r="H11" t="s">
        <v>45</v>
      </c>
      <c r="I11" t="s">
        <v>46</v>
      </c>
      <c r="J11">
        <v>2</v>
      </c>
      <c r="K11">
        <v>2</v>
      </c>
      <c r="L11">
        <v>0</v>
      </c>
      <c r="M11">
        <v>1</v>
      </c>
      <c r="N11">
        <v>0</v>
      </c>
      <c r="O11">
        <v>1</v>
      </c>
      <c r="P11">
        <v>3</v>
      </c>
      <c r="Q11">
        <v>0</v>
      </c>
      <c r="R11">
        <v>1</v>
      </c>
      <c r="S11">
        <v>0</v>
      </c>
    </row>
    <row r="12" spans="1:19" x14ac:dyDescent="0.25">
      <c r="A12" t="s">
        <v>16</v>
      </c>
      <c r="B12" t="s">
        <v>20</v>
      </c>
      <c r="C12" t="s">
        <v>53</v>
      </c>
      <c r="D12" t="s">
        <v>48</v>
      </c>
      <c r="E12" t="s">
        <v>50</v>
      </c>
      <c r="F12" s="4">
        <v>41425</v>
      </c>
      <c r="G12" s="4">
        <v>41526</v>
      </c>
      <c r="H12" t="s">
        <v>45</v>
      </c>
      <c r="I12" t="s">
        <v>47</v>
      </c>
      <c r="J12">
        <v>3</v>
      </c>
      <c r="K12">
        <v>0</v>
      </c>
      <c r="L12">
        <v>0</v>
      </c>
      <c r="M12">
        <v>1</v>
      </c>
      <c r="N12">
        <v>3</v>
      </c>
      <c r="O12">
        <v>0</v>
      </c>
      <c r="P12">
        <v>2</v>
      </c>
      <c r="Q12">
        <v>1</v>
      </c>
      <c r="R12">
        <v>1</v>
      </c>
      <c r="S12">
        <v>1</v>
      </c>
    </row>
    <row r="13" spans="1:19" x14ac:dyDescent="0.25">
      <c r="A13" t="s">
        <v>16</v>
      </c>
      <c r="B13" t="s">
        <v>21</v>
      </c>
      <c r="C13" t="s">
        <v>54</v>
      </c>
      <c r="D13" t="s">
        <v>43</v>
      </c>
      <c r="E13" t="s">
        <v>44</v>
      </c>
      <c r="F13" s="4">
        <v>41305</v>
      </c>
      <c r="G13" s="4">
        <v>41315</v>
      </c>
      <c r="H13" t="s">
        <v>45</v>
      </c>
      <c r="I13" t="s">
        <v>46</v>
      </c>
      <c r="J13">
        <v>1</v>
      </c>
      <c r="K13">
        <v>0</v>
      </c>
      <c r="L13">
        <v>1</v>
      </c>
      <c r="M13">
        <v>2</v>
      </c>
      <c r="N13">
        <v>0</v>
      </c>
      <c r="O13">
        <v>1</v>
      </c>
      <c r="P13">
        <v>3</v>
      </c>
      <c r="Q13">
        <v>2</v>
      </c>
      <c r="R13">
        <v>0</v>
      </c>
      <c r="S13">
        <v>2</v>
      </c>
    </row>
    <row r="14" spans="1:19" x14ac:dyDescent="0.25">
      <c r="A14" t="s">
        <v>16</v>
      </c>
      <c r="B14" t="s">
        <v>19</v>
      </c>
      <c r="C14" t="s">
        <v>55</v>
      </c>
      <c r="D14" t="s">
        <v>43</v>
      </c>
      <c r="E14" t="s">
        <v>51</v>
      </c>
      <c r="F14" s="4">
        <v>41382</v>
      </c>
      <c r="G14" s="4">
        <v>41389</v>
      </c>
      <c r="H14" t="s">
        <v>45</v>
      </c>
      <c r="I14" t="s">
        <v>46</v>
      </c>
      <c r="J14">
        <v>2</v>
      </c>
      <c r="K14">
        <v>0</v>
      </c>
      <c r="L14">
        <v>0</v>
      </c>
      <c r="M14">
        <v>0</v>
      </c>
      <c r="N14">
        <v>0</v>
      </c>
      <c r="O14">
        <v>0</v>
      </c>
      <c r="P14">
        <v>3</v>
      </c>
      <c r="Q14">
        <v>1</v>
      </c>
      <c r="R14">
        <v>2</v>
      </c>
      <c r="S14">
        <v>2</v>
      </c>
    </row>
    <row r="15" spans="1:19" x14ac:dyDescent="0.25">
      <c r="A15" t="s">
        <v>16</v>
      </c>
      <c r="B15" t="s">
        <v>20</v>
      </c>
      <c r="C15" t="s">
        <v>55</v>
      </c>
      <c r="D15" t="s">
        <v>43</v>
      </c>
      <c r="E15" t="s">
        <v>51</v>
      </c>
      <c r="F15" s="4">
        <v>41382</v>
      </c>
      <c r="G15" s="4">
        <v>41406</v>
      </c>
      <c r="H15" t="s">
        <v>45</v>
      </c>
      <c r="I15" t="s">
        <v>47</v>
      </c>
      <c r="J15">
        <v>0</v>
      </c>
      <c r="K15">
        <v>1</v>
      </c>
      <c r="L15">
        <v>3</v>
      </c>
      <c r="M15">
        <v>1</v>
      </c>
      <c r="N15">
        <v>0</v>
      </c>
      <c r="O15">
        <v>0</v>
      </c>
      <c r="P15">
        <v>0</v>
      </c>
      <c r="Q15">
        <v>0</v>
      </c>
      <c r="R15">
        <v>3</v>
      </c>
      <c r="S15">
        <v>2</v>
      </c>
    </row>
    <row r="16" spans="1:19" x14ac:dyDescent="0.25">
      <c r="A16" t="s">
        <v>16</v>
      </c>
      <c r="B16" t="s">
        <v>21</v>
      </c>
      <c r="C16" t="s">
        <v>56</v>
      </c>
      <c r="D16" t="s">
        <v>43</v>
      </c>
      <c r="E16" t="s">
        <v>51</v>
      </c>
      <c r="F16" s="4">
        <v>41360</v>
      </c>
      <c r="G16" s="4">
        <v>41401</v>
      </c>
      <c r="H16" t="s">
        <v>45</v>
      </c>
      <c r="I16" t="s">
        <v>46</v>
      </c>
      <c r="J16">
        <v>0</v>
      </c>
      <c r="K16">
        <v>0</v>
      </c>
      <c r="L16">
        <v>0</v>
      </c>
      <c r="M16">
        <v>3</v>
      </c>
      <c r="N16">
        <v>0</v>
      </c>
      <c r="O16">
        <v>0</v>
      </c>
      <c r="P16">
        <v>3</v>
      </c>
      <c r="Q16">
        <v>1</v>
      </c>
      <c r="R16">
        <v>0</v>
      </c>
      <c r="S16">
        <v>1</v>
      </c>
    </row>
    <row r="17" spans="1:19" x14ac:dyDescent="0.25">
      <c r="A17" t="s">
        <v>16</v>
      </c>
      <c r="B17" t="s">
        <v>19</v>
      </c>
      <c r="C17" t="s">
        <v>56</v>
      </c>
      <c r="D17" t="s">
        <v>43</v>
      </c>
      <c r="E17" t="s">
        <v>51</v>
      </c>
      <c r="F17" s="4">
        <v>41360</v>
      </c>
      <c r="G17" s="4">
        <v>41461</v>
      </c>
      <c r="H17" t="s">
        <v>45</v>
      </c>
      <c r="I17" t="s">
        <v>47</v>
      </c>
      <c r="J17">
        <v>2</v>
      </c>
      <c r="K17">
        <v>0</v>
      </c>
      <c r="L17">
        <v>1</v>
      </c>
      <c r="M17">
        <v>0</v>
      </c>
      <c r="N17">
        <v>0</v>
      </c>
      <c r="O17">
        <v>1</v>
      </c>
      <c r="P17">
        <v>0</v>
      </c>
      <c r="Q17">
        <v>1</v>
      </c>
      <c r="R17">
        <v>1</v>
      </c>
      <c r="S17">
        <v>1</v>
      </c>
    </row>
    <row r="18" spans="1:19" x14ac:dyDescent="0.25">
      <c r="A18" t="s">
        <v>16</v>
      </c>
      <c r="B18" t="s">
        <v>20</v>
      </c>
      <c r="C18" t="s">
        <v>56</v>
      </c>
      <c r="D18" t="s">
        <v>43</v>
      </c>
      <c r="E18" t="s">
        <v>51</v>
      </c>
      <c r="F18" s="4">
        <v>41360</v>
      </c>
      <c r="G18" s="4">
        <v>41497</v>
      </c>
      <c r="H18" t="s">
        <v>45</v>
      </c>
      <c r="I18" t="s">
        <v>47</v>
      </c>
      <c r="J18">
        <v>1</v>
      </c>
      <c r="K18">
        <v>2</v>
      </c>
      <c r="L18">
        <v>1</v>
      </c>
      <c r="M18">
        <v>2</v>
      </c>
      <c r="N18">
        <v>0</v>
      </c>
      <c r="O18">
        <v>3</v>
      </c>
      <c r="P18">
        <v>1</v>
      </c>
      <c r="Q18">
        <v>0</v>
      </c>
      <c r="R18">
        <v>2</v>
      </c>
      <c r="S18">
        <v>2</v>
      </c>
    </row>
    <row r="19" spans="1:19" x14ac:dyDescent="0.25">
      <c r="A19" t="s">
        <v>16</v>
      </c>
      <c r="B19" t="s">
        <v>21</v>
      </c>
      <c r="C19" t="s">
        <v>56</v>
      </c>
      <c r="D19" t="s">
        <v>43</v>
      </c>
      <c r="E19" t="s">
        <v>51</v>
      </c>
      <c r="F19" s="4">
        <v>41360</v>
      </c>
      <c r="G19" s="4">
        <v>41518</v>
      </c>
      <c r="H19" t="s">
        <v>45</v>
      </c>
      <c r="I19" t="s">
        <v>47</v>
      </c>
      <c r="J19">
        <v>1</v>
      </c>
      <c r="K19">
        <v>0</v>
      </c>
      <c r="L19">
        <v>1</v>
      </c>
      <c r="M19">
        <v>3</v>
      </c>
      <c r="N19">
        <v>2</v>
      </c>
      <c r="O19">
        <v>3</v>
      </c>
      <c r="P19">
        <v>0</v>
      </c>
      <c r="Q19">
        <v>2</v>
      </c>
      <c r="R19">
        <v>0</v>
      </c>
      <c r="S19">
        <v>1</v>
      </c>
    </row>
    <row r="20" spans="1:19" x14ac:dyDescent="0.25">
      <c r="A20" t="s">
        <v>16</v>
      </c>
      <c r="B20" t="s">
        <v>19</v>
      </c>
      <c r="C20" t="s">
        <v>57</v>
      </c>
      <c r="D20" t="s">
        <v>43</v>
      </c>
      <c r="E20" t="s">
        <v>44</v>
      </c>
      <c r="F20" s="4">
        <v>41412</v>
      </c>
      <c r="G20" s="4">
        <v>41419</v>
      </c>
      <c r="H20" t="s">
        <v>45</v>
      </c>
      <c r="I20" t="s">
        <v>46</v>
      </c>
      <c r="J20">
        <v>1</v>
      </c>
      <c r="K20">
        <v>1</v>
      </c>
      <c r="L20">
        <v>3</v>
      </c>
      <c r="M20">
        <v>0</v>
      </c>
      <c r="N20">
        <v>3</v>
      </c>
      <c r="O20">
        <v>1</v>
      </c>
      <c r="P20">
        <v>1</v>
      </c>
      <c r="Q20">
        <v>0</v>
      </c>
      <c r="R20">
        <v>1</v>
      </c>
      <c r="S20">
        <v>0</v>
      </c>
    </row>
    <row r="21" spans="1:19" x14ac:dyDescent="0.25">
      <c r="A21" t="s">
        <v>16</v>
      </c>
      <c r="B21" t="s">
        <v>20</v>
      </c>
      <c r="C21" t="s">
        <v>57</v>
      </c>
      <c r="D21" t="s">
        <v>43</v>
      </c>
      <c r="E21" t="s">
        <v>44</v>
      </c>
      <c r="F21" s="4">
        <v>41412</v>
      </c>
      <c r="G21" s="4">
        <v>41505</v>
      </c>
      <c r="H21" t="s">
        <v>45</v>
      </c>
      <c r="I21" t="s">
        <v>47</v>
      </c>
      <c r="J21">
        <v>0</v>
      </c>
      <c r="K21">
        <v>2</v>
      </c>
      <c r="L21">
        <v>0</v>
      </c>
      <c r="M21">
        <v>3</v>
      </c>
      <c r="N21">
        <v>2</v>
      </c>
      <c r="O21">
        <v>0</v>
      </c>
      <c r="P21">
        <v>3</v>
      </c>
      <c r="Q21">
        <v>0</v>
      </c>
      <c r="R21">
        <v>2</v>
      </c>
      <c r="S21">
        <v>2</v>
      </c>
    </row>
    <row r="22" spans="1:19" x14ac:dyDescent="0.25">
      <c r="A22" t="s">
        <v>16</v>
      </c>
      <c r="B22" t="s">
        <v>21</v>
      </c>
      <c r="C22" t="s">
        <v>57</v>
      </c>
      <c r="D22" t="s">
        <v>43</v>
      </c>
      <c r="E22" t="s">
        <v>44</v>
      </c>
      <c r="F22" s="4">
        <v>41412</v>
      </c>
      <c r="G22" s="4">
        <v>41628</v>
      </c>
      <c r="H22" t="s">
        <v>45</v>
      </c>
      <c r="I22" t="s">
        <v>47</v>
      </c>
      <c r="J22">
        <v>2</v>
      </c>
      <c r="K22">
        <v>2</v>
      </c>
      <c r="L22">
        <v>0</v>
      </c>
      <c r="M22">
        <v>0</v>
      </c>
      <c r="N22">
        <v>1</v>
      </c>
      <c r="O22">
        <v>0</v>
      </c>
      <c r="P22">
        <v>3</v>
      </c>
      <c r="Q22">
        <v>0</v>
      </c>
      <c r="R22">
        <v>0</v>
      </c>
      <c r="S22">
        <v>0</v>
      </c>
    </row>
    <row r="23" spans="1:19" x14ac:dyDescent="0.25">
      <c r="A23" t="s">
        <v>16</v>
      </c>
      <c r="B23" t="s">
        <v>19</v>
      </c>
      <c r="C23" t="s">
        <v>57</v>
      </c>
      <c r="D23" t="s">
        <v>43</v>
      </c>
      <c r="E23" t="s">
        <v>44</v>
      </c>
      <c r="F23" s="4">
        <v>41412</v>
      </c>
      <c r="G23" s="4">
        <v>41667</v>
      </c>
      <c r="H23" t="s">
        <v>45</v>
      </c>
      <c r="I23" t="s">
        <v>47</v>
      </c>
      <c r="J23">
        <v>3</v>
      </c>
      <c r="K23">
        <v>0</v>
      </c>
      <c r="L23">
        <v>1</v>
      </c>
      <c r="M23">
        <v>2</v>
      </c>
      <c r="N23">
        <v>0</v>
      </c>
      <c r="O23">
        <v>1</v>
      </c>
      <c r="P23">
        <v>3</v>
      </c>
      <c r="Q23">
        <v>1</v>
      </c>
      <c r="R23">
        <v>0</v>
      </c>
      <c r="S23">
        <v>0</v>
      </c>
    </row>
    <row r="24" spans="1:19" x14ac:dyDescent="0.25">
      <c r="A24" t="s">
        <v>16</v>
      </c>
      <c r="B24" t="s">
        <v>20</v>
      </c>
      <c r="C24" t="s">
        <v>58</v>
      </c>
      <c r="D24" t="s">
        <v>43</v>
      </c>
      <c r="E24" t="s">
        <v>44</v>
      </c>
      <c r="F24" s="4">
        <v>41662</v>
      </c>
      <c r="G24" s="4">
        <v>41674</v>
      </c>
      <c r="H24" t="s">
        <v>45</v>
      </c>
      <c r="I24" t="s">
        <v>46</v>
      </c>
      <c r="J24">
        <v>0</v>
      </c>
      <c r="K24">
        <v>0</v>
      </c>
      <c r="L24">
        <v>1</v>
      </c>
      <c r="M24">
        <v>1</v>
      </c>
      <c r="N24">
        <v>3</v>
      </c>
      <c r="O24">
        <v>1</v>
      </c>
      <c r="P24">
        <v>0</v>
      </c>
      <c r="Q24">
        <v>0</v>
      </c>
      <c r="R24">
        <v>1</v>
      </c>
      <c r="S24">
        <v>0</v>
      </c>
    </row>
    <row r="25" spans="1:19" x14ac:dyDescent="0.25">
      <c r="A25" t="s">
        <v>16</v>
      </c>
      <c r="B25" t="s">
        <v>21</v>
      </c>
      <c r="C25" t="s">
        <v>58</v>
      </c>
      <c r="D25" t="s">
        <v>43</v>
      </c>
      <c r="E25" t="s">
        <v>44</v>
      </c>
      <c r="F25" s="4">
        <v>41662</v>
      </c>
      <c r="G25" s="4">
        <v>41775</v>
      </c>
      <c r="H25" t="s">
        <v>45</v>
      </c>
      <c r="I25" t="s">
        <v>47</v>
      </c>
      <c r="J25">
        <v>1</v>
      </c>
      <c r="K25">
        <v>1</v>
      </c>
      <c r="L25">
        <v>0</v>
      </c>
      <c r="M25">
        <v>2</v>
      </c>
      <c r="N25">
        <v>0</v>
      </c>
      <c r="O25">
        <v>0</v>
      </c>
      <c r="P25">
        <v>0</v>
      </c>
      <c r="Q25">
        <v>1</v>
      </c>
      <c r="R25">
        <v>2</v>
      </c>
      <c r="S25">
        <v>0</v>
      </c>
    </row>
    <row r="26" spans="1:19" x14ac:dyDescent="0.25">
      <c r="A26" t="s">
        <v>16</v>
      </c>
      <c r="B26" t="s">
        <v>19</v>
      </c>
      <c r="C26" t="s">
        <v>59</v>
      </c>
      <c r="D26" t="s">
        <v>48</v>
      </c>
      <c r="E26" t="s">
        <v>51</v>
      </c>
      <c r="F26" s="4">
        <v>41624</v>
      </c>
      <c r="G26" s="4">
        <v>41627</v>
      </c>
      <c r="H26" t="s">
        <v>45</v>
      </c>
      <c r="I26" t="s">
        <v>46</v>
      </c>
      <c r="J26">
        <v>0</v>
      </c>
      <c r="K26">
        <v>1</v>
      </c>
      <c r="L26">
        <v>1</v>
      </c>
      <c r="M26">
        <v>1</v>
      </c>
      <c r="N26">
        <v>2</v>
      </c>
      <c r="O26">
        <v>1</v>
      </c>
      <c r="P26">
        <v>0</v>
      </c>
      <c r="Q26">
        <v>0</v>
      </c>
      <c r="R26">
        <v>1</v>
      </c>
      <c r="S26">
        <v>2</v>
      </c>
    </row>
    <row r="27" spans="1:19" x14ac:dyDescent="0.25">
      <c r="A27" t="s">
        <v>16</v>
      </c>
      <c r="B27" t="s">
        <v>20</v>
      </c>
      <c r="C27" t="s">
        <v>60</v>
      </c>
      <c r="D27" t="s">
        <v>48</v>
      </c>
      <c r="E27" t="s">
        <v>51</v>
      </c>
      <c r="F27" s="4">
        <v>41445</v>
      </c>
      <c r="G27" s="4">
        <v>41497</v>
      </c>
      <c r="H27" t="s">
        <v>49</v>
      </c>
      <c r="I27" t="s">
        <v>46</v>
      </c>
      <c r="J27">
        <v>1</v>
      </c>
      <c r="K27">
        <v>0</v>
      </c>
      <c r="L27">
        <v>2</v>
      </c>
      <c r="M27">
        <v>2</v>
      </c>
      <c r="N27">
        <v>3</v>
      </c>
      <c r="O27">
        <v>2</v>
      </c>
      <c r="P27">
        <v>0</v>
      </c>
      <c r="Q27">
        <v>2</v>
      </c>
      <c r="R27">
        <v>1</v>
      </c>
      <c r="S27">
        <v>2</v>
      </c>
    </row>
    <row r="28" spans="1:19" x14ac:dyDescent="0.25">
      <c r="A28" t="s">
        <v>16</v>
      </c>
      <c r="B28" t="s">
        <v>21</v>
      </c>
      <c r="C28" t="s">
        <v>60</v>
      </c>
      <c r="D28" t="s">
        <v>48</v>
      </c>
      <c r="E28" t="s">
        <v>51</v>
      </c>
      <c r="F28" s="4">
        <v>41445</v>
      </c>
      <c r="G28" s="4">
        <v>41538</v>
      </c>
      <c r="H28" t="s">
        <v>49</v>
      </c>
      <c r="I28" t="s">
        <v>47</v>
      </c>
      <c r="J28">
        <v>2</v>
      </c>
      <c r="K28">
        <v>2</v>
      </c>
      <c r="L28">
        <v>3</v>
      </c>
      <c r="M28">
        <v>2</v>
      </c>
      <c r="N28">
        <v>2</v>
      </c>
      <c r="O28">
        <v>1</v>
      </c>
      <c r="P28">
        <v>0</v>
      </c>
      <c r="Q28">
        <v>1</v>
      </c>
      <c r="R28">
        <v>3</v>
      </c>
      <c r="S28">
        <v>0</v>
      </c>
    </row>
    <row r="29" spans="1:19" x14ac:dyDescent="0.25">
      <c r="A29" t="s">
        <v>16</v>
      </c>
      <c r="B29" t="s">
        <v>19</v>
      </c>
      <c r="C29" t="s">
        <v>60</v>
      </c>
      <c r="D29" t="s">
        <v>48</v>
      </c>
      <c r="E29" t="s">
        <v>51</v>
      </c>
      <c r="F29" s="4">
        <v>41445</v>
      </c>
      <c r="G29" s="4">
        <v>41551</v>
      </c>
      <c r="H29" t="s">
        <v>49</v>
      </c>
      <c r="I29" t="s">
        <v>47</v>
      </c>
      <c r="J29">
        <v>0</v>
      </c>
      <c r="K29">
        <v>2</v>
      </c>
      <c r="L29">
        <v>3</v>
      </c>
      <c r="M29">
        <v>1</v>
      </c>
      <c r="N29">
        <v>0</v>
      </c>
      <c r="O29">
        <v>1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16</v>
      </c>
      <c r="B30" t="s">
        <v>20</v>
      </c>
      <c r="C30" t="s">
        <v>60</v>
      </c>
      <c r="D30" t="s">
        <v>48</v>
      </c>
      <c r="E30" t="s">
        <v>51</v>
      </c>
      <c r="F30" s="4">
        <v>41445</v>
      </c>
      <c r="G30" s="4">
        <v>41677</v>
      </c>
      <c r="H30" t="s">
        <v>49</v>
      </c>
      <c r="I30" t="s">
        <v>47</v>
      </c>
      <c r="J30">
        <v>0</v>
      </c>
      <c r="K30">
        <v>1</v>
      </c>
      <c r="L30">
        <v>1</v>
      </c>
      <c r="M30">
        <v>0</v>
      </c>
      <c r="N30">
        <v>2</v>
      </c>
      <c r="O30">
        <v>1</v>
      </c>
      <c r="P30">
        <v>0</v>
      </c>
      <c r="Q30">
        <v>2</v>
      </c>
      <c r="R30">
        <v>3</v>
      </c>
      <c r="S30">
        <v>0</v>
      </c>
    </row>
    <row r="31" spans="1:19" x14ac:dyDescent="0.25">
      <c r="A31" t="s">
        <v>16</v>
      </c>
      <c r="B31" t="s">
        <v>21</v>
      </c>
      <c r="C31" t="s">
        <v>60</v>
      </c>
      <c r="D31" t="s">
        <v>48</v>
      </c>
      <c r="E31" t="s">
        <v>51</v>
      </c>
      <c r="F31" s="4">
        <v>41445</v>
      </c>
      <c r="G31" s="4">
        <v>41809</v>
      </c>
      <c r="H31" t="s">
        <v>49</v>
      </c>
      <c r="I31" t="s">
        <v>47</v>
      </c>
      <c r="J31">
        <v>2</v>
      </c>
      <c r="K31">
        <v>0</v>
      </c>
      <c r="L31">
        <v>3</v>
      </c>
      <c r="M31">
        <v>3</v>
      </c>
      <c r="N31">
        <v>0</v>
      </c>
      <c r="O31">
        <v>0</v>
      </c>
      <c r="P31">
        <v>0</v>
      </c>
      <c r="Q31">
        <v>1</v>
      </c>
      <c r="R31">
        <v>3</v>
      </c>
      <c r="S31">
        <v>2</v>
      </c>
    </row>
    <row r="32" spans="1:19" x14ac:dyDescent="0.25">
      <c r="A32" t="s">
        <v>16</v>
      </c>
      <c r="B32" t="s">
        <v>19</v>
      </c>
      <c r="C32" t="s">
        <v>60</v>
      </c>
      <c r="D32" t="s">
        <v>48</v>
      </c>
      <c r="E32" t="s">
        <v>51</v>
      </c>
      <c r="F32" s="4">
        <v>41445</v>
      </c>
      <c r="G32" s="4">
        <v>41936</v>
      </c>
      <c r="H32" t="s">
        <v>49</v>
      </c>
      <c r="I32" t="s">
        <v>47</v>
      </c>
      <c r="J32">
        <v>0</v>
      </c>
      <c r="K32">
        <v>1</v>
      </c>
      <c r="L32">
        <v>3</v>
      </c>
      <c r="M32">
        <v>3</v>
      </c>
      <c r="N32">
        <v>0</v>
      </c>
      <c r="O32">
        <v>1</v>
      </c>
      <c r="P32">
        <v>1</v>
      </c>
      <c r="Q32">
        <v>1</v>
      </c>
      <c r="R32">
        <v>2</v>
      </c>
      <c r="S32">
        <v>0</v>
      </c>
    </row>
    <row r="33" spans="1:19" x14ac:dyDescent="0.25">
      <c r="A33" t="s">
        <v>17</v>
      </c>
      <c r="B33" t="s">
        <v>20</v>
      </c>
      <c r="C33" t="s">
        <v>60</v>
      </c>
      <c r="D33" t="s">
        <v>48</v>
      </c>
      <c r="E33" t="s">
        <v>51</v>
      </c>
      <c r="F33" s="4">
        <v>41445</v>
      </c>
      <c r="G33" s="4">
        <v>42073</v>
      </c>
      <c r="H33" t="s">
        <v>49</v>
      </c>
      <c r="I33" t="s">
        <v>47</v>
      </c>
      <c r="J33">
        <v>1</v>
      </c>
      <c r="K33">
        <v>1</v>
      </c>
      <c r="L33">
        <v>3</v>
      </c>
      <c r="M33">
        <v>2</v>
      </c>
      <c r="N33">
        <v>3</v>
      </c>
      <c r="O33">
        <v>2</v>
      </c>
      <c r="P33">
        <v>1</v>
      </c>
      <c r="Q33">
        <v>0</v>
      </c>
      <c r="R33">
        <v>2</v>
      </c>
      <c r="S33">
        <v>2</v>
      </c>
    </row>
    <row r="34" spans="1:19" x14ac:dyDescent="0.25">
      <c r="A34" t="s">
        <v>17</v>
      </c>
      <c r="B34" t="s">
        <v>21</v>
      </c>
      <c r="C34" t="s">
        <v>60</v>
      </c>
      <c r="D34" t="s">
        <v>48</v>
      </c>
      <c r="E34" t="s">
        <v>51</v>
      </c>
      <c r="F34" s="4">
        <v>41445</v>
      </c>
      <c r="G34" s="4">
        <v>42189</v>
      </c>
      <c r="H34" t="s">
        <v>49</v>
      </c>
      <c r="I34" t="s">
        <v>47</v>
      </c>
      <c r="J34">
        <v>3</v>
      </c>
      <c r="K34">
        <v>1</v>
      </c>
      <c r="L34">
        <v>3</v>
      </c>
      <c r="M34">
        <v>0</v>
      </c>
      <c r="N34">
        <v>2</v>
      </c>
      <c r="O34">
        <v>0</v>
      </c>
      <c r="P34">
        <v>2</v>
      </c>
      <c r="Q34">
        <v>1</v>
      </c>
      <c r="R34">
        <v>1</v>
      </c>
      <c r="S34">
        <v>1</v>
      </c>
    </row>
    <row r="35" spans="1:19" x14ac:dyDescent="0.25">
      <c r="A35" t="s">
        <v>17</v>
      </c>
      <c r="B35" t="s">
        <v>19</v>
      </c>
      <c r="C35" t="s">
        <v>60</v>
      </c>
      <c r="D35" t="s">
        <v>48</v>
      </c>
      <c r="E35" t="s">
        <v>51</v>
      </c>
      <c r="F35" s="4">
        <v>41445</v>
      </c>
      <c r="G35" s="4">
        <v>42268</v>
      </c>
      <c r="H35" t="s">
        <v>49</v>
      </c>
      <c r="I35" t="s">
        <v>47</v>
      </c>
      <c r="J35">
        <v>1</v>
      </c>
      <c r="K35">
        <v>2</v>
      </c>
      <c r="L35">
        <v>0</v>
      </c>
      <c r="M35">
        <v>2</v>
      </c>
      <c r="N35">
        <v>3</v>
      </c>
      <c r="O35">
        <v>1</v>
      </c>
      <c r="P35">
        <v>1</v>
      </c>
      <c r="Q35">
        <v>1</v>
      </c>
      <c r="R35">
        <v>2</v>
      </c>
      <c r="S35">
        <v>0</v>
      </c>
    </row>
    <row r="36" spans="1:19" x14ac:dyDescent="0.25">
      <c r="A36" t="s">
        <v>17</v>
      </c>
      <c r="B36" t="s">
        <v>20</v>
      </c>
      <c r="C36" t="s">
        <v>60</v>
      </c>
      <c r="D36" t="s">
        <v>48</v>
      </c>
      <c r="E36" t="s">
        <v>51</v>
      </c>
      <c r="F36" s="4">
        <v>41445</v>
      </c>
      <c r="G36" s="4">
        <v>42403</v>
      </c>
      <c r="H36" t="s">
        <v>49</v>
      </c>
      <c r="I36" t="s">
        <v>47</v>
      </c>
      <c r="J36">
        <v>1</v>
      </c>
      <c r="K36">
        <v>2</v>
      </c>
      <c r="L36">
        <v>2</v>
      </c>
      <c r="M36">
        <v>3</v>
      </c>
      <c r="N36">
        <v>0</v>
      </c>
      <c r="O36">
        <v>0</v>
      </c>
      <c r="P36">
        <v>2</v>
      </c>
      <c r="Q36">
        <v>1</v>
      </c>
      <c r="R36">
        <v>2</v>
      </c>
      <c r="S36">
        <v>1</v>
      </c>
    </row>
    <row r="37" spans="1:19" x14ac:dyDescent="0.25">
      <c r="A37" t="s">
        <v>17</v>
      </c>
      <c r="B37" t="s">
        <v>21</v>
      </c>
      <c r="C37" t="s">
        <v>60</v>
      </c>
      <c r="D37" t="s">
        <v>48</v>
      </c>
      <c r="E37" t="s">
        <v>51</v>
      </c>
      <c r="F37" s="4">
        <v>41445</v>
      </c>
      <c r="G37" s="4">
        <v>42500</v>
      </c>
      <c r="H37" t="s">
        <v>49</v>
      </c>
      <c r="I37" t="s">
        <v>47</v>
      </c>
      <c r="J37">
        <v>3</v>
      </c>
      <c r="K37">
        <v>2</v>
      </c>
      <c r="L37">
        <v>2</v>
      </c>
      <c r="M37">
        <v>0</v>
      </c>
      <c r="N37">
        <v>0</v>
      </c>
      <c r="O37">
        <v>2</v>
      </c>
      <c r="P37">
        <v>0</v>
      </c>
      <c r="Q37">
        <v>1</v>
      </c>
      <c r="R37">
        <v>2</v>
      </c>
      <c r="S37">
        <v>0</v>
      </c>
    </row>
    <row r="38" spans="1:19" x14ac:dyDescent="0.25">
      <c r="A38" t="s">
        <v>17</v>
      </c>
      <c r="B38" t="s">
        <v>19</v>
      </c>
      <c r="C38" t="s">
        <v>60</v>
      </c>
      <c r="D38" t="s">
        <v>48</v>
      </c>
      <c r="E38" t="s">
        <v>51</v>
      </c>
      <c r="F38" s="4">
        <v>41445</v>
      </c>
      <c r="G38" s="4">
        <v>42562</v>
      </c>
      <c r="H38" t="s">
        <v>49</v>
      </c>
      <c r="I38" t="s">
        <v>47</v>
      </c>
      <c r="J38">
        <v>3</v>
      </c>
      <c r="K38">
        <v>0</v>
      </c>
      <c r="L38">
        <v>1</v>
      </c>
      <c r="M38">
        <v>1</v>
      </c>
      <c r="N38">
        <v>1</v>
      </c>
      <c r="O38">
        <v>2</v>
      </c>
      <c r="P38">
        <v>2</v>
      </c>
      <c r="Q38">
        <v>0</v>
      </c>
      <c r="R38">
        <v>0</v>
      </c>
      <c r="S38">
        <v>1</v>
      </c>
    </row>
    <row r="39" spans="1:19" x14ac:dyDescent="0.25">
      <c r="A39" t="s">
        <v>17</v>
      </c>
      <c r="B39" t="s">
        <v>20</v>
      </c>
      <c r="C39" t="s">
        <v>61</v>
      </c>
      <c r="D39" t="s">
        <v>48</v>
      </c>
      <c r="E39" t="s">
        <v>51</v>
      </c>
      <c r="F39" s="4">
        <v>41669</v>
      </c>
      <c r="G39" s="4">
        <v>41675</v>
      </c>
      <c r="H39" t="s">
        <v>45</v>
      </c>
      <c r="I39" t="s">
        <v>46</v>
      </c>
      <c r="J39">
        <v>0</v>
      </c>
      <c r="K39">
        <v>2</v>
      </c>
      <c r="L39">
        <v>3</v>
      </c>
      <c r="M39">
        <v>2</v>
      </c>
      <c r="N39">
        <v>2</v>
      </c>
      <c r="O39">
        <v>1</v>
      </c>
      <c r="P39">
        <v>1</v>
      </c>
      <c r="Q39">
        <v>1</v>
      </c>
      <c r="R39">
        <v>2</v>
      </c>
      <c r="S39">
        <v>1</v>
      </c>
    </row>
    <row r="40" spans="1:19" x14ac:dyDescent="0.25">
      <c r="A40" t="s">
        <v>17</v>
      </c>
      <c r="B40" t="s">
        <v>21</v>
      </c>
      <c r="C40" t="s">
        <v>61</v>
      </c>
      <c r="D40" t="s">
        <v>48</v>
      </c>
      <c r="E40" t="s">
        <v>51</v>
      </c>
      <c r="F40" s="4">
        <v>41669</v>
      </c>
      <c r="G40" s="4">
        <v>41772</v>
      </c>
      <c r="H40" t="s">
        <v>45</v>
      </c>
      <c r="I40" t="s">
        <v>47</v>
      </c>
      <c r="J40">
        <v>3</v>
      </c>
      <c r="K40">
        <v>0</v>
      </c>
      <c r="L40">
        <v>0</v>
      </c>
      <c r="M40">
        <v>2</v>
      </c>
      <c r="N40">
        <v>3</v>
      </c>
      <c r="O40">
        <v>0</v>
      </c>
      <c r="P40">
        <v>1</v>
      </c>
      <c r="Q40">
        <v>2</v>
      </c>
      <c r="R40">
        <v>0</v>
      </c>
      <c r="S40">
        <v>0</v>
      </c>
    </row>
    <row r="41" spans="1:19" x14ac:dyDescent="0.25">
      <c r="A41" t="s">
        <v>17</v>
      </c>
      <c r="B41" t="s">
        <v>19</v>
      </c>
      <c r="C41" t="s">
        <v>61</v>
      </c>
      <c r="D41" t="s">
        <v>48</v>
      </c>
      <c r="E41" t="s">
        <v>51</v>
      </c>
      <c r="F41" s="4">
        <v>41669</v>
      </c>
      <c r="G41" s="4">
        <v>41848</v>
      </c>
      <c r="H41" t="s">
        <v>45</v>
      </c>
      <c r="I41" t="s">
        <v>47</v>
      </c>
      <c r="J41">
        <v>2</v>
      </c>
      <c r="K41">
        <v>0</v>
      </c>
      <c r="L41">
        <v>3</v>
      </c>
      <c r="M41">
        <v>0</v>
      </c>
      <c r="N41">
        <v>3</v>
      </c>
      <c r="O41">
        <v>0</v>
      </c>
      <c r="P41">
        <v>2</v>
      </c>
      <c r="Q41">
        <v>2</v>
      </c>
      <c r="R41">
        <v>3</v>
      </c>
      <c r="S41">
        <v>1</v>
      </c>
    </row>
    <row r="42" spans="1:19" x14ac:dyDescent="0.25">
      <c r="A42" t="s">
        <v>17</v>
      </c>
      <c r="B42" t="s">
        <v>20</v>
      </c>
      <c r="C42" t="s">
        <v>61</v>
      </c>
      <c r="D42" t="s">
        <v>48</v>
      </c>
      <c r="E42" t="s">
        <v>51</v>
      </c>
      <c r="F42" s="4">
        <v>41669</v>
      </c>
      <c r="G42" s="4">
        <v>41888</v>
      </c>
      <c r="H42" t="s">
        <v>45</v>
      </c>
      <c r="I42" t="s">
        <v>47</v>
      </c>
      <c r="J42">
        <v>2</v>
      </c>
      <c r="K42">
        <v>1</v>
      </c>
      <c r="L42">
        <v>1</v>
      </c>
      <c r="M42">
        <v>3</v>
      </c>
      <c r="N42">
        <v>1</v>
      </c>
      <c r="O42">
        <v>1</v>
      </c>
      <c r="P42">
        <v>3</v>
      </c>
      <c r="Q42">
        <v>2</v>
      </c>
      <c r="R42">
        <v>1</v>
      </c>
      <c r="S42">
        <v>2</v>
      </c>
    </row>
    <row r="43" spans="1:19" x14ac:dyDescent="0.25">
      <c r="A43" t="s">
        <v>17</v>
      </c>
      <c r="B43" t="s">
        <v>21</v>
      </c>
      <c r="C43" t="s">
        <v>61</v>
      </c>
      <c r="D43" t="s">
        <v>48</v>
      </c>
      <c r="E43" t="s">
        <v>51</v>
      </c>
      <c r="F43" s="4">
        <v>41669</v>
      </c>
      <c r="G43" s="4">
        <v>42014</v>
      </c>
      <c r="H43" t="s">
        <v>45</v>
      </c>
      <c r="I43" t="s">
        <v>47</v>
      </c>
      <c r="J43">
        <v>1</v>
      </c>
      <c r="K43">
        <v>0</v>
      </c>
      <c r="L43">
        <v>1</v>
      </c>
      <c r="M43">
        <v>0</v>
      </c>
      <c r="N43">
        <v>3</v>
      </c>
      <c r="O43">
        <v>1</v>
      </c>
      <c r="P43">
        <v>2</v>
      </c>
      <c r="Q43">
        <v>0</v>
      </c>
      <c r="R43">
        <v>1</v>
      </c>
      <c r="S43">
        <v>2</v>
      </c>
    </row>
    <row r="44" spans="1:19" x14ac:dyDescent="0.25">
      <c r="A44" t="s">
        <v>17</v>
      </c>
      <c r="B44" t="s">
        <v>19</v>
      </c>
      <c r="C44" t="s">
        <v>61</v>
      </c>
      <c r="D44" t="s">
        <v>48</v>
      </c>
      <c r="E44" t="s">
        <v>51</v>
      </c>
      <c r="F44" s="4">
        <v>41669</v>
      </c>
      <c r="G44" s="4">
        <v>42151</v>
      </c>
      <c r="H44" t="s">
        <v>45</v>
      </c>
      <c r="I44" t="s">
        <v>47</v>
      </c>
      <c r="J44">
        <v>1</v>
      </c>
      <c r="K44">
        <v>1</v>
      </c>
      <c r="L44">
        <v>1</v>
      </c>
      <c r="M44">
        <v>1</v>
      </c>
      <c r="N44">
        <v>2</v>
      </c>
      <c r="O44">
        <v>1</v>
      </c>
      <c r="P44">
        <v>0</v>
      </c>
      <c r="Q44">
        <v>1</v>
      </c>
      <c r="R44">
        <v>1</v>
      </c>
      <c r="S44">
        <v>0</v>
      </c>
    </row>
    <row r="45" spans="1:19" x14ac:dyDescent="0.25">
      <c r="A45" t="s">
        <v>17</v>
      </c>
      <c r="B45" t="s">
        <v>20</v>
      </c>
      <c r="C45" t="s">
        <v>61</v>
      </c>
      <c r="D45" t="s">
        <v>48</v>
      </c>
      <c r="E45" t="s">
        <v>51</v>
      </c>
      <c r="F45" s="4">
        <v>41669</v>
      </c>
      <c r="G45" s="4">
        <v>42251</v>
      </c>
      <c r="H45" t="s">
        <v>45</v>
      </c>
      <c r="I45" t="s">
        <v>47</v>
      </c>
      <c r="J45">
        <v>2</v>
      </c>
      <c r="K45">
        <v>1</v>
      </c>
      <c r="L45">
        <v>1</v>
      </c>
      <c r="M45">
        <v>0</v>
      </c>
      <c r="N45">
        <v>0</v>
      </c>
      <c r="O45">
        <v>1</v>
      </c>
      <c r="P45">
        <v>2</v>
      </c>
      <c r="Q45">
        <v>0</v>
      </c>
      <c r="R45">
        <v>0</v>
      </c>
      <c r="S45">
        <v>2</v>
      </c>
    </row>
    <row r="46" spans="1:19" x14ac:dyDescent="0.25">
      <c r="A46" t="s">
        <v>17</v>
      </c>
      <c r="B46" t="s">
        <v>21</v>
      </c>
      <c r="C46" t="s">
        <v>62</v>
      </c>
      <c r="D46" t="s">
        <v>48</v>
      </c>
      <c r="E46" t="s">
        <v>50</v>
      </c>
      <c r="F46" s="4">
        <v>41734</v>
      </c>
      <c r="G46" s="4">
        <v>41757</v>
      </c>
      <c r="H46" t="s">
        <v>45</v>
      </c>
      <c r="I46" t="s">
        <v>46</v>
      </c>
      <c r="J46">
        <v>1</v>
      </c>
      <c r="K46">
        <v>1</v>
      </c>
      <c r="L46">
        <v>1</v>
      </c>
      <c r="M46">
        <v>2</v>
      </c>
      <c r="N46">
        <v>0</v>
      </c>
      <c r="O46">
        <v>3</v>
      </c>
      <c r="P46">
        <v>2</v>
      </c>
      <c r="Q46">
        <v>2</v>
      </c>
      <c r="R46">
        <v>0</v>
      </c>
      <c r="S46">
        <v>1</v>
      </c>
    </row>
    <row r="47" spans="1:19" x14ac:dyDescent="0.25">
      <c r="A47" t="s">
        <v>17</v>
      </c>
      <c r="B47" t="s">
        <v>19</v>
      </c>
      <c r="C47" t="s">
        <v>63</v>
      </c>
      <c r="D47" t="s">
        <v>43</v>
      </c>
      <c r="E47" t="s">
        <v>44</v>
      </c>
      <c r="F47" s="4">
        <v>41691</v>
      </c>
      <c r="G47" s="4">
        <v>41725</v>
      </c>
      <c r="H47" t="s">
        <v>45</v>
      </c>
      <c r="I47" t="s">
        <v>46</v>
      </c>
      <c r="J47">
        <v>1</v>
      </c>
      <c r="K47">
        <v>1</v>
      </c>
      <c r="L47">
        <v>1</v>
      </c>
      <c r="M47">
        <v>3</v>
      </c>
      <c r="N47">
        <v>0</v>
      </c>
      <c r="O47">
        <v>1</v>
      </c>
      <c r="P47">
        <v>0</v>
      </c>
      <c r="Q47">
        <v>1</v>
      </c>
      <c r="R47">
        <v>3</v>
      </c>
      <c r="S47">
        <v>1</v>
      </c>
    </row>
    <row r="48" spans="1:19" x14ac:dyDescent="0.25">
      <c r="A48" t="s">
        <v>17</v>
      </c>
      <c r="B48" t="s">
        <v>20</v>
      </c>
      <c r="C48" t="s">
        <v>64</v>
      </c>
      <c r="D48" t="s">
        <v>43</v>
      </c>
      <c r="E48" t="s">
        <v>50</v>
      </c>
      <c r="F48" s="4">
        <v>41548</v>
      </c>
      <c r="G48" s="4">
        <v>41552</v>
      </c>
      <c r="H48" t="s">
        <v>45</v>
      </c>
      <c r="I48" t="s">
        <v>46</v>
      </c>
      <c r="J48">
        <v>0</v>
      </c>
      <c r="K48">
        <v>0</v>
      </c>
      <c r="L48">
        <v>3</v>
      </c>
      <c r="M48">
        <v>0</v>
      </c>
      <c r="N48">
        <v>0</v>
      </c>
      <c r="O48">
        <v>2</v>
      </c>
      <c r="P48">
        <v>2</v>
      </c>
      <c r="Q48">
        <v>1</v>
      </c>
      <c r="R48">
        <v>0</v>
      </c>
      <c r="S48">
        <v>1</v>
      </c>
    </row>
    <row r="49" spans="1:19" x14ac:dyDescent="0.25">
      <c r="A49" t="s">
        <v>17</v>
      </c>
      <c r="B49" t="s">
        <v>21</v>
      </c>
      <c r="C49" t="s">
        <v>64</v>
      </c>
      <c r="D49" t="s">
        <v>43</v>
      </c>
      <c r="E49" t="s">
        <v>50</v>
      </c>
      <c r="F49" s="4">
        <v>41548</v>
      </c>
      <c r="G49" s="4">
        <v>41615</v>
      </c>
      <c r="H49" t="s">
        <v>45</v>
      </c>
      <c r="I49" t="s">
        <v>47</v>
      </c>
      <c r="J49">
        <v>1</v>
      </c>
      <c r="K49">
        <v>2</v>
      </c>
      <c r="L49">
        <v>2</v>
      </c>
      <c r="M49">
        <v>2</v>
      </c>
      <c r="N49">
        <v>1</v>
      </c>
      <c r="O49">
        <v>0</v>
      </c>
      <c r="P49">
        <v>1</v>
      </c>
      <c r="Q49">
        <v>0</v>
      </c>
      <c r="R49">
        <v>1</v>
      </c>
      <c r="S49">
        <v>2</v>
      </c>
    </row>
    <row r="50" spans="1:19" x14ac:dyDescent="0.25">
      <c r="A50" t="s">
        <v>17</v>
      </c>
      <c r="B50" t="s">
        <v>19</v>
      </c>
      <c r="C50" t="s">
        <v>64</v>
      </c>
      <c r="D50" t="s">
        <v>43</v>
      </c>
      <c r="E50" t="s">
        <v>50</v>
      </c>
      <c r="F50" s="4">
        <v>41548</v>
      </c>
      <c r="G50" s="4">
        <v>41648</v>
      </c>
      <c r="H50" t="s">
        <v>45</v>
      </c>
      <c r="I50" t="s">
        <v>47</v>
      </c>
      <c r="J50">
        <v>0</v>
      </c>
      <c r="K50">
        <v>1</v>
      </c>
      <c r="L50">
        <v>1</v>
      </c>
      <c r="M50">
        <v>3</v>
      </c>
      <c r="N50">
        <v>0</v>
      </c>
      <c r="O50">
        <v>0</v>
      </c>
      <c r="P50">
        <v>2</v>
      </c>
      <c r="Q50">
        <v>1</v>
      </c>
      <c r="R50">
        <v>3</v>
      </c>
      <c r="S50">
        <v>1</v>
      </c>
    </row>
    <row r="51" spans="1:19" x14ac:dyDescent="0.25">
      <c r="A51" t="s">
        <v>17</v>
      </c>
      <c r="B51" t="s">
        <v>20</v>
      </c>
      <c r="C51" t="s">
        <v>65</v>
      </c>
      <c r="D51" t="s">
        <v>48</v>
      </c>
      <c r="E51" t="s">
        <v>50</v>
      </c>
      <c r="F51" s="4">
        <v>41313</v>
      </c>
      <c r="G51" s="4">
        <v>41365</v>
      </c>
      <c r="H51" t="s">
        <v>45</v>
      </c>
      <c r="I51" t="s">
        <v>46</v>
      </c>
      <c r="J51">
        <v>1</v>
      </c>
      <c r="K51">
        <v>1</v>
      </c>
      <c r="L51">
        <v>3</v>
      </c>
      <c r="M51">
        <v>0</v>
      </c>
      <c r="N51">
        <v>1</v>
      </c>
      <c r="O51">
        <v>1</v>
      </c>
      <c r="P51">
        <v>2</v>
      </c>
      <c r="Q51">
        <v>0</v>
      </c>
      <c r="R51">
        <v>0</v>
      </c>
      <c r="S51">
        <v>2</v>
      </c>
    </row>
    <row r="52" spans="1:19" x14ac:dyDescent="0.25">
      <c r="A52" t="s">
        <v>17</v>
      </c>
      <c r="B52" t="s">
        <v>21</v>
      </c>
      <c r="C52" t="s">
        <v>66</v>
      </c>
      <c r="D52" t="s">
        <v>48</v>
      </c>
      <c r="E52" t="s">
        <v>50</v>
      </c>
      <c r="F52" s="4">
        <v>41312</v>
      </c>
      <c r="G52" s="4">
        <v>41323</v>
      </c>
      <c r="H52" t="s">
        <v>45</v>
      </c>
      <c r="I52" t="s">
        <v>46</v>
      </c>
      <c r="J52">
        <v>1</v>
      </c>
      <c r="K52">
        <v>1</v>
      </c>
      <c r="L52">
        <v>3</v>
      </c>
      <c r="M52">
        <v>1</v>
      </c>
      <c r="N52">
        <v>0</v>
      </c>
      <c r="O52">
        <v>2</v>
      </c>
      <c r="P52">
        <v>1</v>
      </c>
      <c r="Q52">
        <v>0</v>
      </c>
      <c r="R52">
        <v>0</v>
      </c>
      <c r="S52">
        <v>1</v>
      </c>
    </row>
    <row r="53" spans="1:19" x14ac:dyDescent="0.25">
      <c r="A53" t="s">
        <v>17</v>
      </c>
      <c r="B53" t="s">
        <v>19</v>
      </c>
      <c r="C53" t="s">
        <v>66</v>
      </c>
      <c r="D53" t="s">
        <v>48</v>
      </c>
      <c r="E53" t="s">
        <v>50</v>
      </c>
      <c r="F53" s="4">
        <v>41312</v>
      </c>
      <c r="G53" s="4">
        <v>41369</v>
      </c>
      <c r="H53" t="s">
        <v>45</v>
      </c>
      <c r="I53" t="s">
        <v>47</v>
      </c>
      <c r="J53">
        <v>0</v>
      </c>
      <c r="K53">
        <v>0</v>
      </c>
      <c r="L53">
        <v>1</v>
      </c>
      <c r="M53">
        <v>1</v>
      </c>
      <c r="N53">
        <v>3</v>
      </c>
      <c r="O53">
        <v>0</v>
      </c>
      <c r="P53">
        <v>3</v>
      </c>
      <c r="Q53">
        <v>1</v>
      </c>
      <c r="R53">
        <v>0</v>
      </c>
      <c r="S53">
        <v>0</v>
      </c>
    </row>
    <row r="54" spans="1:19" x14ac:dyDescent="0.25">
      <c r="A54" t="s">
        <v>17</v>
      </c>
      <c r="B54" t="s">
        <v>20</v>
      </c>
      <c r="C54" t="s">
        <v>67</v>
      </c>
      <c r="D54" t="s">
        <v>48</v>
      </c>
      <c r="E54" t="s">
        <v>44</v>
      </c>
      <c r="F54" s="4">
        <v>41335</v>
      </c>
      <c r="G54" s="4">
        <v>41354</v>
      </c>
      <c r="H54" t="s">
        <v>45</v>
      </c>
      <c r="I54" t="s">
        <v>46</v>
      </c>
      <c r="J54">
        <v>1</v>
      </c>
      <c r="K54">
        <v>2</v>
      </c>
      <c r="L54">
        <v>0</v>
      </c>
      <c r="M54">
        <v>0</v>
      </c>
      <c r="N54">
        <v>2</v>
      </c>
      <c r="O54">
        <v>1</v>
      </c>
      <c r="P54">
        <v>2</v>
      </c>
      <c r="Q54">
        <v>0</v>
      </c>
      <c r="R54">
        <v>1</v>
      </c>
      <c r="S54">
        <v>1</v>
      </c>
    </row>
    <row r="55" spans="1:19" x14ac:dyDescent="0.25">
      <c r="A55" t="s">
        <v>17</v>
      </c>
      <c r="B55" t="s">
        <v>21</v>
      </c>
      <c r="C55" t="s">
        <v>67</v>
      </c>
      <c r="D55" t="s">
        <v>48</v>
      </c>
      <c r="E55" t="s">
        <v>44</v>
      </c>
      <c r="F55" s="4">
        <v>41335</v>
      </c>
      <c r="G55" s="4">
        <v>41433</v>
      </c>
      <c r="H55" t="s">
        <v>45</v>
      </c>
      <c r="I55" t="s">
        <v>47</v>
      </c>
      <c r="J55">
        <v>3</v>
      </c>
      <c r="K55">
        <v>1</v>
      </c>
      <c r="L55">
        <v>3</v>
      </c>
      <c r="M55">
        <v>0</v>
      </c>
      <c r="N55">
        <v>2</v>
      </c>
      <c r="O55">
        <v>1</v>
      </c>
      <c r="P55">
        <v>0</v>
      </c>
      <c r="Q55">
        <v>1</v>
      </c>
      <c r="R55">
        <v>2</v>
      </c>
      <c r="S55">
        <v>1</v>
      </c>
    </row>
    <row r="56" spans="1:19" x14ac:dyDescent="0.25">
      <c r="A56" t="s">
        <v>17</v>
      </c>
      <c r="B56" t="s">
        <v>19</v>
      </c>
      <c r="C56" t="s">
        <v>67</v>
      </c>
      <c r="D56" t="s">
        <v>48</v>
      </c>
      <c r="E56" t="s">
        <v>44</v>
      </c>
      <c r="F56" s="4">
        <v>41335</v>
      </c>
      <c r="G56" s="4">
        <v>41479</v>
      </c>
      <c r="H56" t="s">
        <v>45</v>
      </c>
      <c r="I56" t="s">
        <v>47</v>
      </c>
      <c r="J56">
        <v>3</v>
      </c>
      <c r="K56">
        <v>0</v>
      </c>
      <c r="L56">
        <v>3</v>
      </c>
      <c r="M56">
        <v>3</v>
      </c>
      <c r="N56">
        <v>2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:19" x14ac:dyDescent="0.25">
      <c r="A57" t="s">
        <v>17</v>
      </c>
      <c r="B57" t="s">
        <v>20</v>
      </c>
      <c r="C57" t="s">
        <v>68</v>
      </c>
      <c r="D57" t="s">
        <v>48</v>
      </c>
      <c r="E57" t="s">
        <v>44</v>
      </c>
      <c r="F57" s="4">
        <v>41446</v>
      </c>
      <c r="G57" s="4">
        <v>41471</v>
      </c>
      <c r="H57" t="s">
        <v>45</v>
      </c>
      <c r="I57" t="s">
        <v>46</v>
      </c>
      <c r="J57">
        <v>0</v>
      </c>
      <c r="K57">
        <v>2</v>
      </c>
      <c r="L57">
        <v>1</v>
      </c>
      <c r="M57">
        <v>1</v>
      </c>
      <c r="N57">
        <v>3</v>
      </c>
      <c r="O57">
        <v>1</v>
      </c>
      <c r="P57">
        <v>0</v>
      </c>
      <c r="Q57">
        <v>2</v>
      </c>
      <c r="R57">
        <v>1</v>
      </c>
      <c r="S57">
        <v>1</v>
      </c>
    </row>
    <row r="58" spans="1:19" x14ac:dyDescent="0.25">
      <c r="A58" t="s">
        <v>17</v>
      </c>
      <c r="B58" t="s">
        <v>21</v>
      </c>
      <c r="C58" t="s">
        <v>68</v>
      </c>
      <c r="D58" t="s">
        <v>48</v>
      </c>
      <c r="E58" t="s">
        <v>44</v>
      </c>
      <c r="F58" s="4">
        <v>41446</v>
      </c>
      <c r="G58" s="4">
        <v>41580</v>
      </c>
      <c r="H58" t="s">
        <v>45</v>
      </c>
      <c r="I58" t="s">
        <v>47</v>
      </c>
      <c r="J58">
        <v>0</v>
      </c>
      <c r="K58">
        <v>2</v>
      </c>
      <c r="L58">
        <v>1</v>
      </c>
      <c r="M58">
        <v>1</v>
      </c>
      <c r="N58">
        <v>1</v>
      </c>
      <c r="O58">
        <v>0</v>
      </c>
      <c r="P58">
        <v>3</v>
      </c>
      <c r="Q58">
        <v>0</v>
      </c>
      <c r="R58">
        <v>1</v>
      </c>
      <c r="S58">
        <v>2</v>
      </c>
    </row>
    <row r="59" spans="1:19" x14ac:dyDescent="0.25">
      <c r="A59" t="s">
        <v>17</v>
      </c>
      <c r="B59" t="s">
        <v>19</v>
      </c>
      <c r="C59" t="s">
        <v>68</v>
      </c>
      <c r="D59" t="s">
        <v>48</v>
      </c>
      <c r="E59" t="s">
        <v>44</v>
      </c>
      <c r="F59" s="4">
        <v>41446</v>
      </c>
      <c r="G59" s="4">
        <v>41660</v>
      </c>
      <c r="H59" t="s">
        <v>45</v>
      </c>
      <c r="I59" t="s">
        <v>47</v>
      </c>
      <c r="J59">
        <v>2</v>
      </c>
      <c r="K59">
        <v>2</v>
      </c>
      <c r="L59">
        <v>0</v>
      </c>
      <c r="M59">
        <v>3</v>
      </c>
      <c r="N59">
        <v>2</v>
      </c>
      <c r="O59">
        <v>0</v>
      </c>
      <c r="P59">
        <v>2</v>
      </c>
      <c r="Q59">
        <v>1</v>
      </c>
      <c r="R59">
        <v>1</v>
      </c>
      <c r="S59">
        <v>0</v>
      </c>
    </row>
    <row r="60" spans="1:19" x14ac:dyDescent="0.25">
      <c r="A60" t="s">
        <v>17</v>
      </c>
      <c r="B60" t="s">
        <v>20</v>
      </c>
      <c r="C60" t="s">
        <v>69</v>
      </c>
      <c r="D60" t="s">
        <v>48</v>
      </c>
      <c r="E60" t="s">
        <v>44</v>
      </c>
      <c r="F60" s="4">
        <v>41716</v>
      </c>
      <c r="G60" s="4">
        <v>41723</v>
      </c>
      <c r="H60" t="s">
        <v>45</v>
      </c>
      <c r="I60" t="s">
        <v>46</v>
      </c>
      <c r="J60">
        <v>2</v>
      </c>
      <c r="K60">
        <v>0</v>
      </c>
      <c r="L60">
        <v>3</v>
      </c>
      <c r="M60">
        <v>1</v>
      </c>
      <c r="N60">
        <v>3</v>
      </c>
      <c r="O60">
        <v>1</v>
      </c>
      <c r="P60">
        <v>0</v>
      </c>
      <c r="Q60">
        <v>1</v>
      </c>
      <c r="R60">
        <v>0</v>
      </c>
      <c r="S60">
        <v>1</v>
      </c>
    </row>
    <row r="61" spans="1:19" x14ac:dyDescent="0.25">
      <c r="A61" t="s">
        <v>17</v>
      </c>
      <c r="B61" t="s">
        <v>21</v>
      </c>
      <c r="C61" t="s">
        <v>70</v>
      </c>
      <c r="D61" t="s">
        <v>48</v>
      </c>
      <c r="E61" t="s">
        <v>44</v>
      </c>
      <c r="F61" s="4">
        <v>41698</v>
      </c>
      <c r="G61" s="4">
        <v>41744</v>
      </c>
      <c r="H61" t="s">
        <v>49</v>
      </c>
      <c r="I61" t="s">
        <v>46</v>
      </c>
      <c r="J61">
        <v>0</v>
      </c>
      <c r="K61">
        <v>2</v>
      </c>
      <c r="L61">
        <v>2</v>
      </c>
      <c r="M61">
        <v>0</v>
      </c>
      <c r="N61">
        <v>3</v>
      </c>
      <c r="O61">
        <v>1</v>
      </c>
      <c r="P61">
        <v>0</v>
      </c>
      <c r="Q61">
        <v>0</v>
      </c>
      <c r="R61">
        <v>1</v>
      </c>
      <c r="S61">
        <v>0</v>
      </c>
    </row>
    <row r="62" spans="1:19" x14ac:dyDescent="0.25">
      <c r="A62" t="s">
        <v>17</v>
      </c>
      <c r="B62" t="s">
        <v>19</v>
      </c>
      <c r="C62" t="s">
        <v>70</v>
      </c>
      <c r="D62" t="s">
        <v>48</v>
      </c>
      <c r="E62" t="s">
        <v>44</v>
      </c>
      <c r="F62" s="4">
        <v>41698</v>
      </c>
      <c r="G62" s="4">
        <v>41853</v>
      </c>
      <c r="H62" t="s">
        <v>49</v>
      </c>
      <c r="I62" t="s">
        <v>47</v>
      </c>
      <c r="J62">
        <v>0</v>
      </c>
      <c r="K62">
        <v>1</v>
      </c>
      <c r="L62">
        <v>3</v>
      </c>
      <c r="M62">
        <v>3</v>
      </c>
      <c r="N62">
        <v>3</v>
      </c>
      <c r="O62">
        <v>1</v>
      </c>
      <c r="P62">
        <v>0</v>
      </c>
      <c r="Q62">
        <v>1</v>
      </c>
      <c r="R62">
        <v>2</v>
      </c>
      <c r="S62">
        <v>1</v>
      </c>
    </row>
    <row r="63" spans="1:19" x14ac:dyDescent="0.25">
      <c r="A63" t="s">
        <v>18</v>
      </c>
      <c r="B63" t="s">
        <v>20</v>
      </c>
      <c r="C63" t="s">
        <v>71</v>
      </c>
      <c r="D63" t="s">
        <v>48</v>
      </c>
      <c r="E63" t="s">
        <v>50</v>
      </c>
      <c r="F63" s="4">
        <v>41413</v>
      </c>
      <c r="G63" s="4">
        <v>41416</v>
      </c>
      <c r="H63" t="s">
        <v>45</v>
      </c>
      <c r="I63" t="s">
        <v>46</v>
      </c>
      <c r="J63">
        <v>1</v>
      </c>
      <c r="K63">
        <v>1</v>
      </c>
      <c r="L63">
        <v>0</v>
      </c>
      <c r="M63">
        <v>2</v>
      </c>
      <c r="N63">
        <v>3</v>
      </c>
      <c r="O63">
        <v>2</v>
      </c>
      <c r="P63">
        <v>3</v>
      </c>
      <c r="Q63">
        <v>1</v>
      </c>
      <c r="R63">
        <v>3</v>
      </c>
      <c r="S63">
        <v>2</v>
      </c>
    </row>
    <row r="64" spans="1:19" x14ac:dyDescent="0.25">
      <c r="A64" t="s">
        <v>18</v>
      </c>
      <c r="B64" t="s">
        <v>21</v>
      </c>
      <c r="C64" t="s">
        <v>71</v>
      </c>
      <c r="D64" t="s">
        <v>48</v>
      </c>
      <c r="E64" t="s">
        <v>50</v>
      </c>
      <c r="F64" s="4">
        <v>41413</v>
      </c>
      <c r="G64" s="4">
        <v>41493</v>
      </c>
      <c r="H64" t="s">
        <v>45</v>
      </c>
      <c r="I64" t="s">
        <v>47</v>
      </c>
      <c r="J64">
        <v>1</v>
      </c>
      <c r="K64">
        <v>2</v>
      </c>
      <c r="L64">
        <v>1</v>
      </c>
      <c r="M64">
        <v>2</v>
      </c>
      <c r="N64">
        <v>1</v>
      </c>
      <c r="O64">
        <v>2</v>
      </c>
      <c r="P64">
        <v>1</v>
      </c>
      <c r="Q64">
        <v>2</v>
      </c>
      <c r="R64">
        <v>1</v>
      </c>
      <c r="S64">
        <v>1</v>
      </c>
    </row>
    <row r="65" spans="1:19" x14ac:dyDescent="0.25">
      <c r="A65" t="s">
        <v>18</v>
      </c>
      <c r="B65" t="s">
        <v>19</v>
      </c>
      <c r="C65" t="s">
        <v>71</v>
      </c>
      <c r="D65" t="s">
        <v>48</v>
      </c>
      <c r="E65" t="s">
        <v>50</v>
      </c>
      <c r="F65" s="4">
        <v>41413</v>
      </c>
      <c r="G65" s="4">
        <v>41503</v>
      </c>
      <c r="H65" t="s">
        <v>45</v>
      </c>
      <c r="I65" t="s">
        <v>47</v>
      </c>
      <c r="J65">
        <v>1</v>
      </c>
      <c r="K65">
        <v>2</v>
      </c>
      <c r="L65">
        <v>3</v>
      </c>
      <c r="M65">
        <v>1</v>
      </c>
      <c r="N65">
        <v>1</v>
      </c>
      <c r="O65">
        <v>1</v>
      </c>
      <c r="P65">
        <v>1</v>
      </c>
      <c r="Q65">
        <v>0</v>
      </c>
      <c r="R65">
        <v>1</v>
      </c>
      <c r="S65">
        <v>1</v>
      </c>
    </row>
    <row r="66" spans="1:19" x14ac:dyDescent="0.25">
      <c r="A66" t="s">
        <v>18</v>
      </c>
      <c r="B66" t="s">
        <v>20</v>
      </c>
      <c r="C66" t="s">
        <v>71</v>
      </c>
      <c r="D66" t="s">
        <v>48</v>
      </c>
      <c r="E66" t="s">
        <v>50</v>
      </c>
      <c r="F66" s="4">
        <v>41413</v>
      </c>
      <c r="G66" s="4">
        <v>41641</v>
      </c>
      <c r="H66" t="s">
        <v>45</v>
      </c>
      <c r="I66" t="s">
        <v>47</v>
      </c>
      <c r="J66">
        <v>1</v>
      </c>
      <c r="K66">
        <v>2</v>
      </c>
      <c r="L66">
        <v>3</v>
      </c>
      <c r="M66">
        <v>0</v>
      </c>
      <c r="N66">
        <v>1</v>
      </c>
      <c r="O66">
        <v>1</v>
      </c>
      <c r="P66">
        <v>0</v>
      </c>
      <c r="Q66">
        <v>1</v>
      </c>
      <c r="R66">
        <v>3</v>
      </c>
      <c r="S66">
        <v>2</v>
      </c>
    </row>
    <row r="67" spans="1:19" x14ac:dyDescent="0.25">
      <c r="A67" t="s">
        <v>18</v>
      </c>
      <c r="B67" t="s">
        <v>21</v>
      </c>
      <c r="C67" t="s">
        <v>71</v>
      </c>
      <c r="D67" t="s">
        <v>48</v>
      </c>
      <c r="E67" t="s">
        <v>50</v>
      </c>
      <c r="F67" s="4">
        <v>41413</v>
      </c>
      <c r="G67" s="4">
        <v>41717</v>
      </c>
      <c r="H67" t="s">
        <v>45</v>
      </c>
      <c r="I67" t="s">
        <v>47</v>
      </c>
      <c r="J67">
        <v>1</v>
      </c>
      <c r="K67">
        <v>1</v>
      </c>
      <c r="L67">
        <v>2</v>
      </c>
      <c r="M67">
        <v>0</v>
      </c>
      <c r="N67">
        <v>1</v>
      </c>
      <c r="O67">
        <v>3</v>
      </c>
      <c r="P67">
        <v>1</v>
      </c>
      <c r="Q67">
        <v>1</v>
      </c>
      <c r="R67">
        <v>1</v>
      </c>
      <c r="S67">
        <v>1</v>
      </c>
    </row>
    <row r="68" spans="1:19" x14ac:dyDescent="0.25">
      <c r="A68" t="s">
        <v>18</v>
      </c>
      <c r="B68" t="s">
        <v>19</v>
      </c>
      <c r="C68" t="s">
        <v>71</v>
      </c>
      <c r="D68" t="s">
        <v>48</v>
      </c>
      <c r="E68" t="s">
        <v>50</v>
      </c>
      <c r="F68" s="4">
        <v>41413</v>
      </c>
      <c r="G68" s="4">
        <v>41798</v>
      </c>
      <c r="H68" t="s">
        <v>45</v>
      </c>
      <c r="I68" t="s">
        <v>47</v>
      </c>
      <c r="J68">
        <v>2</v>
      </c>
      <c r="K68">
        <v>2</v>
      </c>
      <c r="L68">
        <v>1</v>
      </c>
      <c r="M68">
        <v>2</v>
      </c>
      <c r="N68">
        <v>3</v>
      </c>
      <c r="O68">
        <v>1</v>
      </c>
      <c r="P68">
        <v>1</v>
      </c>
      <c r="Q68">
        <v>1</v>
      </c>
      <c r="R68">
        <v>3</v>
      </c>
      <c r="S68">
        <v>2</v>
      </c>
    </row>
    <row r="69" spans="1:19" x14ac:dyDescent="0.25">
      <c r="A69" t="s">
        <v>18</v>
      </c>
      <c r="B69" t="s">
        <v>20</v>
      </c>
      <c r="C69" t="s">
        <v>71</v>
      </c>
      <c r="D69" t="s">
        <v>48</v>
      </c>
      <c r="E69" t="s">
        <v>50</v>
      </c>
      <c r="F69" s="4">
        <v>41413</v>
      </c>
      <c r="G69" s="4">
        <v>41836</v>
      </c>
      <c r="H69" t="s">
        <v>45</v>
      </c>
      <c r="I69" t="s">
        <v>47</v>
      </c>
      <c r="J69">
        <v>2</v>
      </c>
      <c r="K69">
        <v>0</v>
      </c>
      <c r="L69">
        <v>1</v>
      </c>
      <c r="M69">
        <v>2</v>
      </c>
      <c r="N69">
        <v>0</v>
      </c>
      <c r="O69">
        <v>0</v>
      </c>
      <c r="P69">
        <v>1</v>
      </c>
      <c r="Q69">
        <v>1</v>
      </c>
      <c r="R69">
        <v>0</v>
      </c>
      <c r="S69">
        <v>1</v>
      </c>
    </row>
    <row r="70" spans="1:19" x14ac:dyDescent="0.25">
      <c r="A70" t="s">
        <v>18</v>
      </c>
      <c r="B70" t="s">
        <v>21</v>
      </c>
      <c r="C70" t="s">
        <v>72</v>
      </c>
      <c r="D70" t="s">
        <v>48</v>
      </c>
      <c r="E70" t="s">
        <v>44</v>
      </c>
      <c r="F70" s="4">
        <v>41477</v>
      </c>
      <c r="G70" s="4">
        <v>41482</v>
      </c>
      <c r="H70" t="s">
        <v>45</v>
      </c>
      <c r="I70" t="s">
        <v>46</v>
      </c>
      <c r="J70">
        <v>1</v>
      </c>
      <c r="K70">
        <v>1</v>
      </c>
      <c r="L70">
        <v>3</v>
      </c>
      <c r="M70">
        <v>0</v>
      </c>
      <c r="N70">
        <v>1</v>
      </c>
      <c r="O70">
        <v>1</v>
      </c>
      <c r="P70">
        <v>0</v>
      </c>
      <c r="Q70">
        <v>2</v>
      </c>
      <c r="R70">
        <v>2</v>
      </c>
      <c r="S70">
        <v>2</v>
      </c>
    </row>
    <row r="71" spans="1:19" x14ac:dyDescent="0.25">
      <c r="A71" t="s">
        <v>18</v>
      </c>
      <c r="B71" t="s">
        <v>19</v>
      </c>
      <c r="C71" t="s">
        <v>72</v>
      </c>
      <c r="D71" t="s">
        <v>48</v>
      </c>
      <c r="E71" t="s">
        <v>44</v>
      </c>
      <c r="F71" s="4">
        <v>41477</v>
      </c>
      <c r="G71" s="4">
        <v>41593</v>
      </c>
      <c r="H71" t="s">
        <v>45</v>
      </c>
      <c r="I71" t="s">
        <v>47</v>
      </c>
      <c r="J71">
        <v>2</v>
      </c>
      <c r="K71">
        <v>0</v>
      </c>
      <c r="L71">
        <v>2</v>
      </c>
      <c r="M71">
        <v>2</v>
      </c>
      <c r="N71">
        <v>0</v>
      </c>
      <c r="O71">
        <v>2</v>
      </c>
      <c r="P71">
        <v>1</v>
      </c>
      <c r="Q71">
        <v>0</v>
      </c>
      <c r="R71">
        <v>3</v>
      </c>
      <c r="S71">
        <v>2</v>
      </c>
    </row>
    <row r="72" spans="1:19" x14ac:dyDescent="0.25">
      <c r="A72" t="s">
        <v>18</v>
      </c>
      <c r="B72" t="s">
        <v>20</v>
      </c>
      <c r="C72" t="s">
        <v>73</v>
      </c>
      <c r="D72" t="s">
        <v>43</v>
      </c>
      <c r="E72" t="s">
        <v>44</v>
      </c>
      <c r="F72" s="4">
        <v>41475</v>
      </c>
      <c r="G72" s="4">
        <v>41504</v>
      </c>
      <c r="H72" t="s">
        <v>49</v>
      </c>
      <c r="I72" t="s">
        <v>46</v>
      </c>
      <c r="J72">
        <v>0</v>
      </c>
      <c r="K72">
        <v>1</v>
      </c>
      <c r="L72">
        <v>0</v>
      </c>
      <c r="M72">
        <v>1</v>
      </c>
      <c r="N72">
        <v>2</v>
      </c>
      <c r="O72">
        <v>1</v>
      </c>
      <c r="P72">
        <v>0</v>
      </c>
      <c r="Q72">
        <v>1</v>
      </c>
      <c r="R72">
        <v>1</v>
      </c>
      <c r="S72">
        <v>1</v>
      </c>
    </row>
    <row r="73" spans="1:19" x14ac:dyDescent="0.25">
      <c r="A73" t="s">
        <v>18</v>
      </c>
      <c r="B73" t="s">
        <v>21</v>
      </c>
      <c r="C73" t="s">
        <v>73</v>
      </c>
      <c r="D73" t="s">
        <v>43</v>
      </c>
      <c r="E73" t="s">
        <v>44</v>
      </c>
      <c r="F73" s="4">
        <v>41475</v>
      </c>
      <c r="G73" s="4">
        <v>41589</v>
      </c>
      <c r="H73" t="s">
        <v>49</v>
      </c>
      <c r="I73" t="s">
        <v>47</v>
      </c>
      <c r="J73">
        <v>2</v>
      </c>
      <c r="K73">
        <v>0</v>
      </c>
      <c r="L73">
        <v>2</v>
      </c>
      <c r="M73">
        <v>3</v>
      </c>
      <c r="N73">
        <v>3</v>
      </c>
      <c r="O73">
        <v>1</v>
      </c>
      <c r="P73">
        <v>1</v>
      </c>
      <c r="Q73">
        <v>1</v>
      </c>
      <c r="R73">
        <v>3</v>
      </c>
      <c r="S73">
        <v>1</v>
      </c>
    </row>
    <row r="74" spans="1:19" x14ac:dyDescent="0.25">
      <c r="A74" t="s">
        <v>18</v>
      </c>
      <c r="B74" t="s">
        <v>19</v>
      </c>
      <c r="C74" t="s">
        <v>73</v>
      </c>
      <c r="D74" t="s">
        <v>43</v>
      </c>
      <c r="E74" t="s">
        <v>44</v>
      </c>
      <c r="F74" s="4">
        <v>41475</v>
      </c>
      <c r="G74" s="4">
        <v>41622</v>
      </c>
      <c r="H74" t="s">
        <v>49</v>
      </c>
      <c r="I74" t="s">
        <v>47</v>
      </c>
      <c r="J74">
        <v>2</v>
      </c>
      <c r="K74">
        <v>2</v>
      </c>
      <c r="L74">
        <v>2</v>
      </c>
      <c r="M74">
        <v>2</v>
      </c>
      <c r="N74">
        <v>3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18</v>
      </c>
      <c r="B75" t="s">
        <v>20</v>
      </c>
      <c r="C75" t="s">
        <v>73</v>
      </c>
      <c r="D75" t="s">
        <v>43</v>
      </c>
      <c r="E75" t="s">
        <v>44</v>
      </c>
      <c r="F75" s="4">
        <v>41475</v>
      </c>
      <c r="G75" s="4">
        <v>41676</v>
      </c>
      <c r="H75" t="s">
        <v>49</v>
      </c>
      <c r="I75" t="s">
        <v>47</v>
      </c>
      <c r="J75">
        <v>0</v>
      </c>
      <c r="K75">
        <v>2</v>
      </c>
      <c r="L75">
        <v>2</v>
      </c>
      <c r="M75">
        <v>3</v>
      </c>
      <c r="N75">
        <v>3</v>
      </c>
      <c r="O75">
        <v>1</v>
      </c>
      <c r="P75">
        <v>1</v>
      </c>
      <c r="Q75">
        <v>1</v>
      </c>
      <c r="R75">
        <v>2</v>
      </c>
      <c r="S75">
        <v>1</v>
      </c>
    </row>
    <row r="76" spans="1:19" x14ac:dyDescent="0.25">
      <c r="A76" t="s">
        <v>18</v>
      </c>
      <c r="B76" t="s">
        <v>21</v>
      </c>
      <c r="C76" t="s">
        <v>74</v>
      </c>
      <c r="D76" t="s">
        <v>43</v>
      </c>
      <c r="E76" t="s">
        <v>44</v>
      </c>
      <c r="F76" s="4">
        <v>41525</v>
      </c>
      <c r="G76" s="4">
        <v>41552</v>
      </c>
      <c r="H76" t="s">
        <v>45</v>
      </c>
      <c r="I76" t="s">
        <v>46</v>
      </c>
      <c r="J76">
        <v>2</v>
      </c>
      <c r="K76">
        <v>0</v>
      </c>
      <c r="L76">
        <v>1</v>
      </c>
      <c r="M76">
        <v>0</v>
      </c>
      <c r="N76">
        <v>1</v>
      </c>
      <c r="O76">
        <v>1</v>
      </c>
      <c r="P76">
        <v>1</v>
      </c>
      <c r="Q76">
        <v>1</v>
      </c>
      <c r="R76">
        <v>2</v>
      </c>
      <c r="S76">
        <v>0</v>
      </c>
    </row>
    <row r="77" spans="1:19" x14ac:dyDescent="0.25">
      <c r="A77" t="s">
        <v>18</v>
      </c>
      <c r="B77" t="s">
        <v>19</v>
      </c>
      <c r="C77" t="s">
        <v>75</v>
      </c>
      <c r="D77" t="s">
        <v>43</v>
      </c>
      <c r="E77" t="s">
        <v>50</v>
      </c>
      <c r="F77" s="4">
        <v>41516</v>
      </c>
      <c r="G77" s="4">
        <v>41535</v>
      </c>
      <c r="H77" t="s">
        <v>45</v>
      </c>
      <c r="I77" t="s">
        <v>46</v>
      </c>
      <c r="J77">
        <v>0</v>
      </c>
      <c r="K77">
        <v>2</v>
      </c>
      <c r="L77">
        <v>3</v>
      </c>
      <c r="M77">
        <v>3</v>
      </c>
      <c r="N77">
        <v>1</v>
      </c>
      <c r="O77">
        <v>1</v>
      </c>
      <c r="P77">
        <v>3</v>
      </c>
      <c r="Q77">
        <v>1</v>
      </c>
      <c r="R77">
        <v>0</v>
      </c>
      <c r="S77">
        <v>0</v>
      </c>
    </row>
    <row r="78" spans="1:19" x14ac:dyDescent="0.25">
      <c r="A78" t="s">
        <v>18</v>
      </c>
      <c r="B78" t="s">
        <v>20</v>
      </c>
      <c r="C78" t="s">
        <v>76</v>
      </c>
      <c r="D78" t="s">
        <v>48</v>
      </c>
      <c r="E78" t="s">
        <v>44</v>
      </c>
      <c r="F78" s="4">
        <v>41621</v>
      </c>
      <c r="G78" s="4">
        <v>41671</v>
      </c>
      <c r="H78" t="s">
        <v>45</v>
      </c>
      <c r="I78" t="s">
        <v>46</v>
      </c>
      <c r="J78">
        <v>1</v>
      </c>
      <c r="K78">
        <v>1</v>
      </c>
      <c r="L78">
        <v>1</v>
      </c>
      <c r="M78">
        <v>0</v>
      </c>
      <c r="N78">
        <v>2</v>
      </c>
      <c r="O78">
        <v>3</v>
      </c>
      <c r="P78">
        <v>0</v>
      </c>
      <c r="Q78">
        <v>1</v>
      </c>
      <c r="R78">
        <v>0</v>
      </c>
      <c r="S78">
        <v>1</v>
      </c>
    </row>
    <row r="79" spans="1:19" x14ac:dyDescent="0.25">
      <c r="A79" t="s">
        <v>18</v>
      </c>
      <c r="B79" t="s">
        <v>21</v>
      </c>
      <c r="C79" t="s">
        <v>76</v>
      </c>
      <c r="D79" t="s">
        <v>48</v>
      </c>
      <c r="E79" t="s">
        <v>44</v>
      </c>
      <c r="F79" s="4">
        <v>41621</v>
      </c>
      <c r="G79" s="4">
        <v>41731</v>
      </c>
      <c r="H79" t="s">
        <v>45</v>
      </c>
      <c r="I79" t="s">
        <v>47</v>
      </c>
      <c r="J79">
        <v>0</v>
      </c>
      <c r="K79">
        <v>1</v>
      </c>
      <c r="L79">
        <v>2</v>
      </c>
      <c r="M79">
        <v>2</v>
      </c>
      <c r="N79">
        <v>1</v>
      </c>
      <c r="O79">
        <v>3</v>
      </c>
      <c r="P79">
        <v>1</v>
      </c>
      <c r="Q79">
        <v>1</v>
      </c>
      <c r="R79">
        <v>1</v>
      </c>
      <c r="S79">
        <v>0</v>
      </c>
    </row>
    <row r="80" spans="1:19" x14ac:dyDescent="0.25">
      <c r="A80" t="s">
        <v>18</v>
      </c>
      <c r="B80" t="s">
        <v>19</v>
      </c>
      <c r="C80" t="s">
        <v>77</v>
      </c>
      <c r="D80" t="s">
        <v>43</v>
      </c>
      <c r="E80" t="s">
        <v>44</v>
      </c>
      <c r="F80" s="4">
        <v>41496</v>
      </c>
      <c r="G80" s="4">
        <v>41549</v>
      </c>
      <c r="H80" t="s">
        <v>49</v>
      </c>
      <c r="I80" t="s">
        <v>46</v>
      </c>
      <c r="J80">
        <v>2</v>
      </c>
      <c r="K80">
        <v>0</v>
      </c>
      <c r="L80">
        <v>3</v>
      </c>
      <c r="M80">
        <v>1</v>
      </c>
      <c r="N80">
        <v>0</v>
      </c>
      <c r="O80">
        <v>1</v>
      </c>
      <c r="P80">
        <v>1</v>
      </c>
      <c r="Q80">
        <v>0</v>
      </c>
      <c r="R80">
        <v>1</v>
      </c>
      <c r="S80">
        <v>1</v>
      </c>
    </row>
    <row r="81" spans="1:19" x14ac:dyDescent="0.25">
      <c r="A81" t="s">
        <v>18</v>
      </c>
      <c r="B81" t="s">
        <v>20</v>
      </c>
      <c r="C81" t="s">
        <v>78</v>
      </c>
      <c r="D81" t="s">
        <v>48</v>
      </c>
      <c r="E81" t="s">
        <v>51</v>
      </c>
      <c r="F81" s="4">
        <v>41520</v>
      </c>
      <c r="G81" s="4">
        <v>41555</v>
      </c>
      <c r="H81" t="s">
        <v>45</v>
      </c>
      <c r="I81" t="s">
        <v>46</v>
      </c>
      <c r="J81">
        <v>0</v>
      </c>
      <c r="K81">
        <v>0</v>
      </c>
      <c r="L81">
        <v>1</v>
      </c>
      <c r="M81">
        <v>3</v>
      </c>
      <c r="N81">
        <v>3</v>
      </c>
      <c r="O81">
        <v>3</v>
      </c>
      <c r="P81">
        <v>0</v>
      </c>
      <c r="Q81">
        <v>0</v>
      </c>
      <c r="R81">
        <v>2</v>
      </c>
      <c r="S81">
        <v>1</v>
      </c>
    </row>
    <row r="82" spans="1:19" x14ac:dyDescent="0.25">
      <c r="A82" t="s">
        <v>18</v>
      </c>
      <c r="B82" t="s">
        <v>21</v>
      </c>
      <c r="C82" t="s">
        <v>78</v>
      </c>
      <c r="D82" t="s">
        <v>48</v>
      </c>
      <c r="E82" t="s">
        <v>51</v>
      </c>
      <c r="F82" s="4">
        <v>41520</v>
      </c>
      <c r="G82" s="4">
        <v>41697</v>
      </c>
      <c r="H82" t="s">
        <v>45</v>
      </c>
      <c r="I82" t="s">
        <v>47</v>
      </c>
      <c r="J82">
        <v>0</v>
      </c>
      <c r="K82">
        <v>1</v>
      </c>
      <c r="L82">
        <v>2</v>
      </c>
      <c r="M82">
        <v>3</v>
      </c>
      <c r="N82">
        <v>3</v>
      </c>
      <c r="O82">
        <v>0</v>
      </c>
      <c r="P82">
        <v>1</v>
      </c>
      <c r="Q82">
        <v>0</v>
      </c>
      <c r="R82">
        <v>2</v>
      </c>
      <c r="S82">
        <v>2</v>
      </c>
    </row>
    <row r="83" spans="1:19" x14ac:dyDescent="0.25">
      <c r="A83" t="s">
        <v>18</v>
      </c>
      <c r="B83" t="s">
        <v>19</v>
      </c>
      <c r="C83" t="s">
        <v>78</v>
      </c>
      <c r="D83" t="s">
        <v>48</v>
      </c>
      <c r="E83" t="s">
        <v>51</v>
      </c>
      <c r="F83" s="4">
        <v>41520</v>
      </c>
      <c r="G83" s="4">
        <v>41711</v>
      </c>
      <c r="H83" t="s">
        <v>45</v>
      </c>
      <c r="I83" t="s">
        <v>47</v>
      </c>
      <c r="J83">
        <v>2</v>
      </c>
      <c r="K83">
        <v>0</v>
      </c>
      <c r="L83">
        <v>3</v>
      </c>
      <c r="M83">
        <v>3</v>
      </c>
      <c r="N83">
        <v>2</v>
      </c>
      <c r="O83">
        <v>0</v>
      </c>
      <c r="P83">
        <v>2</v>
      </c>
      <c r="Q83">
        <v>1</v>
      </c>
      <c r="R83">
        <v>3</v>
      </c>
      <c r="S83">
        <v>0</v>
      </c>
    </row>
    <row r="84" spans="1:19" x14ac:dyDescent="0.25">
      <c r="A84" t="s">
        <v>18</v>
      </c>
      <c r="B84" t="s">
        <v>20</v>
      </c>
      <c r="C84" t="s">
        <v>78</v>
      </c>
      <c r="D84" t="s">
        <v>48</v>
      </c>
      <c r="E84" t="s">
        <v>51</v>
      </c>
      <c r="F84" s="4">
        <v>41520</v>
      </c>
      <c r="G84" s="4">
        <v>41848</v>
      </c>
      <c r="H84" t="s">
        <v>45</v>
      </c>
      <c r="I84" t="s">
        <v>47</v>
      </c>
      <c r="J84">
        <v>1</v>
      </c>
      <c r="K84">
        <v>0</v>
      </c>
      <c r="L84">
        <v>3</v>
      </c>
      <c r="M84">
        <v>1</v>
      </c>
      <c r="N84">
        <v>2</v>
      </c>
      <c r="O84">
        <v>2</v>
      </c>
      <c r="P84">
        <v>2</v>
      </c>
      <c r="Q84">
        <v>0</v>
      </c>
      <c r="R84">
        <v>1</v>
      </c>
      <c r="S84">
        <v>2</v>
      </c>
    </row>
    <row r="85" spans="1:19" x14ac:dyDescent="0.25">
      <c r="A85" t="s">
        <v>18</v>
      </c>
      <c r="B85" t="s">
        <v>21</v>
      </c>
      <c r="C85" t="s">
        <v>79</v>
      </c>
      <c r="D85" t="s">
        <v>43</v>
      </c>
      <c r="E85" t="s">
        <v>44</v>
      </c>
      <c r="F85" s="4">
        <v>41379</v>
      </c>
      <c r="G85" s="4">
        <v>41416</v>
      </c>
      <c r="H85" t="s">
        <v>49</v>
      </c>
      <c r="I85" t="s">
        <v>46</v>
      </c>
      <c r="J85">
        <v>0</v>
      </c>
      <c r="K85">
        <v>1</v>
      </c>
      <c r="L85">
        <v>1</v>
      </c>
      <c r="M85">
        <v>0</v>
      </c>
      <c r="N85">
        <v>3</v>
      </c>
      <c r="O85">
        <v>0</v>
      </c>
      <c r="P85">
        <v>1</v>
      </c>
      <c r="Q85">
        <v>1</v>
      </c>
      <c r="R85">
        <v>2</v>
      </c>
      <c r="S85">
        <v>1</v>
      </c>
    </row>
    <row r="86" spans="1:19" x14ac:dyDescent="0.25">
      <c r="A86" t="s">
        <v>18</v>
      </c>
      <c r="B86" t="s">
        <v>19</v>
      </c>
      <c r="C86" t="s">
        <v>79</v>
      </c>
      <c r="D86" t="s">
        <v>43</v>
      </c>
      <c r="E86" t="s">
        <v>44</v>
      </c>
      <c r="F86" s="4">
        <v>41379</v>
      </c>
      <c r="G86" s="4">
        <v>41499</v>
      </c>
      <c r="H86" t="s">
        <v>49</v>
      </c>
      <c r="I86" t="s">
        <v>47</v>
      </c>
      <c r="J86">
        <v>0</v>
      </c>
      <c r="K86">
        <v>1</v>
      </c>
      <c r="L86">
        <v>1</v>
      </c>
      <c r="M86">
        <v>1</v>
      </c>
      <c r="N86">
        <v>3</v>
      </c>
      <c r="O86">
        <v>1</v>
      </c>
      <c r="P86">
        <v>0</v>
      </c>
      <c r="Q86">
        <v>0</v>
      </c>
      <c r="R86">
        <v>2</v>
      </c>
      <c r="S86">
        <v>0</v>
      </c>
    </row>
    <row r="87" spans="1:19" x14ac:dyDescent="0.25">
      <c r="A87" t="s">
        <v>18</v>
      </c>
      <c r="B87" t="s">
        <v>20</v>
      </c>
      <c r="C87" t="s">
        <v>79</v>
      </c>
      <c r="D87" t="s">
        <v>43</v>
      </c>
      <c r="E87" t="s">
        <v>44</v>
      </c>
      <c r="F87" s="4">
        <v>41379</v>
      </c>
      <c r="G87" s="4">
        <v>41613</v>
      </c>
      <c r="H87" t="s">
        <v>49</v>
      </c>
      <c r="I87" t="s">
        <v>47</v>
      </c>
      <c r="J87">
        <v>1</v>
      </c>
      <c r="K87">
        <v>2</v>
      </c>
      <c r="L87">
        <v>0</v>
      </c>
      <c r="M87">
        <v>2</v>
      </c>
      <c r="N87">
        <v>1</v>
      </c>
      <c r="O87">
        <v>3</v>
      </c>
      <c r="P87">
        <v>2</v>
      </c>
      <c r="Q87">
        <v>2</v>
      </c>
      <c r="R87">
        <v>1</v>
      </c>
      <c r="S87">
        <v>2</v>
      </c>
    </row>
    <row r="88" spans="1:19" x14ac:dyDescent="0.25">
      <c r="A88" t="s">
        <v>18</v>
      </c>
      <c r="B88" t="s">
        <v>21</v>
      </c>
      <c r="C88" t="s">
        <v>79</v>
      </c>
      <c r="D88" t="s">
        <v>43</v>
      </c>
      <c r="E88" t="s">
        <v>44</v>
      </c>
      <c r="F88" s="4">
        <v>41379</v>
      </c>
      <c r="G88" s="4">
        <v>41694</v>
      </c>
      <c r="H88" t="s">
        <v>49</v>
      </c>
      <c r="I88" t="s">
        <v>47</v>
      </c>
      <c r="J88">
        <v>1</v>
      </c>
      <c r="K88">
        <v>2</v>
      </c>
      <c r="L88">
        <v>3</v>
      </c>
      <c r="M88">
        <v>0</v>
      </c>
      <c r="N88">
        <v>1</v>
      </c>
      <c r="O88">
        <v>1</v>
      </c>
      <c r="P88">
        <v>0</v>
      </c>
      <c r="Q88">
        <v>2</v>
      </c>
      <c r="R88">
        <v>0</v>
      </c>
      <c r="S88">
        <v>1</v>
      </c>
    </row>
    <row r="89" spans="1:19" x14ac:dyDescent="0.25">
      <c r="A89" t="s">
        <v>18</v>
      </c>
      <c r="B89" t="s">
        <v>19</v>
      </c>
      <c r="C89" t="s">
        <v>80</v>
      </c>
      <c r="D89" t="s">
        <v>48</v>
      </c>
      <c r="E89" t="s">
        <v>50</v>
      </c>
      <c r="F89" s="4">
        <v>41477</v>
      </c>
      <c r="G89" s="4">
        <v>41528</v>
      </c>
      <c r="H89" t="s">
        <v>45</v>
      </c>
      <c r="I89" t="s">
        <v>46</v>
      </c>
      <c r="J89">
        <v>0</v>
      </c>
      <c r="K89">
        <v>1</v>
      </c>
      <c r="L89">
        <v>2</v>
      </c>
      <c r="M89">
        <v>3</v>
      </c>
      <c r="N89">
        <v>1</v>
      </c>
      <c r="O89">
        <v>1</v>
      </c>
      <c r="P89">
        <v>1</v>
      </c>
      <c r="Q89">
        <v>0</v>
      </c>
      <c r="R89">
        <v>0</v>
      </c>
      <c r="S89">
        <v>0</v>
      </c>
    </row>
    <row r="90" spans="1:19" x14ac:dyDescent="0.25">
      <c r="A90" t="s">
        <v>18</v>
      </c>
      <c r="B90" t="s">
        <v>20</v>
      </c>
      <c r="C90" t="s">
        <v>80</v>
      </c>
      <c r="D90" t="s">
        <v>48</v>
      </c>
      <c r="E90" t="s">
        <v>50</v>
      </c>
      <c r="F90" s="4">
        <v>41477</v>
      </c>
      <c r="G90" s="4">
        <v>41600</v>
      </c>
      <c r="H90" t="s">
        <v>45</v>
      </c>
      <c r="I90" t="s">
        <v>47</v>
      </c>
      <c r="J90">
        <v>0</v>
      </c>
      <c r="K90">
        <v>2</v>
      </c>
      <c r="L90">
        <v>1</v>
      </c>
      <c r="M90">
        <v>1</v>
      </c>
      <c r="N90">
        <v>2</v>
      </c>
      <c r="O90">
        <v>0</v>
      </c>
      <c r="P90">
        <v>1</v>
      </c>
      <c r="Q90">
        <v>0</v>
      </c>
      <c r="R90">
        <v>0</v>
      </c>
      <c r="S90">
        <v>1</v>
      </c>
    </row>
    <row r="91" spans="1:19" x14ac:dyDescent="0.25">
      <c r="A91" t="s">
        <v>18</v>
      </c>
      <c r="B91" t="s">
        <v>21</v>
      </c>
      <c r="C91" t="s">
        <v>80</v>
      </c>
      <c r="D91" t="s">
        <v>48</v>
      </c>
      <c r="E91" t="s">
        <v>50</v>
      </c>
      <c r="F91" s="4">
        <v>41477</v>
      </c>
      <c r="G91" s="4">
        <v>41693</v>
      </c>
      <c r="H91" t="s">
        <v>45</v>
      </c>
      <c r="I91" t="s">
        <v>47</v>
      </c>
      <c r="J91">
        <v>2</v>
      </c>
      <c r="K91">
        <v>0</v>
      </c>
      <c r="L91">
        <v>0</v>
      </c>
      <c r="M91">
        <v>1</v>
      </c>
      <c r="N91">
        <v>1</v>
      </c>
      <c r="O91">
        <v>2</v>
      </c>
      <c r="P91">
        <v>0</v>
      </c>
      <c r="Q91">
        <v>1</v>
      </c>
      <c r="R91">
        <v>1</v>
      </c>
      <c r="S91">
        <v>2</v>
      </c>
    </row>
    <row r="92" spans="1:19" x14ac:dyDescent="0.25">
      <c r="A92" t="s">
        <v>18</v>
      </c>
      <c r="B92" t="s">
        <v>19</v>
      </c>
      <c r="C92" t="s">
        <v>80</v>
      </c>
      <c r="D92" t="s">
        <v>48</v>
      </c>
      <c r="E92" t="s">
        <v>50</v>
      </c>
      <c r="F92" s="4">
        <v>41477</v>
      </c>
      <c r="G92" s="4">
        <v>41824</v>
      </c>
      <c r="H92" t="s">
        <v>45</v>
      </c>
      <c r="I92" t="s">
        <v>47</v>
      </c>
      <c r="J92">
        <v>1</v>
      </c>
      <c r="K92">
        <v>1</v>
      </c>
      <c r="L92">
        <v>3</v>
      </c>
      <c r="M92">
        <v>0</v>
      </c>
      <c r="N92">
        <v>3</v>
      </c>
      <c r="O92">
        <v>3</v>
      </c>
      <c r="P92">
        <v>1</v>
      </c>
      <c r="Q92">
        <v>1</v>
      </c>
      <c r="R92">
        <v>0</v>
      </c>
      <c r="S92">
        <v>2</v>
      </c>
    </row>
    <row r="93" spans="1:19" x14ac:dyDescent="0.25">
      <c r="A93" t="s">
        <v>16</v>
      </c>
      <c r="B93" t="s">
        <v>20</v>
      </c>
      <c r="C93" t="s">
        <v>81</v>
      </c>
      <c r="D93" t="s">
        <v>43</v>
      </c>
      <c r="E93" t="s">
        <v>50</v>
      </c>
      <c r="F93" s="4">
        <v>41518</v>
      </c>
      <c r="G93" s="4">
        <v>41528</v>
      </c>
      <c r="H93" t="s">
        <v>45</v>
      </c>
      <c r="I93" t="s">
        <v>46</v>
      </c>
      <c r="J93">
        <v>3</v>
      </c>
      <c r="K93">
        <v>2</v>
      </c>
      <c r="L93">
        <v>3</v>
      </c>
      <c r="M93">
        <v>2</v>
      </c>
      <c r="N93">
        <v>3</v>
      </c>
      <c r="O93">
        <v>0</v>
      </c>
      <c r="P93">
        <v>0</v>
      </c>
      <c r="Q93">
        <v>1</v>
      </c>
      <c r="R93">
        <v>2</v>
      </c>
      <c r="S93">
        <v>1</v>
      </c>
    </row>
    <row r="94" spans="1:19" x14ac:dyDescent="0.25">
      <c r="A94" t="s">
        <v>16</v>
      </c>
      <c r="B94" t="s">
        <v>21</v>
      </c>
      <c r="C94" t="s">
        <v>81</v>
      </c>
      <c r="D94" t="s">
        <v>43</v>
      </c>
      <c r="E94" t="s">
        <v>50</v>
      </c>
      <c r="F94" s="4">
        <v>41518</v>
      </c>
      <c r="G94" s="4">
        <v>41624</v>
      </c>
      <c r="H94" t="s">
        <v>45</v>
      </c>
      <c r="I94" t="s">
        <v>47</v>
      </c>
      <c r="J94">
        <v>0</v>
      </c>
      <c r="K94">
        <v>1</v>
      </c>
      <c r="L94">
        <v>3</v>
      </c>
      <c r="M94">
        <v>3</v>
      </c>
      <c r="N94">
        <v>3</v>
      </c>
      <c r="O94">
        <v>1</v>
      </c>
      <c r="P94">
        <v>1</v>
      </c>
      <c r="Q94">
        <v>2</v>
      </c>
      <c r="R94">
        <v>2</v>
      </c>
      <c r="S94">
        <v>1</v>
      </c>
    </row>
    <row r="95" spans="1:19" x14ac:dyDescent="0.25">
      <c r="A95" t="s">
        <v>16</v>
      </c>
      <c r="B95" t="s">
        <v>19</v>
      </c>
      <c r="C95" t="s">
        <v>82</v>
      </c>
      <c r="D95" t="s">
        <v>48</v>
      </c>
      <c r="E95" t="s">
        <v>51</v>
      </c>
      <c r="F95" s="4">
        <v>41488</v>
      </c>
      <c r="G95" s="4">
        <v>41508</v>
      </c>
      <c r="H95" t="s">
        <v>49</v>
      </c>
      <c r="I95" t="s">
        <v>46</v>
      </c>
      <c r="J95">
        <v>0</v>
      </c>
      <c r="K95">
        <v>1</v>
      </c>
      <c r="L95">
        <v>3</v>
      </c>
      <c r="M95">
        <v>0</v>
      </c>
      <c r="N95">
        <v>0</v>
      </c>
      <c r="O95">
        <v>2</v>
      </c>
      <c r="P95">
        <v>2</v>
      </c>
      <c r="Q95">
        <v>0</v>
      </c>
      <c r="R95">
        <v>0</v>
      </c>
      <c r="S95">
        <v>2</v>
      </c>
    </row>
    <row r="96" spans="1:19" x14ac:dyDescent="0.25">
      <c r="A96" t="s">
        <v>16</v>
      </c>
      <c r="B96" t="s">
        <v>20</v>
      </c>
      <c r="C96" t="s">
        <v>83</v>
      </c>
      <c r="D96" t="s">
        <v>43</v>
      </c>
      <c r="E96" t="s">
        <v>50</v>
      </c>
      <c r="F96" s="4">
        <v>41336</v>
      </c>
      <c r="G96" s="4">
        <v>41355</v>
      </c>
      <c r="H96" t="s">
        <v>49</v>
      </c>
      <c r="I96" t="s">
        <v>46</v>
      </c>
      <c r="J96">
        <v>0</v>
      </c>
      <c r="K96">
        <v>1</v>
      </c>
      <c r="L96">
        <v>0</v>
      </c>
      <c r="M96">
        <v>1</v>
      </c>
      <c r="N96">
        <v>3</v>
      </c>
      <c r="O96">
        <v>0</v>
      </c>
      <c r="P96">
        <v>3</v>
      </c>
      <c r="Q96">
        <v>0</v>
      </c>
      <c r="R96">
        <v>0</v>
      </c>
      <c r="S96">
        <v>0</v>
      </c>
    </row>
    <row r="97" spans="1:19" x14ac:dyDescent="0.25">
      <c r="A97" t="s">
        <v>16</v>
      </c>
      <c r="B97" t="s">
        <v>21</v>
      </c>
      <c r="C97" t="s">
        <v>83</v>
      </c>
      <c r="D97" t="s">
        <v>43</v>
      </c>
      <c r="E97" t="s">
        <v>50</v>
      </c>
      <c r="F97" s="4">
        <v>41336</v>
      </c>
      <c r="G97" s="4">
        <v>41450</v>
      </c>
      <c r="H97" t="s">
        <v>49</v>
      </c>
      <c r="I97" t="s">
        <v>47</v>
      </c>
      <c r="J97">
        <v>1</v>
      </c>
      <c r="K97">
        <v>1</v>
      </c>
      <c r="L97">
        <v>3</v>
      </c>
      <c r="M97">
        <v>0</v>
      </c>
      <c r="N97">
        <v>2</v>
      </c>
      <c r="O97">
        <v>0</v>
      </c>
      <c r="P97">
        <v>0</v>
      </c>
      <c r="Q97">
        <v>1</v>
      </c>
      <c r="R97">
        <v>3</v>
      </c>
      <c r="S97">
        <v>1</v>
      </c>
    </row>
    <row r="98" spans="1:19" x14ac:dyDescent="0.25">
      <c r="A98" t="s">
        <v>16</v>
      </c>
      <c r="B98" t="s">
        <v>19</v>
      </c>
      <c r="C98" t="s">
        <v>83</v>
      </c>
      <c r="D98" t="s">
        <v>43</v>
      </c>
      <c r="E98" t="s">
        <v>50</v>
      </c>
      <c r="F98" s="4">
        <v>41336</v>
      </c>
      <c r="G98" s="4">
        <v>41453</v>
      </c>
      <c r="H98" t="s">
        <v>49</v>
      </c>
      <c r="I98" t="s">
        <v>47</v>
      </c>
      <c r="J98">
        <v>1</v>
      </c>
      <c r="K98">
        <v>2</v>
      </c>
      <c r="L98">
        <v>0</v>
      </c>
      <c r="M98">
        <v>3</v>
      </c>
      <c r="N98">
        <v>0</v>
      </c>
      <c r="O98">
        <v>0</v>
      </c>
      <c r="P98">
        <v>0</v>
      </c>
      <c r="Q98">
        <v>2</v>
      </c>
      <c r="R98">
        <v>1</v>
      </c>
      <c r="S98">
        <v>1</v>
      </c>
    </row>
    <row r="99" spans="1:19" x14ac:dyDescent="0.25">
      <c r="A99" t="s">
        <v>16</v>
      </c>
      <c r="B99" t="s">
        <v>20</v>
      </c>
      <c r="C99" t="s">
        <v>83</v>
      </c>
      <c r="D99" t="s">
        <v>43</v>
      </c>
      <c r="E99" t="s">
        <v>50</v>
      </c>
      <c r="F99" s="4">
        <v>41336</v>
      </c>
      <c r="G99" s="4">
        <v>41511</v>
      </c>
      <c r="H99" t="s">
        <v>49</v>
      </c>
      <c r="I99" t="s">
        <v>47</v>
      </c>
      <c r="J99">
        <v>1</v>
      </c>
      <c r="K99">
        <v>1</v>
      </c>
      <c r="L99">
        <v>3</v>
      </c>
      <c r="M99">
        <v>0</v>
      </c>
      <c r="N99">
        <v>2</v>
      </c>
      <c r="O99">
        <v>1</v>
      </c>
      <c r="P99">
        <v>2</v>
      </c>
      <c r="Q99">
        <v>1</v>
      </c>
      <c r="R99">
        <v>1</v>
      </c>
      <c r="S99">
        <v>0</v>
      </c>
    </row>
    <row r="100" spans="1:19" x14ac:dyDescent="0.25">
      <c r="A100" t="s">
        <v>16</v>
      </c>
      <c r="B100" t="s">
        <v>21</v>
      </c>
      <c r="C100" t="s">
        <v>83</v>
      </c>
      <c r="D100" t="s">
        <v>43</v>
      </c>
      <c r="E100" t="s">
        <v>50</v>
      </c>
      <c r="F100" s="4">
        <v>41336</v>
      </c>
      <c r="G100" s="4">
        <v>41542</v>
      </c>
      <c r="H100" t="s">
        <v>49</v>
      </c>
      <c r="I100" t="s">
        <v>47</v>
      </c>
      <c r="J100">
        <v>1</v>
      </c>
      <c r="K100">
        <v>1</v>
      </c>
      <c r="L100">
        <v>1</v>
      </c>
      <c r="M100">
        <v>2</v>
      </c>
      <c r="N100">
        <v>3</v>
      </c>
      <c r="O100">
        <v>2</v>
      </c>
      <c r="P100">
        <v>1</v>
      </c>
      <c r="Q100">
        <v>2</v>
      </c>
      <c r="R100">
        <v>0</v>
      </c>
      <c r="S100">
        <v>1</v>
      </c>
    </row>
    <row r="101" spans="1:19" x14ac:dyDescent="0.25">
      <c r="A101" t="s">
        <v>16</v>
      </c>
      <c r="B101" t="s">
        <v>19</v>
      </c>
      <c r="C101" t="s">
        <v>84</v>
      </c>
      <c r="D101" t="s">
        <v>48</v>
      </c>
      <c r="E101" t="s">
        <v>44</v>
      </c>
      <c r="F101" s="4">
        <v>41331</v>
      </c>
      <c r="G101" s="4">
        <v>41383</v>
      </c>
      <c r="H101" t="s">
        <v>45</v>
      </c>
      <c r="I101" t="s">
        <v>46</v>
      </c>
      <c r="J101">
        <v>1</v>
      </c>
      <c r="K101">
        <v>0</v>
      </c>
      <c r="L101">
        <v>2</v>
      </c>
      <c r="M101">
        <v>1</v>
      </c>
      <c r="N101">
        <v>2</v>
      </c>
      <c r="O101">
        <v>1</v>
      </c>
      <c r="P101">
        <v>1</v>
      </c>
      <c r="Q101">
        <v>2</v>
      </c>
      <c r="R101">
        <v>2</v>
      </c>
      <c r="S101">
        <v>1</v>
      </c>
    </row>
    <row r="102" spans="1:19" x14ac:dyDescent="0.25">
      <c r="A102" t="s">
        <v>16</v>
      </c>
      <c r="B102" t="s">
        <v>20</v>
      </c>
      <c r="C102" t="s">
        <v>85</v>
      </c>
      <c r="D102" t="s">
        <v>48</v>
      </c>
      <c r="E102" t="s">
        <v>44</v>
      </c>
      <c r="F102" s="4">
        <v>41520</v>
      </c>
      <c r="G102" s="4">
        <v>41532</v>
      </c>
      <c r="H102" t="s">
        <v>45</v>
      </c>
      <c r="I102" t="s">
        <v>46</v>
      </c>
      <c r="J102">
        <v>1</v>
      </c>
      <c r="K102">
        <v>0</v>
      </c>
      <c r="L102">
        <v>1</v>
      </c>
      <c r="M102">
        <v>0</v>
      </c>
      <c r="N102">
        <v>1</v>
      </c>
      <c r="O102">
        <v>0</v>
      </c>
      <c r="P102">
        <v>0</v>
      </c>
      <c r="Q102">
        <v>1</v>
      </c>
      <c r="R102">
        <v>1</v>
      </c>
      <c r="S102">
        <v>0</v>
      </c>
    </row>
    <row r="103" spans="1:19" x14ac:dyDescent="0.25">
      <c r="A103" t="s">
        <v>16</v>
      </c>
      <c r="B103" t="s">
        <v>21</v>
      </c>
      <c r="C103" t="s">
        <v>85</v>
      </c>
      <c r="D103" t="s">
        <v>48</v>
      </c>
      <c r="E103" t="s">
        <v>44</v>
      </c>
      <c r="F103" s="4">
        <v>41520</v>
      </c>
      <c r="G103" s="4">
        <v>41605</v>
      </c>
      <c r="H103" t="s">
        <v>45</v>
      </c>
      <c r="I103" t="s">
        <v>47</v>
      </c>
      <c r="J103">
        <v>3</v>
      </c>
      <c r="K103">
        <v>1</v>
      </c>
      <c r="L103">
        <v>1</v>
      </c>
      <c r="M103">
        <v>3</v>
      </c>
      <c r="N103">
        <v>1</v>
      </c>
      <c r="O103">
        <v>1</v>
      </c>
      <c r="P103">
        <v>1</v>
      </c>
      <c r="Q103">
        <v>2</v>
      </c>
      <c r="R103">
        <v>0</v>
      </c>
      <c r="S103">
        <v>0</v>
      </c>
    </row>
    <row r="104" spans="1:19" x14ac:dyDescent="0.25">
      <c r="A104" t="s">
        <v>16</v>
      </c>
      <c r="B104" t="s">
        <v>19</v>
      </c>
      <c r="C104" t="s">
        <v>86</v>
      </c>
      <c r="D104" t="s">
        <v>48</v>
      </c>
      <c r="E104" t="s">
        <v>44</v>
      </c>
      <c r="F104" s="4">
        <v>41433</v>
      </c>
      <c r="G104" s="4">
        <v>41461</v>
      </c>
      <c r="H104" t="s">
        <v>45</v>
      </c>
      <c r="I104" t="s">
        <v>46</v>
      </c>
      <c r="J104">
        <v>1</v>
      </c>
      <c r="K104">
        <v>2</v>
      </c>
      <c r="L104">
        <v>1</v>
      </c>
      <c r="M104">
        <v>3</v>
      </c>
      <c r="N104">
        <v>0</v>
      </c>
      <c r="O104">
        <v>3</v>
      </c>
      <c r="P104">
        <v>1</v>
      </c>
      <c r="Q104">
        <v>0</v>
      </c>
      <c r="R104">
        <v>3</v>
      </c>
      <c r="S104">
        <v>1</v>
      </c>
    </row>
    <row r="105" spans="1:19" x14ac:dyDescent="0.25">
      <c r="A105" t="s">
        <v>16</v>
      </c>
      <c r="B105" t="s">
        <v>20</v>
      </c>
      <c r="C105" t="s">
        <v>86</v>
      </c>
      <c r="D105" t="s">
        <v>48</v>
      </c>
      <c r="E105" t="s">
        <v>44</v>
      </c>
      <c r="F105" s="4">
        <v>41433</v>
      </c>
      <c r="G105" s="4">
        <v>41504</v>
      </c>
      <c r="H105" t="s">
        <v>45</v>
      </c>
      <c r="I105" t="s">
        <v>47</v>
      </c>
      <c r="J105">
        <v>2</v>
      </c>
      <c r="K105">
        <v>1</v>
      </c>
      <c r="L105">
        <v>1</v>
      </c>
      <c r="M105">
        <v>1</v>
      </c>
      <c r="N105">
        <v>3</v>
      </c>
      <c r="O105">
        <v>2</v>
      </c>
      <c r="P105">
        <v>0</v>
      </c>
      <c r="Q105">
        <v>1</v>
      </c>
      <c r="R105">
        <v>1</v>
      </c>
      <c r="S105">
        <v>2</v>
      </c>
    </row>
    <row r="106" spans="1:19" x14ac:dyDescent="0.25">
      <c r="A106" t="s">
        <v>16</v>
      </c>
      <c r="B106" t="s">
        <v>21</v>
      </c>
      <c r="C106" t="s">
        <v>87</v>
      </c>
      <c r="D106" t="s">
        <v>48</v>
      </c>
      <c r="E106" t="s">
        <v>50</v>
      </c>
      <c r="F106" s="4">
        <v>41753</v>
      </c>
      <c r="G106" s="4">
        <v>41800</v>
      </c>
      <c r="H106" t="s">
        <v>45</v>
      </c>
      <c r="I106" t="s">
        <v>46</v>
      </c>
      <c r="J106">
        <v>0</v>
      </c>
      <c r="K106">
        <v>2</v>
      </c>
      <c r="L106">
        <v>3</v>
      </c>
      <c r="M106">
        <v>0</v>
      </c>
      <c r="N106">
        <v>1</v>
      </c>
      <c r="O106">
        <v>1</v>
      </c>
      <c r="P106">
        <v>1</v>
      </c>
      <c r="Q106">
        <v>2</v>
      </c>
      <c r="R106">
        <v>1</v>
      </c>
      <c r="S106">
        <v>1</v>
      </c>
    </row>
    <row r="107" spans="1:19" x14ac:dyDescent="0.25">
      <c r="A107" t="s">
        <v>16</v>
      </c>
      <c r="B107" t="s">
        <v>19</v>
      </c>
      <c r="C107" t="s">
        <v>87</v>
      </c>
      <c r="D107" t="s">
        <v>48</v>
      </c>
      <c r="E107" t="s">
        <v>50</v>
      </c>
      <c r="F107" s="4">
        <v>41753</v>
      </c>
      <c r="G107" s="4">
        <v>41825</v>
      </c>
      <c r="H107" t="s">
        <v>45</v>
      </c>
      <c r="I107" t="s">
        <v>47</v>
      </c>
      <c r="J107">
        <v>2</v>
      </c>
      <c r="K107">
        <v>0</v>
      </c>
      <c r="L107">
        <v>0</v>
      </c>
      <c r="M107">
        <v>3</v>
      </c>
      <c r="N107">
        <v>0</v>
      </c>
      <c r="O107">
        <v>3</v>
      </c>
      <c r="P107">
        <v>3</v>
      </c>
      <c r="Q107">
        <v>1</v>
      </c>
      <c r="R107">
        <v>2</v>
      </c>
      <c r="S107">
        <v>1</v>
      </c>
    </row>
    <row r="108" spans="1:19" x14ac:dyDescent="0.25">
      <c r="A108" t="s">
        <v>16</v>
      </c>
      <c r="B108" t="s">
        <v>20</v>
      </c>
      <c r="C108" t="s">
        <v>87</v>
      </c>
      <c r="D108" t="s">
        <v>48</v>
      </c>
      <c r="E108" t="s">
        <v>50</v>
      </c>
      <c r="F108" s="4">
        <v>41753</v>
      </c>
      <c r="G108" s="4">
        <v>41969</v>
      </c>
      <c r="H108" t="s">
        <v>45</v>
      </c>
      <c r="I108" t="s">
        <v>47</v>
      </c>
      <c r="J108">
        <v>1</v>
      </c>
      <c r="K108">
        <v>2</v>
      </c>
      <c r="L108">
        <v>0</v>
      </c>
      <c r="M108">
        <v>3</v>
      </c>
      <c r="N108">
        <v>2</v>
      </c>
      <c r="O108">
        <v>0</v>
      </c>
      <c r="P108">
        <v>1</v>
      </c>
      <c r="Q108">
        <v>0</v>
      </c>
      <c r="R108">
        <v>3</v>
      </c>
      <c r="S108">
        <v>0</v>
      </c>
    </row>
    <row r="109" spans="1:19" x14ac:dyDescent="0.25">
      <c r="A109" t="s">
        <v>16</v>
      </c>
      <c r="B109" t="s">
        <v>21</v>
      </c>
      <c r="C109" t="s">
        <v>87</v>
      </c>
      <c r="D109" t="s">
        <v>48</v>
      </c>
      <c r="E109" t="s">
        <v>50</v>
      </c>
      <c r="F109" s="4">
        <v>41753</v>
      </c>
      <c r="G109" s="4">
        <v>42038</v>
      </c>
      <c r="H109" t="s">
        <v>45</v>
      </c>
      <c r="I109" t="s">
        <v>47</v>
      </c>
      <c r="J109">
        <v>1</v>
      </c>
      <c r="K109">
        <v>1</v>
      </c>
      <c r="L109">
        <v>3</v>
      </c>
      <c r="M109">
        <v>2</v>
      </c>
      <c r="N109">
        <v>0</v>
      </c>
      <c r="O109">
        <v>0</v>
      </c>
      <c r="P109">
        <v>0</v>
      </c>
      <c r="Q109">
        <v>1</v>
      </c>
      <c r="R109">
        <v>1</v>
      </c>
      <c r="S109">
        <v>1</v>
      </c>
    </row>
    <row r="110" spans="1:19" x14ac:dyDescent="0.25">
      <c r="A110" t="s">
        <v>16</v>
      </c>
      <c r="B110" t="s">
        <v>19</v>
      </c>
      <c r="C110" t="s">
        <v>88</v>
      </c>
      <c r="D110" t="s">
        <v>48</v>
      </c>
      <c r="E110" t="s">
        <v>44</v>
      </c>
      <c r="F110" s="4">
        <v>41343</v>
      </c>
      <c r="G110" s="4">
        <v>41350</v>
      </c>
      <c r="H110" t="s">
        <v>49</v>
      </c>
      <c r="I110" t="s">
        <v>46</v>
      </c>
      <c r="J110">
        <v>1</v>
      </c>
      <c r="K110">
        <v>0</v>
      </c>
      <c r="L110">
        <v>3</v>
      </c>
      <c r="M110">
        <v>2</v>
      </c>
      <c r="N110">
        <v>0</v>
      </c>
      <c r="O110">
        <v>1</v>
      </c>
      <c r="P110">
        <v>0</v>
      </c>
      <c r="Q110">
        <v>2</v>
      </c>
      <c r="R110">
        <v>1</v>
      </c>
      <c r="S110">
        <v>1</v>
      </c>
    </row>
    <row r="111" spans="1:19" x14ac:dyDescent="0.25">
      <c r="A111" t="s">
        <v>16</v>
      </c>
      <c r="B111" t="s">
        <v>20</v>
      </c>
      <c r="C111" t="s">
        <v>89</v>
      </c>
      <c r="D111" t="s">
        <v>48</v>
      </c>
      <c r="E111" t="s">
        <v>51</v>
      </c>
      <c r="F111" s="4">
        <v>41548</v>
      </c>
      <c r="G111" s="4">
        <v>41588</v>
      </c>
      <c r="H111" t="s">
        <v>45</v>
      </c>
      <c r="I111" t="s">
        <v>46</v>
      </c>
      <c r="J111">
        <v>0</v>
      </c>
      <c r="K111">
        <v>1</v>
      </c>
      <c r="L111">
        <v>2</v>
      </c>
      <c r="M111">
        <v>0</v>
      </c>
      <c r="N111">
        <v>3</v>
      </c>
      <c r="O111">
        <v>1</v>
      </c>
      <c r="P111">
        <v>3</v>
      </c>
      <c r="Q111">
        <v>1</v>
      </c>
      <c r="R111">
        <v>1</v>
      </c>
      <c r="S111">
        <v>0</v>
      </c>
    </row>
    <row r="112" spans="1:19" x14ac:dyDescent="0.25">
      <c r="A112" t="s">
        <v>16</v>
      </c>
      <c r="B112" t="s">
        <v>21</v>
      </c>
      <c r="C112" t="s">
        <v>90</v>
      </c>
      <c r="D112" t="s">
        <v>43</v>
      </c>
      <c r="E112" t="s">
        <v>44</v>
      </c>
      <c r="F112" s="4">
        <v>41379</v>
      </c>
      <c r="G112" s="4">
        <v>41389</v>
      </c>
      <c r="H112" t="s">
        <v>49</v>
      </c>
      <c r="I112" t="s">
        <v>46</v>
      </c>
      <c r="J112">
        <v>2</v>
      </c>
      <c r="K112">
        <v>0</v>
      </c>
      <c r="L112">
        <v>0</v>
      </c>
      <c r="M112">
        <v>0</v>
      </c>
      <c r="N112">
        <v>3</v>
      </c>
      <c r="O112">
        <v>3</v>
      </c>
      <c r="P112">
        <v>1</v>
      </c>
      <c r="Q112">
        <v>0</v>
      </c>
      <c r="R112">
        <v>3</v>
      </c>
      <c r="S112">
        <v>0</v>
      </c>
    </row>
    <row r="113" spans="1:19" x14ac:dyDescent="0.25">
      <c r="A113" t="s">
        <v>16</v>
      </c>
      <c r="B113" t="s">
        <v>19</v>
      </c>
      <c r="C113" t="s">
        <v>90</v>
      </c>
      <c r="D113" t="s">
        <v>43</v>
      </c>
      <c r="E113" t="s">
        <v>44</v>
      </c>
      <c r="F113" s="4">
        <v>41379</v>
      </c>
      <c r="G113" s="4">
        <v>41401</v>
      </c>
      <c r="H113" t="s">
        <v>49</v>
      </c>
      <c r="I113" t="s">
        <v>47</v>
      </c>
      <c r="J113">
        <v>1</v>
      </c>
      <c r="K113">
        <v>2</v>
      </c>
      <c r="L113">
        <v>3</v>
      </c>
      <c r="M113">
        <v>1</v>
      </c>
      <c r="N113">
        <v>0</v>
      </c>
      <c r="O113">
        <v>2</v>
      </c>
      <c r="P113">
        <v>2</v>
      </c>
      <c r="Q113">
        <v>1</v>
      </c>
      <c r="R113">
        <v>2</v>
      </c>
      <c r="S113">
        <v>0</v>
      </c>
    </row>
    <row r="114" spans="1:19" x14ac:dyDescent="0.25">
      <c r="A114" t="s">
        <v>16</v>
      </c>
      <c r="B114" t="s">
        <v>20</v>
      </c>
      <c r="C114" t="s">
        <v>90</v>
      </c>
      <c r="D114" t="s">
        <v>43</v>
      </c>
      <c r="E114" t="s">
        <v>44</v>
      </c>
      <c r="F114" s="4">
        <v>41379</v>
      </c>
      <c r="G114" s="4">
        <v>41542</v>
      </c>
      <c r="H114" t="s">
        <v>49</v>
      </c>
      <c r="I114" t="s">
        <v>47</v>
      </c>
      <c r="J114">
        <v>0</v>
      </c>
      <c r="K114">
        <v>2</v>
      </c>
      <c r="L114">
        <v>0</v>
      </c>
      <c r="M114">
        <v>3</v>
      </c>
      <c r="N114">
        <v>2</v>
      </c>
      <c r="O114">
        <v>2</v>
      </c>
      <c r="P114">
        <v>2</v>
      </c>
      <c r="Q114">
        <v>2</v>
      </c>
      <c r="R114">
        <v>3</v>
      </c>
      <c r="S114">
        <v>0</v>
      </c>
    </row>
    <row r="115" spans="1:19" x14ac:dyDescent="0.25">
      <c r="A115" t="s">
        <v>16</v>
      </c>
      <c r="B115" t="s">
        <v>21</v>
      </c>
      <c r="C115" t="s">
        <v>90</v>
      </c>
      <c r="D115" t="s">
        <v>43</v>
      </c>
      <c r="E115" t="s">
        <v>44</v>
      </c>
      <c r="F115" s="4">
        <v>41379</v>
      </c>
      <c r="G115" s="4">
        <v>41663</v>
      </c>
      <c r="H115" t="s">
        <v>49</v>
      </c>
      <c r="I115" t="s">
        <v>47</v>
      </c>
      <c r="J115">
        <v>2</v>
      </c>
      <c r="K115">
        <v>2</v>
      </c>
      <c r="L115">
        <v>2</v>
      </c>
      <c r="M115">
        <v>3</v>
      </c>
      <c r="N115">
        <v>3</v>
      </c>
      <c r="O115">
        <v>1</v>
      </c>
      <c r="P115">
        <v>1</v>
      </c>
      <c r="Q115">
        <v>2</v>
      </c>
      <c r="R115">
        <v>3</v>
      </c>
      <c r="S115">
        <v>0</v>
      </c>
    </row>
    <row r="116" spans="1:19" x14ac:dyDescent="0.25">
      <c r="A116" t="s">
        <v>16</v>
      </c>
      <c r="B116" t="s">
        <v>19</v>
      </c>
      <c r="C116" t="s">
        <v>90</v>
      </c>
      <c r="D116" t="s">
        <v>43</v>
      </c>
      <c r="E116" t="s">
        <v>44</v>
      </c>
      <c r="F116" s="4">
        <v>41379</v>
      </c>
      <c r="G116" s="4">
        <v>41727</v>
      </c>
      <c r="H116" t="s">
        <v>49</v>
      </c>
      <c r="I116" t="s">
        <v>47</v>
      </c>
      <c r="J116">
        <v>0</v>
      </c>
      <c r="K116">
        <v>1</v>
      </c>
      <c r="L116">
        <v>2</v>
      </c>
      <c r="M116">
        <v>1</v>
      </c>
      <c r="N116">
        <v>1</v>
      </c>
      <c r="O116">
        <v>1</v>
      </c>
      <c r="P116">
        <v>2</v>
      </c>
      <c r="Q116">
        <v>2</v>
      </c>
      <c r="R116">
        <v>0</v>
      </c>
      <c r="S116">
        <v>0</v>
      </c>
    </row>
    <row r="117" spans="1:19" x14ac:dyDescent="0.25">
      <c r="A117" t="s">
        <v>16</v>
      </c>
      <c r="B117" t="s">
        <v>20</v>
      </c>
      <c r="C117" t="s">
        <v>90</v>
      </c>
      <c r="D117" t="s">
        <v>43</v>
      </c>
      <c r="E117" t="s">
        <v>44</v>
      </c>
      <c r="F117" s="4">
        <v>41379</v>
      </c>
      <c r="G117" s="4">
        <v>41737</v>
      </c>
      <c r="H117" t="s">
        <v>49</v>
      </c>
      <c r="I117" t="s">
        <v>47</v>
      </c>
      <c r="J117">
        <v>3</v>
      </c>
      <c r="K117">
        <v>1</v>
      </c>
      <c r="L117">
        <v>3</v>
      </c>
      <c r="M117">
        <v>1</v>
      </c>
      <c r="N117">
        <v>1</v>
      </c>
      <c r="O117">
        <v>2</v>
      </c>
      <c r="P117">
        <v>3</v>
      </c>
      <c r="Q117">
        <v>1</v>
      </c>
      <c r="R117">
        <v>1</v>
      </c>
      <c r="S117">
        <v>0</v>
      </c>
    </row>
    <row r="118" spans="1:19" x14ac:dyDescent="0.25">
      <c r="A118" t="s">
        <v>16</v>
      </c>
      <c r="B118" t="s">
        <v>21</v>
      </c>
      <c r="C118" t="s">
        <v>90</v>
      </c>
      <c r="D118" t="s">
        <v>43</v>
      </c>
      <c r="E118" t="s">
        <v>44</v>
      </c>
      <c r="F118" s="4">
        <v>41379</v>
      </c>
      <c r="G118" s="4">
        <v>41858</v>
      </c>
      <c r="H118" t="s">
        <v>49</v>
      </c>
      <c r="I118" t="s">
        <v>47</v>
      </c>
      <c r="J118">
        <v>1</v>
      </c>
      <c r="K118">
        <v>2</v>
      </c>
      <c r="L118">
        <v>2</v>
      </c>
      <c r="M118">
        <v>0</v>
      </c>
      <c r="N118">
        <v>1</v>
      </c>
      <c r="O118">
        <v>0</v>
      </c>
      <c r="P118">
        <v>2</v>
      </c>
      <c r="Q118">
        <v>0</v>
      </c>
      <c r="R118">
        <v>1</v>
      </c>
      <c r="S118">
        <v>0</v>
      </c>
    </row>
    <row r="119" spans="1:19" x14ac:dyDescent="0.25">
      <c r="A119" t="s">
        <v>16</v>
      </c>
      <c r="B119" t="s">
        <v>19</v>
      </c>
      <c r="C119" t="s">
        <v>90</v>
      </c>
      <c r="D119" t="s">
        <v>43</v>
      </c>
      <c r="E119" t="s">
        <v>44</v>
      </c>
      <c r="F119" s="4">
        <v>41379</v>
      </c>
      <c r="G119" s="4">
        <v>41900</v>
      </c>
      <c r="H119" t="s">
        <v>49</v>
      </c>
      <c r="I119" t="s">
        <v>47</v>
      </c>
      <c r="J119">
        <v>1</v>
      </c>
      <c r="K119">
        <v>2</v>
      </c>
      <c r="L119">
        <v>3</v>
      </c>
      <c r="M119">
        <v>3</v>
      </c>
      <c r="N119">
        <v>1</v>
      </c>
      <c r="O119">
        <v>2</v>
      </c>
      <c r="P119">
        <v>1</v>
      </c>
      <c r="Q119">
        <v>0</v>
      </c>
      <c r="R119">
        <v>3</v>
      </c>
      <c r="S119">
        <v>1</v>
      </c>
    </row>
    <row r="120" spans="1:19" x14ac:dyDescent="0.25">
      <c r="A120" t="s">
        <v>16</v>
      </c>
      <c r="B120" t="s">
        <v>20</v>
      </c>
      <c r="C120" t="s">
        <v>91</v>
      </c>
      <c r="D120" t="s">
        <v>43</v>
      </c>
      <c r="E120" t="s">
        <v>50</v>
      </c>
      <c r="F120" s="4">
        <v>41373</v>
      </c>
      <c r="G120" s="4">
        <v>41401</v>
      </c>
      <c r="H120" t="s">
        <v>45</v>
      </c>
      <c r="I120" t="s">
        <v>46</v>
      </c>
      <c r="J120">
        <v>1</v>
      </c>
      <c r="K120">
        <v>2</v>
      </c>
      <c r="L120">
        <v>3</v>
      </c>
      <c r="M120">
        <v>3</v>
      </c>
      <c r="N120">
        <v>1</v>
      </c>
      <c r="O120">
        <v>0</v>
      </c>
      <c r="P120">
        <v>2</v>
      </c>
      <c r="Q120">
        <v>1</v>
      </c>
      <c r="R120">
        <v>1</v>
      </c>
      <c r="S120">
        <v>1</v>
      </c>
    </row>
    <row r="121" spans="1:19" x14ac:dyDescent="0.25">
      <c r="A121" t="s">
        <v>16</v>
      </c>
      <c r="B121" t="s">
        <v>21</v>
      </c>
      <c r="C121" t="s">
        <v>91</v>
      </c>
      <c r="D121" t="s">
        <v>43</v>
      </c>
      <c r="E121" t="s">
        <v>50</v>
      </c>
      <c r="F121" s="4">
        <v>41373</v>
      </c>
      <c r="G121" s="4">
        <v>41438</v>
      </c>
      <c r="H121" t="s">
        <v>45</v>
      </c>
      <c r="I121" t="s">
        <v>47</v>
      </c>
      <c r="J121">
        <v>1</v>
      </c>
      <c r="K121">
        <v>1</v>
      </c>
      <c r="L121">
        <v>3</v>
      </c>
      <c r="M121">
        <v>1</v>
      </c>
      <c r="N121">
        <v>3</v>
      </c>
      <c r="O121">
        <v>0</v>
      </c>
      <c r="P121">
        <v>2</v>
      </c>
      <c r="Q121">
        <v>1</v>
      </c>
      <c r="R121">
        <v>3</v>
      </c>
      <c r="S121">
        <v>1</v>
      </c>
    </row>
    <row r="122" spans="1:19" x14ac:dyDescent="0.25">
      <c r="A122" t="s">
        <v>16</v>
      </c>
      <c r="B122" t="s">
        <v>22</v>
      </c>
      <c r="C122" t="s">
        <v>91</v>
      </c>
      <c r="D122" t="s">
        <v>43</v>
      </c>
      <c r="E122" t="s">
        <v>50</v>
      </c>
      <c r="F122" s="4">
        <v>41373</v>
      </c>
      <c r="G122" s="4">
        <v>41566</v>
      </c>
      <c r="H122" t="s">
        <v>45</v>
      </c>
      <c r="I122" t="s">
        <v>47</v>
      </c>
      <c r="J122">
        <v>1</v>
      </c>
      <c r="K122">
        <v>1</v>
      </c>
      <c r="L122">
        <v>3</v>
      </c>
      <c r="M122">
        <v>3</v>
      </c>
      <c r="N122">
        <v>0</v>
      </c>
      <c r="O122">
        <v>1</v>
      </c>
      <c r="P122">
        <v>1</v>
      </c>
      <c r="Q122">
        <v>2</v>
      </c>
      <c r="R122">
        <v>2</v>
      </c>
      <c r="S122">
        <v>2</v>
      </c>
    </row>
    <row r="123" spans="1:19" x14ac:dyDescent="0.25">
      <c r="A123" t="s">
        <v>16</v>
      </c>
      <c r="B123" t="s">
        <v>20</v>
      </c>
      <c r="C123" t="s">
        <v>91</v>
      </c>
      <c r="D123" t="s">
        <v>43</v>
      </c>
      <c r="E123" t="s">
        <v>50</v>
      </c>
      <c r="F123" s="4">
        <v>41373</v>
      </c>
      <c r="G123" s="4">
        <v>41695</v>
      </c>
      <c r="H123" t="s">
        <v>45</v>
      </c>
      <c r="I123" t="s">
        <v>47</v>
      </c>
      <c r="J123">
        <v>0</v>
      </c>
      <c r="K123">
        <v>0</v>
      </c>
      <c r="L123">
        <v>3</v>
      </c>
      <c r="M123">
        <v>3</v>
      </c>
      <c r="N123">
        <v>0</v>
      </c>
      <c r="O123">
        <v>2</v>
      </c>
      <c r="P123">
        <v>0</v>
      </c>
      <c r="Q123">
        <v>2</v>
      </c>
      <c r="R123">
        <v>1</v>
      </c>
      <c r="S123">
        <v>0</v>
      </c>
    </row>
    <row r="124" spans="1:19" x14ac:dyDescent="0.25">
      <c r="A124" t="s">
        <v>17</v>
      </c>
      <c r="B124" t="s">
        <v>21</v>
      </c>
      <c r="C124" t="s">
        <v>92</v>
      </c>
      <c r="D124" t="s">
        <v>43</v>
      </c>
      <c r="E124" t="s">
        <v>50</v>
      </c>
      <c r="F124" s="4">
        <v>41652</v>
      </c>
      <c r="G124" s="4">
        <v>41686</v>
      </c>
      <c r="H124" t="s">
        <v>45</v>
      </c>
      <c r="I124" t="s">
        <v>46</v>
      </c>
      <c r="J124">
        <v>0</v>
      </c>
      <c r="K124">
        <v>1</v>
      </c>
      <c r="L124">
        <v>3</v>
      </c>
      <c r="M124">
        <v>3</v>
      </c>
      <c r="N124">
        <v>0</v>
      </c>
      <c r="O124">
        <v>1</v>
      </c>
      <c r="P124">
        <v>3</v>
      </c>
      <c r="Q124">
        <v>1</v>
      </c>
      <c r="R124">
        <v>1</v>
      </c>
      <c r="S124">
        <v>0</v>
      </c>
    </row>
    <row r="125" spans="1:19" x14ac:dyDescent="0.25">
      <c r="A125" t="s">
        <v>17</v>
      </c>
      <c r="B125" t="s">
        <v>22</v>
      </c>
      <c r="C125" t="s">
        <v>92</v>
      </c>
      <c r="D125" t="s">
        <v>43</v>
      </c>
      <c r="E125" t="s">
        <v>50</v>
      </c>
      <c r="F125" s="4">
        <v>41652</v>
      </c>
      <c r="G125" s="4">
        <v>41793</v>
      </c>
      <c r="H125" t="s">
        <v>45</v>
      </c>
      <c r="I125" t="s">
        <v>47</v>
      </c>
      <c r="J125">
        <v>2</v>
      </c>
      <c r="K125">
        <v>0</v>
      </c>
      <c r="L125">
        <v>1</v>
      </c>
      <c r="M125">
        <v>3</v>
      </c>
      <c r="N125">
        <v>1</v>
      </c>
      <c r="O125">
        <v>1</v>
      </c>
      <c r="P125">
        <v>3</v>
      </c>
      <c r="Q125">
        <v>2</v>
      </c>
      <c r="R125">
        <v>0</v>
      </c>
      <c r="S125">
        <v>0</v>
      </c>
    </row>
    <row r="126" spans="1:19" x14ac:dyDescent="0.25">
      <c r="A126" t="s">
        <v>17</v>
      </c>
      <c r="B126" t="s">
        <v>20</v>
      </c>
      <c r="C126" t="s">
        <v>92</v>
      </c>
      <c r="D126" t="s">
        <v>43</v>
      </c>
      <c r="E126" t="s">
        <v>50</v>
      </c>
      <c r="F126" s="4">
        <v>41652</v>
      </c>
      <c r="G126" s="4">
        <v>41877</v>
      </c>
      <c r="H126" t="s">
        <v>45</v>
      </c>
      <c r="I126" t="s">
        <v>47</v>
      </c>
      <c r="J126">
        <v>1</v>
      </c>
      <c r="K126">
        <v>0</v>
      </c>
      <c r="L126">
        <v>3</v>
      </c>
      <c r="M126">
        <v>1</v>
      </c>
      <c r="N126">
        <v>0</v>
      </c>
      <c r="O126">
        <v>1</v>
      </c>
      <c r="P126">
        <v>1</v>
      </c>
      <c r="Q126">
        <v>0</v>
      </c>
      <c r="R126">
        <v>0</v>
      </c>
      <c r="S126">
        <v>2</v>
      </c>
    </row>
    <row r="127" spans="1:19" x14ac:dyDescent="0.25">
      <c r="A127" t="s">
        <v>17</v>
      </c>
      <c r="B127" t="s">
        <v>21</v>
      </c>
      <c r="C127" t="s">
        <v>92</v>
      </c>
      <c r="D127" t="s">
        <v>43</v>
      </c>
      <c r="E127" t="s">
        <v>50</v>
      </c>
      <c r="F127" s="4">
        <v>41652</v>
      </c>
      <c r="G127" s="4">
        <v>41939</v>
      </c>
      <c r="H127" t="s">
        <v>45</v>
      </c>
      <c r="I127" t="s">
        <v>47</v>
      </c>
      <c r="J127">
        <v>0</v>
      </c>
      <c r="K127">
        <v>0</v>
      </c>
      <c r="L127">
        <v>3</v>
      </c>
      <c r="M127">
        <v>2</v>
      </c>
      <c r="N127">
        <v>0</v>
      </c>
      <c r="O127">
        <v>1</v>
      </c>
      <c r="P127">
        <v>0</v>
      </c>
      <c r="Q127">
        <v>2</v>
      </c>
      <c r="R127">
        <v>3</v>
      </c>
      <c r="S127">
        <v>1</v>
      </c>
    </row>
    <row r="128" spans="1:19" x14ac:dyDescent="0.25">
      <c r="A128" t="s">
        <v>17</v>
      </c>
      <c r="B128" t="s">
        <v>22</v>
      </c>
      <c r="C128" t="s">
        <v>93</v>
      </c>
      <c r="D128" t="s">
        <v>43</v>
      </c>
      <c r="E128" t="s">
        <v>44</v>
      </c>
      <c r="F128" s="4">
        <v>41591</v>
      </c>
      <c r="G128" s="4">
        <v>41605</v>
      </c>
      <c r="H128" t="s">
        <v>49</v>
      </c>
      <c r="I128" t="s">
        <v>46</v>
      </c>
      <c r="J128">
        <v>0</v>
      </c>
      <c r="K128">
        <v>1</v>
      </c>
      <c r="L128">
        <v>3</v>
      </c>
      <c r="M128">
        <v>1</v>
      </c>
      <c r="N128">
        <v>3</v>
      </c>
      <c r="O128">
        <v>0</v>
      </c>
      <c r="P128">
        <v>1</v>
      </c>
      <c r="Q128">
        <v>0</v>
      </c>
      <c r="R128">
        <v>0</v>
      </c>
      <c r="S128">
        <v>0</v>
      </c>
    </row>
    <row r="129" spans="1:19" x14ac:dyDescent="0.25">
      <c r="A129" t="s">
        <v>17</v>
      </c>
      <c r="B129" t="s">
        <v>20</v>
      </c>
      <c r="C129" t="s">
        <v>93</v>
      </c>
      <c r="D129" t="s">
        <v>43</v>
      </c>
      <c r="E129" t="s">
        <v>44</v>
      </c>
      <c r="F129" s="4">
        <v>41591</v>
      </c>
      <c r="G129" s="4">
        <v>41665</v>
      </c>
      <c r="H129" t="s">
        <v>49</v>
      </c>
      <c r="I129" t="s">
        <v>47</v>
      </c>
      <c r="J129">
        <v>1</v>
      </c>
      <c r="K129">
        <v>2</v>
      </c>
      <c r="L129">
        <v>3</v>
      </c>
      <c r="M129">
        <v>2</v>
      </c>
      <c r="N129">
        <v>1</v>
      </c>
      <c r="O129">
        <v>1</v>
      </c>
      <c r="P129">
        <v>1</v>
      </c>
      <c r="Q129">
        <v>2</v>
      </c>
      <c r="R129">
        <v>0</v>
      </c>
      <c r="S129">
        <v>1</v>
      </c>
    </row>
    <row r="130" spans="1:19" x14ac:dyDescent="0.25">
      <c r="A130" t="s">
        <v>17</v>
      </c>
      <c r="B130" t="s">
        <v>21</v>
      </c>
      <c r="C130" t="s">
        <v>93</v>
      </c>
      <c r="D130" t="s">
        <v>43</v>
      </c>
      <c r="E130" t="s">
        <v>44</v>
      </c>
      <c r="F130" s="4">
        <v>41591</v>
      </c>
      <c r="G130" s="4">
        <v>41772</v>
      </c>
      <c r="H130" t="s">
        <v>49</v>
      </c>
      <c r="I130" t="s">
        <v>47</v>
      </c>
      <c r="J130">
        <v>2</v>
      </c>
      <c r="K130">
        <v>1</v>
      </c>
      <c r="L130">
        <v>1</v>
      </c>
      <c r="M130">
        <v>0</v>
      </c>
      <c r="N130">
        <v>2</v>
      </c>
      <c r="O130">
        <v>1</v>
      </c>
      <c r="P130">
        <v>0</v>
      </c>
      <c r="Q130">
        <v>0</v>
      </c>
      <c r="R130">
        <v>0</v>
      </c>
      <c r="S130">
        <v>1</v>
      </c>
    </row>
    <row r="131" spans="1:19" x14ac:dyDescent="0.25">
      <c r="A131" t="s">
        <v>17</v>
      </c>
      <c r="B131" t="s">
        <v>22</v>
      </c>
      <c r="C131" t="s">
        <v>93</v>
      </c>
      <c r="D131" t="s">
        <v>43</v>
      </c>
      <c r="E131" t="s">
        <v>44</v>
      </c>
      <c r="F131" s="4">
        <v>41591</v>
      </c>
      <c r="G131" s="4">
        <v>41874</v>
      </c>
      <c r="H131" t="s">
        <v>49</v>
      </c>
      <c r="I131" t="s">
        <v>47</v>
      </c>
      <c r="J131">
        <v>1</v>
      </c>
      <c r="K131">
        <v>2</v>
      </c>
      <c r="L131">
        <v>1</v>
      </c>
      <c r="M131">
        <v>2</v>
      </c>
      <c r="N131">
        <v>0</v>
      </c>
      <c r="O131">
        <v>2</v>
      </c>
      <c r="P131">
        <v>0</v>
      </c>
      <c r="Q131">
        <v>2</v>
      </c>
      <c r="R131">
        <v>2</v>
      </c>
      <c r="S131">
        <v>2</v>
      </c>
    </row>
    <row r="132" spans="1:19" x14ac:dyDescent="0.25">
      <c r="A132" t="s">
        <v>17</v>
      </c>
      <c r="B132" t="s">
        <v>20</v>
      </c>
      <c r="C132" t="s">
        <v>93</v>
      </c>
      <c r="D132" t="s">
        <v>43</v>
      </c>
      <c r="E132" t="s">
        <v>44</v>
      </c>
      <c r="F132" s="4">
        <v>41591</v>
      </c>
      <c r="G132" s="4">
        <v>41966</v>
      </c>
      <c r="H132" t="s">
        <v>49</v>
      </c>
      <c r="I132" t="s">
        <v>47</v>
      </c>
      <c r="J132">
        <v>1</v>
      </c>
      <c r="K132">
        <v>0</v>
      </c>
      <c r="L132">
        <v>1</v>
      </c>
      <c r="M132">
        <v>3</v>
      </c>
      <c r="N132">
        <v>1</v>
      </c>
      <c r="O132">
        <v>2</v>
      </c>
      <c r="P132">
        <v>1</v>
      </c>
      <c r="Q132">
        <v>1</v>
      </c>
      <c r="R132">
        <v>3</v>
      </c>
      <c r="S132">
        <v>2</v>
      </c>
    </row>
    <row r="133" spans="1:19" x14ac:dyDescent="0.25">
      <c r="A133" t="s">
        <v>17</v>
      </c>
      <c r="B133" t="s">
        <v>21</v>
      </c>
      <c r="C133" t="s">
        <v>93</v>
      </c>
      <c r="D133" t="s">
        <v>43</v>
      </c>
      <c r="E133" t="s">
        <v>44</v>
      </c>
      <c r="F133" s="4">
        <v>41591</v>
      </c>
      <c r="G133" s="4">
        <v>42035</v>
      </c>
      <c r="H133" t="s">
        <v>49</v>
      </c>
      <c r="I133" t="s">
        <v>47</v>
      </c>
      <c r="J133">
        <v>2</v>
      </c>
      <c r="K133">
        <v>1</v>
      </c>
      <c r="L133">
        <v>3</v>
      </c>
      <c r="M133">
        <v>1</v>
      </c>
      <c r="N133">
        <v>2</v>
      </c>
      <c r="O133">
        <v>0</v>
      </c>
      <c r="P133">
        <v>1</v>
      </c>
      <c r="Q133">
        <v>0</v>
      </c>
      <c r="R133">
        <v>3</v>
      </c>
      <c r="S133">
        <v>1</v>
      </c>
    </row>
    <row r="134" spans="1:19" x14ac:dyDescent="0.25">
      <c r="A134" t="s">
        <v>17</v>
      </c>
      <c r="B134" t="s">
        <v>22</v>
      </c>
      <c r="C134" t="s">
        <v>94</v>
      </c>
      <c r="D134" t="s">
        <v>48</v>
      </c>
      <c r="E134" t="s">
        <v>44</v>
      </c>
      <c r="F134" s="4">
        <v>41342</v>
      </c>
      <c r="G134" s="4">
        <v>41369</v>
      </c>
      <c r="H134" t="s">
        <v>45</v>
      </c>
      <c r="I134" t="s">
        <v>46</v>
      </c>
      <c r="J134">
        <v>1</v>
      </c>
      <c r="K134">
        <v>1</v>
      </c>
      <c r="L134">
        <v>1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1</v>
      </c>
      <c r="S134">
        <v>1</v>
      </c>
    </row>
    <row r="135" spans="1:19" x14ac:dyDescent="0.25">
      <c r="A135" t="s">
        <v>17</v>
      </c>
      <c r="B135" t="s">
        <v>20</v>
      </c>
      <c r="C135" t="s">
        <v>94</v>
      </c>
      <c r="D135" t="s">
        <v>48</v>
      </c>
      <c r="E135" t="s">
        <v>44</v>
      </c>
      <c r="F135" s="4">
        <v>41342</v>
      </c>
      <c r="G135" s="4">
        <v>41486</v>
      </c>
      <c r="H135" t="s">
        <v>45</v>
      </c>
      <c r="I135" t="s">
        <v>47</v>
      </c>
      <c r="J135">
        <v>2</v>
      </c>
      <c r="K135">
        <v>1</v>
      </c>
      <c r="L135">
        <v>3</v>
      </c>
      <c r="M135">
        <v>2</v>
      </c>
      <c r="N135">
        <v>1</v>
      </c>
      <c r="O135">
        <v>0</v>
      </c>
      <c r="P135">
        <v>1</v>
      </c>
      <c r="Q135">
        <v>1</v>
      </c>
      <c r="R135">
        <v>2</v>
      </c>
      <c r="S135">
        <v>1</v>
      </c>
    </row>
    <row r="136" spans="1:19" x14ac:dyDescent="0.25">
      <c r="A136" t="s">
        <v>17</v>
      </c>
      <c r="B136" t="s">
        <v>21</v>
      </c>
      <c r="C136" t="s">
        <v>94</v>
      </c>
      <c r="D136" t="s">
        <v>48</v>
      </c>
      <c r="E136" t="s">
        <v>44</v>
      </c>
      <c r="F136" s="4">
        <v>41342</v>
      </c>
      <c r="G136" s="4">
        <v>41506</v>
      </c>
      <c r="H136" t="s">
        <v>45</v>
      </c>
      <c r="I136" t="s">
        <v>47</v>
      </c>
      <c r="J136">
        <v>1</v>
      </c>
      <c r="K136">
        <v>0</v>
      </c>
      <c r="L136">
        <v>3</v>
      </c>
      <c r="M136">
        <v>0</v>
      </c>
      <c r="N136">
        <v>3</v>
      </c>
      <c r="O136">
        <v>1</v>
      </c>
      <c r="P136">
        <v>0</v>
      </c>
      <c r="Q136">
        <v>0</v>
      </c>
      <c r="R136">
        <v>1</v>
      </c>
      <c r="S136">
        <v>0</v>
      </c>
    </row>
    <row r="137" spans="1:19" x14ac:dyDescent="0.25">
      <c r="A137" t="s">
        <v>17</v>
      </c>
      <c r="B137" t="s">
        <v>22</v>
      </c>
      <c r="C137" t="s">
        <v>95</v>
      </c>
      <c r="D137" t="s">
        <v>48</v>
      </c>
      <c r="E137" t="s">
        <v>44</v>
      </c>
      <c r="F137" s="4">
        <v>41302</v>
      </c>
      <c r="G137" s="4">
        <v>41319</v>
      </c>
      <c r="H137" t="s">
        <v>45</v>
      </c>
      <c r="I137" t="s">
        <v>46</v>
      </c>
      <c r="J137">
        <v>0</v>
      </c>
      <c r="K137">
        <v>0</v>
      </c>
      <c r="L137">
        <v>0</v>
      </c>
      <c r="M137">
        <v>3</v>
      </c>
      <c r="N137">
        <v>0</v>
      </c>
      <c r="O137">
        <v>3</v>
      </c>
      <c r="P137">
        <v>2</v>
      </c>
      <c r="Q137">
        <v>0</v>
      </c>
      <c r="R137">
        <v>0</v>
      </c>
      <c r="S137">
        <v>1</v>
      </c>
    </row>
    <row r="138" spans="1:19" x14ac:dyDescent="0.25">
      <c r="A138" t="s">
        <v>17</v>
      </c>
      <c r="B138" t="s">
        <v>20</v>
      </c>
      <c r="C138" t="s">
        <v>95</v>
      </c>
      <c r="D138" t="s">
        <v>48</v>
      </c>
      <c r="E138" t="s">
        <v>44</v>
      </c>
      <c r="F138" s="4">
        <v>41302</v>
      </c>
      <c r="G138" s="4">
        <v>41418</v>
      </c>
      <c r="H138" t="s">
        <v>45</v>
      </c>
      <c r="I138" t="s">
        <v>47</v>
      </c>
      <c r="J138">
        <v>0</v>
      </c>
      <c r="K138">
        <v>2</v>
      </c>
      <c r="L138">
        <v>3</v>
      </c>
      <c r="M138">
        <v>3</v>
      </c>
      <c r="N138">
        <v>3</v>
      </c>
      <c r="O138">
        <v>0</v>
      </c>
      <c r="P138">
        <v>0</v>
      </c>
      <c r="Q138">
        <v>0</v>
      </c>
      <c r="R138">
        <v>3</v>
      </c>
      <c r="S138">
        <v>1</v>
      </c>
    </row>
    <row r="139" spans="1:19" x14ac:dyDescent="0.25">
      <c r="A139" t="s">
        <v>17</v>
      </c>
      <c r="B139" t="s">
        <v>21</v>
      </c>
      <c r="C139" t="s">
        <v>95</v>
      </c>
      <c r="D139" t="s">
        <v>48</v>
      </c>
      <c r="E139" t="s">
        <v>44</v>
      </c>
      <c r="F139" s="4">
        <v>41302</v>
      </c>
      <c r="G139" s="4">
        <v>41515</v>
      </c>
      <c r="H139" t="s">
        <v>45</v>
      </c>
      <c r="I139" t="s">
        <v>47</v>
      </c>
      <c r="J139">
        <v>0</v>
      </c>
      <c r="K139">
        <v>2</v>
      </c>
      <c r="L139">
        <v>2</v>
      </c>
      <c r="M139">
        <v>3</v>
      </c>
      <c r="N139">
        <v>1</v>
      </c>
      <c r="O139">
        <v>2</v>
      </c>
      <c r="P139">
        <v>1</v>
      </c>
      <c r="Q139">
        <v>1</v>
      </c>
      <c r="R139">
        <v>1</v>
      </c>
      <c r="S139">
        <v>2</v>
      </c>
    </row>
    <row r="140" spans="1:19" x14ac:dyDescent="0.25">
      <c r="A140" t="s">
        <v>17</v>
      </c>
      <c r="B140" t="s">
        <v>22</v>
      </c>
      <c r="C140" t="s">
        <v>95</v>
      </c>
      <c r="D140" t="s">
        <v>48</v>
      </c>
      <c r="E140" t="s">
        <v>44</v>
      </c>
      <c r="F140" s="4">
        <v>41302</v>
      </c>
      <c r="G140" s="4">
        <v>41598</v>
      </c>
      <c r="H140" t="s">
        <v>45</v>
      </c>
      <c r="I140" t="s">
        <v>47</v>
      </c>
      <c r="J140">
        <v>0</v>
      </c>
      <c r="K140">
        <v>0</v>
      </c>
      <c r="L140">
        <v>1</v>
      </c>
      <c r="M140">
        <v>1</v>
      </c>
      <c r="N140">
        <v>2</v>
      </c>
      <c r="O140">
        <v>0</v>
      </c>
      <c r="P140">
        <v>0</v>
      </c>
      <c r="Q140">
        <v>0</v>
      </c>
      <c r="R140">
        <v>1</v>
      </c>
      <c r="S140">
        <v>0</v>
      </c>
    </row>
    <row r="141" spans="1:19" x14ac:dyDescent="0.25">
      <c r="A141" t="s">
        <v>17</v>
      </c>
      <c r="B141" t="s">
        <v>20</v>
      </c>
      <c r="C141" t="s">
        <v>95</v>
      </c>
      <c r="D141" t="s">
        <v>48</v>
      </c>
      <c r="E141" t="s">
        <v>44</v>
      </c>
      <c r="F141" s="4">
        <v>41302</v>
      </c>
      <c r="G141" s="4">
        <v>41675</v>
      </c>
      <c r="H141" t="s">
        <v>45</v>
      </c>
      <c r="I141" t="s">
        <v>47</v>
      </c>
      <c r="J141">
        <v>3</v>
      </c>
      <c r="K141">
        <v>1</v>
      </c>
      <c r="L141">
        <v>2</v>
      </c>
      <c r="M141">
        <v>0</v>
      </c>
      <c r="N141">
        <v>2</v>
      </c>
      <c r="O141">
        <v>2</v>
      </c>
      <c r="P141">
        <v>2</v>
      </c>
      <c r="Q141">
        <v>0</v>
      </c>
      <c r="R141">
        <v>3</v>
      </c>
      <c r="S141">
        <v>0</v>
      </c>
    </row>
    <row r="142" spans="1:19" x14ac:dyDescent="0.25">
      <c r="A142" t="s">
        <v>17</v>
      </c>
      <c r="B142" t="s">
        <v>21</v>
      </c>
      <c r="C142" t="s">
        <v>95</v>
      </c>
      <c r="D142" t="s">
        <v>48</v>
      </c>
      <c r="E142" t="s">
        <v>44</v>
      </c>
      <c r="F142" s="4">
        <v>41302</v>
      </c>
      <c r="G142" s="4">
        <v>41750</v>
      </c>
      <c r="H142" t="s">
        <v>45</v>
      </c>
      <c r="I142" t="s">
        <v>47</v>
      </c>
      <c r="J142">
        <v>0</v>
      </c>
      <c r="K142">
        <v>1</v>
      </c>
      <c r="L142">
        <v>1</v>
      </c>
      <c r="M142">
        <v>2</v>
      </c>
      <c r="N142">
        <v>3</v>
      </c>
      <c r="O142">
        <v>2</v>
      </c>
      <c r="P142">
        <v>2</v>
      </c>
      <c r="Q142">
        <v>1</v>
      </c>
      <c r="R142">
        <v>1</v>
      </c>
      <c r="S142">
        <v>1</v>
      </c>
    </row>
    <row r="143" spans="1:19" x14ac:dyDescent="0.25">
      <c r="A143" t="s">
        <v>17</v>
      </c>
      <c r="B143" t="s">
        <v>22</v>
      </c>
      <c r="C143" t="s">
        <v>95</v>
      </c>
      <c r="D143" t="s">
        <v>48</v>
      </c>
      <c r="E143" t="s">
        <v>44</v>
      </c>
      <c r="F143" s="4">
        <v>41302</v>
      </c>
      <c r="G143" s="4">
        <v>41853</v>
      </c>
      <c r="H143" t="s">
        <v>45</v>
      </c>
      <c r="I143" t="s">
        <v>47</v>
      </c>
      <c r="J143">
        <v>1</v>
      </c>
      <c r="K143">
        <v>0</v>
      </c>
      <c r="L143">
        <v>1</v>
      </c>
      <c r="M143">
        <v>3</v>
      </c>
      <c r="N143">
        <v>2</v>
      </c>
      <c r="O143">
        <v>0</v>
      </c>
      <c r="P143">
        <v>0</v>
      </c>
      <c r="Q143">
        <v>2</v>
      </c>
      <c r="R143">
        <v>2</v>
      </c>
      <c r="S143">
        <v>1</v>
      </c>
    </row>
    <row r="144" spans="1:19" x14ac:dyDescent="0.25">
      <c r="A144" t="s">
        <v>17</v>
      </c>
      <c r="B144" t="s">
        <v>20</v>
      </c>
      <c r="C144" t="s">
        <v>96</v>
      </c>
      <c r="D144" t="s">
        <v>48</v>
      </c>
      <c r="E144" t="s">
        <v>44</v>
      </c>
      <c r="F144" s="4">
        <v>41333</v>
      </c>
      <c r="G144" s="4">
        <v>41363</v>
      </c>
      <c r="H144" t="s">
        <v>49</v>
      </c>
      <c r="I144" t="s">
        <v>46</v>
      </c>
      <c r="J144">
        <v>1</v>
      </c>
      <c r="K144">
        <v>2</v>
      </c>
      <c r="L144">
        <v>3</v>
      </c>
      <c r="M144">
        <v>0</v>
      </c>
      <c r="N144">
        <v>2</v>
      </c>
      <c r="O144">
        <v>3</v>
      </c>
      <c r="P144">
        <v>0</v>
      </c>
      <c r="Q144">
        <v>1</v>
      </c>
      <c r="R144">
        <v>2</v>
      </c>
      <c r="S144">
        <v>1</v>
      </c>
    </row>
    <row r="145" spans="1:19" x14ac:dyDescent="0.25">
      <c r="A145" t="s">
        <v>17</v>
      </c>
      <c r="B145" t="s">
        <v>21</v>
      </c>
      <c r="C145" t="s">
        <v>96</v>
      </c>
      <c r="D145" t="s">
        <v>48</v>
      </c>
      <c r="E145" t="s">
        <v>44</v>
      </c>
      <c r="F145" s="4">
        <v>41333</v>
      </c>
      <c r="G145" s="4">
        <v>41485</v>
      </c>
      <c r="H145" t="s">
        <v>49</v>
      </c>
      <c r="I145" t="s">
        <v>47</v>
      </c>
      <c r="J145">
        <v>0</v>
      </c>
      <c r="K145">
        <v>2</v>
      </c>
      <c r="L145">
        <v>3</v>
      </c>
      <c r="M145">
        <v>1</v>
      </c>
      <c r="N145">
        <v>2</v>
      </c>
      <c r="O145">
        <v>0</v>
      </c>
      <c r="P145">
        <v>0</v>
      </c>
      <c r="Q145">
        <v>0</v>
      </c>
      <c r="R145">
        <v>2</v>
      </c>
      <c r="S145">
        <v>1</v>
      </c>
    </row>
    <row r="146" spans="1:19" x14ac:dyDescent="0.25">
      <c r="A146" t="s">
        <v>17</v>
      </c>
      <c r="B146" t="s">
        <v>22</v>
      </c>
      <c r="C146" t="s">
        <v>96</v>
      </c>
      <c r="D146" t="s">
        <v>48</v>
      </c>
      <c r="E146" t="s">
        <v>44</v>
      </c>
      <c r="F146" s="4">
        <v>41333</v>
      </c>
      <c r="G146" s="4">
        <v>41512</v>
      </c>
      <c r="H146" t="s">
        <v>49</v>
      </c>
      <c r="I146" t="s">
        <v>47</v>
      </c>
      <c r="J146">
        <v>2</v>
      </c>
      <c r="K146">
        <v>1</v>
      </c>
      <c r="L146">
        <v>3</v>
      </c>
      <c r="M146">
        <v>0</v>
      </c>
      <c r="N146">
        <v>0</v>
      </c>
      <c r="O146">
        <v>3</v>
      </c>
      <c r="P146">
        <v>1</v>
      </c>
      <c r="Q146">
        <v>1</v>
      </c>
      <c r="R146">
        <v>3</v>
      </c>
      <c r="S146">
        <v>2</v>
      </c>
    </row>
    <row r="147" spans="1:19" x14ac:dyDescent="0.25">
      <c r="A147" t="s">
        <v>17</v>
      </c>
      <c r="B147" t="s">
        <v>20</v>
      </c>
      <c r="C147" t="s">
        <v>96</v>
      </c>
      <c r="D147" t="s">
        <v>48</v>
      </c>
      <c r="E147" t="s">
        <v>44</v>
      </c>
      <c r="F147" s="4">
        <v>41333</v>
      </c>
      <c r="G147" s="4">
        <v>41565</v>
      </c>
      <c r="H147" t="s">
        <v>49</v>
      </c>
      <c r="I147" t="s">
        <v>47</v>
      </c>
      <c r="J147">
        <v>3</v>
      </c>
      <c r="K147">
        <v>0</v>
      </c>
      <c r="L147">
        <v>3</v>
      </c>
      <c r="M147">
        <v>1</v>
      </c>
      <c r="N147">
        <v>1</v>
      </c>
      <c r="O147">
        <v>2</v>
      </c>
      <c r="P147">
        <v>2</v>
      </c>
      <c r="Q147">
        <v>1</v>
      </c>
      <c r="R147">
        <v>0</v>
      </c>
      <c r="S147">
        <v>1</v>
      </c>
    </row>
    <row r="148" spans="1:19" x14ac:dyDescent="0.25">
      <c r="A148" t="s">
        <v>17</v>
      </c>
      <c r="B148" t="s">
        <v>21</v>
      </c>
      <c r="C148" t="s">
        <v>97</v>
      </c>
      <c r="D148" t="s">
        <v>43</v>
      </c>
      <c r="E148" t="s">
        <v>44</v>
      </c>
      <c r="F148" s="4">
        <v>41282</v>
      </c>
      <c r="G148" s="4">
        <v>41291</v>
      </c>
      <c r="H148" t="s">
        <v>45</v>
      </c>
      <c r="I148" t="s">
        <v>46</v>
      </c>
      <c r="J148">
        <v>1</v>
      </c>
      <c r="K148">
        <v>0</v>
      </c>
      <c r="L148">
        <v>0</v>
      </c>
      <c r="M148">
        <v>3</v>
      </c>
      <c r="N148">
        <v>0</v>
      </c>
      <c r="O148">
        <v>0</v>
      </c>
      <c r="P148">
        <v>2</v>
      </c>
      <c r="Q148">
        <v>1</v>
      </c>
      <c r="R148">
        <v>3</v>
      </c>
      <c r="S148">
        <v>1</v>
      </c>
    </row>
    <row r="149" spans="1:19" x14ac:dyDescent="0.25">
      <c r="A149" t="s">
        <v>17</v>
      </c>
      <c r="B149" t="s">
        <v>22</v>
      </c>
      <c r="C149" t="s">
        <v>97</v>
      </c>
      <c r="D149" t="s">
        <v>43</v>
      </c>
      <c r="E149" t="s">
        <v>44</v>
      </c>
      <c r="F149" s="4">
        <v>41282</v>
      </c>
      <c r="G149" s="4">
        <v>41365</v>
      </c>
      <c r="H149" t="s">
        <v>45</v>
      </c>
      <c r="I149" t="s">
        <v>47</v>
      </c>
      <c r="J149">
        <v>0</v>
      </c>
      <c r="K149">
        <v>1</v>
      </c>
      <c r="L149">
        <v>2</v>
      </c>
      <c r="M149">
        <v>2</v>
      </c>
      <c r="N149">
        <v>3</v>
      </c>
      <c r="O149">
        <v>2</v>
      </c>
      <c r="P149">
        <v>1</v>
      </c>
      <c r="Q149">
        <v>1</v>
      </c>
      <c r="R149">
        <v>0</v>
      </c>
      <c r="S149">
        <v>1</v>
      </c>
    </row>
    <row r="150" spans="1:19" x14ac:dyDescent="0.25">
      <c r="A150" t="s">
        <v>17</v>
      </c>
      <c r="B150" t="s">
        <v>20</v>
      </c>
      <c r="C150" t="s">
        <v>97</v>
      </c>
      <c r="D150" t="s">
        <v>43</v>
      </c>
      <c r="E150" t="s">
        <v>44</v>
      </c>
      <c r="F150" s="4">
        <v>41282</v>
      </c>
      <c r="G150" s="4">
        <v>41383</v>
      </c>
      <c r="H150" t="s">
        <v>45</v>
      </c>
      <c r="I150" t="s">
        <v>47</v>
      </c>
      <c r="J150">
        <v>0</v>
      </c>
      <c r="K150">
        <v>1</v>
      </c>
      <c r="L150">
        <v>0</v>
      </c>
      <c r="M150">
        <v>3</v>
      </c>
      <c r="N150">
        <v>1</v>
      </c>
      <c r="O150">
        <v>1</v>
      </c>
      <c r="P150">
        <v>3</v>
      </c>
      <c r="Q150">
        <v>2</v>
      </c>
      <c r="R150">
        <v>3</v>
      </c>
      <c r="S150">
        <v>1</v>
      </c>
    </row>
    <row r="151" spans="1:19" x14ac:dyDescent="0.25">
      <c r="A151" t="s">
        <v>17</v>
      </c>
      <c r="B151" t="s">
        <v>21</v>
      </c>
      <c r="C151" t="s">
        <v>98</v>
      </c>
      <c r="D151" t="s">
        <v>43</v>
      </c>
      <c r="E151" t="s">
        <v>44</v>
      </c>
      <c r="F151" s="4">
        <v>41694</v>
      </c>
      <c r="G151" s="4">
        <v>41701</v>
      </c>
      <c r="H151" t="s">
        <v>45</v>
      </c>
      <c r="I151" t="s">
        <v>46</v>
      </c>
      <c r="J151">
        <v>1</v>
      </c>
      <c r="K151">
        <v>1</v>
      </c>
      <c r="L151">
        <v>1</v>
      </c>
      <c r="M151">
        <v>3</v>
      </c>
      <c r="N151">
        <v>3</v>
      </c>
      <c r="O151">
        <v>0</v>
      </c>
      <c r="P151">
        <v>0</v>
      </c>
      <c r="Q151">
        <v>1</v>
      </c>
      <c r="R151">
        <v>2</v>
      </c>
      <c r="S151">
        <v>0</v>
      </c>
    </row>
    <row r="152" spans="1:19" x14ac:dyDescent="0.25">
      <c r="A152" t="s">
        <v>17</v>
      </c>
      <c r="B152" t="s">
        <v>22</v>
      </c>
      <c r="C152" t="s">
        <v>98</v>
      </c>
      <c r="D152" t="s">
        <v>43</v>
      </c>
      <c r="E152" t="s">
        <v>44</v>
      </c>
      <c r="F152" s="4">
        <v>41694</v>
      </c>
      <c r="G152" s="4">
        <v>41787</v>
      </c>
      <c r="H152" t="s">
        <v>45</v>
      </c>
      <c r="I152" t="s">
        <v>47</v>
      </c>
      <c r="J152">
        <v>2</v>
      </c>
      <c r="K152">
        <v>2</v>
      </c>
      <c r="L152">
        <v>0</v>
      </c>
      <c r="M152">
        <v>0</v>
      </c>
      <c r="N152">
        <v>1</v>
      </c>
      <c r="O152">
        <v>2</v>
      </c>
      <c r="P152">
        <v>3</v>
      </c>
      <c r="Q152">
        <v>1</v>
      </c>
      <c r="R152">
        <v>2</v>
      </c>
      <c r="S152">
        <v>1</v>
      </c>
    </row>
    <row r="153" spans="1:19" x14ac:dyDescent="0.25">
      <c r="A153" t="s">
        <v>17</v>
      </c>
      <c r="B153" t="s">
        <v>20</v>
      </c>
      <c r="C153" t="s">
        <v>98</v>
      </c>
      <c r="D153" t="s">
        <v>43</v>
      </c>
      <c r="E153" t="s">
        <v>44</v>
      </c>
      <c r="F153" s="4">
        <v>41694</v>
      </c>
      <c r="G153" s="4">
        <v>41817</v>
      </c>
      <c r="H153" t="s">
        <v>45</v>
      </c>
      <c r="I153" t="s">
        <v>47</v>
      </c>
      <c r="J153">
        <v>0</v>
      </c>
      <c r="K153">
        <v>0</v>
      </c>
      <c r="L153">
        <v>1</v>
      </c>
      <c r="M153">
        <v>3</v>
      </c>
      <c r="N153">
        <v>2</v>
      </c>
      <c r="O153">
        <v>2</v>
      </c>
      <c r="P153">
        <v>0</v>
      </c>
      <c r="Q153">
        <v>2</v>
      </c>
      <c r="R153">
        <v>2</v>
      </c>
      <c r="S153">
        <v>1</v>
      </c>
    </row>
    <row r="154" spans="1:19" x14ac:dyDescent="0.25">
      <c r="A154" t="s">
        <v>18</v>
      </c>
      <c r="B154" t="s">
        <v>21</v>
      </c>
      <c r="C154" t="s">
        <v>98</v>
      </c>
      <c r="D154" t="s">
        <v>43</v>
      </c>
      <c r="E154" t="s">
        <v>44</v>
      </c>
      <c r="F154" s="4">
        <v>41694</v>
      </c>
      <c r="G154" s="4">
        <v>41883</v>
      </c>
      <c r="H154" t="s">
        <v>45</v>
      </c>
      <c r="I154" t="s">
        <v>47</v>
      </c>
      <c r="J154">
        <v>1</v>
      </c>
      <c r="K154">
        <v>2</v>
      </c>
      <c r="L154">
        <v>3</v>
      </c>
      <c r="M154">
        <v>2</v>
      </c>
      <c r="N154">
        <v>3</v>
      </c>
      <c r="O154">
        <v>1</v>
      </c>
      <c r="P154">
        <v>1</v>
      </c>
      <c r="Q154">
        <v>1</v>
      </c>
      <c r="R154">
        <v>2</v>
      </c>
      <c r="S154">
        <v>2</v>
      </c>
    </row>
    <row r="155" spans="1:19" x14ac:dyDescent="0.25">
      <c r="A155" t="s">
        <v>18</v>
      </c>
      <c r="B155" t="s">
        <v>22</v>
      </c>
      <c r="C155" t="s">
        <v>98</v>
      </c>
      <c r="D155" t="s">
        <v>43</v>
      </c>
      <c r="E155" t="s">
        <v>44</v>
      </c>
      <c r="F155" s="4">
        <v>41694</v>
      </c>
      <c r="G155" s="4">
        <v>42023</v>
      </c>
      <c r="H155" t="s">
        <v>45</v>
      </c>
      <c r="I155" t="s">
        <v>47</v>
      </c>
      <c r="J155">
        <v>0</v>
      </c>
      <c r="K155">
        <v>0</v>
      </c>
      <c r="L155">
        <v>0</v>
      </c>
      <c r="M155">
        <v>0</v>
      </c>
      <c r="N155">
        <v>2</v>
      </c>
      <c r="O155">
        <v>3</v>
      </c>
      <c r="P155">
        <v>0</v>
      </c>
      <c r="Q155">
        <v>0</v>
      </c>
      <c r="R155">
        <v>2</v>
      </c>
      <c r="S155">
        <v>1</v>
      </c>
    </row>
    <row r="156" spans="1:19" x14ac:dyDescent="0.25">
      <c r="A156" t="s">
        <v>18</v>
      </c>
      <c r="B156" t="s">
        <v>20</v>
      </c>
      <c r="C156" t="s">
        <v>99</v>
      </c>
      <c r="D156" t="s">
        <v>48</v>
      </c>
      <c r="E156" t="s">
        <v>50</v>
      </c>
      <c r="F156" s="4">
        <v>41537</v>
      </c>
      <c r="G156" s="4">
        <v>41583</v>
      </c>
      <c r="H156" t="s">
        <v>45</v>
      </c>
      <c r="I156" t="s">
        <v>46</v>
      </c>
      <c r="J156">
        <v>2</v>
      </c>
      <c r="K156">
        <v>1</v>
      </c>
      <c r="L156">
        <v>3</v>
      </c>
      <c r="M156">
        <v>2</v>
      </c>
      <c r="N156">
        <v>1</v>
      </c>
      <c r="O156">
        <v>2</v>
      </c>
      <c r="P156">
        <v>2</v>
      </c>
      <c r="Q156">
        <v>0</v>
      </c>
      <c r="R156">
        <v>2</v>
      </c>
      <c r="S156">
        <v>2</v>
      </c>
    </row>
    <row r="157" spans="1:19" x14ac:dyDescent="0.25">
      <c r="A157" t="s">
        <v>18</v>
      </c>
      <c r="B157" t="s">
        <v>21</v>
      </c>
      <c r="C157" t="s">
        <v>99</v>
      </c>
      <c r="D157" t="s">
        <v>48</v>
      </c>
      <c r="E157" t="s">
        <v>50</v>
      </c>
      <c r="F157" s="4">
        <v>41537</v>
      </c>
      <c r="G157" s="4">
        <v>41679</v>
      </c>
      <c r="H157" t="s">
        <v>45</v>
      </c>
      <c r="I157" t="s">
        <v>47</v>
      </c>
      <c r="J157">
        <v>2</v>
      </c>
      <c r="K157">
        <v>0</v>
      </c>
      <c r="L157">
        <v>1</v>
      </c>
      <c r="M157">
        <v>3</v>
      </c>
      <c r="N157">
        <v>2</v>
      </c>
      <c r="O157">
        <v>1</v>
      </c>
      <c r="P157">
        <v>1</v>
      </c>
      <c r="Q157">
        <v>1</v>
      </c>
      <c r="R157">
        <v>1</v>
      </c>
      <c r="S157">
        <v>1</v>
      </c>
    </row>
    <row r="158" spans="1:19" x14ac:dyDescent="0.25">
      <c r="A158" t="s">
        <v>18</v>
      </c>
      <c r="B158" t="s">
        <v>22</v>
      </c>
      <c r="C158" t="s">
        <v>100</v>
      </c>
      <c r="D158" t="s">
        <v>48</v>
      </c>
      <c r="E158" t="s">
        <v>44</v>
      </c>
      <c r="F158" s="4">
        <v>41277</v>
      </c>
      <c r="G158" s="4">
        <v>41288</v>
      </c>
      <c r="H158" t="s">
        <v>45</v>
      </c>
      <c r="I158" t="s">
        <v>46</v>
      </c>
      <c r="J158">
        <v>1</v>
      </c>
      <c r="K158">
        <v>2</v>
      </c>
      <c r="L158">
        <v>1</v>
      </c>
      <c r="M158">
        <v>2</v>
      </c>
      <c r="N158">
        <v>3</v>
      </c>
      <c r="O158">
        <v>2</v>
      </c>
      <c r="P158">
        <v>2</v>
      </c>
      <c r="Q158">
        <v>2</v>
      </c>
      <c r="R158">
        <v>2</v>
      </c>
      <c r="S158">
        <v>2</v>
      </c>
    </row>
    <row r="159" spans="1:19" x14ac:dyDescent="0.25">
      <c r="A159" t="s">
        <v>18</v>
      </c>
      <c r="B159" t="s">
        <v>20</v>
      </c>
      <c r="C159" t="s">
        <v>100</v>
      </c>
      <c r="D159" t="s">
        <v>48</v>
      </c>
      <c r="E159" t="s">
        <v>44</v>
      </c>
      <c r="F159" s="4">
        <v>41277</v>
      </c>
      <c r="G159" s="4">
        <v>41354</v>
      </c>
      <c r="H159" t="s">
        <v>45</v>
      </c>
      <c r="I159" t="s">
        <v>47</v>
      </c>
      <c r="J159">
        <v>0</v>
      </c>
      <c r="K159">
        <v>0</v>
      </c>
      <c r="L159">
        <v>2</v>
      </c>
      <c r="M159">
        <v>0</v>
      </c>
      <c r="N159">
        <v>1</v>
      </c>
      <c r="O159">
        <v>0</v>
      </c>
      <c r="P159">
        <v>1</v>
      </c>
      <c r="Q159">
        <v>1</v>
      </c>
      <c r="R159">
        <v>3</v>
      </c>
      <c r="S159">
        <v>1</v>
      </c>
    </row>
    <row r="160" spans="1:19" x14ac:dyDescent="0.25">
      <c r="A160" t="s">
        <v>18</v>
      </c>
      <c r="B160" t="s">
        <v>21</v>
      </c>
      <c r="C160" t="s">
        <v>100</v>
      </c>
      <c r="D160" t="s">
        <v>48</v>
      </c>
      <c r="E160" t="s">
        <v>44</v>
      </c>
      <c r="F160" s="4">
        <v>41277</v>
      </c>
      <c r="G160" s="4">
        <v>41427</v>
      </c>
      <c r="H160" t="s">
        <v>45</v>
      </c>
      <c r="I160" t="s">
        <v>47</v>
      </c>
      <c r="J160">
        <v>0</v>
      </c>
      <c r="K160">
        <v>1</v>
      </c>
      <c r="L160">
        <v>1</v>
      </c>
      <c r="M160">
        <v>1</v>
      </c>
      <c r="N160">
        <v>1</v>
      </c>
      <c r="O160">
        <v>2</v>
      </c>
      <c r="P160">
        <v>2</v>
      </c>
      <c r="Q160">
        <v>2</v>
      </c>
      <c r="R160">
        <v>2</v>
      </c>
      <c r="S160">
        <v>0</v>
      </c>
    </row>
    <row r="161" spans="1:19" x14ac:dyDescent="0.25">
      <c r="A161" t="s">
        <v>18</v>
      </c>
      <c r="B161" t="s">
        <v>22</v>
      </c>
      <c r="C161" t="s">
        <v>101</v>
      </c>
      <c r="D161" t="s">
        <v>48</v>
      </c>
      <c r="E161" t="s">
        <v>50</v>
      </c>
      <c r="F161" s="4">
        <v>41339</v>
      </c>
      <c r="G161" s="4">
        <v>41382</v>
      </c>
      <c r="H161" t="s">
        <v>45</v>
      </c>
      <c r="I161" t="s">
        <v>46</v>
      </c>
      <c r="J161">
        <v>2</v>
      </c>
      <c r="K161">
        <v>2</v>
      </c>
      <c r="L161">
        <v>3</v>
      </c>
      <c r="M161">
        <v>1</v>
      </c>
      <c r="N161">
        <v>1</v>
      </c>
      <c r="O161">
        <v>1</v>
      </c>
      <c r="P161">
        <v>2</v>
      </c>
      <c r="Q161">
        <v>1</v>
      </c>
      <c r="R161">
        <v>1</v>
      </c>
      <c r="S161">
        <v>0</v>
      </c>
    </row>
    <row r="162" spans="1:19" x14ac:dyDescent="0.25">
      <c r="A162" t="s">
        <v>18</v>
      </c>
      <c r="B162" t="s">
        <v>20</v>
      </c>
      <c r="C162" t="s">
        <v>101</v>
      </c>
      <c r="D162" t="s">
        <v>48</v>
      </c>
      <c r="E162" t="s">
        <v>50</v>
      </c>
      <c r="F162" s="4">
        <v>41339</v>
      </c>
      <c r="G162" s="4">
        <v>41478</v>
      </c>
      <c r="H162" t="s">
        <v>45</v>
      </c>
      <c r="I162" t="s">
        <v>47</v>
      </c>
      <c r="J162">
        <v>1</v>
      </c>
      <c r="K162">
        <v>2</v>
      </c>
      <c r="L162">
        <v>3</v>
      </c>
      <c r="M162">
        <v>1</v>
      </c>
      <c r="N162">
        <v>3</v>
      </c>
      <c r="O162">
        <v>1</v>
      </c>
      <c r="P162">
        <v>0</v>
      </c>
      <c r="Q162">
        <v>0</v>
      </c>
      <c r="R162">
        <v>0</v>
      </c>
      <c r="S162">
        <v>1</v>
      </c>
    </row>
    <row r="163" spans="1:19" x14ac:dyDescent="0.25">
      <c r="A163" t="s">
        <v>18</v>
      </c>
      <c r="B163" t="s">
        <v>21</v>
      </c>
      <c r="C163" t="s">
        <v>101</v>
      </c>
      <c r="D163" t="s">
        <v>48</v>
      </c>
      <c r="E163" t="s">
        <v>50</v>
      </c>
      <c r="F163" s="4">
        <v>41339</v>
      </c>
      <c r="G163" s="4">
        <v>41595</v>
      </c>
      <c r="H163" t="s">
        <v>45</v>
      </c>
      <c r="I163" t="s">
        <v>47</v>
      </c>
      <c r="J163">
        <v>1</v>
      </c>
      <c r="K163">
        <v>1</v>
      </c>
      <c r="L163">
        <v>3</v>
      </c>
      <c r="M163">
        <v>0</v>
      </c>
      <c r="N163">
        <v>3</v>
      </c>
      <c r="O163">
        <v>0</v>
      </c>
      <c r="P163">
        <v>1</v>
      </c>
      <c r="Q163">
        <v>1</v>
      </c>
      <c r="R163">
        <v>2</v>
      </c>
      <c r="S163">
        <v>2</v>
      </c>
    </row>
    <row r="164" spans="1:19" x14ac:dyDescent="0.25">
      <c r="A164" t="s">
        <v>18</v>
      </c>
      <c r="B164" t="s">
        <v>22</v>
      </c>
      <c r="C164" t="s">
        <v>101</v>
      </c>
      <c r="D164" t="s">
        <v>48</v>
      </c>
      <c r="E164" t="s">
        <v>50</v>
      </c>
      <c r="F164" s="4">
        <v>41339</v>
      </c>
      <c r="G164" s="4">
        <v>41722</v>
      </c>
      <c r="H164" t="s">
        <v>45</v>
      </c>
      <c r="I164" t="s">
        <v>47</v>
      </c>
      <c r="J164">
        <v>0</v>
      </c>
      <c r="K164">
        <v>1</v>
      </c>
      <c r="L164">
        <v>0</v>
      </c>
      <c r="M164">
        <v>0</v>
      </c>
      <c r="N164">
        <v>1</v>
      </c>
      <c r="O164">
        <v>3</v>
      </c>
      <c r="P164">
        <v>1</v>
      </c>
      <c r="Q164">
        <v>0</v>
      </c>
      <c r="R164">
        <v>0</v>
      </c>
      <c r="S164">
        <v>2</v>
      </c>
    </row>
    <row r="165" spans="1:19" x14ac:dyDescent="0.25">
      <c r="A165" t="s">
        <v>18</v>
      </c>
      <c r="B165" t="s">
        <v>20</v>
      </c>
      <c r="C165" t="s">
        <v>102</v>
      </c>
      <c r="D165" t="s">
        <v>48</v>
      </c>
      <c r="E165" t="s">
        <v>44</v>
      </c>
      <c r="F165" s="4">
        <v>41363</v>
      </c>
      <c r="G165" s="4">
        <v>41367</v>
      </c>
      <c r="H165" t="s">
        <v>45</v>
      </c>
      <c r="I165" t="s">
        <v>46</v>
      </c>
      <c r="J165">
        <v>0</v>
      </c>
      <c r="K165">
        <v>1</v>
      </c>
      <c r="L165">
        <v>3</v>
      </c>
      <c r="M165">
        <v>0</v>
      </c>
      <c r="N165">
        <v>1</v>
      </c>
      <c r="O165">
        <v>0</v>
      </c>
      <c r="P165">
        <v>1</v>
      </c>
      <c r="Q165">
        <v>0</v>
      </c>
      <c r="R165">
        <v>3</v>
      </c>
      <c r="S165">
        <v>2</v>
      </c>
    </row>
    <row r="166" spans="1:19" x14ac:dyDescent="0.25">
      <c r="A166" t="s">
        <v>18</v>
      </c>
      <c r="B166" t="s">
        <v>21</v>
      </c>
      <c r="C166" t="s">
        <v>102</v>
      </c>
      <c r="D166" t="s">
        <v>48</v>
      </c>
      <c r="E166" t="s">
        <v>44</v>
      </c>
      <c r="F166" s="4">
        <v>41363</v>
      </c>
      <c r="G166" s="4">
        <v>41439</v>
      </c>
      <c r="H166" t="s">
        <v>45</v>
      </c>
      <c r="I166" t="s">
        <v>47</v>
      </c>
      <c r="J166">
        <v>0</v>
      </c>
      <c r="K166">
        <v>0</v>
      </c>
      <c r="L166">
        <v>0</v>
      </c>
      <c r="M166">
        <v>1</v>
      </c>
      <c r="N166">
        <v>2</v>
      </c>
      <c r="O166">
        <v>1</v>
      </c>
      <c r="P166">
        <v>0</v>
      </c>
      <c r="Q166">
        <v>0</v>
      </c>
      <c r="R166">
        <v>1</v>
      </c>
      <c r="S166">
        <v>1</v>
      </c>
    </row>
    <row r="167" spans="1:19" x14ac:dyDescent="0.25">
      <c r="A167" t="s">
        <v>18</v>
      </c>
      <c r="B167" t="s">
        <v>22</v>
      </c>
      <c r="C167" t="s">
        <v>102</v>
      </c>
      <c r="D167" t="s">
        <v>48</v>
      </c>
      <c r="E167" t="s">
        <v>44</v>
      </c>
      <c r="F167" s="4">
        <v>41363</v>
      </c>
      <c r="G167" s="4">
        <v>41480</v>
      </c>
      <c r="H167" t="s">
        <v>45</v>
      </c>
      <c r="I167" t="s">
        <v>47</v>
      </c>
      <c r="J167">
        <v>1</v>
      </c>
      <c r="K167">
        <v>1</v>
      </c>
      <c r="L167">
        <v>2</v>
      </c>
      <c r="M167">
        <v>3</v>
      </c>
      <c r="N167">
        <v>0</v>
      </c>
      <c r="O167">
        <v>2</v>
      </c>
      <c r="P167">
        <v>1</v>
      </c>
      <c r="Q167">
        <v>1</v>
      </c>
      <c r="R167">
        <v>3</v>
      </c>
      <c r="S167">
        <v>2</v>
      </c>
    </row>
    <row r="168" spans="1:19" x14ac:dyDescent="0.25">
      <c r="A168" t="s">
        <v>18</v>
      </c>
      <c r="B168" t="s">
        <v>20</v>
      </c>
      <c r="C168" t="s">
        <v>102</v>
      </c>
      <c r="D168" t="s">
        <v>48</v>
      </c>
      <c r="E168" t="s">
        <v>44</v>
      </c>
      <c r="F168" s="4">
        <v>41363</v>
      </c>
      <c r="G168" s="4">
        <v>41522</v>
      </c>
      <c r="H168" t="s">
        <v>45</v>
      </c>
      <c r="I168" t="s">
        <v>47</v>
      </c>
      <c r="J168">
        <v>2</v>
      </c>
      <c r="K168">
        <v>1</v>
      </c>
      <c r="L168">
        <v>3</v>
      </c>
      <c r="M168">
        <v>1</v>
      </c>
      <c r="N168">
        <v>1</v>
      </c>
      <c r="O168">
        <v>2</v>
      </c>
      <c r="P168">
        <v>1</v>
      </c>
      <c r="Q168">
        <v>2</v>
      </c>
      <c r="R168">
        <v>3</v>
      </c>
      <c r="S168">
        <v>1</v>
      </c>
    </row>
    <row r="169" spans="1:19" x14ac:dyDescent="0.25">
      <c r="A169" t="s">
        <v>18</v>
      </c>
      <c r="B169" t="s">
        <v>21</v>
      </c>
      <c r="C169" t="s">
        <v>103</v>
      </c>
      <c r="D169" t="s">
        <v>48</v>
      </c>
      <c r="E169" t="s">
        <v>44</v>
      </c>
      <c r="F169" s="4">
        <v>41765</v>
      </c>
      <c r="G169" s="4">
        <v>41806</v>
      </c>
      <c r="H169" t="s">
        <v>49</v>
      </c>
      <c r="I169" t="s">
        <v>46</v>
      </c>
      <c r="J169">
        <v>1</v>
      </c>
      <c r="K169">
        <v>1</v>
      </c>
      <c r="L169">
        <v>2</v>
      </c>
      <c r="M169">
        <v>0</v>
      </c>
      <c r="N169">
        <v>0</v>
      </c>
      <c r="O169">
        <v>1</v>
      </c>
      <c r="P169">
        <v>1</v>
      </c>
      <c r="Q169">
        <v>1</v>
      </c>
      <c r="R169">
        <v>2</v>
      </c>
      <c r="S169">
        <v>0</v>
      </c>
    </row>
    <row r="170" spans="1:19" x14ac:dyDescent="0.25">
      <c r="A170" t="s">
        <v>18</v>
      </c>
      <c r="B170" t="s">
        <v>22</v>
      </c>
      <c r="C170" t="s">
        <v>103</v>
      </c>
      <c r="D170" t="s">
        <v>48</v>
      </c>
      <c r="E170" t="s">
        <v>44</v>
      </c>
      <c r="F170" s="4">
        <v>41765</v>
      </c>
      <c r="G170" s="4">
        <v>41922</v>
      </c>
      <c r="H170" t="s">
        <v>49</v>
      </c>
      <c r="I170" t="s">
        <v>47</v>
      </c>
      <c r="J170">
        <v>1</v>
      </c>
      <c r="K170">
        <v>2</v>
      </c>
      <c r="L170">
        <v>2</v>
      </c>
      <c r="M170">
        <v>0</v>
      </c>
      <c r="N170">
        <v>1</v>
      </c>
      <c r="O170">
        <v>1</v>
      </c>
      <c r="P170">
        <v>1</v>
      </c>
      <c r="Q170">
        <v>2</v>
      </c>
      <c r="R170">
        <v>3</v>
      </c>
      <c r="S170">
        <v>2</v>
      </c>
    </row>
    <row r="171" spans="1:19" x14ac:dyDescent="0.25">
      <c r="A171" t="s">
        <v>18</v>
      </c>
      <c r="B171" t="s">
        <v>20</v>
      </c>
      <c r="C171" t="s">
        <v>103</v>
      </c>
      <c r="D171" t="s">
        <v>48</v>
      </c>
      <c r="E171" t="s">
        <v>44</v>
      </c>
      <c r="F171" s="4">
        <v>41765</v>
      </c>
      <c r="G171" s="4">
        <v>42036</v>
      </c>
      <c r="H171" t="s">
        <v>49</v>
      </c>
      <c r="I171" t="s">
        <v>47</v>
      </c>
      <c r="J171">
        <v>0</v>
      </c>
      <c r="K171">
        <v>0</v>
      </c>
      <c r="L171">
        <v>3</v>
      </c>
      <c r="M171">
        <v>3</v>
      </c>
      <c r="N171">
        <v>2</v>
      </c>
      <c r="O171">
        <v>0</v>
      </c>
      <c r="P171">
        <v>1</v>
      </c>
      <c r="Q171">
        <v>2</v>
      </c>
      <c r="R171">
        <v>0</v>
      </c>
      <c r="S171">
        <v>2</v>
      </c>
    </row>
    <row r="172" spans="1:19" x14ac:dyDescent="0.25">
      <c r="A172" t="s">
        <v>18</v>
      </c>
      <c r="B172" t="s">
        <v>21</v>
      </c>
      <c r="C172" t="s">
        <v>103</v>
      </c>
      <c r="D172" t="s">
        <v>48</v>
      </c>
      <c r="E172" t="s">
        <v>44</v>
      </c>
      <c r="F172" s="4">
        <v>41765</v>
      </c>
      <c r="G172" s="4">
        <v>42086</v>
      </c>
      <c r="H172" t="s">
        <v>49</v>
      </c>
      <c r="I172" t="s">
        <v>47</v>
      </c>
      <c r="J172">
        <v>2</v>
      </c>
      <c r="K172">
        <v>1</v>
      </c>
      <c r="L172">
        <v>1</v>
      </c>
      <c r="M172">
        <v>1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1</v>
      </c>
    </row>
    <row r="173" spans="1:19" x14ac:dyDescent="0.25">
      <c r="A173" t="s">
        <v>18</v>
      </c>
      <c r="B173" t="s">
        <v>22</v>
      </c>
      <c r="C173" t="s">
        <v>104</v>
      </c>
      <c r="D173" t="s">
        <v>48</v>
      </c>
      <c r="E173" t="s">
        <v>51</v>
      </c>
      <c r="F173" s="4">
        <v>41727</v>
      </c>
      <c r="G173" s="4">
        <v>41771</v>
      </c>
      <c r="H173" t="s">
        <v>45</v>
      </c>
      <c r="I173" t="s">
        <v>46</v>
      </c>
      <c r="J173">
        <v>1</v>
      </c>
      <c r="K173">
        <v>2</v>
      </c>
      <c r="L173">
        <v>3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</row>
    <row r="174" spans="1:19" x14ac:dyDescent="0.25">
      <c r="A174" t="s">
        <v>18</v>
      </c>
      <c r="B174" t="s">
        <v>20</v>
      </c>
      <c r="C174" t="s">
        <v>105</v>
      </c>
      <c r="D174" t="s">
        <v>48</v>
      </c>
      <c r="E174" t="s">
        <v>44</v>
      </c>
      <c r="F174" s="4">
        <v>41336</v>
      </c>
      <c r="G174" s="4">
        <v>41374</v>
      </c>
      <c r="H174" t="s">
        <v>45</v>
      </c>
      <c r="I174" t="s">
        <v>46</v>
      </c>
      <c r="J174">
        <v>3</v>
      </c>
      <c r="K174">
        <v>0</v>
      </c>
      <c r="L174">
        <v>3</v>
      </c>
      <c r="M174">
        <v>3</v>
      </c>
      <c r="N174">
        <v>3</v>
      </c>
      <c r="O174">
        <v>1</v>
      </c>
      <c r="P174">
        <v>3</v>
      </c>
      <c r="Q174">
        <v>0</v>
      </c>
      <c r="R174">
        <v>3</v>
      </c>
      <c r="S174">
        <v>0</v>
      </c>
    </row>
    <row r="175" spans="1:19" x14ac:dyDescent="0.25">
      <c r="A175" t="s">
        <v>18</v>
      </c>
      <c r="B175" t="s">
        <v>21</v>
      </c>
      <c r="C175" t="s">
        <v>106</v>
      </c>
      <c r="D175" t="s">
        <v>48</v>
      </c>
      <c r="E175" t="s">
        <v>44</v>
      </c>
      <c r="F175" s="4">
        <v>41709</v>
      </c>
      <c r="G175" s="4">
        <v>41758</v>
      </c>
      <c r="H175" t="s">
        <v>45</v>
      </c>
      <c r="I175" t="s">
        <v>46</v>
      </c>
      <c r="J175">
        <v>2</v>
      </c>
      <c r="K175">
        <v>0</v>
      </c>
      <c r="L175">
        <v>2</v>
      </c>
      <c r="M175">
        <v>3</v>
      </c>
      <c r="N175">
        <v>2</v>
      </c>
      <c r="O175">
        <v>2</v>
      </c>
      <c r="P175">
        <v>1</v>
      </c>
      <c r="Q175">
        <v>0</v>
      </c>
      <c r="R175">
        <v>1</v>
      </c>
      <c r="S175">
        <v>1</v>
      </c>
    </row>
    <row r="176" spans="1:19" x14ac:dyDescent="0.25">
      <c r="A176" t="s">
        <v>18</v>
      </c>
      <c r="B176" t="s">
        <v>22</v>
      </c>
      <c r="C176" t="s">
        <v>106</v>
      </c>
      <c r="D176" t="s">
        <v>48</v>
      </c>
      <c r="E176" t="s">
        <v>44</v>
      </c>
      <c r="F176" s="4">
        <v>41709</v>
      </c>
      <c r="G176" s="4">
        <v>41854</v>
      </c>
      <c r="H176" t="s">
        <v>45</v>
      </c>
      <c r="I176" t="s">
        <v>47</v>
      </c>
      <c r="J176">
        <v>0</v>
      </c>
      <c r="K176">
        <v>1</v>
      </c>
      <c r="L176">
        <v>1</v>
      </c>
      <c r="M176">
        <v>0</v>
      </c>
      <c r="N176">
        <v>2</v>
      </c>
      <c r="O176">
        <v>1</v>
      </c>
      <c r="P176">
        <v>0</v>
      </c>
      <c r="Q176">
        <v>2</v>
      </c>
      <c r="R176">
        <v>2</v>
      </c>
      <c r="S176">
        <v>1</v>
      </c>
    </row>
    <row r="177" spans="1:19" x14ac:dyDescent="0.25">
      <c r="A177" t="s">
        <v>18</v>
      </c>
      <c r="B177" t="s">
        <v>20</v>
      </c>
      <c r="C177" t="s">
        <v>107</v>
      </c>
      <c r="D177" t="s">
        <v>43</v>
      </c>
      <c r="E177" t="s">
        <v>44</v>
      </c>
      <c r="F177" s="4">
        <v>41403</v>
      </c>
      <c r="G177" s="4">
        <v>41437</v>
      </c>
      <c r="H177" t="s">
        <v>45</v>
      </c>
      <c r="I177" t="s">
        <v>46</v>
      </c>
      <c r="J177">
        <v>0</v>
      </c>
      <c r="K177">
        <v>2</v>
      </c>
      <c r="L177">
        <v>1</v>
      </c>
      <c r="M177">
        <v>0</v>
      </c>
      <c r="N177">
        <v>1</v>
      </c>
      <c r="O177">
        <v>0</v>
      </c>
      <c r="P177">
        <v>1</v>
      </c>
      <c r="Q177">
        <v>0</v>
      </c>
      <c r="R177">
        <v>2</v>
      </c>
      <c r="S177">
        <v>0</v>
      </c>
    </row>
    <row r="178" spans="1:19" x14ac:dyDescent="0.25">
      <c r="A178" t="s">
        <v>18</v>
      </c>
      <c r="B178" t="s">
        <v>21</v>
      </c>
      <c r="C178" t="s">
        <v>107</v>
      </c>
      <c r="D178" t="s">
        <v>43</v>
      </c>
      <c r="E178" t="s">
        <v>44</v>
      </c>
      <c r="F178" s="4">
        <v>41403</v>
      </c>
      <c r="G178" s="4">
        <v>41446</v>
      </c>
      <c r="H178" t="s">
        <v>45</v>
      </c>
      <c r="I178" t="s">
        <v>47</v>
      </c>
      <c r="J178">
        <v>1</v>
      </c>
      <c r="K178">
        <v>1</v>
      </c>
      <c r="L178">
        <v>2</v>
      </c>
      <c r="M178">
        <v>0</v>
      </c>
      <c r="N178">
        <v>3</v>
      </c>
      <c r="O178">
        <v>0</v>
      </c>
      <c r="P178">
        <v>2</v>
      </c>
      <c r="Q178">
        <v>1</v>
      </c>
      <c r="R178">
        <v>1</v>
      </c>
      <c r="S178">
        <v>1</v>
      </c>
    </row>
    <row r="179" spans="1:19" x14ac:dyDescent="0.25">
      <c r="A179" t="s">
        <v>18</v>
      </c>
      <c r="B179" t="s">
        <v>22</v>
      </c>
      <c r="C179" t="s">
        <v>107</v>
      </c>
      <c r="D179" t="s">
        <v>43</v>
      </c>
      <c r="E179" t="s">
        <v>44</v>
      </c>
      <c r="F179" s="4">
        <v>41403</v>
      </c>
      <c r="G179" s="4">
        <v>41551</v>
      </c>
      <c r="H179" t="s">
        <v>45</v>
      </c>
      <c r="I179" t="s">
        <v>47</v>
      </c>
      <c r="J179">
        <v>1</v>
      </c>
      <c r="K179">
        <v>2</v>
      </c>
      <c r="L179">
        <v>3</v>
      </c>
      <c r="M179">
        <v>3</v>
      </c>
      <c r="N179">
        <v>2</v>
      </c>
      <c r="O179">
        <v>1</v>
      </c>
      <c r="P179">
        <v>1</v>
      </c>
      <c r="Q179">
        <v>2</v>
      </c>
      <c r="R179">
        <v>1</v>
      </c>
      <c r="S179">
        <v>1</v>
      </c>
    </row>
    <row r="180" spans="1:19" x14ac:dyDescent="0.25">
      <c r="A180" t="s">
        <v>18</v>
      </c>
      <c r="B180" t="s">
        <v>20</v>
      </c>
      <c r="C180" t="s">
        <v>107</v>
      </c>
      <c r="D180" t="s">
        <v>43</v>
      </c>
      <c r="E180" t="s">
        <v>44</v>
      </c>
      <c r="F180" s="4">
        <v>41403</v>
      </c>
      <c r="G180" s="4">
        <v>41690</v>
      </c>
      <c r="H180" t="s">
        <v>45</v>
      </c>
      <c r="I180" t="s">
        <v>47</v>
      </c>
      <c r="J180">
        <v>2</v>
      </c>
      <c r="K180">
        <v>0</v>
      </c>
      <c r="L180">
        <v>3</v>
      </c>
      <c r="M180">
        <v>3</v>
      </c>
      <c r="N180">
        <v>1</v>
      </c>
      <c r="O180">
        <v>1</v>
      </c>
      <c r="P180">
        <v>2</v>
      </c>
      <c r="Q180">
        <v>0</v>
      </c>
      <c r="R180">
        <v>0</v>
      </c>
      <c r="S180">
        <v>1</v>
      </c>
    </row>
    <row r="181" spans="1:19" x14ac:dyDescent="0.25">
      <c r="A181" t="s">
        <v>18</v>
      </c>
      <c r="B181" t="s">
        <v>21</v>
      </c>
      <c r="C181" t="s">
        <v>107</v>
      </c>
      <c r="D181" t="s">
        <v>43</v>
      </c>
      <c r="E181" t="s">
        <v>44</v>
      </c>
      <c r="F181" s="4">
        <v>41403</v>
      </c>
      <c r="G181" s="4">
        <v>41815</v>
      </c>
      <c r="H181" t="s">
        <v>45</v>
      </c>
      <c r="I181" t="s">
        <v>47</v>
      </c>
      <c r="J181">
        <v>0</v>
      </c>
      <c r="K181">
        <v>1</v>
      </c>
      <c r="L181">
        <v>2</v>
      </c>
      <c r="M181">
        <v>0</v>
      </c>
      <c r="N181">
        <v>2</v>
      </c>
      <c r="O181">
        <v>1</v>
      </c>
      <c r="P181">
        <v>3</v>
      </c>
      <c r="Q181">
        <v>0</v>
      </c>
      <c r="R181">
        <v>1</v>
      </c>
      <c r="S181">
        <v>1</v>
      </c>
    </row>
    <row r="182" spans="1:19" x14ac:dyDescent="0.25">
      <c r="A182" t="s">
        <v>18</v>
      </c>
      <c r="B182" t="s">
        <v>22</v>
      </c>
      <c r="C182" t="s">
        <v>107</v>
      </c>
      <c r="D182" t="s">
        <v>43</v>
      </c>
      <c r="E182" t="s">
        <v>44</v>
      </c>
      <c r="F182" s="4">
        <v>41403</v>
      </c>
      <c r="G182" s="4">
        <v>41859</v>
      </c>
      <c r="H182" t="s">
        <v>45</v>
      </c>
      <c r="I182" t="s">
        <v>47</v>
      </c>
      <c r="J182">
        <v>0</v>
      </c>
      <c r="K182">
        <v>2</v>
      </c>
      <c r="L182">
        <v>0</v>
      </c>
      <c r="M182">
        <v>1</v>
      </c>
      <c r="N182">
        <v>1</v>
      </c>
      <c r="O182">
        <v>1</v>
      </c>
      <c r="P182">
        <v>2</v>
      </c>
      <c r="Q182">
        <v>1</v>
      </c>
      <c r="R182">
        <v>1</v>
      </c>
      <c r="S182">
        <v>0</v>
      </c>
    </row>
    <row r="183" spans="1:19" x14ac:dyDescent="0.25">
      <c r="A183" t="s">
        <v>18</v>
      </c>
      <c r="B183" t="s">
        <v>20</v>
      </c>
      <c r="C183" t="s">
        <v>108</v>
      </c>
      <c r="D183" t="s">
        <v>48</v>
      </c>
      <c r="E183" t="s">
        <v>44</v>
      </c>
      <c r="F183" s="4">
        <v>41562</v>
      </c>
      <c r="G183" s="4">
        <v>41617</v>
      </c>
      <c r="H183" t="s">
        <v>45</v>
      </c>
      <c r="I183" t="s">
        <v>46</v>
      </c>
      <c r="J183">
        <v>0</v>
      </c>
      <c r="K183">
        <v>1</v>
      </c>
      <c r="L183">
        <v>1</v>
      </c>
      <c r="M183">
        <v>3</v>
      </c>
      <c r="N183">
        <v>2</v>
      </c>
      <c r="O183">
        <v>2</v>
      </c>
      <c r="P183">
        <v>2</v>
      </c>
      <c r="Q183">
        <v>2</v>
      </c>
      <c r="R183">
        <v>0</v>
      </c>
      <c r="S18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2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7" max="7" width="16.28515625" bestFit="1" customWidth="1"/>
    <col min="10" max="10" width="21" bestFit="1" customWidth="1"/>
  </cols>
  <sheetData>
    <row r="1" spans="1:11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24</v>
      </c>
      <c r="G1" s="2" t="s">
        <v>25</v>
      </c>
      <c r="H1" s="2" t="s">
        <v>2</v>
      </c>
      <c r="I1" s="2" t="s">
        <v>23</v>
      </c>
      <c r="J1" s="2" t="s">
        <v>109</v>
      </c>
      <c r="K1" s="2" t="s">
        <v>110</v>
      </c>
    </row>
    <row r="2" spans="1:11" x14ac:dyDescent="0.25">
      <c r="A2" t="s">
        <v>16</v>
      </c>
      <c r="B2" t="s">
        <v>19</v>
      </c>
      <c r="C2">
        <v>13330591</v>
      </c>
      <c r="D2" t="s">
        <v>48</v>
      </c>
      <c r="E2" t="s">
        <v>44</v>
      </c>
      <c r="F2" s="4">
        <v>41677</v>
      </c>
      <c r="G2" s="4">
        <v>41713</v>
      </c>
      <c r="H2" t="s">
        <v>49</v>
      </c>
      <c r="I2" t="s">
        <v>46</v>
      </c>
      <c r="J2" t="s">
        <v>6</v>
      </c>
      <c r="K2">
        <v>0</v>
      </c>
    </row>
    <row r="3" spans="1:11" x14ac:dyDescent="0.25">
      <c r="A3" t="s">
        <v>16</v>
      </c>
      <c r="B3" t="s">
        <v>19</v>
      </c>
      <c r="C3">
        <v>13330591</v>
      </c>
      <c r="D3" t="s">
        <v>48</v>
      </c>
      <c r="E3" t="s">
        <v>44</v>
      </c>
      <c r="F3" s="4">
        <v>41677</v>
      </c>
      <c r="G3" s="4">
        <v>41713</v>
      </c>
      <c r="H3" t="s">
        <v>49</v>
      </c>
      <c r="I3" t="s">
        <v>46</v>
      </c>
      <c r="J3" t="s">
        <v>7</v>
      </c>
      <c r="K3">
        <v>2</v>
      </c>
    </row>
    <row r="4" spans="1:11" x14ac:dyDescent="0.25">
      <c r="A4" t="s">
        <v>16</v>
      </c>
      <c r="B4" t="s">
        <v>19</v>
      </c>
      <c r="C4">
        <v>13330591</v>
      </c>
      <c r="D4" t="s">
        <v>48</v>
      </c>
      <c r="E4" t="s">
        <v>44</v>
      </c>
      <c r="F4" s="4">
        <v>41677</v>
      </c>
      <c r="G4" s="4">
        <v>41713</v>
      </c>
      <c r="H4" t="s">
        <v>49</v>
      </c>
      <c r="I4" t="s">
        <v>46</v>
      </c>
      <c r="J4" t="s">
        <v>8</v>
      </c>
      <c r="K4">
        <v>2</v>
      </c>
    </row>
    <row r="5" spans="1:11" x14ac:dyDescent="0.25">
      <c r="A5" t="s">
        <v>16</v>
      </c>
      <c r="B5" t="s">
        <v>19</v>
      </c>
      <c r="C5">
        <v>13330591</v>
      </c>
      <c r="D5" t="s">
        <v>48</v>
      </c>
      <c r="E5" t="s">
        <v>44</v>
      </c>
      <c r="F5" s="4">
        <v>41677</v>
      </c>
      <c r="G5" s="4">
        <v>41713</v>
      </c>
      <c r="H5" t="s">
        <v>49</v>
      </c>
      <c r="I5" t="s">
        <v>46</v>
      </c>
      <c r="J5" t="s">
        <v>9</v>
      </c>
      <c r="K5">
        <v>1</v>
      </c>
    </row>
    <row r="6" spans="1:11" x14ac:dyDescent="0.25">
      <c r="A6" t="s">
        <v>16</v>
      </c>
      <c r="B6" t="s">
        <v>19</v>
      </c>
      <c r="C6">
        <v>13330591</v>
      </c>
      <c r="D6" t="s">
        <v>48</v>
      </c>
      <c r="E6" t="s">
        <v>44</v>
      </c>
      <c r="F6" s="4">
        <v>41677</v>
      </c>
      <c r="G6" s="4">
        <v>41713</v>
      </c>
      <c r="H6" t="s">
        <v>49</v>
      </c>
      <c r="I6" t="s">
        <v>46</v>
      </c>
      <c r="J6" t="s">
        <v>10</v>
      </c>
      <c r="K6">
        <v>2</v>
      </c>
    </row>
    <row r="7" spans="1:11" x14ac:dyDescent="0.25">
      <c r="A7" t="s">
        <v>16</v>
      </c>
      <c r="B7" t="s">
        <v>19</v>
      </c>
      <c r="C7">
        <v>13330591</v>
      </c>
      <c r="D7" t="s">
        <v>48</v>
      </c>
      <c r="E7" t="s">
        <v>44</v>
      </c>
      <c r="F7" s="4">
        <v>41677</v>
      </c>
      <c r="G7" s="4">
        <v>41713</v>
      </c>
      <c r="H7" t="s">
        <v>49</v>
      </c>
      <c r="I7" t="s">
        <v>46</v>
      </c>
      <c r="J7" t="s">
        <v>11</v>
      </c>
      <c r="K7">
        <v>2</v>
      </c>
    </row>
    <row r="8" spans="1:11" x14ac:dyDescent="0.25">
      <c r="A8" t="s">
        <v>16</v>
      </c>
      <c r="B8" t="s">
        <v>19</v>
      </c>
      <c r="C8">
        <v>13330591</v>
      </c>
      <c r="D8" t="s">
        <v>48</v>
      </c>
      <c r="E8" t="s">
        <v>44</v>
      </c>
      <c r="F8" s="4">
        <v>41677</v>
      </c>
      <c r="G8" s="4">
        <v>41713</v>
      </c>
      <c r="H8" t="s">
        <v>49</v>
      </c>
      <c r="I8" t="s">
        <v>46</v>
      </c>
      <c r="J8" t="s">
        <v>12</v>
      </c>
      <c r="K8">
        <v>3</v>
      </c>
    </row>
    <row r="9" spans="1:11" x14ac:dyDescent="0.25">
      <c r="A9" t="s">
        <v>16</v>
      </c>
      <c r="B9" t="s">
        <v>19</v>
      </c>
      <c r="C9">
        <v>13330591</v>
      </c>
      <c r="D9" t="s">
        <v>48</v>
      </c>
      <c r="E9" t="s">
        <v>44</v>
      </c>
      <c r="F9" s="4">
        <v>41677</v>
      </c>
      <c r="G9" s="4">
        <v>41713</v>
      </c>
      <c r="H9" t="s">
        <v>49</v>
      </c>
      <c r="I9" t="s">
        <v>46</v>
      </c>
      <c r="J9" t="s">
        <v>13</v>
      </c>
      <c r="K9">
        <v>1</v>
      </c>
    </row>
    <row r="10" spans="1:11" x14ac:dyDescent="0.25">
      <c r="A10" t="s">
        <v>16</v>
      </c>
      <c r="B10" t="s">
        <v>19</v>
      </c>
      <c r="C10">
        <v>13330591</v>
      </c>
      <c r="D10" t="s">
        <v>48</v>
      </c>
      <c r="E10" t="s">
        <v>44</v>
      </c>
      <c r="F10" s="4">
        <v>41677</v>
      </c>
      <c r="G10" s="4">
        <v>41713</v>
      </c>
      <c r="H10" t="s">
        <v>49</v>
      </c>
      <c r="I10" t="s">
        <v>46</v>
      </c>
      <c r="J10" t="s">
        <v>14</v>
      </c>
      <c r="K10">
        <v>1</v>
      </c>
    </row>
    <row r="11" spans="1:11" x14ac:dyDescent="0.25">
      <c r="A11" t="s">
        <v>16</v>
      </c>
      <c r="B11" t="s">
        <v>19</v>
      </c>
      <c r="C11">
        <v>13330591</v>
      </c>
      <c r="D11" t="s">
        <v>48</v>
      </c>
      <c r="E11" t="s">
        <v>44</v>
      </c>
      <c r="F11" s="4">
        <v>41677</v>
      </c>
      <c r="G11" s="4">
        <v>41713</v>
      </c>
      <c r="H11" t="s">
        <v>49</v>
      </c>
      <c r="I11" t="s">
        <v>46</v>
      </c>
      <c r="J11" t="s">
        <v>15</v>
      </c>
      <c r="K11">
        <v>2</v>
      </c>
    </row>
    <row r="12" spans="1:11" x14ac:dyDescent="0.25">
      <c r="A12" t="s">
        <v>16</v>
      </c>
      <c r="B12" t="s">
        <v>20</v>
      </c>
      <c r="C12">
        <v>13330591</v>
      </c>
      <c r="D12" t="s">
        <v>48</v>
      </c>
      <c r="E12" t="s">
        <v>44</v>
      </c>
      <c r="F12" s="4">
        <v>41677</v>
      </c>
      <c r="G12" s="4">
        <v>41752</v>
      </c>
      <c r="H12" t="s">
        <v>49</v>
      </c>
      <c r="I12" t="s">
        <v>47</v>
      </c>
      <c r="J12" t="s">
        <v>6</v>
      </c>
      <c r="K12">
        <v>1</v>
      </c>
    </row>
    <row r="13" spans="1:11" x14ac:dyDescent="0.25">
      <c r="A13" t="s">
        <v>16</v>
      </c>
      <c r="B13" t="s">
        <v>20</v>
      </c>
      <c r="C13">
        <v>13330591</v>
      </c>
      <c r="D13" t="s">
        <v>48</v>
      </c>
      <c r="E13" t="s">
        <v>44</v>
      </c>
      <c r="F13" s="4">
        <v>41677</v>
      </c>
      <c r="G13" s="4">
        <v>41752</v>
      </c>
      <c r="H13" t="s">
        <v>49</v>
      </c>
      <c r="I13" t="s">
        <v>47</v>
      </c>
      <c r="J13" t="s">
        <v>7</v>
      </c>
      <c r="K13">
        <v>0</v>
      </c>
    </row>
    <row r="14" spans="1:11" x14ac:dyDescent="0.25">
      <c r="A14" t="s">
        <v>16</v>
      </c>
      <c r="B14" t="s">
        <v>20</v>
      </c>
      <c r="C14">
        <v>13330591</v>
      </c>
      <c r="D14" t="s">
        <v>48</v>
      </c>
      <c r="E14" t="s">
        <v>44</v>
      </c>
      <c r="F14" s="4">
        <v>41677</v>
      </c>
      <c r="G14" s="4">
        <v>41752</v>
      </c>
      <c r="H14" t="s">
        <v>49</v>
      </c>
      <c r="I14" t="s">
        <v>47</v>
      </c>
      <c r="J14" t="s">
        <v>8</v>
      </c>
      <c r="K14">
        <v>3</v>
      </c>
    </row>
    <row r="15" spans="1:11" x14ac:dyDescent="0.25">
      <c r="A15" t="s">
        <v>16</v>
      </c>
      <c r="B15" t="s">
        <v>20</v>
      </c>
      <c r="C15">
        <v>13330591</v>
      </c>
      <c r="D15" t="s">
        <v>48</v>
      </c>
      <c r="E15" t="s">
        <v>44</v>
      </c>
      <c r="F15" s="4">
        <v>41677</v>
      </c>
      <c r="G15" s="4">
        <v>41752</v>
      </c>
      <c r="H15" t="s">
        <v>49</v>
      </c>
      <c r="I15" t="s">
        <v>47</v>
      </c>
      <c r="J15" t="s">
        <v>9</v>
      </c>
      <c r="K15">
        <v>3</v>
      </c>
    </row>
    <row r="16" spans="1:11" x14ac:dyDescent="0.25">
      <c r="A16" t="s">
        <v>16</v>
      </c>
      <c r="B16" t="s">
        <v>20</v>
      </c>
      <c r="C16">
        <v>13330591</v>
      </c>
      <c r="D16" t="s">
        <v>48</v>
      </c>
      <c r="E16" t="s">
        <v>44</v>
      </c>
      <c r="F16" s="4">
        <v>41677</v>
      </c>
      <c r="G16" s="4">
        <v>41752</v>
      </c>
      <c r="H16" t="s">
        <v>49</v>
      </c>
      <c r="I16" t="s">
        <v>47</v>
      </c>
      <c r="J16" t="s">
        <v>10</v>
      </c>
      <c r="K16">
        <v>1</v>
      </c>
    </row>
    <row r="17" spans="1:11" x14ac:dyDescent="0.25">
      <c r="A17" t="s">
        <v>16</v>
      </c>
      <c r="B17" t="s">
        <v>20</v>
      </c>
      <c r="C17">
        <v>13330591</v>
      </c>
      <c r="D17" t="s">
        <v>48</v>
      </c>
      <c r="E17" t="s">
        <v>44</v>
      </c>
      <c r="F17" s="4">
        <v>41677</v>
      </c>
      <c r="G17" s="4">
        <v>41752</v>
      </c>
      <c r="H17" t="s">
        <v>49</v>
      </c>
      <c r="I17" t="s">
        <v>47</v>
      </c>
      <c r="J17" t="s">
        <v>11</v>
      </c>
      <c r="K17">
        <v>0</v>
      </c>
    </row>
    <row r="18" spans="1:11" x14ac:dyDescent="0.25">
      <c r="A18" t="s">
        <v>16</v>
      </c>
      <c r="B18" t="s">
        <v>20</v>
      </c>
      <c r="C18">
        <v>13330591</v>
      </c>
      <c r="D18" t="s">
        <v>48</v>
      </c>
      <c r="E18" t="s">
        <v>44</v>
      </c>
      <c r="F18" s="4">
        <v>41677</v>
      </c>
      <c r="G18" s="4">
        <v>41752</v>
      </c>
      <c r="H18" t="s">
        <v>49</v>
      </c>
      <c r="I18" t="s">
        <v>47</v>
      </c>
      <c r="J18" t="s">
        <v>12</v>
      </c>
      <c r="K18">
        <v>1</v>
      </c>
    </row>
    <row r="19" spans="1:11" x14ac:dyDescent="0.25">
      <c r="A19" t="s">
        <v>16</v>
      </c>
      <c r="B19" t="s">
        <v>20</v>
      </c>
      <c r="C19">
        <v>13330591</v>
      </c>
      <c r="D19" t="s">
        <v>48</v>
      </c>
      <c r="E19" t="s">
        <v>44</v>
      </c>
      <c r="F19" s="4">
        <v>41677</v>
      </c>
      <c r="G19" s="4">
        <v>41752</v>
      </c>
      <c r="H19" t="s">
        <v>49</v>
      </c>
      <c r="I19" t="s">
        <v>47</v>
      </c>
      <c r="J19" t="s">
        <v>13</v>
      </c>
      <c r="K19">
        <v>1</v>
      </c>
    </row>
    <row r="20" spans="1:11" x14ac:dyDescent="0.25">
      <c r="A20" t="s">
        <v>16</v>
      </c>
      <c r="B20" t="s">
        <v>20</v>
      </c>
      <c r="C20">
        <v>13330591</v>
      </c>
      <c r="D20" t="s">
        <v>48</v>
      </c>
      <c r="E20" t="s">
        <v>44</v>
      </c>
      <c r="F20" s="4">
        <v>41677</v>
      </c>
      <c r="G20" s="4">
        <v>41752</v>
      </c>
      <c r="H20" t="s">
        <v>49</v>
      </c>
      <c r="I20" t="s">
        <v>47</v>
      </c>
      <c r="J20" t="s">
        <v>14</v>
      </c>
      <c r="K20">
        <v>2</v>
      </c>
    </row>
    <row r="21" spans="1:11" x14ac:dyDescent="0.25">
      <c r="A21" t="s">
        <v>16</v>
      </c>
      <c r="B21" t="s">
        <v>20</v>
      </c>
      <c r="C21">
        <v>13330591</v>
      </c>
      <c r="D21" t="s">
        <v>48</v>
      </c>
      <c r="E21" t="s">
        <v>44</v>
      </c>
      <c r="F21" s="4">
        <v>41677</v>
      </c>
      <c r="G21" s="4">
        <v>41752</v>
      </c>
      <c r="H21" t="s">
        <v>49</v>
      </c>
      <c r="I21" t="s">
        <v>47</v>
      </c>
      <c r="J21" t="s">
        <v>15</v>
      </c>
      <c r="K21">
        <v>1</v>
      </c>
    </row>
    <row r="22" spans="1:11" x14ac:dyDescent="0.25">
      <c r="A22" t="s">
        <v>16</v>
      </c>
      <c r="B22" t="s">
        <v>21</v>
      </c>
      <c r="C22">
        <v>13330591</v>
      </c>
      <c r="D22" t="s">
        <v>48</v>
      </c>
      <c r="E22" t="s">
        <v>44</v>
      </c>
      <c r="F22" s="4">
        <v>41677</v>
      </c>
      <c r="G22" s="4">
        <v>41871</v>
      </c>
      <c r="H22" t="s">
        <v>49</v>
      </c>
      <c r="I22" t="s">
        <v>47</v>
      </c>
      <c r="J22" t="s">
        <v>6</v>
      </c>
      <c r="K22">
        <v>1</v>
      </c>
    </row>
    <row r="23" spans="1:11" x14ac:dyDescent="0.25">
      <c r="A23" t="s">
        <v>16</v>
      </c>
      <c r="B23" t="s">
        <v>21</v>
      </c>
      <c r="C23">
        <v>13330591</v>
      </c>
      <c r="D23" t="s">
        <v>48</v>
      </c>
      <c r="E23" t="s">
        <v>44</v>
      </c>
      <c r="F23" s="4">
        <v>41677</v>
      </c>
      <c r="G23" s="4">
        <v>41871</v>
      </c>
      <c r="H23" t="s">
        <v>49</v>
      </c>
      <c r="I23" t="s">
        <v>47</v>
      </c>
      <c r="J23" t="s">
        <v>7</v>
      </c>
      <c r="K23">
        <v>1</v>
      </c>
    </row>
    <row r="24" spans="1:11" x14ac:dyDescent="0.25">
      <c r="A24" t="s">
        <v>16</v>
      </c>
      <c r="B24" t="s">
        <v>21</v>
      </c>
      <c r="C24">
        <v>13330591</v>
      </c>
      <c r="D24" t="s">
        <v>48</v>
      </c>
      <c r="E24" t="s">
        <v>44</v>
      </c>
      <c r="F24" s="4">
        <v>41677</v>
      </c>
      <c r="G24" s="4">
        <v>41871</v>
      </c>
      <c r="H24" t="s">
        <v>49</v>
      </c>
      <c r="I24" t="s">
        <v>47</v>
      </c>
      <c r="J24" t="s">
        <v>8</v>
      </c>
      <c r="K24">
        <v>3</v>
      </c>
    </row>
    <row r="25" spans="1:11" x14ac:dyDescent="0.25">
      <c r="A25" t="s">
        <v>16</v>
      </c>
      <c r="B25" t="s">
        <v>21</v>
      </c>
      <c r="C25">
        <v>13330591</v>
      </c>
      <c r="D25" t="s">
        <v>48</v>
      </c>
      <c r="E25" t="s">
        <v>44</v>
      </c>
      <c r="F25" s="4">
        <v>41677</v>
      </c>
      <c r="G25" s="4">
        <v>41871</v>
      </c>
      <c r="H25" t="s">
        <v>49</v>
      </c>
      <c r="I25" t="s">
        <v>47</v>
      </c>
      <c r="J25" t="s">
        <v>9</v>
      </c>
      <c r="K25">
        <v>3</v>
      </c>
    </row>
    <row r="26" spans="1:11" x14ac:dyDescent="0.25">
      <c r="A26" t="s">
        <v>16</v>
      </c>
      <c r="B26" t="s">
        <v>21</v>
      </c>
      <c r="C26">
        <v>13330591</v>
      </c>
      <c r="D26" t="s">
        <v>48</v>
      </c>
      <c r="E26" t="s">
        <v>44</v>
      </c>
      <c r="F26" s="4">
        <v>41677</v>
      </c>
      <c r="G26" s="4">
        <v>41871</v>
      </c>
      <c r="H26" t="s">
        <v>49</v>
      </c>
      <c r="I26" t="s">
        <v>47</v>
      </c>
      <c r="J26" t="s">
        <v>10</v>
      </c>
      <c r="K26">
        <v>2</v>
      </c>
    </row>
    <row r="27" spans="1:11" x14ac:dyDescent="0.25">
      <c r="A27" t="s">
        <v>16</v>
      </c>
      <c r="B27" t="s">
        <v>21</v>
      </c>
      <c r="C27">
        <v>13330591</v>
      </c>
      <c r="D27" t="s">
        <v>48</v>
      </c>
      <c r="E27" t="s">
        <v>44</v>
      </c>
      <c r="F27" s="4">
        <v>41677</v>
      </c>
      <c r="G27" s="4">
        <v>41871</v>
      </c>
      <c r="H27" t="s">
        <v>49</v>
      </c>
      <c r="I27" t="s">
        <v>47</v>
      </c>
      <c r="J27" t="s">
        <v>11</v>
      </c>
      <c r="K27">
        <v>2</v>
      </c>
    </row>
    <row r="28" spans="1:11" x14ac:dyDescent="0.25">
      <c r="A28" t="s">
        <v>16</v>
      </c>
      <c r="B28" t="s">
        <v>21</v>
      </c>
      <c r="C28">
        <v>13330591</v>
      </c>
      <c r="D28" t="s">
        <v>48</v>
      </c>
      <c r="E28" t="s">
        <v>44</v>
      </c>
      <c r="F28" s="4">
        <v>41677</v>
      </c>
      <c r="G28" s="4">
        <v>41871</v>
      </c>
      <c r="H28" t="s">
        <v>49</v>
      </c>
      <c r="I28" t="s">
        <v>47</v>
      </c>
      <c r="J28" t="s">
        <v>12</v>
      </c>
      <c r="K28">
        <v>3</v>
      </c>
    </row>
    <row r="29" spans="1:11" x14ac:dyDescent="0.25">
      <c r="A29" t="s">
        <v>16</v>
      </c>
      <c r="B29" t="s">
        <v>21</v>
      </c>
      <c r="C29">
        <v>13330591</v>
      </c>
      <c r="D29" t="s">
        <v>48</v>
      </c>
      <c r="E29" t="s">
        <v>44</v>
      </c>
      <c r="F29" s="4">
        <v>41677</v>
      </c>
      <c r="G29" s="4">
        <v>41871</v>
      </c>
      <c r="H29" t="s">
        <v>49</v>
      </c>
      <c r="I29" t="s">
        <v>47</v>
      </c>
      <c r="J29" t="s">
        <v>13</v>
      </c>
      <c r="K29">
        <v>1</v>
      </c>
    </row>
    <row r="30" spans="1:11" x14ac:dyDescent="0.25">
      <c r="A30" t="s">
        <v>16</v>
      </c>
      <c r="B30" t="s">
        <v>21</v>
      </c>
      <c r="C30">
        <v>13330591</v>
      </c>
      <c r="D30" t="s">
        <v>48</v>
      </c>
      <c r="E30" t="s">
        <v>44</v>
      </c>
      <c r="F30" s="4">
        <v>41677</v>
      </c>
      <c r="G30" s="4">
        <v>41871</v>
      </c>
      <c r="H30" t="s">
        <v>49</v>
      </c>
      <c r="I30" t="s">
        <v>47</v>
      </c>
      <c r="J30" t="s">
        <v>14</v>
      </c>
      <c r="K30">
        <v>3</v>
      </c>
    </row>
    <row r="31" spans="1:11" x14ac:dyDescent="0.25">
      <c r="A31" t="s">
        <v>16</v>
      </c>
      <c r="B31" t="s">
        <v>21</v>
      </c>
      <c r="C31">
        <v>13330591</v>
      </c>
      <c r="D31" t="s">
        <v>48</v>
      </c>
      <c r="E31" t="s">
        <v>44</v>
      </c>
      <c r="F31" s="4">
        <v>41677</v>
      </c>
      <c r="G31" s="4">
        <v>41871</v>
      </c>
      <c r="H31" t="s">
        <v>49</v>
      </c>
      <c r="I31" t="s">
        <v>47</v>
      </c>
      <c r="J31" t="s">
        <v>15</v>
      </c>
      <c r="K31">
        <v>0</v>
      </c>
    </row>
    <row r="32" spans="1:11" x14ac:dyDescent="0.25">
      <c r="A32" t="s">
        <v>16</v>
      </c>
      <c r="B32" t="s">
        <v>19</v>
      </c>
      <c r="C32">
        <v>13330591</v>
      </c>
      <c r="D32" t="s">
        <v>48</v>
      </c>
      <c r="E32" t="s">
        <v>44</v>
      </c>
      <c r="F32" s="4">
        <v>41677</v>
      </c>
      <c r="G32" s="4">
        <v>41937</v>
      </c>
      <c r="H32" t="s">
        <v>49</v>
      </c>
      <c r="I32" t="s">
        <v>47</v>
      </c>
      <c r="J32" t="s">
        <v>6</v>
      </c>
      <c r="K32">
        <v>0</v>
      </c>
    </row>
    <row r="33" spans="1:11" x14ac:dyDescent="0.25">
      <c r="A33" t="s">
        <v>16</v>
      </c>
      <c r="B33" t="s">
        <v>19</v>
      </c>
      <c r="C33">
        <v>13330591</v>
      </c>
      <c r="D33" t="s">
        <v>48</v>
      </c>
      <c r="E33" t="s">
        <v>44</v>
      </c>
      <c r="F33" s="4">
        <v>41677</v>
      </c>
      <c r="G33" s="4">
        <v>41937</v>
      </c>
      <c r="H33" t="s">
        <v>49</v>
      </c>
      <c r="I33" t="s">
        <v>47</v>
      </c>
      <c r="J33" t="s">
        <v>7</v>
      </c>
      <c r="K33">
        <v>0</v>
      </c>
    </row>
    <row r="34" spans="1:11" x14ac:dyDescent="0.25">
      <c r="A34" t="s">
        <v>16</v>
      </c>
      <c r="B34" t="s">
        <v>19</v>
      </c>
      <c r="C34">
        <v>13330591</v>
      </c>
      <c r="D34" t="s">
        <v>48</v>
      </c>
      <c r="E34" t="s">
        <v>44</v>
      </c>
      <c r="F34" s="4">
        <v>41677</v>
      </c>
      <c r="G34" s="4">
        <v>41937</v>
      </c>
      <c r="H34" t="s">
        <v>49</v>
      </c>
      <c r="I34" t="s">
        <v>47</v>
      </c>
      <c r="J34" t="s">
        <v>8</v>
      </c>
      <c r="K34">
        <v>3</v>
      </c>
    </row>
    <row r="35" spans="1:11" x14ac:dyDescent="0.25">
      <c r="A35" t="s">
        <v>16</v>
      </c>
      <c r="B35" t="s">
        <v>19</v>
      </c>
      <c r="C35">
        <v>13330591</v>
      </c>
      <c r="D35" t="s">
        <v>48</v>
      </c>
      <c r="E35" t="s">
        <v>44</v>
      </c>
      <c r="F35" s="4">
        <v>41677</v>
      </c>
      <c r="G35" s="4">
        <v>41937</v>
      </c>
      <c r="H35" t="s">
        <v>49</v>
      </c>
      <c r="I35" t="s">
        <v>47</v>
      </c>
      <c r="J35" t="s">
        <v>9</v>
      </c>
      <c r="K35">
        <v>2</v>
      </c>
    </row>
    <row r="36" spans="1:11" x14ac:dyDescent="0.25">
      <c r="A36" t="s">
        <v>16</v>
      </c>
      <c r="B36" t="s">
        <v>19</v>
      </c>
      <c r="C36">
        <v>13330591</v>
      </c>
      <c r="D36" t="s">
        <v>48</v>
      </c>
      <c r="E36" t="s">
        <v>44</v>
      </c>
      <c r="F36" s="4">
        <v>41677</v>
      </c>
      <c r="G36" s="4">
        <v>41937</v>
      </c>
      <c r="H36" t="s">
        <v>49</v>
      </c>
      <c r="I36" t="s">
        <v>47</v>
      </c>
      <c r="J36" t="s">
        <v>10</v>
      </c>
      <c r="K36">
        <v>0</v>
      </c>
    </row>
    <row r="37" spans="1:11" x14ac:dyDescent="0.25">
      <c r="A37" t="s">
        <v>16</v>
      </c>
      <c r="B37" t="s">
        <v>19</v>
      </c>
      <c r="C37">
        <v>13330591</v>
      </c>
      <c r="D37" t="s">
        <v>48</v>
      </c>
      <c r="E37" t="s">
        <v>44</v>
      </c>
      <c r="F37" s="4">
        <v>41677</v>
      </c>
      <c r="G37" s="4">
        <v>41937</v>
      </c>
      <c r="H37" t="s">
        <v>49</v>
      </c>
      <c r="I37" t="s">
        <v>47</v>
      </c>
      <c r="J37" t="s">
        <v>11</v>
      </c>
      <c r="K37">
        <v>2</v>
      </c>
    </row>
    <row r="38" spans="1:11" x14ac:dyDescent="0.25">
      <c r="A38" t="s">
        <v>16</v>
      </c>
      <c r="B38" t="s">
        <v>19</v>
      </c>
      <c r="C38">
        <v>13330591</v>
      </c>
      <c r="D38" t="s">
        <v>48</v>
      </c>
      <c r="E38" t="s">
        <v>44</v>
      </c>
      <c r="F38" s="4">
        <v>41677</v>
      </c>
      <c r="G38" s="4">
        <v>41937</v>
      </c>
      <c r="H38" t="s">
        <v>49</v>
      </c>
      <c r="I38" t="s">
        <v>47</v>
      </c>
      <c r="J38" t="s">
        <v>12</v>
      </c>
      <c r="K38">
        <v>2</v>
      </c>
    </row>
    <row r="39" spans="1:11" x14ac:dyDescent="0.25">
      <c r="A39" t="s">
        <v>16</v>
      </c>
      <c r="B39" t="s">
        <v>19</v>
      </c>
      <c r="C39">
        <v>13330591</v>
      </c>
      <c r="D39" t="s">
        <v>48</v>
      </c>
      <c r="E39" t="s">
        <v>44</v>
      </c>
      <c r="F39" s="4">
        <v>41677</v>
      </c>
      <c r="G39" s="4">
        <v>41937</v>
      </c>
      <c r="H39" t="s">
        <v>49</v>
      </c>
      <c r="I39" t="s">
        <v>47</v>
      </c>
      <c r="J39" t="s">
        <v>13</v>
      </c>
      <c r="K39">
        <v>1</v>
      </c>
    </row>
    <row r="40" spans="1:11" x14ac:dyDescent="0.25">
      <c r="A40" t="s">
        <v>16</v>
      </c>
      <c r="B40" t="s">
        <v>19</v>
      </c>
      <c r="C40">
        <v>13330591</v>
      </c>
      <c r="D40" t="s">
        <v>48</v>
      </c>
      <c r="E40" t="s">
        <v>44</v>
      </c>
      <c r="F40" s="4">
        <v>41677</v>
      </c>
      <c r="G40" s="4">
        <v>41937</v>
      </c>
      <c r="H40" t="s">
        <v>49</v>
      </c>
      <c r="I40" t="s">
        <v>47</v>
      </c>
      <c r="J40" t="s">
        <v>14</v>
      </c>
      <c r="K40">
        <v>1</v>
      </c>
    </row>
    <row r="41" spans="1:11" x14ac:dyDescent="0.25">
      <c r="A41" t="s">
        <v>16</v>
      </c>
      <c r="B41" t="s">
        <v>19</v>
      </c>
      <c r="C41">
        <v>13330591</v>
      </c>
      <c r="D41" t="s">
        <v>48</v>
      </c>
      <c r="E41" t="s">
        <v>44</v>
      </c>
      <c r="F41" s="4">
        <v>41677</v>
      </c>
      <c r="G41" s="4">
        <v>41937</v>
      </c>
      <c r="H41" t="s">
        <v>49</v>
      </c>
      <c r="I41" t="s">
        <v>47</v>
      </c>
      <c r="J41" t="s">
        <v>15</v>
      </c>
      <c r="K41">
        <v>1</v>
      </c>
    </row>
    <row r="42" spans="1:11" x14ac:dyDescent="0.25">
      <c r="A42" t="s">
        <v>16</v>
      </c>
      <c r="B42" t="s">
        <v>20</v>
      </c>
      <c r="C42">
        <v>13330591</v>
      </c>
      <c r="D42" t="s">
        <v>48</v>
      </c>
      <c r="E42" t="s">
        <v>44</v>
      </c>
      <c r="F42" s="4">
        <v>41677</v>
      </c>
      <c r="G42" s="4">
        <v>42054</v>
      </c>
      <c r="H42" t="s">
        <v>49</v>
      </c>
      <c r="I42" t="s">
        <v>47</v>
      </c>
      <c r="J42" t="s">
        <v>6</v>
      </c>
      <c r="K42">
        <v>0</v>
      </c>
    </row>
    <row r="43" spans="1:11" x14ac:dyDescent="0.25">
      <c r="A43" t="s">
        <v>16</v>
      </c>
      <c r="B43" t="s">
        <v>20</v>
      </c>
      <c r="C43">
        <v>13330591</v>
      </c>
      <c r="D43" t="s">
        <v>48</v>
      </c>
      <c r="E43" t="s">
        <v>44</v>
      </c>
      <c r="F43" s="4">
        <v>41677</v>
      </c>
      <c r="G43" s="4">
        <v>42054</v>
      </c>
      <c r="H43" t="s">
        <v>49</v>
      </c>
      <c r="I43" t="s">
        <v>47</v>
      </c>
      <c r="J43" t="s">
        <v>7</v>
      </c>
      <c r="K43">
        <v>0</v>
      </c>
    </row>
    <row r="44" spans="1:11" x14ac:dyDescent="0.25">
      <c r="A44" t="s">
        <v>16</v>
      </c>
      <c r="B44" t="s">
        <v>20</v>
      </c>
      <c r="C44">
        <v>13330591</v>
      </c>
      <c r="D44" t="s">
        <v>48</v>
      </c>
      <c r="E44" t="s">
        <v>44</v>
      </c>
      <c r="F44" s="4">
        <v>41677</v>
      </c>
      <c r="G44" s="4">
        <v>42054</v>
      </c>
      <c r="H44" t="s">
        <v>49</v>
      </c>
      <c r="I44" t="s">
        <v>47</v>
      </c>
      <c r="J44" t="s">
        <v>8</v>
      </c>
      <c r="K44">
        <v>1</v>
      </c>
    </row>
    <row r="45" spans="1:11" x14ac:dyDescent="0.25">
      <c r="A45" t="s">
        <v>16</v>
      </c>
      <c r="B45" t="s">
        <v>20</v>
      </c>
      <c r="C45">
        <v>13330591</v>
      </c>
      <c r="D45" t="s">
        <v>48</v>
      </c>
      <c r="E45" t="s">
        <v>44</v>
      </c>
      <c r="F45" s="4">
        <v>41677</v>
      </c>
      <c r="G45" s="4">
        <v>42054</v>
      </c>
      <c r="H45" t="s">
        <v>49</v>
      </c>
      <c r="I45" t="s">
        <v>47</v>
      </c>
      <c r="J45" t="s">
        <v>9</v>
      </c>
      <c r="K45">
        <v>0</v>
      </c>
    </row>
    <row r="46" spans="1:11" x14ac:dyDescent="0.25">
      <c r="A46" t="s">
        <v>16</v>
      </c>
      <c r="B46" t="s">
        <v>20</v>
      </c>
      <c r="C46">
        <v>13330591</v>
      </c>
      <c r="D46" t="s">
        <v>48</v>
      </c>
      <c r="E46" t="s">
        <v>44</v>
      </c>
      <c r="F46" s="4">
        <v>41677</v>
      </c>
      <c r="G46" s="4">
        <v>42054</v>
      </c>
      <c r="H46" t="s">
        <v>49</v>
      </c>
      <c r="I46" t="s">
        <v>47</v>
      </c>
      <c r="J46" t="s">
        <v>10</v>
      </c>
      <c r="K46">
        <v>1</v>
      </c>
    </row>
    <row r="47" spans="1:11" x14ac:dyDescent="0.25">
      <c r="A47" t="s">
        <v>16</v>
      </c>
      <c r="B47" t="s">
        <v>20</v>
      </c>
      <c r="C47">
        <v>13330591</v>
      </c>
      <c r="D47" t="s">
        <v>48</v>
      </c>
      <c r="E47" t="s">
        <v>44</v>
      </c>
      <c r="F47" s="4">
        <v>41677</v>
      </c>
      <c r="G47" s="4">
        <v>42054</v>
      </c>
      <c r="H47" t="s">
        <v>49</v>
      </c>
      <c r="I47" t="s">
        <v>47</v>
      </c>
      <c r="J47" t="s">
        <v>11</v>
      </c>
      <c r="K47">
        <v>0</v>
      </c>
    </row>
    <row r="48" spans="1:11" x14ac:dyDescent="0.25">
      <c r="A48" t="s">
        <v>16</v>
      </c>
      <c r="B48" t="s">
        <v>20</v>
      </c>
      <c r="C48">
        <v>13330591</v>
      </c>
      <c r="D48" t="s">
        <v>48</v>
      </c>
      <c r="E48" t="s">
        <v>44</v>
      </c>
      <c r="F48" s="4">
        <v>41677</v>
      </c>
      <c r="G48" s="4">
        <v>42054</v>
      </c>
      <c r="H48" t="s">
        <v>49</v>
      </c>
      <c r="I48" t="s">
        <v>47</v>
      </c>
      <c r="J48" t="s">
        <v>12</v>
      </c>
      <c r="K48">
        <v>1</v>
      </c>
    </row>
    <row r="49" spans="1:11" x14ac:dyDescent="0.25">
      <c r="A49" t="s">
        <v>16</v>
      </c>
      <c r="B49" t="s">
        <v>20</v>
      </c>
      <c r="C49">
        <v>13330591</v>
      </c>
      <c r="D49" t="s">
        <v>48</v>
      </c>
      <c r="E49" t="s">
        <v>44</v>
      </c>
      <c r="F49" s="4">
        <v>41677</v>
      </c>
      <c r="G49" s="4">
        <v>42054</v>
      </c>
      <c r="H49" t="s">
        <v>49</v>
      </c>
      <c r="I49" t="s">
        <v>47</v>
      </c>
      <c r="J49" t="s">
        <v>13</v>
      </c>
      <c r="K49">
        <v>0</v>
      </c>
    </row>
    <row r="50" spans="1:11" x14ac:dyDescent="0.25">
      <c r="A50" t="s">
        <v>16</v>
      </c>
      <c r="B50" t="s">
        <v>20</v>
      </c>
      <c r="C50">
        <v>13330591</v>
      </c>
      <c r="D50" t="s">
        <v>48</v>
      </c>
      <c r="E50" t="s">
        <v>44</v>
      </c>
      <c r="F50" s="4">
        <v>41677</v>
      </c>
      <c r="G50" s="4">
        <v>42054</v>
      </c>
      <c r="H50" t="s">
        <v>49</v>
      </c>
      <c r="I50" t="s">
        <v>47</v>
      </c>
      <c r="J50" t="s">
        <v>14</v>
      </c>
      <c r="K50">
        <v>1</v>
      </c>
    </row>
    <row r="51" spans="1:11" x14ac:dyDescent="0.25">
      <c r="A51" t="s">
        <v>16</v>
      </c>
      <c r="B51" t="s">
        <v>20</v>
      </c>
      <c r="C51">
        <v>13330591</v>
      </c>
      <c r="D51" t="s">
        <v>48</v>
      </c>
      <c r="E51" t="s">
        <v>44</v>
      </c>
      <c r="F51" s="4">
        <v>41677</v>
      </c>
      <c r="G51" s="4">
        <v>42054</v>
      </c>
      <c r="H51" t="s">
        <v>49</v>
      </c>
      <c r="I51" t="s">
        <v>47</v>
      </c>
      <c r="J51" t="s">
        <v>15</v>
      </c>
      <c r="K51">
        <v>0</v>
      </c>
    </row>
    <row r="52" spans="1:11" x14ac:dyDescent="0.25">
      <c r="A52" t="s">
        <v>16</v>
      </c>
      <c r="B52" t="s">
        <v>21</v>
      </c>
      <c r="C52">
        <v>13330591</v>
      </c>
      <c r="D52" t="s">
        <v>48</v>
      </c>
      <c r="E52" t="s">
        <v>44</v>
      </c>
      <c r="F52" s="4">
        <v>41677</v>
      </c>
      <c r="G52" s="4">
        <v>42119</v>
      </c>
      <c r="H52" t="s">
        <v>49</v>
      </c>
      <c r="I52" t="s">
        <v>47</v>
      </c>
      <c r="J52" t="s">
        <v>6</v>
      </c>
      <c r="K52">
        <v>2</v>
      </c>
    </row>
    <row r="53" spans="1:11" x14ac:dyDescent="0.25">
      <c r="A53" t="s">
        <v>16</v>
      </c>
      <c r="B53" t="s">
        <v>21</v>
      </c>
      <c r="C53">
        <v>13330591</v>
      </c>
      <c r="D53" t="s">
        <v>48</v>
      </c>
      <c r="E53" t="s">
        <v>44</v>
      </c>
      <c r="F53" s="4">
        <v>41677</v>
      </c>
      <c r="G53" s="4">
        <v>42119</v>
      </c>
      <c r="H53" t="s">
        <v>49</v>
      </c>
      <c r="I53" t="s">
        <v>47</v>
      </c>
      <c r="J53" t="s">
        <v>7</v>
      </c>
      <c r="K53">
        <v>0</v>
      </c>
    </row>
    <row r="54" spans="1:11" x14ac:dyDescent="0.25">
      <c r="A54" t="s">
        <v>16</v>
      </c>
      <c r="B54" t="s">
        <v>21</v>
      </c>
      <c r="C54">
        <v>13330591</v>
      </c>
      <c r="D54" t="s">
        <v>48</v>
      </c>
      <c r="E54" t="s">
        <v>44</v>
      </c>
      <c r="F54" s="4">
        <v>41677</v>
      </c>
      <c r="G54" s="4">
        <v>42119</v>
      </c>
      <c r="H54" t="s">
        <v>49</v>
      </c>
      <c r="I54" t="s">
        <v>47</v>
      </c>
      <c r="J54" t="s">
        <v>8</v>
      </c>
      <c r="K54">
        <v>1</v>
      </c>
    </row>
    <row r="55" spans="1:11" x14ac:dyDescent="0.25">
      <c r="A55" t="s">
        <v>16</v>
      </c>
      <c r="B55" t="s">
        <v>21</v>
      </c>
      <c r="C55">
        <v>13330591</v>
      </c>
      <c r="D55" t="s">
        <v>48</v>
      </c>
      <c r="E55" t="s">
        <v>44</v>
      </c>
      <c r="F55" s="4">
        <v>41677</v>
      </c>
      <c r="G55" s="4">
        <v>42119</v>
      </c>
      <c r="H55" t="s">
        <v>49</v>
      </c>
      <c r="I55" t="s">
        <v>47</v>
      </c>
      <c r="J55" t="s">
        <v>9</v>
      </c>
      <c r="K55">
        <v>0</v>
      </c>
    </row>
    <row r="56" spans="1:11" x14ac:dyDescent="0.25">
      <c r="A56" t="s">
        <v>16</v>
      </c>
      <c r="B56" t="s">
        <v>21</v>
      </c>
      <c r="C56">
        <v>13330591</v>
      </c>
      <c r="D56" t="s">
        <v>48</v>
      </c>
      <c r="E56" t="s">
        <v>44</v>
      </c>
      <c r="F56" s="4">
        <v>41677</v>
      </c>
      <c r="G56" s="4">
        <v>42119</v>
      </c>
      <c r="H56" t="s">
        <v>49</v>
      </c>
      <c r="I56" t="s">
        <v>47</v>
      </c>
      <c r="J56" t="s">
        <v>10</v>
      </c>
      <c r="K56">
        <v>1</v>
      </c>
    </row>
    <row r="57" spans="1:11" x14ac:dyDescent="0.25">
      <c r="A57" t="s">
        <v>16</v>
      </c>
      <c r="B57" t="s">
        <v>21</v>
      </c>
      <c r="C57">
        <v>13330591</v>
      </c>
      <c r="D57" t="s">
        <v>48</v>
      </c>
      <c r="E57" t="s">
        <v>44</v>
      </c>
      <c r="F57" s="4">
        <v>41677</v>
      </c>
      <c r="G57" s="4">
        <v>42119</v>
      </c>
      <c r="H57" t="s">
        <v>49</v>
      </c>
      <c r="I57" t="s">
        <v>47</v>
      </c>
      <c r="J57" t="s">
        <v>11</v>
      </c>
      <c r="K57">
        <v>3</v>
      </c>
    </row>
    <row r="58" spans="1:11" x14ac:dyDescent="0.25">
      <c r="A58" t="s">
        <v>16</v>
      </c>
      <c r="B58" t="s">
        <v>21</v>
      </c>
      <c r="C58">
        <v>13330591</v>
      </c>
      <c r="D58" t="s">
        <v>48</v>
      </c>
      <c r="E58" t="s">
        <v>44</v>
      </c>
      <c r="F58" s="4">
        <v>41677</v>
      </c>
      <c r="G58" s="4">
        <v>42119</v>
      </c>
      <c r="H58" t="s">
        <v>49</v>
      </c>
      <c r="I58" t="s">
        <v>47</v>
      </c>
      <c r="J58" t="s">
        <v>12</v>
      </c>
      <c r="K58">
        <v>0</v>
      </c>
    </row>
    <row r="59" spans="1:11" x14ac:dyDescent="0.25">
      <c r="A59" t="s">
        <v>16</v>
      </c>
      <c r="B59" t="s">
        <v>21</v>
      </c>
      <c r="C59">
        <v>13330591</v>
      </c>
      <c r="D59" t="s">
        <v>48</v>
      </c>
      <c r="E59" t="s">
        <v>44</v>
      </c>
      <c r="F59" s="4">
        <v>41677</v>
      </c>
      <c r="G59" s="4">
        <v>42119</v>
      </c>
      <c r="H59" t="s">
        <v>49</v>
      </c>
      <c r="I59" t="s">
        <v>47</v>
      </c>
      <c r="J59" t="s">
        <v>13</v>
      </c>
      <c r="K59">
        <v>0</v>
      </c>
    </row>
    <row r="60" spans="1:11" x14ac:dyDescent="0.25">
      <c r="A60" t="s">
        <v>16</v>
      </c>
      <c r="B60" t="s">
        <v>21</v>
      </c>
      <c r="C60">
        <v>13330591</v>
      </c>
      <c r="D60" t="s">
        <v>48</v>
      </c>
      <c r="E60" t="s">
        <v>44</v>
      </c>
      <c r="F60" s="4">
        <v>41677</v>
      </c>
      <c r="G60" s="4">
        <v>42119</v>
      </c>
      <c r="H60" t="s">
        <v>49</v>
      </c>
      <c r="I60" t="s">
        <v>47</v>
      </c>
      <c r="J60" t="s">
        <v>14</v>
      </c>
      <c r="K60">
        <v>0</v>
      </c>
    </row>
    <row r="61" spans="1:11" x14ac:dyDescent="0.25">
      <c r="A61" t="s">
        <v>16</v>
      </c>
      <c r="B61" t="s">
        <v>21</v>
      </c>
      <c r="C61">
        <v>13330591</v>
      </c>
      <c r="D61" t="s">
        <v>48</v>
      </c>
      <c r="E61" t="s">
        <v>44</v>
      </c>
      <c r="F61" s="4">
        <v>41677</v>
      </c>
      <c r="G61" s="4">
        <v>42119</v>
      </c>
      <c r="H61" t="s">
        <v>49</v>
      </c>
      <c r="I61" t="s">
        <v>47</v>
      </c>
      <c r="J61" t="s">
        <v>15</v>
      </c>
      <c r="K61">
        <v>0</v>
      </c>
    </row>
    <row r="62" spans="1:11" x14ac:dyDescent="0.25">
      <c r="A62" t="s">
        <v>16</v>
      </c>
      <c r="B62" t="s">
        <v>19</v>
      </c>
      <c r="C62">
        <v>13330591</v>
      </c>
      <c r="D62" t="s">
        <v>48</v>
      </c>
      <c r="E62" t="s">
        <v>44</v>
      </c>
      <c r="F62" s="4">
        <v>41677</v>
      </c>
      <c r="G62" s="4">
        <v>42149</v>
      </c>
      <c r="H62" t="s">
        <v>49</v>
      </c>
      <c r="I62" t="s">
        <v>47</v>
      </c>
      <c r="J62" t="s">
        <v>6</v>
      </c>
      <c r="K62">
        <v>1</v>
      </c>
    </row>
    <row r="63" spans="1:11" x14ac:dyDescent="0.25">
      <c r="A63" t="s">
        <v>16</v>
      </c>
      <c r="B63" t="s">
        <v>19</v>
      </c>
      <c r="C63">
        <v>13330591</v>
      </c>
      <c r="D63" t="s">
        <v>48</v>
      </c>
      <c r="E63" t="s">
        <v>44</v>
      </c>
      <c r="F63" s="4">
        <v>41677</v>
      </c>
      <c r="G63" s="4">
        <v>42149</v>
      </c>
      <c r="H63" t="s">
        <v>49</v>
      </c>
      <c r="I63" t="s">
        <v>47</v>
      </c>
      <c r="J63" t="s">
        <v>7</v>
      </c>
      <c r="K63">
        <v>0</v>
      </c>
    </row>
    <row r="64" spans="1:11" x14ac:dyDescent="0.25">
      <c r="A64" t="s">
        <v>16</v>
      </c>
      <c r="B64" t="s">
        <v>19</v>
      </c>
      <c r="C64">
        <v>13330591</v>
      </c>
      <c r="D64" t="s">
        <v>48</v>
      </c>
      <c r="E64" t="s">
        <v>44</v>
      </c>
      <c r="F64" s="4">
        <v>41677</v>
      </c>
      <c r="G64" s="4">
        <v>42149</v>
      </c>
      <c r="H64" t="s">
        <v>49</v>
      </c>
      <c r="I64" t="s">
        <v>47</v>
      </c>
      <c r="J64" t="s">
        <v>8</v>
      </c>
      <c r="K64">
        <v>1</v>
      </c>
    </row>
    <row r="65" spans="1:11" x14ac:dyDescent="0.25">
      <c r="A65" t="s">
        <v>16</v>
      </c>
      <c r="B65" t="s">
        <v>19</v>
      </c>
      <c r="C65">
        <v>13330591</v>
      </c>
      <c r="D65" t="s">
        <v>48</v>
      </c>
      <c r="E65" t="s">
        <v>44</v>
      </c>
      <c r="F65" s="4">
        <v>41677</v>
      </c>
      <c r="G65" s="4">
        <v>42149</v>
      </c>
      <c r="H65" t="s">
        <v>49</v>
      </c>
      <c r="I65" t="s">
        <v>47</v>
      </c>
      <c r="J65" t="s">
        <v>9</v>
      </c>
      <c r="K65">
        <v>0</v>
      </c>
    </row>
    <row r="66" spans="1:11" x14ac:dyDescent="0.25">
      <c r="A66" t="s">
        <v>16</v>
      </c>
      <c r="B66" t="s">
        <v>19</v>
      </c>
      <c r="C66">
        <v>13330591</v>
      </c>
      <c r="D66" t="s">
        <v>48</v>
      </c>
      <c r="E66" t="s">
        <v>44</v>
      </c>
      <c r="F66" s="4">
        <v>41677</v>
      </c>
      <c r="G66" s="4">
        <v>42149</v>
      </c>
      <c r="H66" t="s">
        <v>49</v>
      </c>
      <c r="I66" t="s">
        <v>47</v>
      </c>
      <c r="J66" t="s">
        <v>10</v>
      </c>
      <c r="K66">
        <v>1</v>
      </c>
    </row>
    <row r="67" spans="1:11" x14ac:dyDescent="0.25">
      <c r="A67" t="s">
        <v>16</v>
      </c>
      <c r="B67" t="s">
        <v>19</v>
      </c>
      <c r="C67">
        <v>13330591</v>
      </c>
      <c r="D67" t="s">
        <v>48</v>
      </c>
      <c r="E67" t="s">
        <v>44</v>
      </c>
      <c r="F67" s="4">
        <v>41677</v>
      </c>
      <c r="G67" s="4">
        <v>42149</v>
      </c>
      <c r="H67" t="s">
        <v>49</v>
      </c>
      <c r="I67" t="s">
        <v>47</v>
      </c>
      <c r="J67" t="s">
        <v>11</v>
      </c>
      <c r="K67">
        <v>2</v>
      </c>
    </row>
    <row r="68" spans="1:11" x14ac:dyDescent="0.25">
      <c r="A68" t="s">
        <v>16</v>
      </c>
      <c r="B68" t="s">
        <v>19</v>
      </c>
      <c r="C68">
        <v>13330591</v>
      </c>
      <c r="D68" t="s">
        <v>48</v>
      </c>
      <c r="E68" t="s">
        <v>44</v>
      </c>
      <c r="F68" s="4">
        <v>41677</v>
      </c>
      <c r="G68" s="4">
        <v>42149</v>
      </c>
      <c r="H68" t="s">
        <v>49</v>
      </c>
      <c r="I68" t="s">
        <v>47</v>
      </c>
      <c r="J68" t="s">
        <v>12</v>
      </c>
      <c r="K68">
        <v>1</v>
      </c>
    </row>
    <row r="69" spans="1:11" x14ac:dyDescent="0.25">
      <c r="A69" t="s">
        <v>16</v>
      </c>
      <c r="B69" t="s">
        <v>19</v>
      </c>
      <c r="C69">
        <v>13330591</v>
      </c>
      <c r="D69" t="s">
        <v>48</v>
      </c>
      <c r="E69" t="s">
        <v>44</v>
      </c>
      <c r="F69" s="4">
        <v>41677</v>
      </c>
      <c r="G69" s="4">
        <v>42149</v>
      </c>
      <c r="H69" t="s">
        <v>49</v>
      </c>
      <c r="I69" t="s">
        <v>47</v>
      </c>
      <c r="J69" t="s">
        <v>13</v>
      </c>
      <c r="K69">
        <v>1</v>
      </c>
    </row>
    <row r="70" spans="1:11" x14ac:dyDescent="0.25">
      <c r="A70" t="s">
        <v>16</v>
      </c>
      <c r="B70" t="s">
        <v>19</v>
      </c>
      <c r="C70">
        <v>13330591</v>
      </c>
      <c r="D70" t="s">
        <v>48</v>
      </c>
      <c r="E70" t="s">
        <v>44</v>
      </c>
      <c r="F70" s="4">
        <v>41677</v>
      </c>
      <c r="G70" s="4">
        <v>42149</v>
      </c>
      <c r="H70" t="s">
        <v>49</v>
      </c>
      <c r="I70" t="s">
        <v>47</v>
      </c>
      <c r="J70" t="s">
        <v>14</v>
      </c>
      <c r="K70">
        <v>2</v>
      </c>
    </row>
    <row r="71" spans="1:11" x14ac:dyDescent="0.25">
      <c r="A71" t="s">
        <v>16</v>
      </c>
      <c r="B71" t="s">
        <v>19</v>
      </c>
      <c r="C71">
        <v>13330591</v>
      </c>
      <c r="D71" t="s">
        <v>48</v>
      </c>
      <c r="E71" t="s">
        <v>44</v>
      </c>
      <c r="F71" s="4">
        <v>41677</v>
      </c>
      <c r="G71" s="4">
        <v>42149</v>
      </c>
      <c r="H71" t="s">
        <v>49</v>
      </c>
      <c r="I71" t="s">
        <v>47</v>
      </c>
      <c r="J71" t="s">
        <v>15</v>
      </c>
      <c r="K71">
        <v>2</v>
      </c>
    </row>
    <row r="72" spans="1:11" x14ac:dyDescent="0.25">
      <c r="A72" t="s">
        <v>16</v>
      </c>
      <c r="B72" t="s">
        <v>20</v>
      </c>
      <c r="C72">
        <v>13330591</v>
      </c>
      <c r="D72" t="s">
        <v>48</v>
      </c>
      <c r="E72" t="s">
        <v>44</v>
      </c>
      <c r="F72" s="4">
        <v>41677</v>
      </c>
      <c r="G72" s="4">
        <v>42282</v>
      </c>
      <c r="H72" t="s">
        <v>49</v>
      </c>
      <c r="I72" t="s">
        <v>47</v>
      </c>
      <c r="J72" t="s">
        <v>6</v>
      </c>
      <c r="K72">
        <v>1</v>
      </c>
    </row>
    <row r="73" spans="1:11" x14ac:dyDescent="0.25">
      <c r="A73" t="s">
        <v>16</v>
      </c>
      <c r="B73" t="s">
        <v>20</v>
      </c>
      <c r="C73">
        <v>13330591</v>
      </c>
      <c r="D73" t="s">
        <v>48</v>
      </c>
      <c r="E73" t="s">
        <v>44</v>
      </c>
      <c r="F73" s="4">
        <v>41677</v>
      </c>
      <c r="G73" s="4">
        <v>42282</v>
      </c>
      <c r="H73" t="s">
        <v>49</v>
      </c>
      <c r="I73" t="s">
        <v>47</v>
      </c>
      <c r="J73" t="s">
        <v>7</v>
      </c>
      <c r="K73">
        <v>1</v>
      </c>
    </row>
    <row r="74" spans="1:11" x14ac:dyDescent="0.25">
      <c r="A74" t="s">
        <v>16</v>
      </c>
      <c r="B74" t="s">
        <v>20</v>
      </c>
      <c r="C74">
        <v>13330591</v>
      </c>
      <c r="D74" t="s">
        <v>48</v>
      </c>
      <c r="E74" t="s">
        <v>44</v>
      </c>
      <c r="F74" s="4">
        <v>41677</v>
      </c>
      <c r="G74" s="4">
        <v>42282</v>
      </c>
      <c r="H74" t="s">
        <v>49</v>
      </c>
      <c r="I74" t="s">
        <v>47</v>
      </c>
      <c r="J74" t="s">
        <v>8</v>
      </c>
      <c r="K74">
        <v>0</v>
      </c>
    </row>
    <row r="75" spans="1:11" x14ac:dyDescent="0.25">
      <c r="A75" t="s">
        <v>16</v>
      </c>
      <c r="B75" t="s">
        <v>20</v>
      </c>
      <c r="C75">
        <v>13330591</v>
      </c>
      <c r="D75" t="s">
        <v>48</v>
      </c>
      <c r="E75" t="s">
        <v>44</v>
      </c>
      <c r="F75" s="4">
        <v>41677</v>
      </c>
      <c r="G75" s="4">
        <v>42282</v>
      </c>
      <c r="H75" t="s">
        <v>49</v>
      </c>
      <c r="I75" t="s">
        <v>47</v>
      </c>
      <c r="J75" t="s">
        <v>9</v>
      </c>
      <c r="K75">
        <v>0</v>
      </c>
    </row>
    <row r="76" spans="1:11" x14ac:dyDescent="0.25">
      <c r="A76" t="s">
        <v>16</v>
      </c>
      <c r="B76" t="s">
        <v>20</v>
      </c>
      <c r="C76">
        <v>13330591</v>
      </c>
      <c r="D76" t="s">
        <v>48</v>
      </c>
      <c r="E76" t="s">
        <v>44</v>
      </c>
      <c r="F76" s="4">
        <v>41677</v>
      </c>
      <c r="G76" s="4">
        <v>42282</v>
      </c>
      <c r="H76" t="s">
        <v>49</v>
      </c>
      <c r="I76" t="s">
        <v>47</v>
      </c>
      <c r="J76" t="s">
        <v>10</v>
      </c>
      <c r="K76">
        <v>1</v>
      </c>
    </row>
    <row r="77" spans="1:11" x14ac:dyDescent="0.25">
      <c r="A77" t="s">
        <v>16</v>
      </c>
      <c r="B77" t="s">
        <v>20</v>
      </c>
      <c r="C77">
        <v>13330591</v>
      </c>
      <c r="D77" t="s">
        <v>48</v>
      </c>
      <c r="E77" t="s">
        <v>44</v>
      </c>
      <c r="F77" s="4">
        <v>41677</v>
      </c>
      <c r="G77" s="4">
        <v>42282</v>
      </c>
      <c r="H77" t="s">
        <v>49</v>
      </c>
      <c r="I77" t="s">
        <v>47</v>
      </c>
      <c r="J77" t="s">
        <v>11</v>
      </c>
      <c r="K77">
        <v>1</v>
      </c>
    </row>
    <row r="78" spans="1:11" x14ac:dyDescent="0.25">
      <c r="A78" t="s">
        <v>16</v>
      </c>
      <c r="B78" t="s">
        <v>20</v>
      </c>
      <c r="C78">
        <v>13330591</v>
      </c>
      <c r="D78" t="s">
        <v>48</v>
      </c>
      <c r="E78" t="s">
        <v>44</v>
      </c>
      <c r="F78" s="4">
        <v>41677</v>
      </c>
      <c r="G78" s="4">
        <v>42282</v>
      </c>
      <c r="H78" t="s">
        <v>49</v>
      </c>
      <c r="I78" t="s">
        <v>47</v>
      </c>
      <c r="J78" t="s">
        <v>12</v>
      </c>
      <c r="K78">
        <v>1</v>
      </c>
    </row>
    <row r="79" spans="1:11" x14ac:dyDescent="0.25">
      <c r="A79" t="s">
        <v>16</v>
      </c>
      <c r="B79" t="s">
        <v>20</v>
      </c>
      <c r="C79">
        <v>13330591</v>
      </c>
      <c r="D79" t="s">
        <v>48</v>
      </c>
      <c r="E79" t="s">
        <v>44</v>
      </c>
      <c r="F79" s="4">
        <v>41677</v>
      </c>
      <c r="G79" s="4">
        <v>42282</v>
      </c>
      <c r="H79" t="s">
        <v>49</v>
      </c>
      <c r="I79" t="s">
        <v>47</v>
      </c>
      <c r="J79" t="s">
        <v>13</v>
      </c>
      <c r="K79">
        <v>2</v>
      </c>
    </row>
    <row r="80" spans="1:11" x14ac:dyDescent="0.25">
      <c r="A80" t="s">
        <v>16</v>
      </c>
      <c r="B80" t="s">
        <v>20</v>
      </c>
      <c r="C80">
        <v>13330591</v>
      </c>
      <c r="D80" t="s">
        <v>48</v>
      </c>
      <c r="E80" t="s">
        <v>44</v>
      </c>
      <c r="F80" s="4">
        <v>41677</v>
      </c>
      <c r="G80" s="4">
        <v>42282</v>
      </c>
      <c r="H80" t="s">
        <v>49</v>
      </c>
      <c r="I80" t="s">
        <v>47</v>
      </c>
      <c r="J80" t="s">
        <v>14</v>
      </c>
      <c r="K80">
        <v>1</v>
      </c>
    </row>
    <row r="81" spans="1:11" x14ac:dyDescent="0.25">
      <c r="A81" t="s">
        <v>16</v>
      </c>
      <c r="B81" t="s">
        <v>20</v>
      </c>
      <c r="C81">
        <v>13330591</v>
      </c>
      <c r="D81" t="s">
        <v>48</v>
      </c>
      <c r="E81" t="s">
        <v>44</v>
      </c>
      <c r="F81" s="4">
        <v>41677</v>
      </c>
      <c r="G81" s="4">
        <v>42282</v>
      </c>
      <c r="H81" t="s">
        <v>49</v>
      </c>
      <c r="I81" t="s">
        <v>47</v>
      </c>
      <c r="J81" t="s">
        <v>15</v>
      </c>
      <c r="K81">
        <v>1</v>
      </c>
    </row>
    <row r="82" spans="1:11" x14ac:dyDescent="0.25">
      <c r="A82" t="s">
        <v>16</v>
      </c>
      <c r="B82" t="s">
        <v>21</v>
      </c>
      <c r="C82">
        <v>13330591</v>
      </c>
      <c r="D82" t="s">
        <v>48</v>
      </c>
      <c r="E82" t="s">
        <v>44</v>
      </c>
      <c r="F82" s="4">
        <v>41677</v>
      </c>
      <c r="G82" s="4">
        <v>42398</v>
      </c>
      <c r="H82" t="s">
        <v>49</v>
      </c>
      <c r="I82" t="s">
        <v>47</v>
      </c>
      <c r="J82" t="s">
        <v>6</v>
      </c>
      <c r="K82">
        <v>0</v>
      </c>
    </row>
    <row r="83" spans="1:11" x14ac:dyDescent="0.25">
      <c r="A83" t="s">
        <v>16</v>
      </c>
      <c r="B83" t="s">
        <v>21</v>
      </c>
      <c r="C83">
        <v>13330591</v>
      </c>
      <c r="D83" t="s">
        <v>48</v>
      </c>
      <c r="E83" t="s">
        <v>44</v>
      </c>
      <c r="F83" s="4">
        <v>41677</v>
      </c>
      <c r="G83" s="4">
        <v>42398</v>
      </c>
      <c r="H83" t="s">
        <v>49</v>
      </c>
      <c r="I83" t="s">
        <v>47</v>
      </c>
      <c r="J83" t="s">
        <v>7</v>
      </c>
      <c r="K83">
        <v>1</v>
      </c>
    </row>
    <row r="84" spans="1:11" x14ac:dyDescent="0.25">
      <c r="A84" t="s">
        <v>16</v>
      </c>
      <c r="B84" t="s">
        <v>21</v>
      </c>
      <c r="C84">
        <v>13330591</v>
      </c>
      <c r="D84" t="s">
        <v>48</v>
      </c>
      <c r="E84" t="s">
        <v>44</v>
      </c>
      <c r="F84" s="4">
        <v>41677</v>
      </c>
      <c r="G84" s="4">
        <v>42398</v>
      </c>
      <c r="H84" t="s">
        <v>49</v>
      </c>
      <c r="I84" t="s">
        <v>47</v>
      </c>
      <c r="J84" t="s">
        <v>8</v>
      </c>
      <c r="K84">
        <v>3</v>
      </c>
    </row>
    <row r="85" spans="1:11" x14ac:dyDescent="0.25">
      <c r="A85" t="s">
        <v>16</v>
      </c>
      <c r="B85" t="s">
        <v>21</v>
      </c>
      <c r="C85">
        <v>13330591</v>
      </c>
      <c r="D85" t="s">
        <v>48</v>
      </c>
      <c r="E85" t="s">
        <v>44</v>
      </c>
      <c r="F85" s="4">
        <v>41677</v>
      </c>
      <c r="G85" s="4">
        <v>42398</v>
      </c>
      <c r="H85" t="s">
        <v>49</v>
      </c>
      <c r="I85" t="s">
        <v>47</v>
      </c>
      <c r="J85" t="s">
        <v>9</v>
      </c>
      <c r="K85">
        <v>3</v>
      </c>
    </row>
    <row r="86" spans="1:11" x14ac:dyDescent="0.25">
      <c r="A86" t="s">
        <v>16</v>
      </c>
      <c r="B86" t="s">
        <v>21</v>
      </c>
      <c r="C86">
        <v>13330591</v>
      </c>
      <c r="D86" t="s">
        <v>48</v>
      </c>
      <c r="E86" t="s">
        <v>44</v>
      </c>
      <c r="F86" s="4">
        <v>41677</v>
      </c>
      <c r="G86" s="4">
        <v>42398</v>
      </c>
      <c r="H86" t="s">
        <v>49</v>
      </c>
      <c r="I86" t="s">
        <v>47</v>
      </c>
      <c r="J86" t="s">
        <v>10</v>
      </c>
      <c r="K86">
        <v>2</v>
      </c>
    </row>
    <row r="87" spans="1:11" x14ac:dyDescent="0.25">
      <c r="A87" t="s">
        <v>16</v>
      </c>
      <c r="B87" t="s">
        <v>21</v>
      </c>
      <c r="C87">
        <v>13330591</v>
      </c>
      <c r="D87" t="s">
        <v>48</v>
      </c>
      <c r="E87" t="s">
        <v>44</v>
      </c>
      <c r="F87" s="4">
        <v>41677</v>
      </c>
      <c r="G87" s="4">
        <v>42398</v>
      </c>
      <c r="H87" t="s">
        <v>49</v>
      </c>
      <c r="I87" t="s">
        <v>47</v>
      </c>
      <c r="J87" t="s">
        <v>11</v>
      </c>
      <c r="K87">
        <v>3</v>
      </c>
    </row>
    <row r="88" spans="1:11" x14ac:dyDescent="0.25">
      <c r="A88" t="s">
        <v>16</v>
      </c>
      <c r="B88" t="s">
        <v>21</v>
      </c>
      <c r="C88">
        <v>13330591</v>
      </c>
      <c r="D88" t="s">
        <v>48</v>
      </c>
      <c r="E88" t="s">
        <v>44</v>
      </c>
      <c r="F88" s="4">
        <v>41677</v>
      </c>
      <c r="G88" s="4">
        <v>42398</v>
      </c>
      <c r="H88" t="s">
        <v>49</v>
      </c>
      <c r="I88" t="s">
        <v>47</v>
      </c>
      <c r="J88" t="s">
        <v>12</v>
      </c>
      <c r="K88">
        <v>2</v>
      </c>
    </row>
    <row r="89" spans="1:11" x14ac:dyDescent="0.25">
      <c r="A89" t="s">
        <v>16</v>
      </c>
      <c r="B89" t="s">
        <v>21</v>
      </c>
      <c r="C89">
        <v>13330591</v>
      </c>
      <c r="D89" t="s">
        <v>48</v>
      </c>
      <c r="E89" t="s">
        <v>44</v>
      </c>
      <c r="F89" s="4">
        <v>41677</v>
      </c>
      <c r="G89" s="4">
        <v>42398</v>
      </c>
      <c r="H89" t="s">
        <v>49</v>
      </c>
      <c r="I89" t="s">
        <v>47</v>
      </c>
      <c r="J89" t="s">
        <v>13</v>
      </c>
      <c r="K89">
        <v>0</v>
      </c>
    </row>
    <row r="90" spans="1:11" x14ac:dyDescent="0.25">
      <c r="A90" t="s">
        <v>16</v>
      </c>
      <c r="B90" t="s">
        <v>21</v>
      </c>
      <c r="C90">
        <v>13330591</v>
      </c>
      <c r="D90" t="s">
        <v>48</v>
      </c>
      <c r="E90" t="s">
        <v>44</v>
      </c>
      <c r="F90" s="4">
        <v>41677</v>
      </c>
      <c r="G90" s="4">
        <v>42398</v>
      </c>
      <c r="H90" t="s">
        <v>49</v>
      </c>
      <c r="I90" t="s">
        <v>47</v>
      </c>
      <c r="J90" t="s">
        <v>14</v>
      </c>
      <c r="K90">
        <v>2</v>
      </c>
    </row>
    <row r="91" spans="1:11" x14ac:dyDescent="0.25">
      <c r="A91" t="s">
        <v>16</v>
      </c>
      <c r="B91" t="s">
        <v>21</v>
      </c>
      <c r="C91">
        <v>13330591</v>
      </c>
      <c r="D91" t="s">
        <v>48</v>
      </c>
      <c r="E91" t="s">
        <v>44</v>
      </c>
      <c r="F91" s="4">
        <v>41677</v>
      </c>
      <c r="G91" s="4">
        <v>42398</v>
      </c>
      <c r="H91" t="s">
        <v>49</v>
      </c>
      <c r="I91" t="s">
        <v>47</v>
      </c>
      <c r="J91" t="s">
        <v>15</v>
      </c>
      <c r="K91">
        <v>2</v>
      </c>
    </row>
    <row r="92" spans="1:11" x14ac:dyDescent="0.25">
      <c r="A92" t="s">
        <v>16</v>
      </c>
      <c r="B92" t="s">
        <v>19</v>
      </c>
      <c r="C92">
        <v>51871933</v>
      </c>
      <c r="D92" t="s">
        <v>48</v>
      </c>
      <c r="E92" t="s">
        <v>50</v>
      </c>
      <c r="F92" s="4">
        <v>41425</v>
      </c>
      <c r="G92" s="4">
        <v>41467</v>
      </c>
      <c r="H92" t="s">
        <v>45</v>
      </c>
      <c r="I92" t="s">
        <v>46</v>
      </c>
      <c r="J92" t="s">
        <v>6</v>
      </c>
      <c r="K92">
        <v>2</v>
      </c>
    </row>
    <row r="93" spans="1:11" x14ac:dyDescent="0.25">
      <c r="A93" t="s">
        <v>16</v>
      </c>
      <c r="B93" t="s">
        <v>19</v>
      </c>
      <c r="C93">
        <v>51871933</v>
      </c>
      <c r="D93" t="s">
        <v>48</v>
      </c>
      <c r="E93" t="s">
        <v>50</v>
      </c>
      <c r="F93" s="4">
        <v>41425</v>
      </c>
      <c r="G93" s="4">
        <v>41467</v>
      </c>
      <c r="H93" t="s">
        <v>45</v>
      </c>
      <c r="I93" t="s">
        <v>46</v>
      </c>
      <c r="J93" t="s">
        <v>7</v>
      </c>
      <c r="K93">
        <v>2</v>
      </c>
    </row>
    <row r="94" spans="1:11" x14ac:dyDescent="0.25">
      <c r="A94" t="s">
        <v>16</v>
      </c>
      <c r="B94" t="s">
        <v>19</v>
      </c>
      <c r="C94">
        <v>51871933</v>
      </c>
      <c r="D94" t="s">
        <v>48</v>
      </c>
      <c r="E94" t="s">
        <v>50</v>
      </c>
      <c r="F94" s="4">
        <v>41425</v>
      </c>
      <c r="G94" s="4">
        <v>41467</v>
      </c>
      <c r="H94" t="s">
        <v>45</v>
      </c>
      <c r="I94" t="s">
        <v>46</v>
      </c>
      <c r="J94" t="s">
        <v>8</v>
      </c>
      <c r="K94">
        <v>0</v>
      </c>
    </row>
    <row r="95" spans="1:11" x14ac:dyDescent="0.25">
      <c r="A95" t="s">
        <v>16</v>
      </c>
      <c r="B95" t="s">
        <v>19</v>
      </c>
      <c r="C95">
        <v>51871933</v>
      </c>
      <c r="D95" t="s">
        <v>48</v>
      </c>
      <c r="E95" t="s">
        <v>50</v>
      </c>
      <c r="F95" s="4">
        <v>41425</v>
      </c>
      <c r="G95" s="4">
        <v>41467</v>
      </c>
      <c r="H95" t="s">
        <v>45</v>
      </c>
      <c r="I95" t="s">
        <v>46</v>
      </c>
      <c r="J95" t="s">
        <v>9</v>
      </c>
      <c r="K95">
        <v>1</v>
      </c>
    </row>
    <row r="96" spans="1:11" x14ac:dyDescent="0.25">
      <c r="A96" t="s">
        <v>16</v>
      </c>
      <c r="B96" t="s">
        <v>19</v>
      </c>
      <c r="C96">
        <v>51871933</v>
      </c>
      <c r="D96" t="s">
        <v>48</v>
      </c>
      <c r="E96" t="s">
        <v>50</v>
      </c>
      <c r="F96" s="4">
        <v>41425</v>
      </c>
      <c r="G96" s="4">
        <v>41467</v>
      </c>
      <c r="H96" t="s">
        <v>45</v>
      </c>
      <c r="I96" t="s">
        <v>46</v>
      </c>
      <c r="J96" t="s">
        <v>10</v>
      </c>
      <c r="K96">
        <v>0</v>
      </c>
    </row>
    <row r="97" spans="1:11" x14ac:dyDescent="0.25">
      <c r="A97" t="s">
        <v>16</v>
      </c>
      <c r="B97" t="s">
        <v>19</v>
      </c>
      <c r="C97">
        <v>51871933</v>
      </c>
      <c r="D97" t="s">
        <v>48</v>
      </c>
      <c r="E97" t="s">
        <v>50</v>
      </c>
      <c r="F97" s="4">
        <v>41425</v>
      </c>
      <c r="G97" s="4">
        <v>41467</v>
      </c>
      <c r="H97" t="s">
        <v>45</v>
      </c>
      <c r="I97" t="s">
        <v>46</v>
      </c>
      <c r="J97" t="s">
        <v>11</v>
      </c>
      <c r="K97">
        <v>1</v>
      </c>
    </row>
    <row r="98" spans="1:11" x14ac:dyDescent="0.25">
      <c r="A98" t="s">
        <v>16</v>
      </c>
      <c r="B98" t="s">
        <v>19</v>
      </c>
      <c r="C98">
        <v>51871933</v>
      </c>
      <c r="D98" t="s">
        <v>48</v>
      </c>
      <c r="E98" t="s">
        <v>50</v>
      </c>
      <c r="F98" s="4">
        <v>41425</v>
      </c>
      <c r="G98" s="4">
        <v>41467</v>
      </c>
      <c r="H98" t="s">
        <v>45</v>
      </c>
      <c r="I98" t="s">
        <v>46</v>
      </c>
      <c r="J98" t="s">
        <v>12</v>
      </c>
      <c r="K98">
        <v>3</v>
      </c>
    </row>
    <row r="99" spans="1:11" x14ac:dyDescent="0.25">
      <c r="A99" t="s">
        <v>16</v>
      </c>
      <c r="B99" t="s">
        <v>19</v>
      </c>
      <c r="C99">
        <v>51871933</v>
      </c>
      <c r="D99" t="s">
        <v>48</v>
      </c>
      <c r="E99" t="s">
        <v>50</v>
      </c>
      <c r="F99" s="4">
        <v>41425</v>
      </c>
      <c r="G99" s="4">
        <v>41467</v>
      </c>
      <c r="H99" t="s">
        <v>45</v>
      </c>
      <c r="I99" t="s">
        <v>46</v>
      </c>
      <c r="J99" t="s">
        <v>13</v>
      </c>
      <c r="K99">
        <v>0</v>
      </c>
    </row>
    <row r="100" spans="1:11" x14ac:dyDescent="0.25">
      <c r="A100" t="s">
        <v>16</v>
      </c>
      <c r="B100" t="s">
        <v>19</v>
      </c>
      <c r="C100">
        <v>51871933</v>
      </c>
      <c r="D100" t="s">
        <v>48</v>
      </c>
      <c r="E100" t="s">
        <v>50</v>
      </c>
      <c r="F100" s="4">
        <v>41425</v>
      </c>
      <c r="G100" s="4">
        <v>41467</v>
      </c>
      <c r="H100" t="s">
        <v>45</v>
      </c>
      <c r="I100" t="s">
        <v>46</v>
      </c>
      <c r="J100" t="s">
        <v>14</v>
      </c>
      <c r="K100">
        <v>1</v>
      </c>
    </row>
    <row r="101" spans="1:11" x14ac:dyDescent="0.25">
      <c r="A101" t="s">
        <v>16</v>
      </c>
      <c r="B101" t="s">
        <v>19</v>
      </c>
      <c r="C101">
        <v>51871933</v>
      </c>
      <c r="D101" t="s">
        <v>48</v>
      </c>
      <c r="E101" t="s">
        <v>50</v>
      </c>
      <c r="F101" s="4">
        <v>41425</v>
      </c>
      <c r="G101" s="4">
        <v>41467</v>
      </c>
      <c r="H101" t="s">
        <v>45</v>
      </c>
      <c r="I101" t="s">
        <v>46</v>
      </c>
      <c r="J101" t="s">
        <v>15</v>
      </c>
      <c r="K101">
        <v>0</v>
      </c>
    </row>
    <row r="102" spans="1:11" x14ac:dyDescent="0.25">
      <c r="A102" t="s">
        <v>16</v>
      </c>
      <c r="B102" t="s">
        <v>20</v>
      </c>
      <c r="C102">
        <v>51871933</v>
      </c>
      <c r="D102" t="s">
        <v>48</v>
      </c>
      <c r="E102" t="s">
        <v>50</v>
      </c>
      <c r="F102" s="4">
        <v>41425</v>
      </c>
      <c r="G102" s="4">
        <v>41526</v>
      </c>
      <c r="H102" t="s">
        <v>45</v>
      </c>
      <c r="I102" t="s">
        <v>47</v>
      </c>
      <c r="J102" t="s">
        <v>6</v>
      </c>
      <c r="K102">
        <v>3</v>
      </c>
    </row>
    <row r="103" spans="1:11" x14ac:dyDescent="0.25">
      <c r="A103" t="s">
        <v>16</v>
      </c>
      <c r="B103" t="s">
        <v>20</v>
      </c>
      <c r="C103">
        <v>51871933</v>
      </c>
      <c r="D103" t="s">
        <v>48</v>
      </c>
      <c r="E103" t="s">
        <v>50</v>
      </c>
      <c r="F103" s="4">
        <v>41425</v>
      </c>
      <c r="G103" s="4">
        <v>41526</v>
      </c>
      <c r="H103" t="s">
        <v>45</v>
      </c>
      <c r="I103" t="s">
        <v>47</v>
      </c>
      <c r="J103" t="s">
        <v>7</v>
      </c>
      <c r="K103">
        <v>0</v>
      </c>
    </row>
    <row r="104" spans="1:11" x14ac:dyDescent="0.25">
      <c r="A104" t="s">
        <v>16</v>
      </c>
      <c r="B104" t="s">
        <v>20</v>
      </c>
      <c r="C104">
        <v>51871933</v>
      </c>
      <c r="D104" t="s">
        <v>48</v>
      </c>
      <c r="E104" t="s">
        <v>50</v>
      </c>
      <c r="F104" s="4">
        <v>41425</v>
      </c>
      <c r="G104" s="4">
        <v>41526</v>
      </c>
      <c r="H104" t="s">
        <v>45</v>
      </c>
      <c r="I104" t="s">
        <v>47</v>
      </c>
      <c r="J104" t="s">
        <v>8</v>
      </c>
      <c r="K104">
        <v>0</v>
      </c>
    </row>
    <row r="105" spans="1:11" x14ac:dyDescent="0.25">
      <c r="A105" t="s">
        <v>16</v>
      </c>
      <c r="B105" t="s">
        <v>20</v>
      </c>
      <c r="C105">
        <v>51871933</v>
      </c>
      <c r="D105" t="s">
        <v>48</v>
      </c>
      <c r="E105" t="s">
        <v>50</v>
      </c>
      <c r="F105" s="4">
        <v>41425</v>
      </c>
      <c r="G105" s="4">
        <v>41526</v>
      </c>
      <c r="H105" t="s">
        <v>45</v>
      </c>
      <c r="I105" t="s">
        <v>47</v>
      </c>
      <c r="J105" t="s">
        <v>9</v>
      </c>
      <c r="K105">
        <v>1</v>
      </c>
    </row>
    <row r="106" spans="1:11" x14ac:dyDescent="0.25">
      <c r="A106" t="s">
        <v>16</v>
      </c>
      <c r="B106" t="s">
        <v>20</v>
      </c>
      <c r="C106">
        <v>51871933</v>
      </c>
      <c r="D106" t="s">
        <v>48</v>
      </c>
      <c r="E106" t="s">
        <v>50</v>
      </c>
      <c r="F106" s="4">
        <v>41425</v>
      </c>
      <c r="G106" s="4">
        <v>41526</v>
      </c>
      <c r="H106" t="s">
        <v>45</v>
      </c>
      <c r="I106" t="s">
        <v>47</v>
      </c>
      <c r="J106" t="s">
        <v>10</v>
      </c>
      <c r="K106">
        <v>3</v>
      </c>
    </row>
    <row r="107" spans="1:11" x14ac:dyDescent="0.25">
      <c r="A107" t="s">
        <v>16</v>
      </c>
      <c r="B107" t="s">
        <v>20</v>
      </c>
      <c r="C107">
        <v>51871933</v>
      </c>
      <c r="D107" t="s">
        <v>48</v>
      </c>
      <c r="E107" t="s">
        <v>50</v>
      </c>
      <c r="F107" s="4">
        <v>41425</v>
      </c>
      <c r="G107" s="4">
        <v>41526</v>
      </c>
      <c r="H107" t="s">
        <v>45</v>
      </c>
      <c r="I107" t="s">
        <v>47</v>
      </c>
      <c r="J107" t="s">
        <v>11</v>
      </c>
      <c r="K107">
        <v>0</v>
      </c>
    </row>
    <row r="108" spans="1:11" x14ac:dyDescent="0.25">
      <c r="A108" t="s">
        <v>16</v>
      </c>
      <c r="B108" t="s">
        <v>20</v>
      </c>
      <c r="C108">
        <v>51871933</v>
      </c>
      <c r="D108" t="s">
        <v>48</v>
      </c>
      <c r="E108" t="s">
        <v>50</v>
      </c>
      <c r="F108" s="4">
        <v>41425</v>
      </c>
      <c r="G108" s="4">
        <v>41526</v>
      </c>
      <c r="H108" t="s">
        <v>45</v>
      </c>
      <c r="I108" t="s">
        <v>47</v>
      </c>
      <c r="J108" t="s">
        <v>12</v>
      </c>
      <c r="K108">
        <v>2</v>
      </c>
    </row>
    <row r="109" spans="1:11" x14ac:dyDescent="0.25">
      <c r="A109" t="s">
        <v>16</v>
      </c>
      <c r="B109" t="s">
        <v>20</v>
      </c>
      <c r="C109">
        <v>51871933</v>
      </c>
      <c r="D109" t="s">
        <v>48</v>
      </c>
      <c r="E109" t="s">
        <v>50</v>
      </c>
      <c r="F109" s="4">
        <v>41425</v>
      </c>
      <c r="G109" s="4">
        <v>41526</v>
      </c>
      <c r="H109" t="s">
        <v>45</v>
      </c>
      <c r="I109" t="s">
        <v>47</v>
      </c>
      <c r="J109" t="s">
        <v>13</v>
      </c>
      <c r="K109">
        <v>1</v>
      </c>
    </row>
    <row r="110" spans="1:11" x14ac:dyDescent="0.25">
      <c r="A110" t="s">
        <v>16</v>
      </c>
      <c r="B110" t="s">
        <v>20</v>
      </c>
      <c r="C110">
        <v>51871933</v>
      </c>
      <c r="D110" t="s">
        <v>48</v>
      </c>
      <c r="E110" t="s">
        <v>50</v>
      </c>
      <c r="F110" s="4">
        <v>41425</v>
      </c>
      <c r="G110" s="4">
        <v>41526</v>
      </c>
      <c r="H110" t="s">
        <v>45</v>
      </c>
      <c r="I110" t="s">
        <v>47</v>
      </c>
      <c r="J110" t="s">
        <v>14</v>
      </c>
      <c r="K110">
        <v>1</v>
      </c>
    </row>
    <row r="111" spans="1:11" x14ac:dyDescent="0.25">
      <c r="A111" t="s">
        <v>16</v>
      </c>
      <c r="B111" t="s">
        <v>20</v>
      </c>
      <c r="C111">
        <v>51871933</v>
      </c>
      <c r="D111" t="s">
        <v>48</v>
      </c>
      <c r="E111" t="s">
        <v>50</v>
      </c>
      <c r="F111" s="4">
        <v>41425</v>
      </c>
      <c r="G111" s="4">
        <v>41526</v>
      </c>
      <c r="H111" t="s">
        <v>45</v>
      </c>
      <c r="I111" t="s">
        <v>47</v>
      </c>
      <c r="J111" t="s">
        <v>15</v>
      </c>
      <c r="K111">
        <v>1</v>
      </c>
    </row>
    <row r="112" spans="1:11" x14ac:dyDescent="0.25">
      <c r="A112" t="s">
        <v>16</v>
      </c>
      <c r="B112" t="s">
        <v>21</v>
      </c>
      <c r="C112">
        <v>6074102</v>
      </c>
      <c r="D112" t="s">
        <v>43</v>
      </c>
      <c r="E112" t="s">
        <v>44</v>
      </c>
      <c r="F112" s="4">
        <v>41305</v>
      </c>
      <c r="G112" s="4">
        <v>41315</v>
      </c>
      <c r="H112" t="s">
        <v>45</v>
      </c>
      <c r="I112" t="s">
        <v>46</v>
      </c>
      <c r="J112" t="s">
        <v>6</v>
      </c>
      <c r="K112">
        <v>1</v>
      </c>
    </row>
    <row r="113" spans="1:11" x14ac:dyDescent="0.25">
      <c r="A113" t="s">
        <v>16</v>
      </c>
      <c r="B113" t="s">
        <v>21</v>
      </c>
      <c r="C113">
        <v>6074102</v>
      </c>
      <c r="D113" t="s">
        <v>43</v>
      </c>
      <c r="E113" t="s">
        <v>44</v>
      </c>
      <c r="F113" s="4">
        <v>41305</v>
      </c>
      <c r="G113" s="4">
        <v>41315</v>
      </c>
      <c r="H113" t="s">
        <v>45</v>
      </c>
      <c r="I113" t="s">
        <v>46</v>
      </c>
      <c r="J113" t="s">
        <v>7</v>
      </c>
      <c r="K113">
        <v>0</v>
      </c>
    </row>
    <row r="114" spans="1:11" x14ac:dyDescent="0.25">
      <c r="A114" t="s">
        <v>16</v>
      </c>
      <c r="B114" t="s">
        <v>21</v>
      </c>
      <c r="C114">
        <v>6074102</v>
      </c>
      <c r="D114" t="s">
        <v>43</v>
      </c>
      <c r="E114" t="s">
        <v>44</v>
      </c>
      <c r="F114" s="4">
        <v>41305</v>
      </c>
      <c r="G114" s="4">
        <v>41315</v>
      </c>
      <c r="H114" t="s">
        <v>45</v>
      </c>
      <c r="I114" t="s">
        <v>46</v>
      </c>
      <c r="J114" t="s">
        <v>8</v>
      </c>
      <c r="K114">
        <v>1</v>
      </c>
    </row>
    <row r="115" spans="1:11" x14ac:dyDescent="0.25">
      <c r="A115" t="s">
        <v>16</v>
      </c>
      <c r="B115" t="s">
        <v>21</v>
      </c>
      <c r="C115">
        <v>6074102</v>
      </c>
      <c r="D115" t="s">
        <v>43</v>
      </c>
      <c r="E115" t="s">
        <v>44</v>
      </c>
      <c r="F115" s="4">
        <v>41305</v>
      </c>
      <c r="G115" s="4">
        <v>41315</v>
      </c>
      <c r="H115" t="s">
        <v>45</v>
      </c>
      <c r="I115" t="s">
        <v>46</v>
      </c>
      <c r="J115" t="s">
        <v>9</v>
      </c>
      <c r="K115">
        <v>2</v>
      </c>
    </row>
    <row r="116" spans="1:11" x14ac:dyDescent="0.25">
      <c r="A116" t="s">
        <v>16</v>
      </c>
      <c r="B116" t="s">
        <v>21</v>
      </c>
      <c r="C116">
        <v>6074102</v>
      </c>
      <c r="D116" t="s">
        <v>43</v>
      </c>
      <c r="E116" t="s">
        <v>44</v>
      </c>
      <c r="F116" s="4">
        <v>41305</v>
      </c>
      <c r="G116" s="4">
        <v>41315</v>
      </c>
      <c r="H116" t="s">
        <v>45</v>
      </c>
      <c r="I116" t="s">
        <v>46</v>
      </c>
      <c r="J116" t="s">
        <v>10</v>
      </c>
      <c r="K116">
        <v>0</v>
      </c>
    </row>
    <row r="117" spans="1:11" x14ac:dyDescent="0.25">
      <c r="A117" t="s">
        <v>16</v>
      </c>
      <c r="B117" t="s">
        <v>21</v>
      </c>
      <c r="C117">
        <v>6074102</v>
      </c>
      <c r="D117" t="s">
        <v>43</v>
      </c>
      <c r="E117" t="s">
        <v>44</v>
      </c>
      <c r="F117" s="4">
        <v>41305</v>
      </c>
      <c r="G117" s="4">
        <v>41315</v>
      </c>
      <c r="H117" t="s">
        <v>45</v>
      </c>
      <c r="I117" t="s">
        <v>46</v>
      </c>
      <c r="J117" t="s">
        <v>11</v>
      </c>
      <c r="K117">
        <v>1</v>
      </c>
    </row>
    <row r="118" spans="1:11" x14ac:dyDescent="0.25">
      <c r="A118" t="s">
        <v>16</v>
      </c>
      <c r="B118" t="s">
        <v>21</v>
      </c>
      <c r="C118">
        <v>6074102</v>
      </c>
      <c r="D118" t="s">
        <v>43</v>
      </c>
      <c r="E118" t="s">
        <v>44</v>
      </c>
      <c r="F118" s="4">
        <v>41305</v>
      </c>
      <c r="G118" s="4">
        <v>41315</v>
      </c>
      <c r="H118" t="s">
        <v>45</v>
      </c>
      <c r="I118" t="s">
        <v>46</v>
      </c>
      <c r="J118" t="s">
        <v>12</v>
      </c>
      <c r="K118">
        <v>3</v>
      </c>
    </row>
    <row r="119" spans="1:11" x14ac:dyDescent="0.25">
      <c r="A119" t="s">
        <v>16</v>
      </c>
      <c r="B119" t="s">
        <v>21</v>
      </c>
      <c r="C119">
        <v>6074102</v>
      </c>
      <c r="D119" t="s">
        <v>43</v>
      </c>
      <c r="E119" t="s">
        <v>44</v>
      </c>
      <c r="F119" s="4">
        <v>41305</v>
      </c>
      <c r="G119" s="4">
        <v>41315</v>
      </c>
      <c r="H119" t="s">
        <v>45</v>
      </c>
      <c r="I119" t="s">
        <v>46</v>
      </c>
      <c r="J119" t="s">
        <v>13</v>
      </c>
      <c r="K119">
        <v>2</v>
      </c>
    </row>
    <row r="120" spans="1:11" x14ac:dyDescent="0.25">
      <c r="A120" t="s">
        <v>16</v>
      </c>
      <c r="B120" t="s">
        <v>21</v>
      </c>
      <c r="C120">
        <v>6074102</v>
      </c>
      <c r="D120" t="s">
        <v>43</v>
      </c>
      <c r="E120" t="s">
        <v>44</v>
      </c>
      <c r="F120" s="4">
        <v>41305</v>
      </c>
      <c r="G120" s="4">
        <v>41315</v>
      </c>
      <c r="H120" t="s">
        <v>45</v>
      </c>
      <c r="I120" t="s">
        <v>46</v>
      </c>
      <c r="J120" t="s">
        <v>14</v>
      </c>
      <c r="K120">
        <v>0</v>
      </c>
    </row>
    <row r="121" spans="1:11" x14ac:dyDescent="0.25">
      <c r="A121" t="s">
        <v>16</v>
      </c>
      <c r="B121" t="s">
        <v>21</v>
      </c>
      <c r="C121">
        <v>6074102</v>
      </c>
      <c r="D121" t="s">
        <v>43</v>
      </c>
      <c r="E121" t="s">
        <v>44</v>
      </c>
      <c r="F121" s="4">
        <v>41305</v>
      </c>
      <c r="G121" s="4">
        <v>41315</v>
      </c>
      <c r="H121" t="s">
        <v>45</v>
      </c>
      <c r="I121" t="s">
        <v>46</v>
      </c>
      <c r="J121" t="s">
        <v>15</v>
      </c>
      <c r="K121">
        <v>2</v>
      </c>
    </row>
    <row r="122" spans="1:11" x14ac:dyDescent="0.25">
      <c r="A122" t="s">
        <v>16</v>
      </c>
      <c r="B122" t="s">
        <v>19</v>
      </c>
      <c r="C122">
        <v>34761661</v>
      </c>
      <c r="D122" t="s">
        <v>43</v>
      </c>
      <c r="E122" t="s">
        <v>51</v>
      </c>
      <c r="F122" s="4">
        <v>41382</v>
      </c>
      <c r="G122" s="4">
        <v>41389</v>
      </c>
      <c r="H122" t="s">
        <v>45</v>
      </c>
      <c r="I122" t="s">
        <v>46</v>
      </c>
      <c r="J122" t="s">
        <v>6</v>
      </c>
      <c r="K122">
        <v>2</v>
      </c>
    </row>
    <row r="123" spans="1:11" x14ac:dyDescent="0.25">
      <c r="A123" t="s">
        <v>16</v>
      </c>
      <c r="B123" t="s">
        <v>19</v>
      </c>
      <c r="C123">
        <v>34761661</v>
      </c>
      <c r="D123" t="s">
        <v>43</v>
      </c>
      <c r="E123" t="s">
        <v>51</v>
      </c>
      <c r="F123" s="4">
        <v>41382</v>
      </c>
      <c r="G123" s="4">
        <v>41389</v>
      </c>
      <c r="H123" t="s">
        <v>45</v>
      </c>
      <c r="I123" t="s">
        <v>46</v>
      </c>
      <c r="J123" t="s">
        <v>7</v>
      </c>
      <c r="K123">
        <v>0</v>
      </c>
    </row>
    <row r="124" spans="1:11" x14ac:dyDescent="0.25">
      <c r="A124" t="s">
        <v>16</v>
      </c>
      <c r="B124" t="s">
        <v>19</v>
      </c>
      <c r="C124">
        <v>34761661</v>
      </c>
      <c r="D124" t="s">
        <v>43</v>
      </c>
      <c r="E124" t="s">
        <v>51</v>
      </c>
      <c r="F124" s="4">
        <v>41382</v>
      </c>
      <c r="G124" s="4">
        <v>41389</v>
      </c>
      <c r="H124" t="s">
        <v>45</v>
      </c>
      <c r="I124" t="s">
        <v>46</v>
      </c>
      <c r="J124" t="s">
        <v>8</v>
      </c>
      <c r="K124">
        <v>0</v>
      </c>
    </row>
    <row r="125" spans="1:11" x14ac:dyDescent="0.25">
      <c r="A125" t="s">
        <v>16</v>
      </c>
      <c r="B125" t="s">
        <v>19</v>
      </c>
      <c r="C125">
        <v>34761661</v>
      </c>
      <c r="D125" t="s">
        <v>43</v>
      </c>
      <c r="E125" t="s">
        <v>51</v>
      </c>
      <c r="F125" s="4">
        <v>41382</v>
      </c>
      <c r="G125" s="4">
        <v>41389</v>
      </c>
      <c r="H125" t="s">
        <v>45</v>
      </c>
      <c r="I125" t="s">
        <v>46</v>
      </c>
      <c r="J125" t="s">
        <v>9</v>
      </c>
      <c r="K125">
        <v>0</v>
      </c>
    </row>
    <row r="126" spans="1:11" x14ac:dyDescent="0.25">
      <c r="A126" t="s">
        <v>16</v>
      </c>
      <c r="B126" t="s">
        <v>19</v>
      </c>
      <c r="C126">
        <v>34761661</v>
      </c>
      <c r="D126" t="s">
        <v>43</v>
      </c>
      <c r="E126" t="s">
        <v>51</v>
      </c>
      <c r="F126" s="4">
        <v>41382</v>
      </c>
      <c r="G126" s="4">
        <v>41389</v>
      </c>
      <c r="H126" t="s">
        <v>45</v>
      </c>
      <c r="I126" t="s">
        <v>46</v>
      </c>
      <c r="J126" t="s">
        <v>10</v>
      </c>
      <c r="K126">
        <v>0</v>
      </c>
    </row>
    <row r="127" spans="1:11" x14ac:dyDescent="0.25">
      <c r="A127" t="s">
        <v>16</v>
      </c>
      <c r="B127" t="s">
        <v>19</v>
      </c>
      <c r="C127">
        <v>34761661</v>
      </c>
      <c r="D127" t="s">
        <v>43</v>
      </c>
      <c r="E127" t="s">
        <v>51</v>
      </c>
      <c r="F127" s="4">
        <v>41382</v>
      </c>
      <c r="G127" s="4">
        <v>41389</v>
      </c>
      <c r="H127" t="s">
        <v>45</v>
      </c>
      <c r="I127" t="s">
        <v>46</v>
      </c>
      <c r="J127" t="s">
        <v>11</v>
      </c>
      <c r="K127">
        <v>0</v>
      </c>
    </row>
    <row r="128" spans="1:11" x14ac:dyDescent="0.25">
      <c r="A128" t="s">
        <v>16</v>
      </c>
      <c r="B128" t="s">
        <v>19</v>
      </c>
      <c r="C128">
        <v>34761661</v>
      </c>
      <c r="D128" t="s">
        <v>43</v>
      </c>
      <c r="E128" t="s">
        <v>51</v>
      </c>
      <c r="F128" s="4">
        <v>41382</v>
      </c>
      <c r="G128" s="4">
        <v>41389</v>
      </c>
      <c r="H128" t="s">
        <v>45</v>
      </c>
      <c r="I128" t="s">
        <v>46</v>
      </c>
      <c r="J128" t="s">
        <v>12</v>
      </c>
      <c r="K128">
        <v>3</v>
      </c>
    </row>
    <row r="129" spans="1:11" x14ac:dyDescent="0.25">
      <c r="A129" t="s">
        <v>16</v>
      </c>
      <c r="B129" t="s">
        <v>19</v>
      </c>
      <c r="C129">
        <v>34761661</v>
      </c>
      <c r="D129" t="s">
        <v>43</v>
      </c>
      <c r="E129" t="s">
        <v>51</v>
      </c>
      <c r="F129" s="4">
        <v>41382</v>
      </c>
      <c r="G129" s="4">
        <v>41389</v>
      </c>
      <c r="H129" t="s">
        <v>45</v>
      </c>
      <c r="I129" t="s">
        <v>46</v>
      </c>
      <c r="J129" t="s">
        <v>13</v>
      </c>
      <c r="K129">
        <v>1</v>
      </c>
    </row>
    <row r="130" spans="1:11" x14ac:dyDescent="0.25">
      <c r="A130" t="s">
        <v>16</v>
      </c>
      <c r="B130" t="s">
        <v>19</v>
      </c>
      <c r="C130">
        <v>34761661</v>
      </c>
      <c r="D130" t="s">
        <v>43</v>
      </c>
      <c r="E130" t="s">
        <v>51</v>
      </c>
      <c r="F130" s="4">
        <v>41382</v>
      </c>
      <c r="G130" s="4">
        <v>41389</v>
      </c>
      <c r="H130" t="s">
        <v>45</v>
      </c>
      <c r="I130" t="s">
        <v>46</v>
      </c>
      <c r="J130" t="s">
        <v>14</v>
      </c>
      <c r="K130">
        <v>2</v>
      </c>
    </row>
    <row r="131" spans="1:11" x14ac:dyDescent="0.25">
      <c r="A131" t="s">
        <v>16</v>
      </c>
      <c r="B131" t="s">
        <v>19</v>
      </c>
      <c r="C131">
        <v>34761661</v>
      </c>
      <c r="D131" t="s">
        <v>43</v>
      </c>
      <c r="E131" t="s">
        <v>51</v>
      </c>
      <c r="F131" s="4">
        <v>41382</v>
      </c>
      <c r="G131" s="4">
        <v>41389</v>
      </c>
      <c r="H131" t="s">
        <v>45</v>
      </c>
      <c r="I131" t="s">
        <v>46</v>
      </c>
      <c r="J131" t="s">
        <v>15</v>
      </c>
      <c r="K131">
        <v>2</v>
      </c>
    </row>
    <row r="132" spans="1:11" x14ac:dyDescent="0.25">
      <c r="A132" t="s">
        <v>16</v>
      </c>
      <c r="B132" t="s">
        <v>20</v>
      </c>
      <c r="C132">
        <v>34761661</v>
      </c>
      <c r="D132" t="s">
        <v>43</v>
      </c>
      <c r="E132" t="s">
        <v>51</v>
      </c>
      <c r="F132" s="4">
        <v>41382</v>
      </c>
      <c r="G132" s="4">
        <v>41406</v>
      </c>
      <c r="H132" t="s">
        <v>45</v>
      </c>
      <c r="I132" t="s">
        <v>47</v>
      </c>
      <c r="J132" t="s">
        <v>6</v>
      </c>
      <c r="K132">
        <v>0</v>
      </c>
    </row>
    <row r="133" spans="1:11" x14ac:dyDescent="0.25">
      <c r="A133" t="s">
        <v>16</v>
      </c>
      <c r="B133" t="s">
        <v>20</v>
      </c>
      <c r="C133">
        <v>34761661</v>
      </c>
      <c r="D133" t="s">
        <v>43</v>
      </c>
      <c r="E133" t="s">
        <v>51</v>
      </c>
      <c r="F133" s="4">
        <v>41382</v>
      </c>
      <c r="G133" s="4">
        <v>41406</v>
      </c>
      <c r="H133" t="s">
        <v>45</v>
      </c>
      <c r="I133" t="s">
        <v>47</v>
      </c>
      <c r="J133" t="s">
        <v>7</v>
      </c>
      <c r="K133">
        <v>1</v>
      </c>
    </row>
    <row r="134" spans="1:11" x14ac:dyDescent="0.25">
      <c r="A134" t="s">
        <v>16</v>
      </c>
      <c r="B134" t="s">
        <v>20</v>
      </c>
      <c r="C134">
        <v>34761661</v>
      </c>
      <c r="D134" t="s">
        <v>43</v>
      </c>
      <c r="E134" t="s">
        <v>51</v>
      </c>
      <c r="F134" s="4">
        <v>41382</v>
      </c>
      <c r="G134" s="4">
        <v>41406</v>
      </c>
      <c r="H134" t="s">
        <v>45</v>
      </c>
      <c r="I134" t="s">
        <v>47</v>
      </c>
      <c r="J134" t="s">
        <v>8</v>
      </c>
      <c r="K134">
        <v>3</v>
      </c>
    </row>
    <row r="135" spans="1:11" x14ac:dyDescent="0.25">
      <c r="A135" t="s">
        <v>16</v>
      </c>
      <c r="B135" t="s">
        <v>20</v>
      </c>
      <c r="C135">
        <v>34761661</v>
      </c>
      <c r="D135" t="s">
        <v>43</v>
      </c>
      <c r="E135" t="s">
        <v>51</v>
      </c>
      <c r="F135" s="4">
        <v>41382</v>
      </c>
      <c r="G135" s="4">
        <v>41406</v>
      </c>
      <c r="H135" t="s">
        <v>45</v>
      </c>
      <c r="I135" t="s">
        <v>47</v>
      </c>
      <c r="J135" t="s">
        <v>9</v>
      </c>
      <c r="K135">
        <v>1</v>
      </c>
    </row>
    <row r="136" spans="1:11" x14ac:dyDescent="0.25">
      <c r="A136" t="s">
        <v>16</v>
      </c>
      <c r="B136" t="s">
        <v>20</v>
      </c>
      <c r="C136">
        <v>34761661</v>
      </c>
      <c r="D136" t="s">
        <v>43</v>
      </c>
      <c r="E136" t="s">
        <v>51</v>
      </c>
      <c r="F136" s="4">
        <v>41382</v>
      </c>
      <c r="G136" s="4">
        <v>41406</v>
      </c>
      <c r="H136" t="s">
        <v>45</v>
      </c>
      <c r="I136" t="s">
        <v>47</v>
      </c>
      <c r="J136" t="s">
        <v>10</v>
      </c>
      <c r="K136">
        <v>0</v>
      </c>
    </row>
    <row r="137" spans="1:11" x14ac:dyDescent="0.25">
      <c r="A137" t="s">
        <v>16</v>
      </c>
      <c r="B137" t="s">
        <v>20</v>
      </c>
      <c r="C137">
        <v>34761661</v>
      </c>
      <c r="D137" t="s">
        <v>43</v>
      </c>
      <c r="E137" t="s">
        <v>51</v>
      </c>
      <c r="F137" s="4">
        <v>41382</v>
      </c>
      <c r="G137" s="4">
        <v>41406</v>
      </c>
      <c r="H137" t="s">
        <v>45</v>
      </c>
      <c r="I137" t="s">
        <v>47</v>
      </c>
      <c r="J137" t="s">
        <v>11</v>
      </c>
      <c r="K137">
        <v>0</v>
      </c>
    </row>
    <row r="138" spans="1:11" x14ac:dyDescent="0.25">
      <c r="A138" t="s">
        <v>16</v>
      </c>
      <c r="B138" t="s">
        <v>20</v>
      </c>
      <c r="C138">
        <v>34761661</v>
      </c>
      <c r="D138" t="s">
        <v>43</v>
      </c>
      <c r="E138" t="s">
        <v>51</v>
      </c>
      <c r="F138" s="4">
        <v>41382</v>
      </c>
      <c r="G138" s="4">
        <v>41406</v>
      </c>
      <c r="H138" t="s">
        <v>45</v>
      </c>
      <c r="I138" t="s">
        <v>47</v>
      </c>
      <c r="J138" t="s">
        <v>12</v>
      </c>
      <c r="K138">
        <v>0</v>
      </c>
    </row>
    <row r="139" spans="1:11" x14ac:dyDescent="0.25">
      <c r="A139" t="s">
        <v>16</v>
      </c>
      <c r="B139" t="s">
        <v>20</v>
      </c>
      <c r="C139">
        <v>34761661</v>
      </c>
      <c r="D139" t="s">
        <v>43</v>
      </c>
      <c r="E139" t="s">
        <v>51</v>
      </c>
      <c r="F139" s="4">
        <v>41382</v>
      </c>
      <c r="G139" s="4">
        <v>41406</v>
      </c>
      <c r="H139" t="s">
        <v>45</v>
      </c>
      <c r="I139" t="s">
        <v>47</v>
      </c>
      <c r="J139" t="s">
        <v>13</v>
      </c>
      <c r="K139">
        <v>0</v>
      </c>
    </row>
    <row r="140" spans="1:11" x14ac:dyDescent="0.25">
      <c r="A140" t="s">
        <v>16</v>
      </c>
      <c r="B140" t="s">
        <v>20</v>
      </c>
      <c r="C140">
        <v>34761661</v>
      </c>
      <c r="D140" t="s">
        <v>43</v>
      </c>
      <c r="E140" t="s">
        <v>51</v>
      </c>
      <c r="F140" s="4">
        <v>41382</v>
      </c>
      <c r="G140" s="4">
        <v>41406</v>
      </c>
      <c r="H140" t="s">
        <v>45</v>
      </c>
      <c r="I140" t="s">
        <v>47</v>
      </c>
      <c r="J140" t="s">
        <v>14</v>
      </c>
      <c r="K140">
        <v>3</v>
      </c>
    </row>
    <row r="141" spans="1:11" x14ac:dyDescent="0.25">
      <c r="A141" t="s">
        <v>16</v>
      </c>
      <c r="B141" t="s">
        <v>20</v>
      </c>
      <c r="C141">
        <v>34761661</v>
      </c>
      <c r="D141" t="s">
        <v>43</v>
      </c>
      <c r="E141" t="s">
        <v>51</v>
      </c>
      <c r="F141" s="4">
        <v>41382</v>
      </c>
      <c r="G141" s="4">
        <v>41406</v>
      </c>
      <c r="H141" t="s">
        <v>45</v>
      </c>
      <c r="I141" t="s">
        <v>47</v>
      </c>
      <c r="J141" t="s">
        <v>15</v>
      </c>
      <c r="K141">
        <v>2</v>
      </c>
    </row>
    <row r="142" spans="1:11" x14ac:dyDescent="0.25">
      <c r="A142" t="s">
        <v>16</v>
      </c>
      <c r="B142" t="s">
        <v>21</v>
      </c>
      <c r="C142">
        <v>16708725</v>
      </c>
      <c r="D142" t="s">
        <v>43</v>
      </c>
      <c r="E142" t="s">
        <v>51</v>
      </c>
      <c r="F142" s="4">
        <v>41360</v>
      </c>
      <c r="G142" s="4">
        <v>41401</v>
      </c>
      <c r="H142" t="s">
        <v>45</v>
      </c>
      <c r="I142" t="s">
        <v>46</v>
      </c>
      <c r="J142" t="s">
        <v>6</v>
      </c>
      <c r="K142">
        <v>0</v>
      </c>
    </row>
    <row r="143" spans="1:11" x14ac:dyDescent="0.25">
      <c r="A143" t="s">
        <v>16</v>
      </c>
      <c r="B143" t="s">
        <v>21</v>
      </c>
      <c r="C143">
        <v>16708725</v>
      </c>
      <c r="D143" t="s">
        <v>43</v>
      </c>
      <c r="E143" t="s">
        <v>51</v>
      </c>
      <c r="F143" s="4">
        <v>41360</v>
      </c>
      <c r="G143" s="4">
        <v>41401</v>
      </c>
      <c r="H143" t="s">
        <v>45</v>
      </c>
      <c r="I143" t="s">
        <v>46</v>
      </c>
      <c r="J143" t="s">
        <v>7</v>
      </c>
      <c r="K143">
        <v>0</v>
      </c>
    </row>
    <row r="144" spans="1:11" x14ac:dyDescent="0.25">
      <c r="A144" t="s">
        <v>16</v>
      </c>
      <c r="B144" t="s">
        <v>21</v>
      </c>
      <c r="C144">
        <v>16708725</v>
      </c>
      <c r="D144" t="s">
        <v>43</v>
      </c>
      <c r="E144" t="s">
        <v>51</v>
      </c>
      <c r="F144" s="4">
        <v>41360</v>
      </c>
      <c r="G144" s="4">
        <v>41401</v>
      </c>
      <c r="H144" t="s">
        <v>45</v>
      </c>
      <c r="I144" t="s">
        <v>46</v>
      </c>
      <c r="J144" t="s">
        <v>8</v>
      </c>
      <c r="K144">
        <v>0</v>
      </c>
    </row>
    <row r="145" spans="1:11" x14ac:dyDescent="0.25">
      <c r="A145" t="s">
        <v>16</v>
      </c>
      <c r="B145" t="s">
        <v>21</v>
      </c>
      <c r="C145">
        <v>16708725</v>
      </c>
      <c r="D145" t="s">
        <v>43</v>
      </c>
      <c r="E145" t="s">
        <v>51</v>
      </c>
      <c r="F145" s="4">
        <v>41360</v>
      </c>
      <c r="G145" s="4">
        <v>41401</v>
      </c>
      <c r="H145" t="s">
        <v>45</v>
      </c>
      <c r="I145" t="s">
        <v>46</v>
      </c>
      <c r="J145" t="s">
        <v>9</v>
      </c>
      <c r="K145">
        <v>3</v>
      </c>
    </row>
    <row r="146" spans="1:11" x14ac:dyDescent="0.25">
      <c r="A146" t="s">
        <v>16</v>
      </c>
      <c r="B146" t="s">
        <v>21</v>
      </c>
      <c r="C146">
        <v>16708725</v>
      </c>
      <c r="D146" t="s">
        <v>43</v>
      </c>
      <c r="E146" t="s">
        <v>51</v>
      </c>
      <c r="F146" s="4">
        <v>41360</v>
      </c>
      <c r="G146" s="4">
        <v>41401</v>
      </c>
      <c r="H146" t="s">
        <v>45</v>
      </c>
      <c r="I146" t="s">
        <v>46</v>
      </c>
      <c r="J146" t="s">
        <v>10</v>
      </c>
      <c r="K146">
        <v>0</v>
      </c>
    </row>
    <row r="147" spans="1:11" x14ac:dyDescent="0.25">
      <c r="A147" t="s">
        <v>16</v>
      </c>
      <c r="B147" t="s">
        <v>21</v>
      </c>
      <c r="C147">
        <v>16708725</v>
      </c>
      <c r="D147" t="s">
        <v>43</v>
      </c>
      <c r="E147" t="s">
        <v>51</v>
      </c>
      <c r="F147" s="4">
        <v>41360</v>
      </c>
      <c r="G147" s="4">
        <v>41401</v>
      </c>
      <c r="H147" t="s">
        <v>45</v>
      </c>
      <c r="I147" t="s">
        <v>46</v>
      </c>
      <c r="J147" t="s">
        <v>11</v>
      </c>
      <c r="K147">
        <v>0</v>
      </c>
    </row>
    <row r="148" spans="1:11" x14ac:dyDescent="0.25">
      <c r="A148" t="s">
        <v>16</v>
      </c>
      <c r="B148" t="s">
        <v>21</v>
      </c>
      <c r="C148">
        <v>16708725</v>
      </c>
      <c r="D148" t="s">
        <v>43</v>
      </c>
      <c r="E148" t="s">
        <v>51</v>
      </c>
      <c r="F148" s="4">
        <v>41360</v>
      </c>
      <c r="G148" s="4">
        <v>41401</v>
      </c>
      <c r="H148" t="s">
        <v>45</v>
      </c>
      <c r="I148" t="s">
        <v>46</v>
      </c>
      <c r="J148" t="s">
        <v>12</v>
      </c>
      <c r="K148">
        <v>3</v>
      </c>
    </row>
    <row r="149" spans="1:11" x14ac:dyDescent="0.25">
      <c r="A149" t="s">
        <v>16</v>
      </c>
      <c r="B149" t="s">
        <v>21</v>
      </c>
      <c r="C149">
        <v>16708725</v>
      </c>
      <c r="D149" t="s">
        <v>43</v>
      </c>
      <c r="E149" t="s">
        <v>51</v>
      </c>
      <c r="F149" s="4">
        <v>41360</v>
      </c>
      <c r="G149" s="4">
        <v>41401</v>
      </c>
      <c r="H149" t="s">
        <v>45</v>
      </c>
      <c r="I149" t="s">
        <v>46</v>
      </c>
      <c r="J149" t="s">
        <v>13</v>
      </c>
      <c r="K149">
        <v>1</v>
      </c>
    </row>
    <row r="150" spans="1:11" x14ac:dyDescent="0.25">
      <c r="A150" t="s">
        <v>16</v>
      </c>
      <c r="B150" t="s">
        <v>21</v>
      </c>
      <c r="C150">
        <v>16708725</v>
      </c>
      <c r="D150" t="s">
        <v>43</v>
      </c>
      <c r="E150" t="s">
        <v>51</v>
      </c>
      <c r="F150" s="4">
        <v>41360</v>
      </c>
      <c r="G150" s="4">
        <v>41401</v>
      </c>
      <c r="H150" t="s">
        <v>45</v>
      </c>
      <c r="I150" t="s">
        <v>46</v>
      </c>
      <c r="J150" t="s">
        <v>14</v>
      </c>
      <c r="K150">
        <v>0</v>
      </c>
    </row>
    <row r="151" spans="1:11" x14ac:dyDescent="0.25">
      <c r="A151" t="s">
        <v>16</v>
      </c>
      <c r="B151" t="s">
        <v>21</v>
      </c>
      <c r="C151">
        <v>16708725</v>
      </c>
      <c r="D151" t="s">
        <v>43</v>
      </c>
      <c r="E151" t="s">
        <v>51</v>
      </c>
      <c r="F151" s="4">
        <v>41360</v>
      </c>
      <c r="G151" s="4">
        <v>41401</v>
      </c>
      <c r="H151" t="s">
        <v>45</v>
      </c>
      <c r="I151" t="s">
        <v>46</v>
      </c>
      <c r="J151" t="s">
        <v>15</v>
      </c>
      <c r="K151">
        <v>1</v>
      </c>
    </row>
    <row r="152" spans="1:11" x14ac:dyDescent="0.25">
      <c r="A152" t="s">
        <v>16</v>
      </c>
      <c r="B152" t="s">
        <v>19</v>
      </c>
      <c r="C152">
        <v>16708725</v>
      </c>
      <c r="D152" t="s">
        <v>43</v>
      </c>
      <c r="E152" t="s">
        <v>51</v>
      </c>
      <c r="F152" s="4">
        <v>41360</v>
      </c>
      <c r="G152" s="4">
        <v>41461</v>
      </c>
      <c r="H152" t="s">
        <v>45</v>
      </c>
      <c r="I152" t="s">
        <v>47</v>
      </c>
      <c r="J152" t="s">
        <v>6</v>
      </c>
      <c r="K152">
        <v>2</v>
      </c>
    </row>
    <row r="153" spans="1:11" x14ac:dyDescent="0.25">
      <c r="A153" t="s">
        <v>16</v>
      </c>
      <c r="B153" t="s">
        <v>19</v>
      </c>
      <c r="C153">
        <v>16708725</v>
      </c>
      <c r="D153" t="s">
        <v>43</v>
      </c>
      <c r="E153" t="s">
        <v>51</v>
      </c>
      <c r="F153" s="4">
        <v>41360</v>
      </c>
      <c r="G153" s="4">
        <v>41461</v>
      </c>
      <c r="H153" t="s">
        <v>45</v>
      </c>
      <c r="I153" t="s">
        <v>47</v>
      </c>
      <c r="J153" t="s">
        <v>7</v>
      </c>
      <c r="K153">
        <v>0</v>
      </c>
    </row>
    <row r="154" spans="1:11" x14ac:dyDescent="0.25">
      <c r="A154" t="s">
        <v>16</v>
      </c>
      <c r="B154" t="s">
        <v>19</v>
      </c>
      <c r="C154">
        <v>16708725</v>
      </c>
      <c r="D154" t="s">
        <v>43</v>
      </c>
      <c r="E154" t="s">
        <v>51</v>
      </c>
      <c r="F154" s="4">
        <v>41360</v>
      </c>
      <c r="G154" s="4">
        <v>41461</v>
      </c>
      <c r="H154" t="s">
        <v>45</v>
      </c>
      <c r="I154" t="s">
        <v>47</v>
      </c>
      <c r="J154" t="s">
        <v>8</v>
      </c>
      <c r="K154">
        <v>1</v>
      </c>
    </row>
    <row r="155" spans="1:11" x14ac:dyDescent="0.25">
      <c r="A155" t="s">
        <v>16</v>
      </c>
      <c r="B155" t="s">
        <v>19</v>
      </c>
      <c r="C155">
        <v>16708725</v>
      </c>
      <c r="D155" t="s">
        <v>43</v>
      </c>
      <c r="E155" t="s">
        <v>51</v>
      </c>
      <c r="F155" s="4">
        <v>41360</v>
      </c>
      <c r="G155" s="4">
        <v>41461</v>
      </c>
      <c r="H155" t="s">
        <v>45</v>
      </c>
      <c r="I155" t="s">
        <v>47</v>
      </c>
      <c r="J155" t="s">
        <v>9</v>
      </c>
      <c r="K155">
        <v>0</v>
      </c>
    </row>
    <row r="156" spans="1:11" x14ac:dyDescent="0.25">
      <c r="A156" t="s">
        <v>16</v>
      </c>
      <c r="B156" t="s">
        <v>19</v>
      </c>
      <c r="C156">
        <v>16708725</v>
      </c>
      <c r="D156" t="s">
        <v>43</v>
      </c>
      <c r="E156" t="s">
        <v>51</v>
      </c>
      <c r="F156" s="4">
        <v>41360</v>
      </c>
      <c r="G156" s="4">
        <v>41461</v>
      </c>
      <c r="H156" t="s">
        <v>45</v>
      </c>
      <c r="I156" t="s">
        <v>47</v>
      </c>
      <c r="J156" t="s">
        <v>10</v>
      </c>
      <c r="K156">
        <v>0</v>
      </c>
    </row>
    <row r="157" spans="1:11" x14ac:dyDescent="0.25">
      <c r="A157" t="s">
        <v>16</v>
      </c>
      <c r="B157" t="s">
        <v>19</v>
      </c>
      <c r="C157">
        <v>16708725</v>
      </c>
      <c r="D157" t="s">
        <v>43</v>
      </c>
      <c r="E157" t="s">
        <v>51</v>
      </c>
      <c r="F157" s="4">
        <v>41360</v>
      </c>
      <c r="G157" s="4">
        <v>41461</v>
      </c>
      <c r="H157" t="s">
        <v>45</v>
      </c>
      <c r="I157" t="s">
        <v>47</v>
      </c>
      <c r="J157" t="s">
        <v>11</v>
      </c>
      <c r="K157">
        <v>1</v>
      </c>
    </row>
    <row r="158" spans="1:11" x14ac:dyDescent="0.25">
      <c r="A158" t="s">
        <v>16</v>
      </c>
      <c r="B158" t="s">
        <v>19</v>
      </c>
      <c r="C158">
        <v>16708725</v>
      </c>
      <c r="D158" t="s">
        <v>43</v>
      </c>
      <c r="E158" t="s">
        <v>51</v>
      </c>
      <c r="F158" s="4">
        <v>41360</v>
      </c>
      <c r="G158" s="4">
        <v>41461</v>
      </c>
      <c r="H158" t="s">
        <v>45</v>
      </c>
      <c r="I158" t="s">
        <v>47</v>
      </c>
      <c r="J158" t="s">
        <v>12</v>
      </c>
      <c r="K158">
        <v>0</v>
      </c>
    </row>
    <row r="159" spans="1:11" x14ac:dyDescent="0.25">
      <c r="A159" t="s">
        <v>16</v>
      </c>
      <c r="B159" t="s">
        <v>19</v>
      </c>
      <c r="C159">
        <v>16708725</v>
      </c>
      <c r="D159" t="s">
        <v>43</v>
      </c>
      <c r="E159" t="s">
        <v>51</v>
      </c>
      <c r="F159" s="4">
        <v>41360</v>
      </c>
      <c r="G159" s="4">
        <v>41461</v>
      </c>
      <c r="H159" t="s">
        <v>45</v>
      </c>
      <c r="I159" t="s">
        <v>47</v>
      </c>
      <c r="J159" t="s">
        <v>13</v>
      </c>
      <c r="K159">
        <v>1</v>
      </c>
    </row>
    <row r="160" spans="1:11" x14ac:dyDescent="0.25">
      <c r="A160" t="s">
        <v>16</v>
      </c>
      <c r="B160" t="s">
        <v>19</v>
      </c>
      <c r="C160">
        <v>16708725</v>
      </c>
      <c r="D160" t="s">
        <v>43</v>
      </c>
      <c r="E160" t="s">
        <v>51</v>
      </c>
      <c r="F160" s="4">
        <v>41360</v>
      </c>
      <c r="G160" s="4">
        <v>41461</v>
      </c>
      <c r="H160" t="s">
        <v>45</v>
      </c>
      <c r="I160" t="s">
        <v>47</v>
      </c>
      <c r="J160" t="s">
        <v>14</v>
      </c>
      <c r="K160">
        <v>1</v>
      </c>
    </row>
    <row r="161" spans="1:11" x14ac:dyDescent="0.25">
      <c r="A161" t="s">
        <v>16</v>
      </c>
      <c r="B161" t="s">
        <v>19</v>
      </c>
      <c r="C161">
        <v>16708725</v>
      </c>
      <c r="D161" t="s">
        <v>43</v>
      </c>
      <c r="E161" t="s">
        <v>51</v>
      </c>
      <c r="F161" s="4">
        <v>41360</v>
      </c>
      <c r="G161" s="4">
        <v>41461</v>
      </c>
      <c r="H161" t="s">
        <v>45</v>
      </c>
      <c r="I161" t="s">
        <v>47</v>
      </c>
      <c r="J161" t="s">
        <v>15</v>
      </c>
      <c r="K161">
        <v>1</v>
      </c>
    </row>
    <row r="162" spans="1:11" x14ac:dyDescent="0.25">
      <c r="A162" t="s">
        <v>16</v>
      </c>
      <c r="B162" t="s">
        <v>20</v>
      </c>
      <c r="C162">
        <v>16708725</v>
      </c>
      <c r="D162" t="s">
        <v>43</v>
      </c>
      <c r="E162" t="s">
        <v>51</v>
      </c>
      <c r="F162" s="4">
        <v>41360</v>
      </c>
      <c r="G162" s="4">
        <v>41497</v>
      </c>
      <c r="H162" t="s">
        <v>45</v>
      </c>
      <c r="I162" t="s">
        <v>47</v>
      </c>
      <c r="J162" t="s">
        <v>6</v>
      </c>
      <c r="K162">
        <v>1</v>
      </c>
    </row>
    <row r="163" spans="1:11" x14ac:dyDescent="0.25">
      <c r="A163" t="s">
        <v>16</v>
      </c>
      <c r="B163" t="s">
        <v>20</v>
      </c>
      <c r="C163">
        <v>16708725</v>
      </c>
      <c r="D163" t="s">
        <v>43</v>
      </c>
      <c r="E163" t="s">
        <v>51</v>
      </c>
      <c r="F163" s="4">
        <v>41360</v>
      </c>
      <c r="G163" s="4">
        <v>41497</v>
      </c>
      <c r="H163" t="s">
        <v>45</v>
      </c>
      <c r="I163" t="s">
        <v>47</v>
      </c>
      <c r="J163" t="s">
        <v>7</v>
      </c>
      <c r="K163">
        <v>2</v>
      </c>
    </row>
    <row r="164" spans="1:11" x14ac:dyDescent="0.25">
      <c r="A164" t="s">
        <v>16</v>
      </c>
      <c r="B164" t="s">
        <v>20</v>
      </c>
      <c r="C164">
        <v>16708725</v>
      </c>
      <c r="D164" t="s">
        <v>43</v>
      </c>
      <c r="E164" t="s">
        <v>51</v>
      </c>
      <c r="F164" s="4">
        <v>41360</v>
      </c>
      <c r="G164" s="4">
        <v>41497</v>
      </c>
      <c r="H164" t="s">
        <v>45</v>
      </c>
      <c r="I164" t="s">
        <v>47</v>
      </c>
      <c r="J164" t="s">
        <v>8</v>
      </c>
      <c r="K164">
        <v>1</v>
      </c>
    </row>
    <row r="165" spans="1:11" x14ac:dyDescent="0.25">
      <c r="A165" t="s">
        <v>16</v>
      </c>
      <c r="B165" t="s">
        <v>20</v>
      </c>
      <c r="C165">
        <v>16708725</v>
      </c>
      <c r="D165" t="s">
        <v>43</v>
      </c>
      <c r="E165" t="s">
        <v>51</v>
      </c>
      <c r="F165" s="4">
        <v>41360</v>
      </c>
      <c r="G165" s="4">
        <v>41497</v>
      </c>
      <c r="H165" t="s">
        <v>45</v>
      </c>
      <c r="I165" t="s">
        <v>47</v>
      </c>
      <c r="J165" t="s">
        <v>9</v>
      </c>
      <c r="K165">
        <v>2</v>
      </c>
    </row>
    <row r="166" spans="1:11" x14ac:dyDescent="0.25">
      <c r="A166" t="s">
        <v>16</v>
      </c>
      <c r="B166" t="s">
        <v>20</v>
      </c>
      <c r="C166">
        <v>16708725</v>
      </c>
      <c r="D166" t="s">
        <v>43</v>
      </c>
      <c r="E166" t="s">
        <v>51</v>
      </c>
      <c r="F166" s="4">
        <v>41360</v>
      </c>
      <c r="G166" s="4">
        <v>41497</v>
      </c>
      <c r="H166" t="s">
        <v>45</v>
      </c>
      <c r="I166" t="s">
        <v>47</v>
      </c>
      <c r="J166" t="s">
        <v>10</v>
      </c>
      <c r="K166">
        <v>0</v>
      </c>
    </row>
    <row r="167" spans="1:11" x14ac:dyDescent="0.25">
      <c r="A167" t="s">
        <v>16</v>
      </c>
      <c r="B167" t="s">
        <v>20</v>
      </c>
      <c r="C167">
        <v>16708725</v>
      </c>
      <c r="D167" t="s">
        <v>43</v>
      </c>
      <c r="E167" t="s">
        <v>51</v>
      </c>
      <c r="F167" s="4">
        <v>41360</v>
      </c>
      <c r="G167" s="4">
        <v>41497</v>
      </c>
      <c r="H167" t="s">
        <v>45</v>
      </c>
      <c r="I167" t="s">
        <v>47</v>
      </c>
      <c r="J167" t="s">
        <v>11</v>
      </c>
      <c r="K167">
        <v>3</v>
      </c>
    </row>
    <row r="168" spans="1:11" x14ac:dyDescent="0.25">
      <c r="A168" t="s">
        <v>16</v>
      </c>
      <c r="B168" t="s">
        <v>20</v>
      </c>
      <c r="C168">
        <v>16708725</v>
      </c>
      <c r="D168" t="s">
        <v>43</v>
      </c>
      <c r="E168" t="s">
        <v>51</v>
      </c>
      <c r="F168" s="4">
        <v>41360</v>
      </c>
      <c r="G168" s="4">
        <v>41497</v>
      </c>
      <c r="H168" t="s">
        <v>45</v>
      </c>
      <c r="I168" t="s">
        <v>47</v>
      </c>
      <c r="J168" t="s">
        <v>12</v>
      </c>
      <c r="K168">
        <v>1</v>
      </c>
    </row>
    <row r="169" spans="1:11" x14ac:dyDescent="0.25">
      <c r="A169" t="s">
        <v>16</v>
      </c>
      <c r="B169" t="s">
        <v>20</v>
      </c>
      <c r="C169">
        <v>16708725</v>
      </c>
      <c r="D169" t="s">
        <v>43</v>
      </c>
      <c r="E169" t="s">
        <v>51</v>
      </c>
      <c r="F169" s="4">
        <v>41360</v>
      </c>
      <c r="G169" s="4">
        <v>41497</v>
      </c>
      <c r="H169" t="s">
        <v>45</v>
      </c>
      <c r="I169" t="s">
        <v>47</v>
      </c>
      <c r="J169" t="s">
        <v>13</v>
      </c>
      <c r="K169">
        <v>0</v>
      </c>
    </row>
    <row r="170" spans="1:11" x14ac:dyDescent="0.25">
      <c r="A170" t="s">
        <v>16</v>
      </c>
      <c r="B170" t="s">
        <v>20</v>
      </c>
      <c r="C170">
        <v>16708725</v>
      </c>
      <c r="D170" t="s">
        <v>43</v>
      </c>
      <c r="E170" t="s">
        <v>51</v>
      </c>
      <c r="F170" s="4">
        <v>41360</v>
      </c>
      <c r="G170" s="4">
        <v>41497</v>
      </c>
      <c r="H170" t="s">
        <v>45</v>
      </c>
      <c r="I170" t="s">
        <v>47</v>
      </c>
      <c r="J170" t="s">
        <v>14</v>
      </c>
      <c r="K170">
        <v>2</v>
      </c>
    </row>
    <row r="171" spans="1:11" x14ac:dyDescent="0.25">
      <c r="A171" t="s">
        <v>16</v>
      </c>
      <c r="B171" t="s">
        <v>20</v>
      </c>
      <c r="C171">
        <v>16708725</v>
      </c>
      <c r="D171" t="s">
        <v>43</v>
      </c>
      <c r="E171" t="s">
        <v>51</v>
      </c>
      <c r="F171" s="4">
        <v>41360</v>
      </c>
      <c r="G171" s="4">
        <v>41497</v>
      </c>
      <c r="H171" t="s">
        <v>45</v>
      </c>
      <c r="I171" t="s">
        <v>47</v>
      </c>
      <c r="J171" t="s">
        <v>15</v>
      </c>
      <c r="K171">
        <v>2</v>
      </c>
    </row>
    <row r="172" spans="1:11" x14ac:dyDescent="0.25">
      <c r="A172" t="s">
        <v>16</v>
      </c>
      <c r="B172" t="s">
        <v>21</v>
      </c>
      <c r="C172">
        <v>16708725</v>
      </c>
      <c r="D172" t="s">
        <v>43</v>
      </c>
      <c r="E172" t="s">
        <v>51</v>
      </c>
      <c r="F172" s="4">
        <v>41360</v>
      </c>
      <c r="G172" s="4">
        <v>41518</v>
      </c>
      <c r="H172" t="s">
        <v>45</v>
      </c>
      <c r="I172" t="s">
        <v>47</v>
      </c>
      <c r="J172" t="s">
        <v>6</v>
      </c>
      <c r="K172">
        <v>1</v>
      </c>
    </row>
    <row r="173" spans="1:11" x14ac:dyDescent="0.25">
      <c r="A173" t="s">
        <v>16</v>
      </c>
      <c r="B173" t="s">
        <v>21</v>
      </c>
      <c r="C173">
        <v>16708725</v>
      </c>
      <c r="D173" t="s">
        <v>43</v>
      </c>
      <c r="E173" t="s">
        <v>51</v>
      </c>
      <c r="F173" s="4">
        <v>41360</v>
      </c>
      <c r="G173" s="4">
        <v>41518</v>
      </c>
      <c r="H173" t="s">
        <v>45</v>
      </c>
      <c r="I173" t="s">
        <v>47</v>
      </c>
      <c r="J173" t="s">
        <v>7</v>
      </c>
      <c r="K173">
        <v>0</v>
      </c>
    </row>
    <row r="174" spans="1:11" x14ac:dyDescent="0.25">
      <c r="A174" t="s">
        <v>16</v>
      </c>
      <c r="B174" t="s">
        <v>21</v>
      </c>
      <c r="C174">
        <v>16708725</v>
      </c>
      <c r="D174" t="s">
        <v>43</v>
      </c>
      <c r="E174" t="s">
        <v>51</v>
      </c>
      <c r="F174" s="4">
        <v>41360</v>
      </c>
      <c r="G174" s="4">
        <v>41518</v>
      </c>
      <c r="H174" t="s">
        <v>45</v>
      </c>
      <c r="I174" t="s">
        <v>47</v>
      </c>
      <c r="J174" t="s">
        <v>8</v>
      </c>
      <c r="K174">
        <v>1</v>
      </c>
    </row>
    <row r="175" spans="1:11" x14ac:dyDescent="0.25">
      <c r="A175" t="s">
        <v>16</v>
      </c>
      <c r="B175" t="s">
        <v>21</v>
      </c>
      <c r="C175">
        <v>16708725</v>
      </c>
      <c r="D175" t="s">
        <v>43</v>
      </c>
      <c r="E175" t="s">
        <v>51</v>
      </c>
      <c r="F175" s="4">
        <v>41360</v>
      </c>
      <c r="G175" s="4">
        <v>41518</v>
      </c>
      <c r="H175" t="s">
        <v>45</v>
      </c>
      <c r="I175" t="s">
        <v>47</v>
      </c>
      <c r="J175" t="s">
        <v>9</v>
      </c>
      <c r="K175">
        <v>3</v>
      </c>
    </row>
    <row r="176" spans="1:11" x14ac:dyDescent="0.25">
      <c r="A176" t="s">
        <v>16</v>
      </c>
      <c r="B176" t="s">
        <v>21</v>
      </c>
      <c r="C176">
        <v>16708725</v>
      </c>
      <c r="D176" t="s">
        <v>43</v>
      </c>
      <c r="E176" t="s">
        <v>51</v>
      </c>
      <c r="F176" s="4">
        <v>41360</v>
      </c>
      <c r="G176" s="4">
        <v>41518</v>
      </c>
      <c r="H176" t="s">
        <v>45</v>
      </c>
      <c r="I176" t="s">
        <v>47</v>
      </c>
      <c r="J176" t="s">
        <v>10</v>
      </c>
      <c r="K176">
        <v>2</v>
      </c>
    </row>
    <row r="177" spans="1:11" x14ac:dyDescent="0.25">
      <c r="A177" t="s">
        <v>16</v>
      </c>
      <c r="B177" t="s">
        <v>21</v>
      </c>
      <c r="C177">
        <v>16708725</v>
      </c>
      <c r="D177" t="s">
        <v>43</v>
      </c>
      <c r="E177" t="s">
        <v>51</v>
      </c>
      <c r="F177" s="4">
        <v>41360</v>
      </c>
      <c r="G177" s="4">
        <v>41518</v>
      </c>
      <c r="H177" t="s">
        <v>45</v>
      </c>
      <c r="I177" t="s">
        <v>47</v>
      </c>
      <c r="J177" t="s">
        <v>11</v>
      </c>
      <c r="K177">
        <v>3</v>
      </c>
    </row>
    <row r="178" spans="1:11" x14ac:dyDescent="0.25">
      <c r="A178" t="s">
        <v>16</v>
      </c>
      <c r="B178" t="s">
        <v>21</v>
      </c>
      <c r="C178">
        <v>16708725</v>
      </c>
      <c r="D178" t="s">
        <v>43</v>
      </c>
      <c r="E178" t="s">
        <v>51</v>
      </c>
      <c r="F178" s="4">
        <v>41360</v>
      </c>
      <c r="G178" s="4">
        <v>41518</v>
      </c>
      <c r="H178" t="s">
        <v>45</v>
      </c>
      <c r="I178" t="s">
        <v>47</v>
      </c>
      <c r="J178" t="s">
        <v>12</v>
      </c>
      <c r="K178">
        <v>0</v>
      </c>
    </row>
    <row r="179" spans="1:11" x14ac:dyDescent="0.25">
      <c r="A179" t="s">
        <v>16</v>
      </c>
      <c r="B179" t="s">
        <v>21</v>
      </c>
      <c r="C179">
        <v>16708725</v>
      </c>
      <c r="D179" t="s">
        <v>43</v>
      </c>
      <c r="E179" t="s">
        <v>51</v>
      </c>
      <c r="F179" s="4">
        <v>41360</v>
      </c>
      <c r="G179" s="4">
        <v>41518</v>
      </c>
      <c r="H179" t="s">
        <v>45</v>
      </c>
      <c r="I179" t="s">
        <v>47</v>
      </c>
      <c r="J179" t="s">
        <v>13</v>
      </c>
      <c r="K179">
        <v>2</v>
      </c>
    </row>
    <row r="180" spans="1:11" x14ac:dyDescent="0.25">
      <c r="A180" t="s">
        <v>16</v>
      </c>
      <c r="B180" t="s">
        <v>21</v>
      </c>
      <c r="C180">
        <v>16708725</v>
      </c>
      <c r="D180" t="s">
        <v>43</v>
      </c>
      <c r="E180" t="s">
        <v>51</v>
      </c>
      <c r="F180" s="4">
        <v>41360</v>
      </c>
      <c r="G180" s="4">
        <v>41518</v>
      </c>
      <c r="H180" t="s">
        <v>45</v>
      </c>
      <c r="I180" t="s">
        <v>47</v>
      </c>
      <c r="J180" t="s">
        <v>14</v>
      </c>
      <c r="K180">
        <v>0</v>
      </c>
    </row>
    <row r="181" spans="1:11" x14ac:dyDescent="0.25">
      <c r="A181" t="s">
        <v>16</v>
      </c>
      <c r="B181" t="s">
        <v>21</v>
      </c>
      <c r="C181">
        <v>16708725</v>
      </c>
      <c r="D181" t="s">
        <v>43</v>
      </c>
      <c r="E181" t="s">
        <v>51</v>
      </c>
      <c r="F181" s="4">
        <v>41360</v>
      </c>
      <c r="G181" s="4">
        <v>41518</v>
      </c>
      <c r="H181" t="s">
        <v>45</v>
      </c>
      <c r="I181" t="s">
        <v>47</v>
      </c>
      <c r="J181" t="s">
        <v>15</v>
      </c>
      <c r="K181">
        <v>1</v>
      </c>
    </row>
    <row r="182" spans="1:11" x14ac:dyDescent="0.25">
      <c r="A182" t="s">
        <v>16</v>
      </c>
      <c r="B182" t="s">
        <v>19</v>
      </c>
      <c r="C182">
        <v>24969172</v>
      </c>
      <c r="D182" t="s">
        <v>43</v>
      </c>
      <c r="E182" t="s">
        <v>44</v>
      </c>
      <c r="F182" s="4">
        <v>41412</v>
      </c>
      <c r="G182" s="4">
        <v>41419</v>
      </c>
      <c r="H182" t="s">
        <v>45</v>
      </c>
      <c r="I182" t="s">
        <v>46</v>
      </c>
      <c r="J182" t="s">
        <v>6</v>
      </c>
      <c r="K182">
        <v>1</v>
      </c>
    </row>
    <row r="183" spans="1:11" x14ac:dyDescent="0.25">
      <c r="A183" t="s">
        <v>16</v>
      </c>
      <c r="B183" t="s">
        <v>19</v>
      </c>
      <c r="C183">
        <v>24969172</v>
      </c>
      <c r="D183" t="s">
        <v>43</v>
      </c>
      <c r="E183" t="s">
        <v>44</v>
      </c>
      <c r="F183" s="4">
        <v>41412</v>
      </c>
      <c r="G183" s="4">
        <v>41419</v>
      </c>
      <c r="H183" t="s">
        <v>45</v>
      </c>
      <c r="I183" t="s">
        <v>46</v>
      </c>
      <c r="J183" t="s">
        <v>7</v>
      </c>
      <c r="K183">
        <v>1</v>
      </c>
    </row>
    <row r="184" spans="1:11" x14ac:dyDescent="0.25">
      <c r="A184" t="s">
        <v>16</v>
      </c>
      <c r="B184" t="s">
        <v>19</v>
      </c>
      <c r="C184">
        <v>24969172</v>
      </c>
      <c r="D184" t="s">
        <v>43</v>
      </c>
      <c r="E184" t="s">
        <v>44</v>
      </c>
      <c r="F184" s="4">
        <v>41412</v>
      </c>
      <c r="G184" s="4">
        <v>41419</v>
      </c>
      <c r="H184" t="s">
        <v>45</v>
      </c>
      <c r="I184" t="s">
        <v>46</v>
      </c>
      <c r="J184" t="s">
        <v>8</v>
      </c>
      <c r="K184">
        <v>3</v>
      </c>
    </row>
    <row r="185" spans="1:11" x14ac:dyDescent="0.25">
      <c r="A185" t="s">
        <v>16</v>
      </c>
      <c r="B185" t="s">
        <v>19</v>
      </c>
      <c r="C185">
        <v>24969172</v>
      </c>
      <c r="D185" t="s">
        <v>43</v>
      </c>
      <c r="E185" t="s">
        <v>44</v>
      </c>
      <c r="F185" s="4">
        <v>41412</v>
      </c>
      <c r="G185" s="4">
        <v>41419</v>
      </c>
      <c r="H185" t="s">
        <v>45</v>
      </c>
      <c r="I185" t="s">
        <v>46</v>
      </c>
      <c r="J185" t="s">
        <v>9</v>
      </c>
      <c r="K185">
        <v>0</v>
      </c>
    </row>
    <row r="186" spans="1:11" x14ac:dyDescent="0.25">
      <c r="A186" t="s">
        <v>16</v>
      </c>
      <c r="B186" t="s">
        <v>19</v>
      </c>
      <c r="C186">
        <v>24969172</v>
      </c>
      <c r="D186" t="s">
        <v>43</v>
      </c>
      <c r="E186" t="s">
        <v>44</v>
      </c>
      <c r="F186" s="4">
        <v>41412</v>
      </c>
      <c r="G186" s="4">
        <v>41419</v>
      </c>
      <c r="H186" t="s">
        <v>45</v>
      </c>
      <c r="I186" t="s">
        <v>46</v>
      </c>
      <c r="J186" t="s">
        <v>10</v>
      </c>
      <c r="K186">
        <v>3</v>
      </c>
    </row>
    <row r="187" spans="1:11" x14ac:dyDescent="0.25">
      <c r="A187" t="s">
        <v>16</v>
      </c>
      <c r="B187" t="s">
        <v>19</v>
      </c>
      <c r="C187">
        <v>24969172</v>
      </c>
      <c r="D187" t="s">
        <v>43</v>
      </c>
      <c r="E187" t="s">
        <v>44</v>
      </c>
      <c r="F187" s="4">
        <v>41412</v>
      </c>
      <c r="G187" s="4">
        <v>41419</v>
      </c>
      <c r="H187" t="s">
        <v>45</v>
      </c>
      <c r="I187" t="s">
        <v>46</v>
      </c>
      <c r="J187" t="s">
        <v>11</v>
      </c>
      <c r="K187">
        <v>1</v>
      </c>
    </row>
    <row r="188" spans="1:11" x14ac:dyDescent="0.25">
      <c r="A188" t="s">
        <v>16</v>
      </c>
      <c r="B188" t="s">
        <v>19</v>
      </c>
      <c r="C188">
        <v>24969172</v>
      </c>
      <c r="D188" t="s">
        <v>43</v>
      </c>
      <c r="E188" t="s">
        <v>44</v>
      </c>
      <c r="F188" s="4">
        <v>41412</v>
      </c>
      <c r="G188" s="4">
        <v>41419</v>
      </c>
      <c r="H188" t="s">
        <v>45</v>
      </c>
      <c r="I188" t="s">
        <v>46</v>
      </c>
      <c r="J188" t="s">
        <v>12</v>
      </c>
      <c r="K188">
        <v>1</v>
      </c>
    </row>
    <row r="189" spans="1:11" x14ac:dyDescent="0.25">
      <c r="A189" t="s">
        <v>16</v>
      </c>
      <c r="B189" t="s">
        <v>19</v>
      </c>
      <c r="C189">
        <v>24969172</v>
      </c>
      <c r="D189" t="s">
        <v>43</v>
      </c>
      <c r="E189" t="s">
        <v>44</v>
      </c>
      <c r="F189" s="4">
        <v>41412</v>
      </c>
      <c r="G189" s="4">
        <v>41419</v>
      </c>
      <c r="H189" t="s">
        <v>45</v>
      </c>
      <c r="I189" t="s">
        <v>46</v>
      </c>
      <c r="J189" t="s">
        <v>13</v>
      </c>
      <c r="K189">
        <v>0</v>
      </c>
    </row>
    <row r="190" spans="1:11" x14ac:dyDescent="0.25">
      <c r="A190" t="s">
        <v>16</v>
      </c>
      <c r="B190" t="s">
        <v>19</v>
      </c>
      <c r="C190">
        <v>24969172</v>
      </c>
      <c r="D190" t="s">
        <v>43</v>
      </c>
      <c r="E190" t="s">
        <v>44</v>
      </c>
      <c r="F190" s="4">
        <v>41412</v>
      </c>
      <c r="G190" s="4">
        <v>41419</v>
      </c>
      <c r="H190" t="s">
        <v>45</v>
      </c>
      <c r="I190" t="s">
        <v>46</v>
      </c>
      <c r="J190" t="s">
        <v>14</v>
      </c>
      <c r="K190">
        <v>1</v>
      </c>
    </row>
    <row r="191" spans="1:11" x14ac:dyDescent="0.25">
      <c r="A191" t="s">
        <v>16</v>
      </c>
      <c r="B191" t="s">
        <v>19</v>
      </c>
      <c r="C191">
        <v>24969172</v>
      </c>
      <c r="D191" t="s">
        <v>43</v>
      </c>
      <c r="E191" t="s">
        <v>44</v>
      </c>
      <c r="F191" s="4">
        <v>41412</v>
      </c>
      <c r="G191" s="4">
        <v>41419</v>
      </c>
      <c r="H191" t="s">
        <v>45</v>
      </c>
      <c r="I191" t="s">
        <v>46</v>
      </c>
      <c r="J191" t="s">
        <v>15</v>
      </c>
      <c r="K191">
        <v>0</v>
      </c>
    </row>
    <row r="192" spans="1:11" x14ac:dyDescent="0.25">
      <c r="A192" t="s">
        <v>16</v>
      </c>
      <c r="B192" t="s">
        <v>20</v>
      </c>
      <c r="C192">
        <v>24969172</v>
      </c>
      <c r="D192" t="s">
        <v>43</v>
      </c>
      <c r="E192" t="s">
        <v>44</v>
      </c>
      <c r="F192" s="4">
        <v>41412</v>
      </c>
      <c r="G192" s="4">
        <v>41505</v>
      </c>
      <c r="H192" t="s">
        <v>45</v>
      </c>
      <c r="I192" t="s">
        <v>47</v>
      </c>
      <c r="J192" t="s">
        <v>6</v>
      </c>
      <c r="K192">
        <v>0</v>
      </c>
    </row>
    <row r="193" spans="1:11" x14ac:dyDescent="0.25">
      <c r="A193" t="s">
        <v>16</v>
      </c>
      <c r="B193" t="s">
        <v>20</v>
      </c>
      <c r="C193">
        <v>24969172</v>
      </c>
      <c r="D193" t="s">
        <v>43</v>
      </c>
      <c r="E193" t="s">
        <v>44</v>
      </c>
      <c r="F193" s="4">
        <v>41412</v>
      </c>
      <c r="G193" s="4">
        <v>41505</v>
      </c>
      <c r="H193" t="s">
        <v>45</v>
      </c>
      <c r="I193" t="s">
        <v>47</v>
      </c>
      <c r="J193" t="s">
        <v>7</v>
      </c>
      <c r="K193">
        <v>2</v>
      </c>
    </row>
    <row r="194" spans="1:11" x14ac:dyDescent="0.25">
      <c r="A194" t="s">
        <v>16</v>
      </c>
      <c r="B194" t="s">
        <v>20</v>
      </c>
      <c r="C194">
        <v>24969172</v>
      </c>
      <c r="D194" t="s">
        <v>43</v>
      </c>
      <c r="E194" t="s">
        <v>44</v>
      </c>
      <c r="F194" s="4">
        <v>41412</v>
      </c>
      <c r="G194" s="4">
        <v>41505</v>
      </c>
      <c r="H194" t="s">
        <v>45</v>
      </c>
      <c r="I194" t="s">
        <v>47</v>
      </c>
      <c r="J194" t="s">
        <v>8</v>
      </c>
      <c r="K194">
        <v>0</v>
      </c>
    </row>
    <row r="195" spans="1:11" x14ac:dyDescent="0.25">
      <c r="A195" t="s">
        <v>16</v>
      </c>
      <c r="B195" t="s">
        <v>20</v>
      </c>
      <c r="C195">
        <v>24969172</v>
      </c>
      <c r="D195" t="s">
        <v>43</v>
      </c>
      <c r="E195" t="s">
        <v>44</v>
      </c>
      <c r="F195" s="4">
        <v>41412</v>
      </c>
      <c r="G195" s="4">
        <v>41505</v>
      </c>
      <c r="H195" t="s">
        <v>45</v>
      </c>
      <c r="I195" t="s">
        <v>47</v>
      </c>
      <c r="J195" t="s">
        <v>9</v>
      </c>
      <c r="K195">
        <v>3</v>
      </c>
    </row>
    <row r="196" spans="1:11" x14ac:dyDescent="0.25">
      <c r="A196" t="s">
        <v>16</v>
      </c>
      <c r="B196" t="s">
        <v>20</v>
      </c>
      <c r="C196">
        <v>24969172</v>
      </c>
      <c r="D196" t="s">
        <v>43</v>
      </c>
      <c r="E196" t="s">
        <v>44</v>
      </c>
      <c r="F196" s="4">
        <v>41412</v>
      </c>
      <c r="G196" s="4">
        <v>41505</v>
      </c>
      <c r="H196" t="s">
        <v>45</v>
      </c>
      <c r="I196" t="s">
        <v>47</v>
      </c>
      <c r="J196" t="s">
        <v>10</v>
      </c>
      <c r="K196">
        <v>2</v>
      </c>
    </row>
    <row r="197" spans="1:11" x14ac:dyDescent="0.25">
      <c r="A197" t="s">
        <v>16</v>
      </c>
      <c r="B197" t="s">
        <v>20</v>
      </c>
      <c r="C197">
        <v>24969172</v>
      </c>
      <c r="D197" t="s">
        <v>43</v>
      </c>
      <c r="E197" t="s">
        <v>44</v>
      </c>
      <c r="F197" s="4">
        <v>41412</v>
      </c>
      <c r="G197" s="4">
        <v>41505</v>
      </c>
      <c r="H197" t="s">
        <v>45</v>
      </c>
      <c r="I197" t="s">
        <v>47</v>
      </c>
      <c r="J197" t="s">
        <v>11</v>
      </c>
      <c r="K197">
        <v>0</v>
      </c>
    </row>
    <row r="198" spans="1:11" x14ac:dyDescent="0.25">
      <c r="A198" t="s">
        <v>16</v>
      </c>
      <c r="B198" t="s">
        <v>20</v>
      </c>
      <c r="C198">
        <v>24969172</v>
      </c>
      <c r="D198" t="s">
        <v>43</v>
      </c>
      <c r="E198" t="s">
        <v>44</v>
      </c>
      <c r="F198" s="4">
        <v>41412</v>
      </c>
      <c r="G198" s="4">
        <v>41505</v>
      </c>
      <c r="H198" t="s">
        <v>45</v>
      </c>
      <c r="I198" t="s">
        <v>47</v>
      </c>
      <c r="J198" t="s">
        <v>12</v>
      </c>
      <c r="K198">
        <v>3</v>
      </c>
    </row>
    <row r="199" spans="1:11" x14ac:dyDescent="0.25">
      <c r="A199" t="s">
        <v>16</v>
      </c>
      <c r="B199" t="s">
        <v>20</v>
      </c>
      <c r="C199">
        <v>24969172</v>
      </c>
      <c r="D199" t="s">
        <v>43</v>
      </c>
      <c r="E199" t="s">
        <v>44</v>
      </c>
      <c r="F199" s="4">
        <v>41412</v>
      </c>
      <c r="G199" s="4">
        <v>41505</v>
      </c>
      <c r="H199" t="s">
        <v>45</v>
      </c>
      <c r="I199" t="s">
        <v>47</v>
      </c>
      <c r="J199" t="s">
        <v>13</v>
      </c>
      <c r="K199">
        <v>0</v>
      </c>
    </row>
    <row r="200" spans="1:11" x14ac:dyDescent="0.25">
      <c r="A200" t="s">
        <v>16</v>
      </c>
      <c r="B200" t="s">
        <v>20</v>
      </c>
      <c r="C200">
        <v>24969172</v>
      </c>
      <c r="D200" t="s">
        <v>43</v>
      </c>
      <c r="E200" t="s">
        <v>44</v>
      </c>
      <c r="F200" s="4">
        <v>41412</v>
      </c>
      <c r="G200" s="4">
        <v>41505</v>
      </c>
      <c r="H200" t="s">
        <v>45</v>
      </c>
      <c r="I200" t="s">
        <v>47</v>
      </c>
      <c r="J200" t="s">
        <v>14</v>
      </c>
      <c r="K200">
        <v>2</v>
      </c>
    </row>
    <row r="201" spans="1:11" x14ac:dyDescent="0.25">
      <c r="A201" t="s">
        <v>16</v>
      </c>
      <c r="B201" t="s">
        <v>20</v>
      </c>
      <c r="C201">
        <v>24969172</v>
      </c>
      <c r="D201" t="s">
        <v>43</v>
      </c>
      <c r="E201" t="s">
        <v>44</v>
      </c>
      <c r="F201" s="4">
        <v>41412</v>
      </c>
      <c r="G201" s="4">
        <v>41505</v>
      </c>
      <c r="H201" t="s">
        <v>45</v>
      </c>
      <c r="I201" t="s">
        <v>47</v>
      </c>
      <c r="J201" t="s">
        <v>15</v>
      </c>
      <c r="K201">
        <v>2</v>
      </c>
    </row>
    <row r="202" spans="1:11" x14ac:dyDescent="0.25">
      <c r="A202" t="s">
        <v>16</v>
      </c>
      <c r="B202" t="s">
        <v>21</v>
      </c>
      <c r="C202">
        <v>24969172</v>
      </c>
      <c r="D202" t="s">
        <v>43</v>
      </c>
      <c r="E202" t="s">
        <v>44</v>
      </c>
      <c r="F202" s="4">
        <v>41412</v>
      </c>
      <c r="G202" s="4">
        <v>41628</v>
      </c>
      <c r="H202" t="s">
        <v>45</v>
      </c>
      <c r="I202" t="s">
        <v>47</v>
      </c>
      <c r="J202" t="s">
        <v>6</v>
      </c>
      <c r="K202">
        <v>2</v>
      </c>
    </row>
    <row r="203" spans="1:11" x14ac:dyDescent="0.25">
      <c r="A203" t="s">
        <v>16</v>
      </c>
      <c r="B203" t="s">
        <v>21</v>
      </c>
      <c r="C203">
        <v>24969172</v>
      </c>
      <c r="D203" t="s">
        <v>43</v>
      </c>
      <c r="E203" t="s">
        <v>44</v>
      </c>
      <c r="F203" s="4">
        <v>41412</v>
      </c>
      <c r="G203" s="4">
        <v>41628</v>
      </c>
      <c r="H203" t="s">
        <v>45</v>
      </c>
      <c r="I203" t="s">
        <v>47</v>
      </c>
      <c r="J203" t="s">
        <v>7</v>
      </c>
      <c r="K203">
        <v>2</v>
      </c>
    </row>
    <row r="204" spans="1:11" x14ac:dyDescent="0.25">
      <c r="A204" t="s">
        <v>16</v>
      </c>
      <c r="B204" t="s">
        <v>21</v>
      </c>
      <c r="C204">
        <v>24969172</v>
      </c>
      <c r="D204" t="s">
        <v>43</v>
      </c>
      <c r="E204" t="s">
        <v>44</v>
      </c>
      <c r="F204" s="4">
        <v>41412</v>
      </c>
      <c r="G204" s="4">
        <v>41628</v>
      </c>
      <c r="H204" t="s">
        <v>45</v>
      </c>
      <c r="I204" t="s">
        <v>47</v>
      </c>
      <c r="J204" t="s">
        <v>8</v>
      </c>
      <c r="K204">
        <v>0</v>
      </c>
    </row>
    <row r="205" spans="1:11" x14ac:dyDescent="0.25">
      <c r="A205" t="s">
        <v>16</v>
      </c>
      <c r="B205" t="s">
        <v>21</v>
      </c>
      <c r="C205">
        <v>24969172</v>
      </c>
      <c r="D205" t="s">
        <v>43</v>
      </c>
      <c r="E205" t="s">
        <v>44</v>
      </c>
      <c r="F205" s="4">
        <v>41412</v>
      </c>
      <c r="G205" s="4">
        <v>41628</v>
      </c>
      <c r="H205" t="s">
        <v>45</v>
      </c>
      <c r="I205" t="s">
        <v>47</v>
      </c>
      <c r="J205" t="s">
        <v>9</v>
      </c>
      <c r="K205">
        <v>0</v>
      </c>
    </row>
    <row r="206" spans="1:11" x14ac:dyDescent="0.25">
      <c r="A206" t="s">
        <v>16</v>
      </c>
      <c r="B206" t="s">
        <v>21</v>
      </c>
      <c r="C206">
        <v>24969172</v>
      </c>
      <c r="D206" t="s">
        <v>43</v>
      </c>
      <c r="E206" t="s">
        <v>44</v>
      </c>
      <c r="F206" s="4">
        <v>41412</v>
      </c>
      <c r="G206" s="4">
        <v>41628</v>
      </c>
      <c r="H206" t="s">
        <v>45</v>
      </c>
      <c r="I206" t="s">
        <v>47</v>
      </c>
      <c r="J206" t="s">
        <v>10</v>
      </c>
      <c r="K206">
        <v>1</v>
      </c>
    </row>
    <row r="207" spans="1:11" x14ac:dyDescent="0.25">
      <c r="A207" t="s">
        <v>16</v>
      </c>
      <c r="B207" t="s">
        <v>21</v>
      </c>
      <c r="C207">
        <v>24969172</v>
      </c>
      <c r="D207" t="s">
        <v>43</v>
      </c>
      <c r="E207" t="s">
        <v>44</v>
      </c>
      <c r="F207" s="4">
        <v>41412</v>
      </c>
      <c r="G207" s="4">
        <v>41628</v>
      </c>
      <c r="H207" t="s">
        <v>45</v>
      </c>
      <c r="I207" t="s">
        <v>47</v>
      </c>
      <c r="J207" t="s">
        <v>11</v>
      </c>
      <c r="K207">
        <v>0</v>
      </c>
    </row>
    <row r="208" spans="1:11" x14ac:dyDescent="0.25">
      <c r="A208" t="s">
        <v>16</v>
      </c>
      <c r="B208" t="s">
        <v>21</v>
      </c>
      <c r="C208">
        <v>24969172</v>
      </c>
      <c r="D208" t="s">
        <v>43</v>
      </c>
      <c r="E208" t="s">
        <v>44</v>
      </c>
      <c r="F208" s="4">
        <v>41412</v>
      </c>
      <c r="G208" s="4">
        <v>41628</v>
      </c>
      <c r="H208" t="s">
        <v>45</v>
      </c>
      <c r="I208" t="s">
        <v>47</v>
      </c>
      <c r="J208" t="s">
        <v>12</v>
      </c>
      <c r="K208">
        <v>3</v>
      </c>
    </row>
    <row r="209" spans="1:11" x14ac:dyDescent="0.25">
      <c r="A209" t="s">
        <v>16</v>
      </c>
      <c r="B209" t="s">
        <v>21</v>
      </c>
      <c r="C209">
        <v>24969172</v>
      </c>
      <c r="D209" t="s">
        <v>43</v>
      </c>
      <c r="E209" t="s">
        <v>44</v>
      </c>
      <c r="F209" s="4">
        <v>41412</v>
      </c>
      <c r="G209" s="4">
        <v>41628</v>
      </c>
      <c r="H209" t="s">
        <v>45</v>
      </c>
      <c r="I209" t="s">
        <v>47</v>
      </c>
      <c r="J209" t="s">
        <v>13</v>
      </c>
      <c r="K209">
        <v>0</v>
      </c>
    </row>
    <row r="210" spans="1:11" x14ac:dyDescent="0.25">
      <c r="A210" t="s">
        <v>16</v>
      </c>
      <c r="B210" t="s">
        <v>21</v>
      </c>
      <c r="C210">
        <v>24969172</v>
      </c>
      <c r="D210" t="s">
        <v>43</v>
      </c>
      <c r="E210" t="s">
        <v>44</v>
      </c>
      <c r="F210" s="4">
        <v>41412</v>
      </c>
      <c r="G210" s="4">
        <v>41628</v>
      </c>
      <c r="H210" t="s">
        <v>45</v>
      </c>
      <c r="I210" t="s">
        <v>47</v>
      </c>
      <c r="J210" t="s">
        <v>14</v>
      </c>
      <c r="K210">
        <v>0</v>
      </c>
    </row>
    <row r="211" spans="1:11" x14ac:dyDescent="0.25">
      <c r="A211" t="s">
        <v>16</v>
      </c>
      <c r="B211" t="s">
        <v>21</v>
      </c>
      <c r="C211">
        <v>24969172</v>
      </c>
      <c r="D211" t="s">
        <v>43</v>
      </c>
      <c r="E211" t="s">
        <v>44</v>
      </c>
      <c r="F211" s="4">
        <v>41412</v>
      </c>
      <c r="G211" s="4">
        <v>41628</v>
      </c>
      <c r="H211" t="s">
        <v>45</v>
      </c>
      <c r="I211" t="s">
        <v>47</v>
      </c>
      <c r="J211" t="s">
        <v>15</v>
      </c>
      <c r="K211">
        <v>0</v>
      </c>
    </row>
    <row r="212" spans="1:11" x14ac:dyDescent="0.25">
      <c r="A212" t="s">
        <v>16</v>
      </c>
      <c r="B212" t="s">
        <v>19</v>
      </c>
      <c r="C212">
        <v>24969172</v>
      </c>
      <c r="D212" t="s">
        <v>43</v>
      </c>
      <c r="E212" t="s">
        <v>44</v>
      </c>
      <c r="F212" s="4">
        <v>41412</v>
      </c>
      <c r="G212" s="4">
        <v>41667</v>
      </c>
      <c r="H212" t="s">
        <v>45</v>
      </c>
      <c r="I212" t="s">
        <v>47</v>
      </c>
      <c r="J212" t="s">
        <v>6</v>
      </c>
      <c r="K212">
        <v>3</v>
      </c>
    </row>
    <row r="213" spans="1:11" x14ac:dyDescent="0.25">
      <c r="A213" t="s">
        <v>16</v>
      </c>
      <c r="B213" t="s">
        <v>19</v>
      </c>
      <c r="C213">
        <v>24969172</v>
      </c>
      <c r="D213" t="s">
        <v>43</v>
      </c>
      <c r="E213" t="s">
        <v>44</v>
      </c>
      <c r="F213" s="4">
        <v>41412</v>
      </c>
      <c r="G213" s="4">
        <v>41667</v>
      </c>
      <c r="H213" t="s">
        <v>45</v>
      </c>
      <c r="I213" t="s">
        <v>47</v>
      </c>
      <c r="J213" t="s">
        <v>7</v>
      </c>
      <c r="K213">
        <v>0</v>
      </c>
    </row>
    <row r="214" spans="1:11" x14ac:dyDescent="0.25">
      <c r="A214" t="s">
        <v>16</v>
      </c>
      <c r="B214" t="s">
        <v>19</v>
      </c>
      <c r="C214">
        <v>24969172</v>
      </c>
      <c r="D214" t="s">
        <v>43</v>
      </c>
      <c r="E214" t="s">
        <v>44</v>
      </c>
      <c r="F214" s="4">
        <v>41412</v>
      </c>
      <c r="G214" s="4">
        <v>41667</v>
      </c>
      <c r="H214" t="s">
        <v>45</v>
      </c>
      <c r="I214" t="s">
        <v>47</v>
      </c>
      <c r="J214" t="s">
        <v>8</v>
      </c>
      <c r="K214">
        <v>1</v>
      </c>
    </row>
    <row r="215" spans="1:11" x14ac:dyDescent="0.25">
      <c r="A215" t="s">
        <v>16</v>
      </c>
      <c r="B215" t="s">
        <v>19</v>
      </c>
      <c r="C215">
        <v>24969172</v>
      </c>
      <c r="D215" t="s">
        <v>43</v>
      </c>
      <c r="E215" t="s">
        <v>44</v>
      </c>
      <c r="F215" s="4">
        <v>41412</v>
      </c>
      <c r="G215" s="4">
        <v>41667</v>
      </c>
      <c r="H215" t="s">
        <v>45</v>
      </c>
      <c r="I215" t="s">
        <v>47</v>
      </c>
      <c r="J215" t="s">
        <v>9</v>
      </c>
      <c r="K215">
        <v>2</v>
      </c>
    </row>
    <row r="216" spans="1:11" x14ac:dyDescent="0.25">
      <c r="A216" t="s">
        <v>16</v>
      </c>
      <c r="B216" t="s">
        <v>19</v>
      </c>
      <c r="C216">
        <v>24969172</v>
      </c>
      <c r="D216" t="s">
        <v>43</v>
      </c>
      <c r="E216" t="s">
        <v>44</v>
      </c>
      <c r="F216" s="4">
        <v>41412</v>
      </c>
      <c r="G216" s="4">
        <v>41667</v>
      </c>
      <c r="H216" t="s">
        <v>45</v>
      </c>
      <c r="I216" t="s">
        <v>47</v>
      </c>
      <c r="J216" t="s">
        <v>10</v>
      </c>
      <c r="K216">
        <v>0</v>
      </c>
    </row>
    <row r="217" spans="1:11" x14ac:dyDescent="0.25">
      <c r="A217" t="s">
        <v>16</v>
      </c>
      <c r="B217" t="s">
        <v>19</v>
      </c>
      <c r="C217">
        <v>24969172</v>
      </c>
      <c r="D217" t="s">
        <v>43</v>
      </c>
      <c r="E217" t="s">
        <v>44</v>
      </c>
      <c r="F217" s="4">
        <v>41412</v>
      </c>
      <c r="G217" s="4">
        <v>41667</v>
      </c>
      <c r="H217" t="s">
        <v>45</v>
      </c>
      <c r="I217" t="s">
        <v>47</v>
      </c>
      <c r="J217" t="s">
        <v>11</v>
      </c>
      <c r="K217">
        <v>1</v>
      </c>
    </row>
    <row r="218" spans="1:11" x14ac:dyDescent="0.25">
      <c r="A218" t="s">
        <v>16</v>
      </c>
      <c r="B218" t="s">
        <v>19</v>
      </c>
      <c r="C218">
        <v>24969172</v>
      </c>
      <c r="D218" t="s">
        <v>43</v>
      </c>
      <c r="E218" t="s">
        <v>44</v>
      </c>
      <c r="F218" s="4">
        <v>41412</v>
      </c>
      <c r="G218" s="4">
        <v>41667</v>
      </c>
      <c r="H218" t="s">
        <v>45</v>
      </c>
      <c r="I218" t="s">
        <v>47</v>
      </c>
      <c r="J218" t="s">
        <v>12</v>
      </c>
      <c r="K218">
        <v>3</v>
      </c>
    </row>
    <row r="219" spans="1:11" x14ac:dyDescent="0.25">
      <c r="A219" t="s">
        <v>16</v>
      </c>
      <c r="B219" t="s">
        <v>19</v>
      </c>
      <c r="C219">
        <v>24969172</v>
      </c>
      <c r="D219" t="s">
        <v>43</v>
      </c>
      <c r="E219" t="s">
        <v>44</v>
      </c>
      <c r="F219" s="4">
        <v>41412</v>
      </c>
      <c r="G219" s="4">
        <v>41667</v>
      </c>
      <c r="H219" t="s">
        <v>45</v>
      </c>
      <c r="I219" t="s">
        <v>47</v>
      </c>
      <c r="J219" t="s">
        <v>13</v>
      </c>
      <c r="K219">
        <v>1</v>
      </c>
    </row>
    <row r="220" spans="1:11" x14ac:dyDescent="0.25">
      <c r="A220" t="s">
        <v>16</v>
      </c>
      <c r="B220" t="s">
        <v>19</v>
      </c>
      <c r="C220">
        <v>24969172</v>
      </c>
      <c r="D220" t="s">
        <v>43</v>
      </c>
      <c r="E220" t="s">
        <v>44</v>
      </c>
      <c r="F220" s="4">
        <v>41412</v>
      </c>
      <c r="G220" s="4">
        <v>41667</v>
      </c>
      <c r="H220" t="s">
        <v>45</v>
      </c>
      <c r="I220" t="s">
        <v>47</v>
      </c>
      <c r="J220" t="s">
        <v>14</v>
      </c>
      <c r="K220">
        <v>0</v>
      </c>
    </row>
    <row r="221" spans="1:11" x14ac:dyDescent="0.25">
      <c r="A221" t="s">
        <v>16</v>
      </c>
      <c r="B221" t="s">
        <v>19</v>
      </c>
      <c r="C221">
        <v>24969172</v>
      </c>
      <c r="D221" t="s">
        <v>43</v>
      </c>
      <c r="E221" t="s">
        <v>44</v>
      </c>
      <c r="F221" s="4">
        <v>41412</v>
      </c>
      <c r="G221" s="4">
        <v>41667</v>
      </c>
      <c r="H221" t="s">
        <v>45</v>
      </c>
      <c r="I221" t="s">
        <v>47</v>
      </c>
      <c r="J221" t="s">
        <v>15</v>
      </c>
      <c r="K221">
        <v>0</v>
      </c>
    </row>
    <row r="222" spans="1:11" x14ac:dyDescent="0.25">
      <c r="A222" t="s">
        <v>16</v>
      </c>
      <c r="B222" t="s">
        <v>20</v>
      </c>
      <c r="C222">
        <v>16813202</v>
      </c>
      <c r="D222" t="s">
        <v>43</v>
      </c>
      <c r="E222" t="s">
        <v>44</v>
      </c>
      <c r="F222" s="4">
        <v>41662</v>
      </c>
      <c r="G222" s="4">
        <v>41674</v>
      </c>
      <c r="H222" t="s">
        <v>45</v>
      </c>
      <c r="I222" t="s">
        <v>46</v>
      </c>
      <c r="J222" t="s">
        <v>6</v>
      </c>
      <c r="K222">
        <v>0</v>
      </c>
    </row>
    <row r="223" spans="1:11" x14ac:dyDescent="0.25">
      <c r="A223" t="s">
        <v>16</v>
      </c>
      <c r="B223" t="s">
        <v>20</v>
      </c>
      <c r="C223">
        <v>16813202</v>
      </c>
      <c r="D223" t="s">
        <v>43</v>
      </c>
      <c r="E223" t="s">
        <v>44</v>
      </c>
      <c r="F223" s="4">
        <v>41662</v>
      </c>
      <c r="G223" s="4">
        <v>41674</v>
      </c>
      <c r="H223" t="s">
        <v>45</v>
      </c>
      <c r="I223" t="s">
        <v>46</v>
      </c>
      <c r="J223" t="s">
        <v>7</v>
      </c>
      <c r="K223">
        <v>0</v>
      </c>
    </row>
    <row r="224" spans="1:11" x14ac:dyDescent="0.25">
      <c r="A224" t="s">
        <v>16</v>
      </c>
      <c r="B224" t="s">
        <v>20</v>
      </c>
      <c r="C224">
        <v>16813202</v>
      </c>
      <c r="D224" t="s">
        <v>43</v>
      </c>
      <c r="E224" t="s">
        <v>44</v>
      </c>
      <c r="F224" s="4">
        <v>41662</v>
      </c>
      <c r="G224" s="4">
        <v>41674</v>
      </c>
      <c r="H224" t="s">
        <v>45</v>
      </c>
      <c r="I224" t="s">
        <v>46</v>
      </c>
      <c r="J224" t="s">
        <v>8</v>
      </c>
      <c r="K224">
        <v>1</v>
      </c>
    </row>
    <row r="225" spans="1:11" x14ac:dyDescent="0.25">
      <c r="A225" t="s">
        <v>16</v>
      </c>
      <c r="B225" t="s">
        <v>20</v>
      </c>
      <c r="C225">
        <v>16813202</v>
      </c>
      <c r="D225" t="s">
        <v>43</v>
      </c>
      <c r="E225" t="s">
        <v>44</v>
      </c>
      <c r="F225" s="4">
        <v>41662</v>
      </c>
      <c r="G225" s="4">
        <v>41674</v>
      </c>
      <c r="H225" t="s">
        <v>45</v>
      </c>
      <c r="I225" t="s">
        <v>46</v>
      </c>
      <c r="J225" t="s">
        <v>9</v>
      </c>
      <c r="K225">
        <v>1</v>
      </c>
    </row>
    <row r="226" spans="1:11" x14ac:dyDescent="0.25">
      <c r="A226" t="s">
        <v>16</v>
      </c>
      <c r="B226" t="s">
        <v>20</v>
      </c>
      <c r="C226">
        <v>16813202</v>
      </c>
      <c r="D226" t="s">
        <v>43</v>
      </c>
      <c r="E226" t="s">
        <v>44</v>
      </c>
      <c r="F226" s="4">
        <v>41662</v>
      </c>
      <c r="G226" s="4">
        <v>41674</v>
      </c>
      <c r="H226" t="s">
        <v>45</v>
      </c>
      <c r="I226" t="s">
        <v>46</v>
      </c>
      <c r="J226" t="s">
        <v>10</v>
      </c>
      <c r="K226">
        <v>3</v>
      </c>
    </row>
    <row r="227" spans="1:11" x14ac:dyDescent="0.25">
      <c r="A227" t="s">
        <v>16</v>
      </c>
      <c r="B227" t="s">
        <v>20</v>
      </c>
      <c r="C227">
        <v>16813202</v>
      </c>
      <c r="D227" t="s">
        <v>43</v>
      </c>
      <c r="E227" t="s">
        <v>44</v>
      </c>
      <c r="F227" s="4">
        <v>41662</v>
      </c>
      <c r="G227" s="4">
        <v>41674</v>
      </c>
      <c r="H227" t="s">
        <v>45</v>
      </c>
      <c r="I227" t="s">
        <v>46</v>
      </c>
      <c r="J227" t="s">
        <v>11</v>
      </c>
      <c r="K227">
        <v>1</v>
      </c>
    </row>
    <row r="228" spans="1:11" x14ac:dyDescent="0.25">
      <c r="A228" t="s">
        <v>16</v>
      </c>
      <c r="B228" t="s">
        <v>20</v>
      </c>
      <c r="C228">
        <v>16813202</v>
      </c>
      <c r="D228" t="s">
        <v>43</v>
      </c>
      <c r="E228" t="s">
        <v>44</v>
      </c>
      <c r="F228" s="4">
        <v>41662</v>
      </c>
      <c r="G228" s="4">
        <v>41674</v>
      </c>
      <c r="H228" t="s">
        <v>45</v>
      </c>
      <c r="I228" t="s">
        <v>46</v>
      </c>
      <c r="J228" t="s">
        <v>12</v>
      </c>
      <c r="K228">
        <v>0</v>
      </c>
    </row>
    <row r="229" spans="1:11" x14ac:dyDescent="0.25">
      <c r="A229" t="s">
        <v>16</v>
      </c>
      <c r="B229" t="s">
        <v>20</v>
      </c>
      <c r="C229">
        <v>16813202</v>
      </c>
      <c r="D229" t="s">
        <v>43</v>
      </c>
      <c r="E229" t="s">
        <v>44</v>
      </c>
      <c r="F229" s="4">
        <v>41662</v>
      </c>
      <c r="G229" s="4">
        <v>41674</v>
      </c>
      <c r="H229" t="s">
        <v>45</v>
      </c>
      <c r="I229" t="s">
        <v>46</v>
      </c>
      <c r="J229" t="s">
        <v>13</v>
      </c>
      <c r="K229">
        <v>0</v>
      </c>
    </row>
    <row r="230" spans="1:11" x14ac:dyDescent="0.25">
      <c r="A230" t="s">
        <v>16</v>
      </c>
      <c r="B230" t="s">
        <v>20</v>
      </c>
      <c r="C230">
        <v>16813202</v>
      </c>
      <c r="D230" t="s">
        <v>43</v>
      </c>
      <c r="E230" t="s">
        <v>44</v>
      </c>
      <c r="F230" s="4">
        <v>41662</v>
      </c>
      <c r="G230" s="4">
        <v>41674</v>
      </c>
      <c r="H230" t="s">
        <v>45</v>
      </c>
      <c r="I230" t="s">
        <v>46</v>
      </c>
      <c r="J230" t="s">
        <v>14</v>
      </c>
      <c r="K230">
        <v>1</v>
      </c>
    </row>
    <row r="231" spans="1:11" x14ac:dyDescent="0.25">
      <c r="A231" t="s">
        <v>16</v>
      </c>
      <c r="B231" t="s">
        <v>20</v>
      </c>
      <c r="C231">
        <v>16813202</v>
      </c>
      <c r="D231" t="s">
        <v>43</v>
      </c>
      <c r="E231" t="s">
        <v>44</v>
      </c>
      <c r="F231" s="4">
        <v>41662</v>
      </c>
      <c r="G231" s="4">
        <v>41674</v>
      </c>
      <c r="H231" t="s">
        <v>45</v>
      </c>
      <c r="I231" t="s">
        <v>46</v>
      </c>
      <c r="J231" t="s">
        <v>15</v>
      </c>
      <c r="K231">
        <v>0</v>
      </c>
    </row>
    <row r="232" spans="1:11" x14ac:dyDescent="0.25">
      <c r="A232" t="s">
        <v>16</v>
      </c>
      <c r="B232" t="s">
        <v>21</v>
      </c>
      <c r="C232">
        <v>16813202</v>
      </c>
      <c r="D232" t="s">
        <v>43</v>
      </c>
      <c r="E232" t="s">
        <v>44</v>
      </c>
      <c r="F232" s="4">
        <v>41662</v>
      </c>
      <c r="G232" s="4">
        <v>41775</v>
      </c>
      <c r="H232" t="s">
        <v>45</v>
      </c>
      <c r="I232" t="s">
        <v>47</v>
      </c>
      <c r="J232" t="s">
        <v>6</v>
      </c>
      <c r="K232">
        <v>1</v>
      </c>
    </row>
    <row r="233" spans="1:11" x14ac:dyDescent="0.25">
      <c r="A233" t="s">
        <v>16</v>
      </c>
      <c r="B233" t="s">
        <v>21</v>
      </c>
      <c r="C233">
        <v>16813202</v>
      </c>
      <c r="D233" t="s">
        <v>43</v>
      </c>
      <c r="E233" t="s">
        <v>44</v>
      </c>
      <c r="F233" s="4">
        <v>41662</v>
      </c>
      <c r="G233" s="4">
        <v>41775</v>
      </c>
      <c r="H233" t="s">
        <v>45</v>
      </c>
      <c r="I233" t="s">
        <v>47</v>
      </c>
      <c r="J233" t="s">
        <v>7</v>
      </c>
      <c r="K233">
        <v>1</v>
      </c>
    </row>
    <row r="234" spans="1:11" x14ac:dyDescent="0.25">
      <c r="A234" t="s">
        <v>16</v>
      </c>
      <c r="B234" t="s">
        <v>21</v>
      </c>
      <c r="C234">
        <v>16813202</v>
      </c>
      <c r="D234" t="s">
        <v>43</v>
      </c>
      <c r="E234" t="s">
        <v>44</v>
      </c>
      <c r="F234" s="4">
        <v>41662</v>
      </c>
      <c r="G234" s="4">
        <v>41775</v>
      </c>
      <c r="H234" t="s">
        <v>45</v>
      </c>
      <c r="I234" t="s">
        <v>47</v>
      </c>
      <c r="J234" t="s">
        <v>8</v>
      </c>
      <c r="K234">
        <v>0</v>
      </c>
    </row>
    <row r="235" spans="1:11" x14ac:dyDescent="0.25">
      <c r="A235" t="s">
        <v>16</v>
      </c>
      <c r="B235" t="s">
        <v>21</v>
      </c>
      <c r="C235">
        <v>16813202</v>
      </c>
      <c r="D235" t="s">
        <v>43</v>
      </c>
      <c r="E235" t="s">
        <v>44</v>
      </c>
      <c r="F235" s="4">
        <v>41662</v>
      </c>
      <c r="G235" s="4">
        <v>41775</v>
      </c>
      <c r="H235" t="s">
        <v>45</v>
      </c>
      <c r="I235" t="s">
        <v>47</v>
      </c>
      <c r="J235" t="s">
        <v>9</v>
      </c>
      <c r="K235">
        <v>2</v>
      </c>
    </row>
    <row r="236" spans="1:11" x14ac:dyDescent="0.25">
      <c r="A236" t="s">
        <v>16</v>
      </c>
      <c r="B236" t="s">
        <v>21</v>
      </c>
      <c r="C236">
        <v>16813202</v>
      </c>
      <c r="D236" t="s">
        <v>43</v>
      </c>
      <c r="E236" t="s">
        <v>44</v>
      </c>
      <c r="F236" s="4">
        <v>41662</v>
      </c>
      <c r="G236" s="4">
        <v>41775</v>
      </c>
      <c r="H236" t="s">
        <v>45</v>
      </c>
      <c r="I236" t="s">
        <v>47</v>
      </c>
      <c r="J236" t="s">
        <v>10</v>
      </c>
      <c r="K236">
        <v>0</v>
      </c>
    </row>
    <row r="237" spans="1:11" x14ac:dyDescent="0.25">
      <c r="A237" t="s">
        <v>16</v>
      </c>
      <c r="B237" t="s">
        <v>21</v>
      </c>
      <c r="C237">
        <v>16813202</v>
      </c>
      <c r="D237" t="s">
        <v>43</v>
      </c>
      <c r="E237" t="s">
        <v>44</v>
      </c>
      <c r="F237" s="4">
        <v>41662</v>
      </c>
      <c r="G237" s="4">
        <v>41775</v>
      </c>
      <c r="H237" t="s">
        <v>45</v>
      </c>
      <c r="I237" t="s">
        <v>47</v>
      </c>
      <c r="J237" t="s">
        <v>11</v>
      </c>
      <c r="K237">
        <v>0</v>
      </c>
    </row>
    <row r="238" spans="1:11" x14ac:dyDescent="0.25">
      <c r="A238" t="s">
        <v>16</v>
      </c>
      <c r="B238" t="s">
        <v>21</v>
      </c>
      <c r="C238">
        <v>16813202</v>
      </c>
      <c r="D238" t="s">
        <v>43</v>
      </c>
      <c r="E238" t="s">
        <v>44</v>
      </c>
      <c r="F238" s="4">
        <v>41662</v>
      </c>
      <c r="G238" s="4">
        <v>41775</v>
      </c>
      <c r="H238" t="s">
        <v>45</v>
      </c>
      <c r="I238" t="s">
        <v>47</v>
      </c>
      <c r="J238" t="s">
        <v>12</v>
      </c>
      <c r="K238">
        <v>0</v>
      </c>
    </row>
    <row r="239" spans="1:11" x14ac:dyDescent="0.25">
      <c r="A239" t="s">
        <v>16</v>
      </c>
      <c r="B239" t="s">
        <v>21</v>
      </c>
      <c r="C239">
        <v>16813202</v>
      </c>
      <c r="D239" t="s">
        <v>43</v>
      </c>
      <c r="E239" t="s">
        <v>44</v>
      </c>
      <c r="F239" s="4">
        <v>41662</v>
      </c>
      <c r="G239" s="4">
        <v>41775</v>
      </c>
      <c r="H239" t="s">
        <v>45</v>
      </c>
      <c r="I239" t="s">
        <v>47</v>
      </c>
      <c r="J239" t="s">
        <v>13</v>
      </c>
      <c r="K239">
        <v>1</v>
      </c>
    </row>
    <row r="240" spans="1:11" x14ac:dyDescent="0.25">
      <c r="A240" t="s">
        <v>16</v>
      </c>
      <c r="B240" t="s">
        <v>21</v>
      </c>
      <c r="C240">
        <v>16813202</v>
      </c>
      <c r="D240" t="s">
        <v>43</v>
      </c>
      <c r="E240" t="s">
        <v>44</v>
      </c>
      <c r="F240" s="4">
        <v>41662</v>
      </c>
      <c r="G240" s="4">
        <v>41775</v>
      </c>
      <c r="H240" t="s">
        <v>45</v>
      </c>
      <c r="I240" t="s">
        <v>47</v>
      </c>
      <c r="J240" t="s">
        <v>14</v>
      </c>
      <c r="K240">
        <v>2</v>
      </c>
    </row>
    <row r="241" spans="1:11" x14ac:dyDescent="0.25">
      <c r="A241" t="s">
        <v>16</v>
      </c>
      <c r="B241" t="s">
        <v>21</v>
      </c>
      <c r="C241">
        <v>16813202</v>
      </c>
      <c r="D241" t="s">
        <v>43</v>
      </c>
      <c r="E241" t="s">
        <v>44</v>
      </c>
      <c r="F241" s="4">
        <v>41662</v>
      </c>
      <c r="G241" s="4">
        <v>41775</v>
      </c>
      <c r="H241" t="s">
        <v>45</v>
      </c>
      <c r="I241" t="s">
        <v>47</v>
      </c>
      <c r="J241" t="s">
        <v>15</v>
      </c>
      <c r="K241">
        <v>0</v>
      </c>
    </row>
    <row r="242" spans="1:11" x14ac:dyDescent="0.25">
      <c r="A242" t="s">
        <v>16</v>
      </c>
      <c r="B242" t="s">
        <v>19</v>
      </c>
      <c r="C242">
        <v>32935396</v>
      </c>
      <c r="D242" t="s">
        <v>48</v>
      </c>
      <c r="E242" t="s">
        <v>51</v>
      </c>
      <c r="F242" s="4">
        <v>41624</v>
      </c>
      <c r="G242" s="4">
        <v>41627</v>
      </c>
      <c r="H242" t="s">
        <v>45</v>
      </c>
      <c r="I242" t="s">
        <v>46</v>
      </c>
      <c r="J242" t="s">
        <v>6</v>
      </c>
      <c r="K242">
        <v>0</v>
      </c>
    </row>
    <row r="243" spans="1:11" x14ac:dyDescent="0.25">
      <c r="A243" t="s">
        <v>16</v>
      </c>
      <c r="B243" t="s">
        <v>19</v>
      </c>
      <c r="C243">
        <v>32935396</v>
      </c>
      <c r="D243" t="s">
        <v>48</v>
      </c>
      <c r="E243" t="s">
        <v>51</v>
      </c>
      <c r="F243" s="4">
        <v>41624</v>
      </c>
      <c r="G243" s="4">
        <v>41627</v>
      </c>
      <c r="H243" t="s">
        <v>45</v>
      </c>
      <c r="I243" t="s">
        <v>46</v>
      </c>
      <c r="J243" t="s">
        <v>7</v>
      </c>
      <c r="K243">
        <v>1</v>
      </c>
    </row>
    <row r="244" spans="1:11" x14ac:dyDescent="0.25">
      <c r="A244" t="s">
        <v>16</v>
      </c>
      <c r="B244" t="s">
        <v>19</v>
      </c>
      <c r="C244">
        <v>32935396</v>
      </c>
      <c r="D244" t="s">
        <v>48</v>
      </c>
      <c r="E244" t="s">
        <v>51</v>
      </c>
      <c r="F244" s="4">
        <v>41624</v>
      </c>
      <c r="G244" s="4">
        <v>41627</v>
      </c>
      <c r="H244" t="s">
        <v>45</v>
      </c>
      <c r="I244" t="s">
        <v>46</v>
      </c>
      <c r="J244" t="s">
        <v>8</v>
      </c>
      <c r="K244">
        <v>1</v>
      </c>
    </row>
    <row r="245" spans="1:11" x14ac:dyDescent="0.25">
      <c r="A245" t="s">
        <v>16</v>
      </c>
      <c r="B245" t="s">
        <v>19</v>
      </c>
      <c r="C245">
        <v>32935396</v>
      </c>
      <c r="D245" t="s">
        <v>48</v>
      </c>
      <c r="E245" t="s">
        <v>51</v>
      </c>
      <c r="F245" s="4">
        <v>41624</v>
      </c>
      <c r="G245" s="4">
        <v>41627</v>
      </c>
      <c r="H245" t="s">
        <v>45</v>
      </c>
      <c r="I245" t="s">
        <v>46</v>
      </c>
      <c r="J245" t="s">
        <v>9</v>
      </c>
      <c r="K245">
        <v>1</v>
      </c>
    </row>
    <row r="246" spans="1:11" x14ac:dyDescent="0.25">
      <c r="A246" t="s">
        <v>16</v>
      </c>
      <c r="B246" t="s">
        <v>19</v>
      </c>
      <c r="C246">
        <v>32935396</v>
      </c>
      <c r="D246" t="s">
        <v>48</v>
      </c>
      <c r="E246" t="s">
        <v>51</v>
      </c>
      <c r="F246" s="4">
        <v>41624</v>
      </c>
      <c r="G246" s="4">
        <v>41627</v>
      </c>
      <c r="H246" t="s">
        <v>45</v>
      </c>
      <c r="I246" t="s">
        <v>46</v>
      </c>
      <c r="J246" t="s">
        <v>10</v>
      </c>
      <c r="K246">
        <v>2</v>
      </c>
    </row>
    <row r="247" spans="1:11" x14ac:dyDescent="0.25">
      <c r="A247" t="s">
        <v>16</v>
      </c>
      <c r="B247" t="s">
        <v>19</v>
      </c>
      <c r="C247">
        <v>32935396</v>
      </c>
      <c r="D247" t="s">
        <v>48</v>
      </c>
      <c r="E247" t="s">
        <v>51</v>
      </c>
      <c r="F247" s="4">
        <v>41624</v>
      </c>
      <c r="G247" s="4">
        <v>41627</v>
      </c>
      <c r="H247" t="s">
        <v>45</v>
      </c>
      <c r="I247" t="s">
        <v>46</v>
      </c>
      <c r="J247" t="s">
        <v>11</v>
      </c>
      <c r="K247">
        <v>1</v>
      </c>
    </row>
    <row r="248" spans="1:11" x14ac:dyDescent="0.25">
      <c r="A248" t="s">
        <v>16</v>
      </c>
      <c r="B248" t="s">
        <v>19</v>
      </c>
      <c r="C248">
        <v>32935396</v>
      </c>
      <c r="D248" t="s">
        <v>48</v>
      </c>
      <c r="E248" t="s">
        <v>51</v>
      </c>
      <c r="F248" s="4">
        <v>41624</v>
      </c>
      <c r="G248" s="4">
        <v>41627</v>
      </c>
      <c r="H248" t="s">
        <v>45</v>
      </c>
      <c r="I248" t="s">
        <v>46</v>
      </c>
      <c r="J248" t="s">
        <v>12</v>
      </c>
      <c r="K248">
        <v>0</v>
      </c>
    </row>
    <row r="249" spans="1:11" x14ac:dyDescent="0.25">
      <c r="A249" t="s">
        <v>16</v>
      </c>
      <c r="B249" t="s">
        <v>19</v>
      </c>
      <c r="C249">
        <v>32935396</v>
      </c>
      <c r="D249" t="s">
        <v>48</v>
      </c>
      <c r="E249" t="s">
        <v>51</v>
      </c>
      <c r="F249" s="4">
        <v>41624</v>
      </c>
      <c r="G249" s="4">
        <v>41627</v>
      </c>
      <c r="H249" t="s">
        <v>45</v>
      </c>
      <c r="I249" t="s">
        <v>46</v>
      </c>
      <c r="J249" t="s">
        <v>13</v>
      </c>
      <c r="K249">
        <v>0</v>
      </c>
    </row>
    <row r="250" spans="1:11" x14ac:dyDescent="0.25">
      <c r="A250" t="s">
        <v>16</v>
      </c>
      <c r="B250" t="s">
        <v>19</v>
      </c>
      <c r="C250">
        <v>32935396</v>
      </c>
      <c r="D250" t="s">
        <v>48</v>
      </c>
      <c r="E250" t="s">
        <v>51</v>
      </c>
      <c r="F250" s="4">
        <v>41624</v>
      </c>
      <c r="G250" s="4">
        <v>41627</v>
      </c>
      <c r="H250" t="s">
        <v>45</v>
      </c>
      <c r="I250" t="s">
        <v>46</v>
      </c>
      <c r="J250" t="s">
        <v>14</v>
      </c>
      <c r="K250">
        <v>1</v>
      </c>
    </row>
    <row r="251" spans="1:11" x14ac:dyDescent="0.25">
      <c r="A251" t="s">
        <v>16</v>
      </c>
      <c r="B251" t="s">
        <v>19</v>
      </c>
      <c r="C251">
        <v>32935396</v>
      </c>
      <c r="D251" t="s">
        <v>48</v>
      </c>
      <c r="E251" t="s">
        <v>51</v>
      </c>
      <c r="F251" s="4">
        <v>41624</v>
      </c>
      <c r="G251" s="4">
        <v>41627</v>
      </c>
      <c r="H251" t="s">
        <v>45</v>
      </c>
      <c r="I251" t="s">
        <v>46</v>
      </c>
      <c r="J251" t="s">
        <v>15</v>
      </c>
      <c r="K251">
        <v>2</v>
      </c>
    </row>
    <row r="252" spans="1:11" x14ac:dyDescent="0.25">
      <c r="A252" t="s">
        <v>16</v>
      </c>
      <c r="B252" t="s">
        <v>20</v>
      </c>
      <c r="C252">
        <v>56239560</v>
      </c>
      <c r="D252" t="s">
        <v>48</v>
      </c>
      <c r="E252" t="s">
        <v>51</v>
      </c>
      <c r="F252" s="4">
        <v>41445</v>
      </c>
      <c r="G252" s="4">
        <v>41497</v>
      </c>
      <c r="H252" t="s">
        <v>49</v>
      </c>
      <c r="I252" t="s">
        <v>46</v>
      </c>
      <c r="J252" t="s">
        <v>6</v>
      </c>
      <c r="K252">
        <v>1</v>
      </c>
    </row>
    <row r="253" spans="1:11" x14ac:dyDescent="0.25">
      <c r="A253" t="s">
        <v>16</v>
      </c>
      <c r="B253" t="s">
        <v>20</v>
      </c>
      <c r="C253">
        <v>56239560</v>
      </c>
      <c r="D253" t="s">
        <v>48</v>
      </c>
      <c r="E253" t="s">
        <v>51</v>
      </c>
      <c r="F253" s="4">
        <v>41445</v>
      </c>
      <c r="G253" s="4">
        <v>41497</v>
      </c>
      <c r="H253" t="s">
        <v>49</v>
      </c>
      <c r="I253" t="s">
        <v>46</v>
      </c>
      <c r="J253" t="s">
        <v>7</v>
      </c>
      <c r="K253">
        <v>0</v>
      </c>
    </row>
    <row r="254" spans="1:11" x14ac:dyDescent="0.25">
      <c r="A254" t="s">
        <v>16</v>
      </c>
      <c r="B254" t="s">
        <v>20</v>
      </c>
      <c r="C254">
        <v>56239560</v>
      </c>
      <c r="D254" t="s">
        <v>48</v>
      </c>
      <c r="E254" t="s">
        <v>51</v>
      </c>
      <c r="F254" s="4">
        <v>41445</v>
      </c>
      <c r="G254" s="4">
        <v>41497</v>
      </c>
      <c r="H254" t="s">
        <v>49</v>
      </c>
      <c r="I254" t="s">
        <v>46</v>
      </c>
      <c r="J254" t="s">
        <v>8</v>
      </c>
      <c r="K254">
        <v>2</v>
      </c>
    </row>
    <row r="255" spans="1:11" x14ac:dyDescent="0.25">
      <c r="A255" t="s">
        <v>16</v>
      </c>
      <c r="B255" t="s">
        <v>20</v>
      </c>
      <c r="C255">
        <v>56239560</v>
      </c>
      <c r="D255" t="s">
        <v>48</v>
      </c>
      <c r="E255" t="s">
        <v>51</v>
      </c>
      <c r="F255" s="4">
        <v>41445</v>
      </c>
      <c r="G255" s="4">
        <v>41497</v>
      </c>
      <c r="H255" t="s">
        <v>49</v>
      </c>
      <c r="I255" t="s">
        <v>46</v>
      </c>
      <c r="J255" t="s">
        <v>9</v>
      </c>
      <c r="K255">
        <v>2</v>
      </c>
    </row>
    <row r="256" spans="1:11" x14ac:dyDescent="0.25">
      <c r="A256" t="s">
        <v>16</v>
      </c>
      <c r="B256" t="s">
        <v>20</v>
      </c>
      <c r="C256">
        <v>56239560</v>
      </c>
      <c r="D256" t="s">
        <v>48</v>
      </c>
      <c r="E256" t="s">
        <v>51</v>
      </c>
      <c r="F256" s="4">
        <v>41445</v>
      </c>
      <c r="G256" s="4">
        <v>41497</v>
      </c>
      <c r="H256" t="s">
        <v>49</v>
      </c>
      <c r="I256" t="s">
        <v>46</v>
      </c>
      <c r="J256" t="s">
        <v>10</v>
      </c>
      <c r="K256">
        <v>3</v>
      </c>
    </row>
    <row r="257" spans="1:11" x14ac:dyDescent="0.25">
      <c r="A257" t="s">
        <v>16</v>
      </c>
      <c r="B257" t="s">
        <v>20</v>
      </c>
      <c r="C257">
        <v>56239560</v>
      </c>
      <c r="D257" t="s">
        <v>48</v>
      </c>
      <c r="E257" t="s">
        <v>51</v>
      </c>
      <c r="F257" s="4">
        <v>41445</v>
      </c>
      <c r="G257" s="4">
        <v>41497</v>
      </c>
      <c r="H257" t="s">
        <v>49</v>
      </c>
      <c r="I257" t="s">
        <v>46</v>
      </c>
      <c r="J257" t="s">
        <v>11</v>
      </c>
      <c r="K257">
        <v>2</v>
      </c>
    </row>
    <row r="258" spans="1:11" x14ac:dyDescent="0.25">
      <c r="A258" t="s">
        <v>16</v>
      </c>
      <c r="B258" t="s">
        <v>20</v>
      </c>
      <c r="C258">
        <v>56239560</v>
      </c>
      <c r="D258" t="s">
        <v>48</v>
      </c>
      <c r="E258" t="s">
        <v>51</v>
      </c>
      <c r="F258" s="4">
        <v>41445</v>
      </c>
      <c r="G258" s="4">
        <v>41497</v>
      </c>
      <c r="H258" t="s">
        <v>49</v>
      </c>
      <c r="I258" t="s">
        <v>46</v>
      </c>
      <c r="J258" t="s">
        <v>12</v>
      </c>
      <c r="K258">
        <v>0</v>
      </c>
    </row>
    <row r="259" spans="1:11" x14ac:dyDescent="0.25">
      <c r="A259" t="s">
        <v>16</v>
      </c>
      <c r="B259" t="s">
        <v>20</v>
      </c>
      <c r="C259">
        <v>56239560</v>
      </c>
      <c r="D259" t="s">
        <v>48</v>
      </c>
      <c r="E259" t="s">
        <v>51</v>
      </c>
      <c r="F259" s="4">
        <v>41445</v>
      </c>
      <c r="G259" s="4">
        <v>41497</v>
      </c>
      <c r="H259" t="s">
        <v>49</v>
      </c>
      <c r="I259" t="s">
        <v>46</v>
      </c>
      <c r="J259" t="s">
        <v>13</v>
      </c>
      <c r="K259">
        <v>2</v>
      </c>
    </row>
    <row r="260" spans="1:11" x14ac:dyDescent="0.25">
      <c r="A260" t="s">
        <v>16</v>
      </c>
      <c r="B260" t="s">
        <v>20</v>
      </c>
      <c r="C260">
        <v>56239560</v>
      </c>
      <c r="D260" t="s">
        <v>48</v>
      </c>
      <c r="E260" t="s">
        <v>51</v>
      </c>
      <c r="F260" s="4">
        <v>41445</v>
      </c>
      <c r="G260" s="4">
        <v>41497</v>
      </c>
      <c r="H260" t="s">
        <v>49</v>
      </c>
      <c r="I260" t="s">
        <v>46</v>
      </c>
      <c r="J260" t="s">
        <v>14</v>
      </c>
      <c r="K260">
        <v>1</v>
      </c>
    </row>
    <row r="261" spans="1:11" x14ac:dyDescent="0.25">
      <c r="A261" t="s">
        <v>16</v>
      </c>
      <c r="B261" t="s">
        <v>20</v>
      </c>
      <c r="C261">
        <v>56239560</v>
      </c>
      <c r="D261" t="s">
        <v>48</v>
      </c>
      <c r="E261" t="s">
        <v>51</v>
      </c>
      <c r="F261" s="4">
        <v>41445</v>
      </c>
      <c r="G261" s="4">
        <v>41497</v>
      </c>
      <c r="H261" t="s">
        <v>49</v>
      </c>
      <c r="I261" t="s">
        <v>46</v>
      </c>
      <c r="J261" t="s">
        <v>15</v>
      </c>
      <c r="K261">
        <v>2</v>
      </c>
    </row>
    <row r="262" spans="1:11" x14ac:dyDescent="0.25">
      <c r="A262" t="s">
        <v>16</v>
      </c>
      <c r="B262" t="s">
        <v>21</v>
      </c>
      <c r="C262">
        <v>56239560</v>
      </c>
      <c r="D262" t="s">
        <v>48</v>
      </c>
      <c r="E262" t="s">
        <v>51</v>
      </c>
      <c r="F262" s="4">
        <v>41445</v>
      </c>
      <c r="G262" s="4">
        <v>41538</v>
      </c>
      <c r="H262" t="s">
        <v>49</v>
      </c>
      <c r="I262" t="s">
        <v>47</v>
      </c>
      <c r="J262" t="s">
        <v>6</v>
      </c>
      <c r="K262">
        <v>2</v>
      </c>
    </row>
    <row r="263" spans="1:11" x14ac:dyDescent="0.25">
      <c r="A263" t="s">
        <v>16</v>
      </c>
      <c r="B263" t="s">
        <v>21</v>
      </c>
      <c r="C263">
        <v>56239560</v>
      </c>
      <c r="D263" t="s">
        <v>48</v>
      </c>
      <c r="E263" t="s">
        <v>51</v>
      </c>
      <c r="F263" s="4">
        <v>41445</v>
      </c>
      <c r="G263" s="4">
        <v>41538</v>
      </c>
      <c r="H263" t="s">
        <v>49</v>
      </c>
      <c r="I263" t="s">
        <v>47</v>
      </c>
      <c r="J263" t="s">
        <v>7</v>
      </c>
      <c r="K263">
        <v>2</v>
      </c>
    </row>
    <row r="264" spans="1:11" x14ac:dyDescent="0.25">
      <c r="A264" t="s">
        <v>16</v>
      </c>
      <c r="B264" t="s">
        <v>21</v>
      </c>
      <c r="C264">
        <v>56239560</v>
      </c>
      <c r="D264" t="s">
        <v>48</v>
      </c>
      <c r="E264" t="s">
        <v>51</v>
      </c>
      <c r="F264" s="4">
        <v>41445</v>
      </c>
      <c r="G264" s="4">
        <v>41538</v>
      </c>
      <c r="H264" t="s">
        <v>49</v>
      </c>
      <c r="I264" t="s">
        <v>47</v>
      </c>
      <c r="J264" t="s">
        <v>8</v>
      </c>
      <c r="K264">
        <v>3</v>
      </c>
    </row>
    <row r="265" spans="1:11" x14ac:dyDescent="0.25">
      <c r="A265" t="s">
        <v>16</v>
      </c>
      <c r="B265" t="s">
        <v>21</v>
      </c>
      <c r="C265">
        <v>56239560</v>
      </c>
      <c r="D265" t="s">
        <v>48</v>
      </c>
      <c r="E265" t="s">
        <v>51</v>
      </c>
      <c r="F265" s="4">
        <v>41445</v>
      </c>
      <c r="G265" s="4">
        <v>41538</v>
      </c>
      <c r="H265" t="s">
        <v>49</v>
      </c>
      <c r="I265" t="s">
        <v>47</v>
      </c>
      <c r="J265" t="s">
        <v>9</v>
      </c>
      <c r="K265">
        <v>2</v>
      </c>
    </row>
    <row r="266" spans="1:11" x14ac:dyDescent="0.25">
      <c r="A266" t="s">
        <v>16</v>
      </c>
      <c r="B266" t="s">
        <v>21</v>
      </c>
      <c r="C266">
        <v>56239560</v>
      </c>
      <c r="D266" t="s">
        <v>48</v>
      </c>
      <c r="E266" t="s">
        <v>51</v>
      </c>
      <c r="F266" s="4">
        <v>41445</v>
      </c>
      <c r="G266" s="4">
        <v>41538</v>
      </c>
      <c r="H266" t="s">
        <v>49</v>
      </c>
      <c r="I266" t="s">
        <v>47</v>
      </c>
      <c r="J266" t="s">
        <v>10</v>
      </c>
      <c r="K266">
        <v>2</v>
      </c>
    </row>
    <row r="267" spans="1:11" x14ac:dyDescent="0.25">
      <c r="A267" t="s">
        <v>16</v>
      </c>
      <c r="B267" t="s">
        <v>21</v>
      </c>
      <c r="C267">
        <v>56239560</v>
      </c>
      <c r="D267" t="s">
        <v>48</v>
      </c>
      <c r="E267" t="s">
        <v>51</v>
      </c>
      <c r="F267" s="4">
        <v>41445</v>
      </c>
      <c r="G267" s="4">
        <v>41538</v>
      </c>
      <c r="H267" t="s">
        <v>49</v>
      </c>
      <c r="I267" t="s">
        <v>47</v>
      </c>
      <c r="J267" t="s">
        <v>11</v>
      </c>
      <c r="K267">
        <v>1</v>
      </c>
    </row>
    <row r="268" spans="1:11" x14ac:dyDescent="0.25">
      <c r="A268" t="s">
        <v>16</v>
      </c>
      <c r="B268" t="s">
        <v>21</v>
      </c>
      <c r="C268">
        <v>56239560</v>
      </c>
      <c r="D268" t="s">
        <v>48</v>
      </c>
      <c r="E268" t="s">
        <v>51</v>
      </c>
      <c r="F268" s="4">
        <v>41445</v>
      </c>
      <c r="G268" s="4">
        <v>41538</v>
      </c>
      <c r="H268" t="s">
        <v>49</v>
      </c>
      <c r="I268" t="s">
        <v>47</v>
      </c>
      <c r="J268" t="s">
        <v>12</v>
      </c>
      <c r="K268">
        <v>0</v>
      </c>
    </row>
    <row r="269" spans="1:11" x14ac:dyDescent="0.25">
      <c r="A269" t="s">
        <v>16</v>
      </c>
      <c r="B269" t="s">
        <v>21</v>
      </c>
      <c r="C269">
        <v>56239560</v>
      </c>
      <c r="D269" t="s">
        <v>48</v>
      </c>
      <c r="E269" t="s">
        <v>51</v>
      </c>
      <c r="F269" s="4">
        <v>41445</v>
      </c>
      <c r="G269" s="4">
        <v>41538</v>
      </c>
      <c r="H269" t="s">
        <v>49</v>
      </c>
      <c r="I269" t="s">
        <v>47</v>
      </c>
      <c r="J269" t="s">
        <v>13</v>
      </c>
      <c r="K269">
        <v>1</v>
      </c>
    </row>
    <row r="270" spans="1:11" x14ac:dyDescent="0.25">
      <c r="A270" t="s">
        <v>16</v>
      </c>
      <c r="B270" t="s">
        <v>21</v>
      </c>
      <c r="C270">
        <v>56239560</v>
      </c>
      <c r="D270" t="s">
        <v>48</v>
      </c>
      <c r="E270" t="s">
        <v>51</v>
      </c>
      <c r="F270" s="4">
        <v>41445</v>
      </c>
      <c r="G270" s="4">
        <v>41538</v>
      </c>
      <c r="H270" t="s">
        <v>49</v>
      </c>
      <c r="I270" t="s">
        <v>47</v>
      </c>
      <c r="J270" t="s">
        <v>14</v>
      </c>
      <c r="K270">
        <v>3</v>
      </c>
    </row>
    <row r="271" spans="1:11" x14ac:dyDescent="0.25">
      <c r="A271" t="s">
        <v>16</v>
      </c>
      <c r="B271" t="s">
        <v>21</v>
      </c>
      <c r="C271">
        <v>56239560</v>
      </c>
      <c r="D271" t="s">
        <v>48</v>
      </c>
      <c r="E271" t="s">
        <v>51</v>
      </c>
      <c r="F271" s="4">
        <v>41445</v>
      </c>
      <c r="G271" s="4">
        <v>41538</v>
      </c>
      <c r="H271" t="s">
        <v>49</v>
      </c>
      <c r="I271" t="s">
        <v>47</v>
      </c>
      <c r="J271" t="s">
        <v>15</v>
      </c>
      <c r="K271">
        <v>0</v>
      </c>
    </row>
    <row r="272" spans="1:11" x14ac:dyDescent="0.25">
      <c r="A272" t="s">
        <v>16</v>
      </c>
      <c r="B272" t="s">
        <v>19</v>
      </c>
      <c r="C272">
        <v>56239560</v>
      </c>
      <c r="D272" t="s">
        <v>48</v>
      </c>
      <c r="E272" t="s">
        <v>51</v>
      </c>
      <c r="F272" s="4">
        <v>41445</v>
      </c>
      <c r="G272" s="4">
        <v>41551</v>
      </c>
      <c r="H272" t="s">
        <v>49</v>
      </c>
      <c r="I272" t="s">
        <v>47</v>
      </c>
      <c r="J272" t="s">
        <v>6</v>
      </c>
      <c r="K272">
        <v>0</v>
      </c>
    </row>
    <row r="273" spans="1:11" x14ac:dyDescent="0.25">
      <c r="A273" t="s">
        <v>16</v>
      </c>
      <c r="B273" t="s">
        <v>19</v>
      </c>
      <c r="C273">
        <v>56239560</v>
      </c>
      <c r="D273" t="s">
        <v>48</v>
      </c>
      <c r="E273" t="s">
        <v>51</v>
      </c>
      <c r="F273" s="4">
        <v>41445</v>
      </c>
      <c r="G273" s="4">
        <v>41551</v>
      </c>
      <c r="H273" t="s">
        <v>49</v>
      </c>
      <c r="I273" t="s">
        <v>47</v>
      </c>
      <c r="J273" t="s">
        <v>7</v>
      </c>
      <c r="K273">
        <v>2</v>
      </c>
    </row>
    <row r="274" spans="1:11" x14ac:dyDescent="0.25">
      <c r="A274" t="s">
        <v>16</v>
      </c>
      <c r="B274" t="s">
        <v>19</v>
      </c>
      <c r="C274">
        <v>56239560</v>
      </c>
      <c r="D274" t="s">
        <v>48</v>
      </c>
      <c r="E274" t="s">
        <v>51</v>
      </c>
      <c r="F274" s="4">
        <v>41445</v>
      </c>
      <c r="G274" s="4">
        <v>41551</v>
      </c>
      <c r="H274" t="s">
        <v>49</v>
      </c>
      <c r="I274" t="s">
        <v>47</v>
      </c>
      <c r="J274" t="s">
        <v>8</v>
      </c>
      <c r="K274">
        <v>3</v>
      </c>
    </row>
    <row r="275" spans="1:11" x14ac:dyDescent="0.25">
      <c r="A275" t="s">
        <v>16</v>
      </c>
      <c r="B275" t="s">
        <v>19</v>
      </c>
      <c r="C275">
        <v>56239560</v>
      </c>
      <c r="D275" t="s">
        <v>48</v>
      </c>
      <c r="E275" t="s">
        <v>51</v>
      </c>
      <c r="F275" s="4">
        <v>41445</v>
      </c>
      <c r="G275" s="4">
        <v>41551</v>
      </c>
      <c r="H275" t="s">
        <v>49</v>
      </c>
      <c r="I275" t="s">
        <v>47</v>
      </c>
      <c r="J275" t="s">
        <v>9</v>
      </c>
      <c r="K275">
        <v>1</v>
      </c>
    </row>
    <row r="276" spans="1:11" x14ac:dyDescent="0.25">
      <c r="A276" t="s">
        <v>16</v>
      </c>
      <c r="B276" t="s">
        <v>19</v>
      </c>
      <c r="C276">
        <v>56239560</v>
      </c>
      <c r="D276" t="s">
        <v>48</v>
      </c>
      <c r="E276" t="s">
        <v>51</v>
      </c>
      <c r="F276" s="4">
        <v>41445</v>
      </c>
      <c r="G276" s="4">
        <v>41551</v>
      </c>
      <c r="H276" t="s">
        <v>49</v>
      </c>
      <c r="I276" t="s">
        <v>47</v>
      </c>
      <c r="J276" t="s">
        <v>10</v>
      </c>
      <c r="K276">
        <v>0</v>
      </c>
    </row>
    <row r="277" spans="1:11" x14ac:dyDescent="0.25">
      <c r="A277" t="s">
        <v>16</v>
      </c>
      <c r="B277" t="s">
        <v>19</v>
      </c>
      <c r="C277">
        <v>56239560</v>
      </c>
      <c r="D277" t="s">
        <v>48</v>
      </c>
      <c r="E277" t="s">
        <v>51</v>
      </c>
      <c r="F277" s="4">
        <v>41445</v>
      </c>
      <c r="G277" s="4">
        <v>41551</v>
      </c>
      <c r="H277" t="s">
        <v>49</v>
      </c>
      <c r="I277" t="s">
        <v>47</v>
      </c>
      <c r="J277" t="s">
        <v>11</v>
      </c>
      <c r="K277">
        <v>1</v>
      </c>
    </row>
    <row r="278" spans="1:11" x14ac:dyDescent="0.25">
      <c r="A278" t="s">
        <v>16</v>
      </c>
      <c r="B278" t="s">
        <v>19</v>
      </c>
      <c r="C278">
        <v>56239560</v>
      </c>
      <c r="D278" t="s">
        <v>48</v>
      </c>
      <c r="E278" t="s">
        <v>51</v>
      </c>
      <c r="F278" s="4">
        <v>41445</v>
      </c>
      <c r="G278" s="4">
        <v>41551</v>
      </c>
      <c r="H278" t="s">
        <v>49</v>
      </c>
      <c r="I278" t="s">
        <v>47</v>
      </c>
      <c r="J278" t="s">
        <v>12</v>
      </c>
      <c r="K278">
        <v>1</v>
      </c>
    </row>
    <row r="279" spans="1:11" x14ac:dyDescent="0.25">
      <c r="A279" t="s">
        <v>16</v>
      </c>
      <c r="B279" t="s">
        <v>19</v>
      </c>
      <c r="C279">
        <v>56239560</v>
      </c>
      <c r="D279" t="s">
        <v>48</v>
      </c>
      <c r="E279" t="s">
        <v>51</v>
      </c>
      <c r="F279" s="4">
        <v>41445</v>
      </c>
      <c r="G279" s="4">
        <v>41551</v>
      </c>
      <c r="H279" t="s">
        <v>49</v>
      </c>
      <c r="I279" t="s">
        <v>47</v>
      </c>
      <c r="J279" t="s">
        <v>13</v>
      </c>
      <c r="K279">
        <v>0</v>
      </c>
    </row>
    <row r="280" spans="1:11" x14ac:dyDescent="0.25">
      <c r="A280" t="s">
        <v>16</v>
      </c>
      <c r="B280" t="s">
        <v>19</v>
      </c>
      <c r="C280">
        <v>56239560</v>
      </c>
      <c r="D280" t="s">
        <v>48</v>
      </c>
      <c r="E280" t="s">
        <v>51</v>
      </c>
      <c r="F280" s="4">
        <v>41445</v>
      </c>
      <c r="G280" s="4">
        <v>41551</v>
      </c>
      <c r="H280" t="s">
        <v>49</v>
      </c>
      <c r="I280" t="s">
        <v>47</v>
      </c>
      <c r="J280" t="s">
        <v>14</v>
      </c>
      <c r="K280">
        <v>0</v>
      </c>
    </row>
    <row r="281" spans="1:11" x14ac:dyDescent="0.25">
      <c r="A281" t="s">
        <v>16</v>
      </c>
      <c r="B281" t="s">
        <v>19</v>
      </c>
      <c r="C281">
        <v>56239560</v>
      </c>
      <c r="D281" t="s">
        <v>48</v>
      </c>
      <c r="E281" t="s">
        <v>51</v>
      </c>
      <c r="F281" s="4">
        <v>41445</v>
      </c>
      <c r="G281" s="4">
        <v>41551</v>
      </c>
      <c r="H281" t="s">
        <v>49</v>
      </c>
      <c r="I281" t="s">
        <v>47</v>
      </c>
      <c r="J281" t="s">
        <v>15</v>
      </c>
      <c r="K281">
        <v>0</v>
      </c>
    </row>
    <row r="282" spans="1:11" x14ac:dyDescent="0.25">
      <c r="A282" t="s">
        <v>16</v>
      </c>
      <c r="B282" t="s">
        <v>20</v>
      </c>
      <c r="C282">
        <v>56239560</v>
      </c>
      <c r="D282" t="s">
        <v>48</v>
      </c>
      <c r="E282" t="s">
        <v>51</v>
      </c>
      <c r="F282" s="4">
        <v>41445</v>
      </c>
      <c r="G282" s="4">
        <v>41677</v>
      </c>
      <c r="H282" t="s">
        <v>49</v>
      </c>
      <c r="I282" t="s">
        <v>47</v>
      </c>
      <c r="J282" t="s">
        <v>6</v>
      </c>
      <c r="K282">
        <v>0</v>
      </c>
    </row>
    <row r="283" spans="1:11" x14ac:dyDescent="0.25">
      <c r="A283" t="s">
        <v>16</v>
      </c>
      <c r="B283" t="s">
        <v>20</v>
      </c>
      <c r="C283">
        <v>56239560</v>
      </c>
      <c r="D283" t="s">
        <v>48</v>
      </c>
      <c r="E283" t="s">
        <v>51</v>
      </c>
      <c r="F283" s="4">
        <v>41445</v>
      </c>
      <c r="G283" s="4">
        <v>41677</v>
      </c>
      <c r="H283" t="s">
        <v>49</v>
      </c>
      <c r="I283" t="s">
        <v>47</v>
      </c>
      <c r="J283" t="s">
        <v>7</v>
      </c>
      <c r="K283">
        <v>1</v>
      </c>
    </row>
    <row r="284" spans="1:11" x14ac:dyDescent="0.25">
      <c r="A284" t="s">
        <v>16</v>
      </c>
      <c r="B284" t="s">
        <v>20</v>
      </c>
      <c r="C284">
        <v>56239560</v>
      </c>
      <c r="D284" t="s">
        <v>48</v>
      </c>
      <c r="E284" t="s">
        <v>51</v>
      </c>
      <c r="F284" s="4">
        <v>41445</v>
      </c>
      <c r="G284" s="4">
        <v>41677</v>
      </c>
      <c r="H284" t="s">
        <v>49</v>
      </c>
      <c r="I284" t="s">
        <v>47</v>
      </c>
      <c r="J284" t="s">
        <v>8</v>
      </c>
      <c r="K284">
        <v>1</v>
      </c>
    </row>
    <row r="285" spans="1:11" x14ac:dyDescent="0.25">
      <c r="A285" t="s">
        <v>16</v>
      </c>
      <c r="B285" t="s">
        <v>20</v>
      </c>
      <c r="C285">
        <v>56239560</v>
      </c>
      <c r="D285" t="s">
        <v>48</v>
      </c>
      <c r="E285" t="s">
        <v>51</v>
      </c>
      <c r="F285" s="4">
        <v>41445</v>
      </c>
      <c r="G285" s="4">
        <v>41677</v>
      </c>
      <c r="H285" t="s">
        <v>49</v>
      </c>
      <c r="I285" t="s">
        <v>47</v>
      </c>
      <c r="J285" t="s">
        <v>9</v>
      </c>
      <c r="K285">
        <v>0</v>
      </c>
    </row>
    <row r="286" spans="1:11" x14ac:dyDescent="0.25">
      <c r="A286" t="s">
        <v>16</v>
      </c>
      <c r="B286" t="s">
        <v>20</v>
      </c>
      <c r="C286">
        <v>56239560</v>
      </c>
      <c r="D286" t="s">
        <v>48</v>
      </c>
      <c r="E286" t="s">
        <v>51</v>
      </c>
      <c r="F286" s="4">
        <v>41445</v>
      </c>
      <c r="G286" s="4">
        <v>41677</v>
      </c>
      <c r="H286" t="s">
        <v>49</v>
      </c>
      <c r="I286" t="s">
        <v>47</v>
      </c>
      <c r="J286" t="s">
        <v>10</v>
      </c>
      <c r="K286">
        <v>2</v>
      </c>
    </row>
    <row r="287" spans="1:11" x14ac:dyDescent="0.25">
      <c r="A287" t="s">
        <v>16</v>
      </c>
      <c r="B287" t="s">
        <v>20</v>
      </c>
      <c r="C287">
        <v>56239560</v>
      </c>
      <c r="D287" t="s">
        <v>48</v>
      </c>
      <c r="E287" t="s">
        <v>51</v>
      </c>
      <c r="F287" s="4">
        <v>41445</v>
      </c>
      <c r="G287" s="4">
        <v>41677</v>
      </c>
      <c r="H287" t="s">
        <v>49</v>
      </c>
      <c r="I287" t="s">
        <v>47</v>
      </c>
      <c r="J287" t="s">
        <v>11</v>
      </c>
      <c r="K287">
        <v>1</v>
      </c>
    </row>
    <row r="288" spans="1:11" x14ac:dyDescent="0.25">
      <c r="A288" t="s">
        <v>16</v>
      </c>
      <c r="B288" t="s">
        <v>20</v>
      </c>
      <c r="C288">
        <v>56239560</v>
      </c>
      <c r="D288" t="s">
        <v>48</v>
      </c>
      <c r="E288" t="s">
        <v>51</v>
      </c>
      <c r="F288" s="4">
        <v>41445</v>
      </c>
      <c r="G288" s="4">
        <v>41677</v>
      </c>
      <c r="H288" t="s">
        <v>49</v>
      </c>
      <c r="I288" t="s">
        <v>47</v>
      </c>
      <c r="J288" t="s">
        <v>12</v>
      </c>
      <c r="K288">
        <v>0</v>
      </c>
    </row>
    <row r="289" spans="1:11" x14ac:dyDescent="0.25">
      <c r="A289" t="s">
        <v>16</v>
      </c>
      <c r="B289" t="s">
        <v>20</v>
      </c>
      <c r="C289">
        <v>56239560</v>
      </c>
      <c r="D289" t="s">
        <v>48</v>
      </c>
      <c r="E289" t="s">
        <v>51</v>
      </c>
      <c r="F289" s="4">
        <v>41445</v>
      </c>
      <c r="G289" s="4">
        <v>41677</v>
      </c>
      <c r="H289" t="s">
        <v>49</v>
      </c>
      <c r="I289" t="s">
        <v>47</v>
      </c>
      <c r="J289" t="s">
        <v>13</v>
      </c>
      <c r="K289">
        <v>2</v>
      </c>
    </row>
    <row r="290" spans="1:11" x14ac:dyDescent="0.25">
      <c r="A290" t="s">
        <v>16</v>
      </c>
      <c r="B290" t="s">
        <v>20</v>
      </c>
      <c r="C290">
        <v>56239560</v>
      </c>
      <c r="D290" t="s">
        <v>48</v>
      </c>
      <c r="E290" t="s">
        <v>51</v>
      </c>
      <c r="F290" s="4">
        <v>41445</v>
      </c>
      <c r="G290" s="4">
        <v>41677</v>
      </c>
      <c r="H290" t="s">
        <v>49</v>
      </c>
      <c r="I290" t="s">
        <v>47</v>
      </c>
      <c r="J290" t="s">
        <v>14</v>
      </c>
      <c r="K290">
        <v>3</v>
      </c>
    </row>
    <row r="291" spans="1:11" x14ac:dyDescent="0.25">
      <c r="A291" t="s">
        <v>16</v>
      </c>
      <c r="B291" t="s">
        <v>20</v>
      </c>
      <c r="C291">
        <v>56239560</v>
      </c>
      <c r="D291" t="s">
        <v>48</v>
      </c>
      <c r="E291" t="s">
        <v>51</v>
      </c>
      <c r="F291" s="4">
        <v>41445</v>
      </c>
      <c r="G291" s="4">
        <v>41677</v>
      </c>
      <c r="H291" t="s">
        <v>49</v>
      </c>
      <c r="I291" t="s">
        <v>47</v>
      </c>
      <c r="J291" t="s">
        <v>15</v>
      </c>
      <c r="K291">
        <v>0</v>
      </c>
    </row>
    <row r="292" spans="1:11" x14ac:dyDescent="0.25">
      <c r="A292" t="s">
        <v>16</v>
      </c>
      <c r="B292" t="s">
        <v>21</v>
      </c>
      <c r="C292">
        <v>56239560</v>
      </c>
      <c r="D292" t="s">
        <v>48</v>
      </c>
      <c r="E292" t="s">
        <v>51</v>
      </c>
      <c r="F292" s="4">
        <v>41445</v>
      </c>
      <c r="G292" s="4">
        <v>41809</v>
      </c>
      <c r="H292" t="s">
        <v>49</v>
      </c>
      <c r="I292" t="s">
        <v>47</v>
      </c>
      <c r="J292" t="s">
        <v>6</v>
      </c>
      <c r="K292">
        <v>2</v>
      </c>
    </row>
    <row r="293" spans="1:11" x14ac:dyDescent="0.25">
      <c r="A293" t="s">
        <v>16</v>
      </c>
      <c r="B293" t="s">
        <v>21</v>
      </c>
      <c r="C293">
        <v>56239560</v>
      </c>
      <c r="D293" t="s">
        <v>48</v>
      </c>
      <c r="E293" t="s">
        <v>51</v>
      </c>
      <c r="F293" s="4">
        <v>41445</v>
      </c>
      <c r="G293" s="4">
        <v>41809</v>
      </c>
      <c r="H293" t="s">
        <v>49</v>
      </c>
      <c r="I293" t="s">
        <v>47</v>
      </c>
      <c r="J293" t="s">
        <v>7</v>
      </c>
      <c r="K293">
        <v>0</v>
      </c>
    </row>
    <row r="294" spans="1:11" x14ac:dyDescent="0.25">
      <c r="A294" t="s">
        <v>16</v>
      </c>
      <c r="B294" t="s">
        <v>21</v>
      </c>
      <c r="C294">
        <v>56239560</v>
      </c>
      <c r="D294" t="s">
        <v>48</v>
      </c>
      <c r="E294" t="s">
        <v>51</v>
      </c>
      <c r="F294" s="4">
        <v>41445</v>
      </c>
      <c r="G294" s="4">
        <v>41809</v>
      </c>
      <c r="H294" t="s">
        <v>49</v>
      </c>
      <c r="I294" t="s">
        <v>47</v>
      </c>
      <c r="J294" t="s">
        <v>8</v>
      </c>
      <c r="K294">
        <v>3</v>
      </c>
    </row>
    <row r="295" spans="1:11" x14ac:dyDescent="0.25">
      <c r="A295" t="s">
        <v>16</v>
      </c>
      <c r="B295" t="s">
        <v>21</v>
      </c>
      <c r="C295">
        <v>56239560</v>
      </c>
      <c r="D295" t="s">
        <v>48</v>
      </c>
      <c r="E295" t="s">
        <v>51</v>
      </c>
      <c r="F295" s="4">
        <v>41445</v>
      </c>
      <c r="G295" s="4">
        <v>41809</v>
      </c>
      <c r="H295" t="s">
        <v>49</v>
      </c>
      <c r="I295" t="s">
        <v>47</v>
      </c>
      <c r="J295" t="s">
        <v>9</v>
      </c>
      <c r="K295">
        <v>3</v>
      </c>
    </row>
    <row r="296" spans="1:11" x14ac:dyDescent="0.25">
      <c r="A296" t="s">
        <v>16</v>
      </c>
      <c r="B296" t="s">
        <v>21</v>
      </c>
      <c r="C296">
        <v>56239560</v>
      </c>
      <c r="D296" t="s">
        <v>48</v>
      </c>
      <c r="E296" t="s">
        <v>51</v>
      </c>
      <c r="F296" s="4">
        <v>41445</v>
      </c>
      <c r="G296" s="4">
        <v>41809</v>
      </c>
      <c r="H296" t="s">
        <v>49</v>
      </c>
      <c r="I296" t="s">
        <v>47</v>
      </c>
      <c r="J296" t="s">
        <v>10</v>
      </c>
      <c r="K296">
        <v>0</v>
      </c>
    </row>
    <row r="297" spans="1:11" x14ac:dyDescent="0.25">
      <c r="A297" t="s">
        <v>16</v>
      </c>
      <c r="B297" t="s">
        <v>21</v>
      </c>
      <c r="C297">
        <v>56239560</v>
      </c>
      <c r="D297" t="s">
        <v>48</v>
      </c>
      <c r="E297" t="s">
        <v>51</v>
      </c>
      <c r="F297" s="4">
        <v>41445</v>
      </c>
      <c r="G297" s="4">
        <v>41809</v>
      </c>
      <c r="H297" t="s">
        <v>49</v>
      </c>
      <c r="I297" t="s">
        <v>47</v>
      </c>
      <c r="J297" t="s">
        <v>11</v>
      </c>
      <c r="K297">
        <v>0</v>
      </c>
    </row>
    <row r="298" spans="1:11" x14ac:dyDescent="0.25">
      <c r="A298" t="s">
        <v>16</v>
      </c>
      <c r="B298" t="s">
        <v>21</v>
      </c>
      <c r="C298">
        <v>56239560</v>
      </c>
      <c r="D298" t="s">
        <v>48</v>
      </c>
      <c r="E298" t="s">
        <v>51</v>
      </c>
      <c r="F298" s="4">
        <v>41445</v>
      </c>
      <c r="G298" s="4">
        <v>41809</v>
      </c>
      <c r="H298" t="s">
        <v>49</v>
      </c>
      <c r="I298" t="s">
        <v>47</v>
      </c>
      <c r="J298" t="s">
        <v>12</v>
      </c>
      <c r="K298">
        <v>0</v>
      </c>
    </row>
    <row r="299" spans="1:11" x14ac:dyDescent="0.25">
      <c r="A299" t="s">
        <v>16</v>
      </c>
      <c r="B299" t="s">
        <v>21</v>
      </c>
      <c r="C299">
        <v>56239560</v>
      </c>
      <c r="D299" t="s">
        <v>48</v>
      </c>
      <c r="E299" t="s">
        <v>51</v>
      </c>
      <c r="F299" s="4">
        <v>41445</v>
      </c>
      <c r="G299" s="4">
        <v>41809</v>
      </c>
      <c r="H299" t="s">
        <v>49</v>
      </c>
      <c r="I299" t="s">
        <v>47</v>
      </c>
      <c r="J299" t="s">
        <v>13</v>
      </c>
      <c r="K299">
        <v>1</v>
      </c>
    </row>
    <row r="300" spans="1:11" x14ac:dyDescent="0.25">
      <c r="A300" t="s">
        <v>16</v>
      </c>
      <c r="B300" t="s">
        <v>21</v>
      </c>
      <c r="C300">
        <v>56239560</v>
      </c>
      <c r="D300" t="s">
        <v>48</v>
      </c>
      <c r="E300" t="s">
        <v>51</v>
      </c>
      <c r="F300" s="4">
        <v>41445</v>
      </c>
      <c r="G300" s="4">
        <v>41809</v>
      </c>
      <c r="H300" t="s">
        <v>49</v>
      </c>
      <c r="I300" t="s">
        <v>47</v>
      </c>
      <c r="J300" t="s">
        <v>14</v>
      </c>
      <c r="K300">
        <v>3</v>
      </c>
    </row>
    <row r="301" spans="1:11" x14ac:dyDescent="0.25">
      <c r="A301" t="s">
        <v>16</v>
      </c>
      <c r="B301" t="s">
        <v>21</v>
      </c>
      <c r="C301">
        <v>56239560</v>
      </c>
      <c r="D301" t="s">
        <v>48</v>
      </c>
      <c r="E301" t="s">
        <v>51</v>
      </c>
      <c r="F301" s="4">
        <v>41445</v>
      </c>
      <c r="G301" s="4">
        <v>41809</v>
      </c>
      <c r="H301" t="s">
        <v>49</v>
      </c>
      <c r="I301" t="s">
        <v>47</v>
      </c>
      <c r="J301" t="s">
        <v>15</v>
      </c>
      <c r="K301">
        <v>2</v>
      </c>
    </row>
    <row r="302" spans="1:11" x14ac:dyDescent="0.25">
      <c r="A302" t="s">
        <v>16</v>
      </c>
      <c r="B302" t="s">
        <v>19</v>
      </c>
      <c r="C302">
        <v>56239560</v>
      </c>
      <c r="D302" t="s">
        <v>48</v>
      </c>
      <c r="E302" t="s">
        <v>51</v>
      </c>
      <c r="F302" s="4">
        <v>41445</v>
      </c>
      <c r="G302" s="4">
        <v>41936</v>
      </c>
      <c r="H302" t="s">
        <v>49</v>
      </c>
      <c r="I302" t="s">
        <v>47</v>
      </c>
      <c r="J302" t="s">
        <v>6</v>
      </c>
      <c r="K302">
        <v>0</v>
      </c>
    </row>
    <row r="303" spans="1:11" x14ac:dyDescent="0.25">
      <c r="A303" t="s">
        <v>16</v>
      </c>
      <c r="B303" t="s">
        <v>19</v>
      </c>
      <c r="C303">
        <v>56239560</v>
      </c>
      <c r="D303" t="s">
        <v>48</v>
      </c>
      <c r="E303" t="s">
        <v>51</v>
      </c>
      <c r="F303" s="4">
        <v>41445</v>
      </c>
      <c r="G303" s="4">
        <v>41936</v>
      </c>
      <c r="H303" t="s">
        <v>49</v>
      </c>
      <c r="I303" t="s">
        <v>47</v>
      </c>
      <c r="J303" t="s">
        <v>7</v>
      </c>
      <c r="K303">
        <v>1</v>
      </c>
    </row>
    <row r="304" spans="1:11" x14ac:dyDescent="0.25">
      <c r="A304" t="s">
        <v>16</v>
      </c>
      <c r="B304" t="s">
        <v>19</v>
      </c>
      <c r="C304">
        <v>56239560</v>
      </c>
      <c r="D304" t="s">
        <v>48</v>
      </c>
      <c r="E304" t="s">
        <v>51</v>
      </c>
      <c r="F304" s="4">
        <v>41445</v>
      </c>
      <c r="G304" s="4">
        <v>41936</v>
      </c>
      <c r="H304" t="s">
        <v>49</v>
      </c>
      <c r="I304" t="s">
        <v>47</v>
      </c>
      <c r="J304" t="s">
        <v>8</v>
      </c>
      <c r="K304">
        <v>3</v>
      </c>
    </row>
    <row r="305" spans="1:11" x14ac:dyDescent="0.25">
      <c r="A305" t="s">
        <v>16</v>
      </c>
      <c r="B305" t="s">
        <v>19</v>
      </c>
      <c r="C305">
        <v>56239560</v>
      </c>
      <c r="D305" t="s">
        <v>48</v>
      </c>
      <c r="E305" t="s">
        <v>51</v>
      </c>
      <c r="F305" s="4">
        <v>41445</v>
      </c>
      <c r="G305" s="4">
        <v>41936</v>
      </c>
      <c r="H305" t="s">
        <v>49</v>
      </c>
      <c r="I305" t="s">
        <v>47</v>
      </c>
      <c r="J305" t="s">
        <v>9</v>
      </c>
      <c r="K305">
        <v>3</v>
      </c>
    </row>
    <row r="306" spans="1:11" x14ac:dyDescent="0.25">
      <c r="A306" t="s">
        <v>16</v>
      </c>
      <c r="B306" t="s">
        <v>19</v>
      </c>
      <c r="C306">
        <v>56239560</v>
      </c>
      <c r="D306" t="s">
        <v>48</v>
      </c>
      <c r="E306" t="s">
        <v>51</v>
      </c>
      <c r="F306" s="4">
        <v>41445</v>
      </c>
      <c r="G306" s="4">
        <v>41936</v>
      </c>
      <c r="H306" t="s">
        <v>49</v>
      </c>
      <c r="I306" t="s">
        <v>47</v>
      </c>
      <c r="J306" t="s">
        <v>10</v>
      </c>
      <c r="K306">
        <v>0</v>
      </c>
    </row>
    <row r="307" spans="1:11" x14ac:dyDescent="0.25">
      <c r="A307" t="s">
        <v>16</v>
      </c>
      <c r="B307" t="s">
        <v>19</v>
      </c>
      <c r="C307">
        <v>56239560</v>
      </c>
      <c r="D307" t="s">
        <v>48</v>
      </c>
      <c r="E307" t="s">
        <v>51</v>
      </c>
      <c r="F307" s="4">
        <v>41445</v>
      </c>
      <c r="G307" s="4">
        <v>41936</v>
      </c>
      <c r="H307" t="s">
        <v>49</v>
      </c>
      <c r="I307" t="s">
        <v>47</v>
      </c>
      <c r="J307" t="s">
        <v>11</v>
      </c>
      <c r="K307">
        <v>1</v>
      </c>
    </row>
    <row r="308" spans="1:11" x14ac:dyDescent="0.25">
      <c r="A308" t="s">
        <v>16</v>
      </c>
      <c r="B308" t="s">
        <v>19</v>
      </c>
      <c r="C308">
        <v>56239560</v>
      </c>
      <c r="D308" t="s">
        <v>48</v>
      </c>
      <c r="E308" t="s">
        <v>51</v>
      </c>
      <c r="F308" s="4">
        <v>41445</v>
      </c>
      <c r="G308" s="4">
        <v>41936</v>
      </c>
      <c r="H308" t="s">
        <v>49</v>
      </c>
      <c r="I308" t="s">
        <v>47</v>
      </c>
      <c r="J308" t="s">
        <v>12</v>
      </c>
      <c r="K308">
        <v>1</v>
      </c>
    </row>
    <row r="309" spans="1:11" x14ac:dyDescent="0.25">
      <c r="A309" t="s">
        <v>16</v>
      </c>
      <c r="B309" t="s">
        <v>19</v>
      </c>
      <c r="C309">
        <v>56239560</v>
      </c>
      <c r="D309" t="s">
        <v>48</v>
      </c>
      <c r="E309" t="s">
        <v>51</v>
      </c>
      <c r="F309" s="4">
        <v>41445</v>
      </c>
      <c r="G309" s="4">
        <v>41936</v>
      </c>
      <c r="H309" t="s">
        <v>49</v>
      </c>
      <c r="I309" t="s">
        <v>47</v>
      </c>
      <c r="J309" t="s">
        <v>13</v>
      </c>
      <c r="K309">
        <v>1</v>
      </c>
    </row>
    <row r="310" spans="1:11" x14ac:dyDescent="0.25">
      <c r="A310" t="s">
        <v>16</v>
      </c>
      <c r="B310" t="s">
        <v>19</v>
      </c>
      <c r="C310">
        <v>56239560</v>
      </c>
      <c r="D310" t="s">
        <v>48</v>
      </c>
      <c r="E310" t="s">
        <v>51</v>
      </c>
      <c r="F310" s="4">
        <v>41445</v>
      </c>
      <c r="G310" s="4">
        <v>41936</v>
      </c>
      <c r="H310" t="s">
        <v>49</v>
      </c>
      <c r="I310" t="s">
        <v>47</v>
      </c>
      <c r="J310" t="s">
        <v>14</v>
      </c>
      <c r="K310">
        <v>2</v>
      </c>
    </row>
    <row r="311" spans="1:11" x14ac:dyDescent="0.25">
      <c r="A311" t="s">
        <v>16</v>
      </c>
      <c r="B311" t="s">
        <v>19</v>
      </c>
      <c r="C311">
        <v>56239560</v>
      </c>
      <c r="D311" t="s">
        <v>48</v>
      </c>
      <c r="E311" t="s">
        <v>51</v>
      </c>
      <c r="F311" s="4">
        <v>41445</v>
      </c>
      <c r="G311" s="4">
        <v>41936</v>
      </c>
      <c r="H311" t="s">
        <v>49</v>
      </c>
      <c r="I311" t="s">
        <v>47</v>
      </c>
      <c r="J311" t="s">
        <v>15</v>
      </c>
      <c r="K311">
        <v>0</v>
      </c>
    </row>
    <row r="312" spans="1:11" x14ac:dyDescent="0.25">
      <c r="A312" t="s">
        <v>17</v>
      </c>
      <c r="B312" t="s">
        <v>20</v>
      </c>
      <c r="C312">
        <v>56239560</v>
      </c>
      <c r="D312" t="s">
        <v>48</v>
      </c>
      <c r="E312" t="s">
        <v>51</v>
      </c>
      <c r="F312" s="4">
        <v>41445</v>
      </c>
      <c r="G312" s="4">
        <v>42073</v>
      </c>
      <c r="H312" t="s">
        <v>49</v>
      </c>
      <c r="I312" t="s">
        <v>47</v>
      </c>
      <c r="J312" t="s">
        <v>6</v>
      </c>
      <c r="K312">
        <v>1</v>
      </c>
    </row>
    <row r="313" spans="1:11" x14ac:dyDescent="0.25">
      <c r="A313" t="s">
        <v>17</v>
      </c>
      <c r="B313" t="s">
        <v>20</v>
      </c>
      <c r="C313">
        <v>56239560</v>
      </c>
      <c r="D313" t="s">
        <v>48</v>
      </c>
      <c r="E313" t="s">
        <v>51</v>
      </c>
      <c r="F313" s="4">
        <v>41445</v>
      </c>
      <c r="G313" s="4">
        <v>42073</v>
      </c>
      <c r="H313" t="s">
        <v>49</v>
      </c>
      <c r="I313" t="s">
        <v>47</v>
      </c>
      <c r="J313" t="s">
        <v>7</v>
      </c>
      <c r="K313">
        <v>1</v>
      </c>
    </row>
    <row r="314" spans="1:11" x14ac:dyDescent="0.25">
      <c r="A314" t="s">
        <v>17</v>
      </c>
      <c r="B314" t="s">
        <v>20</v>
      </c>
      <c r="C314">
        <v>56239560</v>
      </c>
      <c r="D314" t="s">
        <v>48</v>
      </c>
      <c r="E314" t="s">
        <v>51</v>
      </c>
      <c r="F314" s="4">
        <v>41445</v>
      </c>
      <c r="G314" s="4">
        <v>42073</v>
      </c>
      <c r="H314" t="s">
        <v>49</v>
      </c>
      <c r="I314" t="s">
        <v>47</v>
      </c>
      <c r="J314" t="s">
        <v>8</v>
      </c>
      <c r="K314">
        <v>3</v>
      </c>
    </row>
    <row r="315" spans="1:11" x14ac:dyDescent="0.25">
      <c r="A315" t="s">
        <v>17</v>
      </c>
      <c r="B315" t="s">
        <v>20</v>
      </c>
      <c r="C315">
        <v>56239560</v>
      </c>
      <c r="D315" t="s">
        <v>48</v>
      </c>
      <c r="E315" t="s">
        <v>51</v>
      </c>
      <c r="F315" s="4">
        <v>41445</v>
      </c>
      <c r="G315" s="4">
        <v>42073</v>
      </c>
      <c r="H315" t="s">
        <v>49</v>
      </c>
      <c r="I315" t="s">
        <v>47</v>
      </c>
      <c r="J315" t="s">
        <v>9</v>
      </c>
      <c r="K315">
        <v>2</v>
      </c>
    </row>
    <row r="316" spans="1:11" x14ac:dyDescent="0.25">
      <c r="A316" t="s">
        <v>17</v>
      </c>
      <c r="B316" t="s">
        <v>20</v>
      </c>
      <c r="C316">
        <v>56239560</v>
      </c>
      <c r="D316" t="s">
        <v>48</v>
      </c>
      <c r="E316" t="s">
        <v>51</v>
      </c>
      <c r="F316" s="4">
        <v>41445</v>
      </c>
      <c r="G316" s="4">
        <v>42073</v>
      </c>
      <c r="H316" t="s">
        <v>49</v>
      </c>
      <c r="I316" t="s">
        <v>47</v>
      </c>
      <c r="J316" t="s">
        <v>10</v>
      </c>
      <c r="K316">
        <v>3</v>
      </c>
    </row>
    <row r="317" spans="1:11" x14ac:dyDescent="0.25">
      <c r="A317" t="s">
        <v>17</v>
      </c>
      <c r="B317" t="s">
        <v>20</v>
      </c>
      <c r="C317">
        <v>56239560</v>
      </c>
      <c r="D317" t="s">
        <v>48</v>
      </c>
      <c r="E317" t="s">
        <v>51</v>
      </c>
      <c r="F317" s="4">
        <v>41445</v>
      </c>
      <c r="G317" s="4">
        <v>42073</v>
      </c>
      <c r="H317" t="s">
        <v>49</v>
      </c>
      <c r="I317" t="s">
        <v>47</v>
      </c>
      <c r="J317" t="s">
        <v>11</v>
      </c>
      <c r="K317">
        <v>2</v>
      </c>
    </row>
    <row r="318" spans="1:11" x14ac:dyDescent="0.25">
      <c r="A318" t="s">
        <v>17</v>
      </c>
      <c r="B318" t="s">
        <v>20</v>
      </c>
      <c r="C318">
        <v>56239560</v>
      </c>
      <c r="D318" t="s">
        <v>48</v>
      </c>
      <c r="E318" t="s">
        <v>51</v>
      </c>
      <c r="F318" s="4">
        <v>41445</v>
      </c>
      <c r="G318" s="4">
        <v>42073</v>
      </c>
      <c r="H318" t="s">
        <v>49</v>
      </c>
      <c r="I318" t="s">
        <v>47</v>
      </c>
      <c r="J318" t="s">
        <v>12</v>
      </c>
      <c r="K318">
        <v>1</v>
      </c>
    </row>
    <row r="319" spans="1:11" x14ac:dyDescent="0.25">
      <c r="A319" t="s">
        <v>17</v>
      </c>
      <c r="B319" t="s">
        <v>20</v>
      </c>
      <c r="C319">
        <v>56239560</v>
      </c>
      <c r="D319" t="s">
        <v>48</v>
      </c>
      <c r="E319" t="s">
        <v>51</v>
      </c>
      <c r="F319" s="4">
        <v>41445</v>
      </c>
      <c r="G319" s="4">
        <v>42073</v>
      </c>
      <c r="H319" t="s">
        <v>49</v>
      </c>
      <c r="I319" t="s">
        <v>47</v>
      </c>
      <c r="J319" t="s">
        <v>13</v>
      </c>
      <c r="K319">
        <v>0</v>
      </c>
    </row>
    <row r="320" spans="1:11" x14ac:dyDescent="0.25">
      <c r="A320" t="s">
        <v>17</v>
      </c>
      <c r="B320" t="s">
        <v>20</v>
      </c>
      <c r="C320">
        <v>56239560</v>
      </c>
      <c r="D320" t="s">
        <v>48</v>
      </c>
      <c r="E320" t="s">
        <v>51</v>
      </c>
      <c r="F320" s="4">
        <v>41445</v>
      </c>
      <c r="G320" s="4">
        <v>42073</v>
      </c>
      <c r="H320" t="s">
        <v>49</v>
      </c>
      <c r="I320" t="s">
        <v>47</v>
      </c>
      <c r="J320" t="s">
        <v>14</v>
      </c>
      <c r="K320">
        <v>2</v>
      </c>
    </row>
    <row r="321" spans="1:11" x14ac:dyDescent="0.25">
      <c r="A321" t="s">
        <v>17</v>
      </c>
      <c r="B321" t="s">
        <v>20</v>
      </c>
      <c r="C321">
        <v>56239560</v>
      </c>
      <c r="D321" t="s">
        <v>48</v>
      </c>
      <c r="E321" t="s">
        <v>51</v>
      </c>
      <c r="F321" s="4">
        <v>41445</v>
      </c>
      <c r="G321" s="4">
        <v>42073</v>
      </c>
      <c r="H321" t="s">
        <v>49</v>
      </c>
      <c r="I321" t="s">
        <v>47</v>
      </c>
      <c r="J321" t="s">
        <v>15</v>
      </c>
      <c r="K321">
        <v>2</v>
      </c>
    </row>
    <row r="322" spans="1:11" x14ac:dyDescent="0.25">
      <c r="A322" t="s">
        <v>17</v>
      </c>
      <c r="B322" t="s">
        <v>21</v>
      </c>
      <c r="C322">
        <v>56239560</v>
      </c>
      <c r="D322" t="s">
        <v>48</v>
      </c>
      <c r="E322" t="s">
        <v>51</v>
      </c>
      <c r="F322" s="4">
        <v>41445</v>
      </c>
      <c r="G322" s="4">
        <v>42189</v>
      </c>
      <c r="H322" t="s">
        <v>49</v>
      </c>
      <c r="I322" t="s">
        <v>47</v>
      </c>
      <c r="J322" t="s">
        <v>6</v>
      </c>
      <c r="K322">
        <v>3</v>
      </c>
    </row>
    <row r="323" spans="1:11" x14ac:dyDescent="0.25">
      <c r="A323" t="s">
        <v>17</v>
      </c>
      <c r="B323" t="s">
        <v>21</v>
      </c>
      <c r="C323">
        <v>56239560</v>
      </c>
      <c r="D323" t="s">
        <v>48</v>
      </c>
      <c r="E323" t="s">
        <v>51</v>
      </c>
      <c r="F323" s="4">
        <v>41445</v>
      </c>
      <c r="G323" s="4">
        <v>42189</v>
      </c>
      <c r="H323" t="s">
        <v>49</v>
      </c>
      <c r="I323" t="s">
        <v>47</v>
      </c>
      <c r="J323" t="s">
        <v>7</v>
      </c>
      <c r="K323">
        <v>1</v>
      </c>
    </row>
    <row r="324" spans="1:11" x14ac:dyDescent="0.25">
      <c r="A324" t="s">
        <v>17</v>
      </c>
      <c r="B324" t="s">
        <v>21</v>
      </c>
      <c r="C324">
        <v>56239560</v>
      </c>
      <c r="D324" t="s">
        <v>48</v>
      </c>
      <c r="E324" t="s">
        <v>51</v>
      </c>
      <c r="F324" s="4">
        <v>41445</v>
      </c>
      <c r="G324" s="4">
        <v>42189</v>
      </c>
      <c r="H324" t="s">
        <v>49</v>
      </c>
      <c r="I324" t="s">
        <v>47</v>
      </c>
      <c r="J324" t="s">
        <v>8</v>
      </c>
      <c r="K324">
        <v>3</v>
      </c>
    </row>
    <row r="325" spans="1:11" x14ac:dyDescent="0.25">
      <c r="A325" t="s">
        <v>17</v>
      </c>
      <c r="B325" t="s">
        <v>21</v>
      </c>
      <c r="C325">
        <v>56239560</v>
      </c>
      <c r="D325" t="s">
        <v>48</v>
      </c>
      <c r="E325" t="s">
        <v>51</v>
      </c>
      <c r="F325" s="4">
        <v>41445</v>
      </c>
      <c r="G325" s="4">
        <v>42189</v>
      </c>
      <c r="H325" t="s">
        <v>49</v>
      </c>
      <c r="I325" t="s">
        <v>47</v>
      </c>
      <c r="J325" t="s">
        <v>9</v>
      </c>
      <c r="K325">
        <v>0</v>
      </c>
    </row>
    <row r="326" spans="1:11" x14ac:dyDescent="0.25">
      <c r="A326" t="s">
        <v>17</v>
      </c>
      <c r="B326" t="s">
        <v>21</v>
      </c>
      <c r="C326">
        <v>56239560</v>
      </c>
      <c r="D326" t="s">
        <v>48</v>
      </c>
      <c r="E326" t="s">
        <v>51</v>
      </c>
      <c r="F326" s="4">
        <v>41445</v>
      </c>
      <c r="G326" s="4">
        <v>42189</v>
      </c>
      <c r="H326" t="s">
        <v>49</v>
      </c>
      <c r="I326" t="s">
        <v>47</v>
      </c>
      <c r="J326" t="s">
        <v>10</v>
      </c>
      <c r="K326">
        <v>2</v>
      </c>
    </row>
    <row r="327" spans="1:11" x14ac:dyDescent="0.25">
      <c r="A327" t="s">
        <v>17</v>
      </c>
      <c r="B327" t="s">
        <v>21</v>
      </c>
      <c r="C327">
        <v>56239560</v>
      </c>
      <c r="D327" t="s">
        <v>48</v>
      </c>
      <c r="E327" t="s">
        <v>51</v>
      </c>
      <c r="F327" s="4">
        <v>41445</v>
      </c>
      <c r="G327" s="4">
        <v>42189</v>
      </c>
      <c r="H327" t="s">
        <v>49</v>
      </c>
      <c r="I327" t="s">
        <v>47</v>
      </c>
      <c r="J327" t="s">
        <v>11</v>
      </c>
      <c r="K327">
        <v>0</v>
      </c>
    </row>
    <row r="328" spans="1:11" x14ac:dyDescent="0.25">
      <c r="A328" t="s">
        <v>17</v>
      </c>
      <c r="B328" t="s">
        <v>21</v>
      </c>
      <c r="C328">
        <v>56239560</v>
      </c>
      <c r="D328" t="s">
        <v>48</v>
      </c>
      <c r="E328" t="s">
        <v>51</v>
      </c>
      <c r="F328" s="4">
        <v>41445</v>
      </c>
      <c r="G328" s="4">
        <v>42189</v>
      </c>
      <c r="H328" t="s">
        <v>49</v>
      </c>
      <c r="I328" t="s">
        <v>47</v>
      </c>
      <c r="J328" t="s">
        <v>12</v>
      </c>
      <c r="K328">
        <v>2</v>
      </c>
    </row>
    <row r="329" spans="1:11" x14ac:dyDescent="0.25">
      <c r="A329" t="s">
        <v>17</v>
      </c>
      <c r="B329" t="s">
        <v>21</v>
      </c>
      <c r="C329">
        <v>56239560</v>
      </c>
      <c r="D329" t="s">
        <v>48</v>
      </c>
      <c r="E329" t="s">
        <v>51</v>
      </c>
      <c r="F329" s="4">
        <v>41445</v>
      </c>
      <c r="G329" s="4">
        <v>42189</v>
      </c>
      <c r="H329" t="s">
        <v>49</v>
      </c>
      <c r="I329" t="s">
        <v>47</v>
      </c>
      <c r="J329" t="s">
        <v>13</v>
      </c>
      <c r="K329">
        <v>1</v>
      </c>
    </row>
    <row r="330" spans="1:11" x14ac:dyDescent="0.25">
      <c r="A330" t="s">
        <v>17</v>
      </c>
      <c r="B330" t="s">
        <v>21</v>
      </c>
      <c r="C330">
        <v>56239560</v>
      </c>
      <c r="D330" t="s">
        <v>48</v>
      </c>
      <c r="E330" t="s">
        <v>51</v>
      </c>
      <c r="F330" s="4">
        <v>41445</v>
      </c>
      <c r="G330" s="4">
        <v>42189</v>
      </c>
      <c r="H330" t="s">
        <v>49</v>
      </c>
      <c r="I330" t="s">
        <v>47</v>
      </c>
      <c r="J330" t="s">
        <v>14</v>
      </c>
      <c r="K330">
        <v>1</v>
      </c>
    </row>
    <row r="331" spans="1:11" x14ac:dyDescent="0.25">
      <c r="A331" t="s">
        <v>17</v>
      </c>
      <c r="B331" t="s">
        <v>21</v>
      </c>
      <c r="C331">
        <v>56239560</v>
      </c>
      <c r="D331" t="s">
        <v>48</v>
      </c>
      <c r="E331" t="s">
        <v>51</v>
      </c>
      <c r="F331" s="4">
        <v>41445</v>
      </c>
      <c r="G331" s="4">
        <v>42189</v>
      </c>
      <c r="H331" t="s">
        <v>49</v>
      </c>
      <c r="I331" t="s">
        <v>47</v>
      </c>
      <c r="J331" t="s">
        <v>15</v>
      </c>
      <c r="K331">
        <v>1</v>
      </c>
    </row>
    <row r="332" spans="1:11" x14ac:dyDescent="0.25">
      <c r="A332" t="s">
        <v>17</v>
      </c>
      <c r="B332" t="s">
        <v>19</v>
      </c>
      <c r="C332">
        <v>56239560</v>
      </c>
      <c r="D332" t="s">
        <v>48</v>
      </c>
      <c r="E332" t="s">
        <v>51</v>
      </c>
      <c r="F332" s="4">
        <v>41445</v>
      </c>
      <c r="G332" s="4">
        <v>42268</v>
      </c>
      <c r="H332" t="s">
        <v>49</v>
      </c>
      <c r="I332" t="s">
        <v>47</v>
      </c>
      <c r="J332" t="s">
        <v>6</v>
      </c>
      <c r="K332">
        <v>1</v>
      </c>
    </row>
    <row r="333" spans="1:11" x14ac:dyDescent="0.25">
      <c r="A333" t="s">
        <v>17</v>
      </c>
      <c r="B333" t="s">
        <v>19</v>
      </c>
      <c r="C333">
        <v>56239560</v>
      </c>
      <c r="D333" t="s">
        <v>48</v>
      </c>
      <c r="E333" t="s">
        <v>51</v>
      </c>
      <c r="F333" s="4">
        <v>41445</v>
      </c>
      <c r="G333" s="4">
        <v>42268</v>
      </c>
      <c r="H333" t="s">
        <v>49</v>
      </c>
      <c r="I333" t="s">
        <v>47</v>
      </c>
      <c r="J333" t="s">
        <v>7</v>
      </c>
      <c r="K333">
        <v>2</v>
      </c>
    </row>
    <row r="334" spans="1:11" x14ac:dyDescent="0.25">
      <c r="A334" t="s">
        <v>17</v>
      </c>
      <c r="B334" t="s">
        <v>19</v>
      </c>
      <c r="C334">
        <v>56239560</v>
      </c>
      <c r="D334" t="s">
        <v>48</v>
      </c>
      <c r="E334" t="s">
        <v>51</v>
      </c>
      <c r="F334" s="4">
        <v>41445</v>
      </c>
      <c r="G334" s="4">
        <v>42268</v>
      </c>
      <c r="H334" t="s">
        <v>49</v>
      </c>
      <c r="I334" t="s">
        <v>47</v>
      </c>
      <c r="J334" t="s">
        <v>8</v>
      </c>
      <c r="K334">
        <v>0</v>
      </c>
    </row>
    <row r="335" spans="1:11" x14ac:dyDescent="0.25">
      <c r="A335" t="s">
        <v>17</v>
      </c>
      <c r="B335" t="s">
        <v>19</v>
      </c>
      <c r="C335">
        <v>56239560</v>
      </c>
      <c r="D335" t="s">
        <v>48</v>
      </c>
      <c r="E335" t="s">
        <v>51</v>
      </c>
      <c r="F335" s="4">
        <v>41445</v>
      </c>
      <c r="G335" s="4">
        <v>42268</v>
      </c>
      <c r="H335" t="s">
        <v>49</v>
      </c>
      <c r="I335" t="s">
        <v>47</v>
      </c>
      <c r="J335" t="s">
        <v>9</v>
      </c>
      <c r="K335">
        <v>2</v>
      </c>
    </row>
    <row r="336" spans="1:11" x14ac:dyDescent="0.25">
      <c r="A336" t="s">
        <v>17</v>
      </c>
      <c r="B336" t="s">
        <v>19</v>
      </c>
      <c r="C336">
        <v>56239560</v>
      </c>
      <c r="D336" t="s">
        <v>48</v>
      </c>
      <c r="E336" t="s">
        <v>51</v>
      </c>
      <c r="F336" s="4">
        <v>41445</v>
      </c>
      <c r="G336" s="4">
        <v>42268</v>
      </c>
      <c r="H336" t="s">
        <v>49</v>
      </c>
      <c r="I336" t="s">
        <v>47</v>
      </c>
      <c r="J336" t="s">
        <v>10</v>
      </c>
      <c r="K336">
        <v>3</v>
      </c>
    </row>
    <row r="337" spans="1:11" x14ac:dyDescent="0.25">
      <c r="A337" t="s">
        <v>17</v>
      </c>
      <c r="B337" t="s">
        <v>19</v>
      </c>
      <c r="C337">
        <v>56239560</v>
      </c>
      <c r="D337" t="s">
        <v>48</v>
      </c>
      <c r="E337" t="s">
        <v>51</v>
      </c>
      <c r="F337" s="4">
        <v>41445</v>
      </c>
      <c r="G337" s="4">
        <v>42268</v>
      </c>
      <c r="H337" t="s">
        <v>49</v>
      </c>
      <c r="I337" t="s">
        <v>47</v>
      </c>
      <c r="J337" t="s">
        <v>11</v>
      </c>
      <c r="K337">
        <v>1</v>
      </c>
    </row>
    <row r="338" spans="1:11" x14ac:dyDescent="0.25">
      <c r="A338" t="s">
        <v>17</v>
      </c>
      <c r="B338" t="s">
        <v>19</v>
      </c>
      <c r="C338">
        <v>56239560</v>
      </c>
      <c r="D338" t="s">
        <v>48</v>
      </c>
      <c r="E338" t="s">
        <v>51</v>
      </c>
      <c r="F338" s="4">
        <v>41445</v>
      </c>
      <c r="G338" s="4">
        <v>42268</v>
      </c>
      <c r="H338" t="s">
        <v>49</v>
      </c>
      <c r="I338" t="s">
        <v>47</v>
      </c>
      <c r="J338" t="s">
        <v>12</v>
      </c>
      <c r="K338">
        <v>1</v>
      </c>
    </row>
    <row r="339" spans="1:11" x14ac:dyDescent="0.25">
      <c r="A339" t="s">
        <v>17</v>
      </c>
      <c r="B339" t="s">
        <v>19</v>
      </c>
      <c r="C339">
        <v>56239560</v>
      </c>
      <c r="D339" t="s">
        <v>48</v>
      </c>
      <c r="E339" t="s">
        <v>51</v>
      </c>
      <c r="F339" s="4">
        <v>41445</v>
      </c>
      <c r="G339" s="4">
        <v>42268</v>
      </c>
      <c r="H339" t="s">
        <v>49</v>
      </c>
      <c r="I339" t="s">
        <v>47</v>
      </c>
      <c r="J339" t="s">
        <v>13</v>
      </c>
      <c r="K339">
        <v>1</v>
      </c>
    </row>
    <row r="340" spans="1:11" x14ac:dyDescent="0.25">
      <c r="A340" t="s">
        <v>17</v>
      </c>
      <c r="B340" t="s">
        <v>19</v>
      </c>
      <c r="C340">
        <v>56239560</v>
      </c>
      <c r="D340" t="s">
        <v>48</v>
      </c>
      <c r="E340" t="s">
        <v>51</v>
      </c>
      <c r="F340" s="4">
        <v>41445</v>
      </c>
      <c r="G340" s="4">
        <v>42268</v>
      </c>
      <c r="H340" t="s">
        <v>49</v>
      </c>
      <c r="I340" t="s">
        <v>47</v>
      </c>
      <c r="J340" t="s">
        <v>14</v>
      </c>
      <c r="K340">
        <v>2</v>
      </c>
    </row>
    <row r="341" spans="1:11" x14ac:dyDescent="0.25">
      <c r="A341" t="s">
        <v>17</v>
      </c>
      <c r="B341" t="s">
        <v>19</v>
      </c>
      <c r="C341">
        <v>56239560</v>
      </c>
      <c r="D341" t="s">
        <v>48</v>
      </c>
      <c r="E341" t="s">
        <v>51</v>
      </c>
      <c r="F341" s="4">
        <v>41445</v>
      </c>
      <c r="G341" s="4">
        <v>42268</v>
      </c>
      <c r="H341" t="s">
        <v>49</v>
      </c>
      <c r="I341" t="s">
        <v>47</v>
      </c>
      <c r="J341" t="s">
        <v>15</v>
      </c>
      <c r="K341">
        <v>0</v>
      </c>
    </row>
    <row r="342" spans="1:11" x14ac:dyDescent="0.25">
      <c r="A342" t="s">
        <v>17</v>
      </c>
      <c r="B342" t="s">
        <v>20</v>
      </c>
      <c r="C342">
        <v>56239560</v>
      </c>
      <c r="D342" t="s">
        <v>48</v>
      </c>
      <c r="E342" t="s">
        <v>51</v>
      </c>
      <c r="F342" s="4">
        <v>41445</v>
      </c>
      <c r="G342" s="4">
        <v>42403</v>
      </c>
      <c r="H342" t="s">
        <v>49</v>
      </c>
      <c r="I342" t="s">
        <v>47</v>
      </c>
      <c r="J342" t="s">
        <v>6</v>
      </c>
      <c r="K342">
        <v>1</v>
      </c>
    </row>
    <row r="343" spans="1:11" x14ac:dyDescent="0.25">
      <c r="A343" t="s">
        <v>17</v>
      </c>
      <c r="B343" t="s">
        <v>20</v>
      </c>
      <c r="C343">
        <v>56239560</v>
      </c>
      <c r="D343" t="s">
        <v>48</v>
      </c>
      <c r="E343" t="s">
        <v>51</v>
      </c>
      <c r="F343" s="4">
        <v>41445</v>
      </c>
      <c r="G343" s="4">
        <v>42403</v>
      </c>
      <c r="H343" t="s">
        <v>49</v>
      </c>
      <c r="I343" t="s">
        <v>47</v>
      </c>
      <c r="J343" t="s">
        <v>7</v>
      </c>
      <c r="K343">
        <v>2</v>
      </c>
    </row>
    <row r="344" spans="1:11" x14ac:dyDescent="0.25">
      <c r="A344" t="s">
        <v>17</v>
      </c>
      <c r="B344" t="s">
        <v>20</v>
      </c>
      <c r="C344">
        <v>56239560</v>
      </c>
      <c r="D344" t="s">
        <v>48</v>
      </c>
      <c r="E344" t="s">
        <v>51</v>
      </c>
      <c r="F344" s="4">
        <v>41445</v>
      </c>
      <c r="G344" s="4">
        <v>42403</v>
      </c>
      <c r="H344" t="s">
        <v>49</v>
      </c>
      <c r="I344" t="s">
        <v>47</v>
      </c>
      <c r="J344" t="s">
        <v>8</v>
      </c>
      <c r="K344">
        <v>2</v>
      </c>
    </row>
    <row r="345" spans="1:11" x14ac:dyDescent="0.25">
      <c r="A345" t="s">
        <v>17</v>
      </c>
      <c r="B345" t="s">
        <v>20</v>
      </c>
      <c r="C345">
        <v>56239560</v>
      </c>
      <c r="D345" t="s">
        <v>48</v>
      </c>
      <c r="E345" t="s">
        <v>51</v>
      </c>
      <c r="F345" s="4">
        <v>41445</v>
      </c>
      <c r="G345" s="4">
        <v>42403</v>
      </c>
      <c r="H345" t="s">
        <v>49</v>
      </c>
      <c r="I345" t="s">
        <v>47</v>
      </c>
      <c r="J345" t="s">
        <v>9</v>
      </c>
      <c r="K345">
        <v>3</v>
      </c>
    </row>
    <row r="346" spans="1:11" x14ac:dyDescent="0.25">
      <c r="A346" t="s">
        <v>17</v>
      </c>
      <c r="B346" t="s">
        <v>20</v>
      </c>
      <c r="C346">
        <v>56239560</v>
      </c>
      <c r="D346" t="s">
        <v>48</v>
      </c>
      <c r="E346" t="s">
        <v>51</v>
      </c>
      <c r="F346" s="4">
        <v>41445</v>
      </c>
      <c r="G346" s="4">
        <v>42403</v>
      </c>
      <c r="H346" t="s">
        <v>49</v>
      </c>
      <c r="I346" t="s">
        <v>47</v>
      </c>
      <c r="J346" t="s">
        <v>10</v>
      </c>
      <c r="K346">
        <v>0</v>
      </c>
    </row>
    <row r="347" spans="1:11" x14ac:dyDescent="0.25">
      <c r="A347" t="s">
        <v>17</v>
      </c>
      <c r="B347" t="s">
        <v>20</v>
      </c>
      <c r="C347">
        <v>56239560</v>
      </c>
      <c r="D347" t="s">
        <v>48</v>
      </c>
      <c r="E347" t="s">
        <v>51</v>
      </c>
      <c r="F347" s="4">
        <v>41445</v>
      </c>
      <c r="G347" s="4">
        <v>42403</v>
      </c>
      <c r="H347" t="s">
        <v>49</v>
      </c>
      <c r="I347" t="s">
        <v>47</v>
      </c>
      <c r="J347" t="s">
        <v>11</v>
      </c>
      <c r="K347">
        <v>0</v>
      </c>
    </row>
    <row r="348" spans="1:11" x14ac:dyDescent="0.25">
      <c r="A348" t="s">
        <v>17</v>
      </c>
      <c r="B348" t="s">
        <v>20</v>
      </c>
      <c r="C348">
        <v>56239560</v>
      </c>
      <c r="D348" t="s">
        <v>48</v>
      </c>
      <c r="E348" t="s">
        <v>51</v>
      </c>
      <c r="F348" s="4">
        <v>41445</v>
      </c>
      <c r="G348" s="4">
        <v>42403</v>
      </c>
      <c r="H348" t="s">
        <v>49</v>
      </c>
      <c r="I348" t="s">
        <v>47</v>
      </c>
      <c r="J348" t="s">
        <v>12</v>
      </c>
      <c r="K348">
        <v>2</v>
      </c>
    </row>
    <row r="349" spans="1:11" x14ac:dyDescent="0.25">
      <c r="A349" t="s">
        <v>17</v>
      </c>
      <c r="B349" t="s">
        <v>20</v>
      </c>
      <c r="C349">
        <v>56239560</v>
      </c>
      <c r="D349" t="s">
        <v>48</v>
      </c>
      <c r="E349" t="s">
        <v>51</v>
      </c>
      <c r="F349" s="4">
        <v>41445</v>
      </c>
      <c r="G349" s="4">
        <v>42403</v>
      </c>
      <c r="H349" t="s">
        <v>49</v>
      </c>
      <c r="I349" t="s">
        <v>47</v>
      </c>
      <c r="J349" t="s">
        <v>13</v>
      </c>
      <c r="K349">
        <v>1</v>
      </c>
    </row>
    <row r="350" spans="1:11" x14ac:dyDescent="0.25">
      <c r="A350" t="s">
        <v>17</v>
      </c>
      <c r="B350" t="s">
        <v>20</v>
      </c>
      <c r="C350">
        <v>56239560</v>
      </c>
      <c r="D350" t="s">
        <v>48</v>
      </c>
      <c r="E350" t="s">
        <v>51</v>
      </c>
      <c r="F350" s="4">
        <v>41445</v>
      </c>
      <c r="G350" s="4">
        <v>42403</v>
      </c>
      <c r="H350" t="s">
        <v>49</v>
      </c>
      <c r="I350" t="s">
        <v>47</v>
      </c>
      <c r="J350" t="s">
        <v>14</v>
      </c>
      <c r="K350">
        <v>2</v>
      </c>
    </row>
    <row r="351" spans="1:11" x14ac:dyDescent="0.25">
      <c r="A351" t="s">
        <v>17</v>
      </c>
      <c r="B351" t="s">
        <v>20</v>
      </c>
      <c r="C351">
        <v>56239560</v>
      </c>
      <c r="D351" t="s">
        <v>48</v>
      </c>
      <c r="E351" t="s">
        <v>51</v>
      </c>
      <c r="F351" s="4">
        <v>41445</v>
      </c>
      <c r="G351" s="4">
        <v>42403</v>
      </c>
      <c r="H351" t="s">
        <v>49</v>
      </c>
      <c r="I351" t="s">
        <v>47</v>
      </c>
      <c r="J351" t="s">
        <v>15</v>
      </c>
      <c r="K351">
        <v>1</v>
      </c>
    </row>
    <row r="352" spans="1:11" x14ac:dyDescent="0.25">
      <c r="A352" t="s">
        <v>17</v>
      </c>
      <c r="B352" t="s">
        <v>21</v>
      </c>
      <c r="C352">
        <v>56239560</v>
      </c>
      <c r="D352" t="s">
        <v>48</v>
      </c>
      <c r="E352" t="s">
        <v>51</v>
      </c>
      <c r="F352" s="4">
        <v>41445</v>
      </c>
      <c r="G352" s="4">
        <v>42500</v>
      </c>
      <c r="H352" t="s">
        <v>49</v>
      </c>
      <c r="I352" t="s">
        <v>47</v>
      </c>
      <c r="J352" t="s">
        <v>6</v>
      </c>
      <c r="K352">
        <v>3</v>
      </c>
    </row>
    <row r="353" spans="1:11" x14ac:dyDescent="0.25">
      <c r="A353" t="s">
        <v>17</v>
      </c>
      <c r="B353" t="s">
        <v>21</v>
      </c>
      <c r="C353">
        <v>56239560</v>
      </c>
      <c r="D353" t="s">
        <v>48</v>
      </c>
      <c r="E353" t="s">
        <v>51</v>
      </c>
      <c r="F353" s="4">
        <v>41445</v>
      </c>
      <c r="G353" s="4">
        <v>42500</v>
      </c>
      <c r="H353" t="s">
        <v>49</v>
      </c>
      <c r="I353" t="s">
        <v>47</v>
      </c>
      <c r="J353" t="s">
        <v>7</v>
      </c>
      <c r="K353">
        <v>2</v>
      </c>
    </row>
    <row r="354" spans="1:11" x14ac:dyDescent="0.25">
      <c r="A354" t="s">
        <v>17</v>
      </c>
      <c r="B354" t="s">
        <v>21</v>
      </c>
      <c r="C354">
        <v>56239560</v>
      </c>
      <c r="D354" t="s">
        <v>48</v>
      </c>
      <c r="E354" t="s">
        <v>51</v>
      </c>
      <c r="F354" s="4">
        <v>41445</v>
      </c>
      <c r="G354" s="4">
        <v>42500</v>
      </c>
      <c r="H354" t="s">
        <v>49</v>
      </c>
      <c r="I354" t="s">
        <v>47</v>
      </c>
      <c r="J354" t="s">
        <v>8</v>
      </c>
      <c r="K354">
        <v>2</v>
      </c>
    </row>
    <row r="355" spans="1:11" x14ac:dyDescent="0.25">
      <c r="A355" t="s">
        <v>17</v>
      </c>
      <c r="B355" t="s">
        <v>21</v>
      </c>
      <c r="C355">
        <v>56239560</v>
      </c>
      <c r="D355" t="s">
        <v>48</v>
      </c>
      <c r="E355" t="s">
        <v>51</v>
      </c>
      <c r="F355" s="4">
        <v>41445</v>
      </c>
      <c r="G355" s="4">
        <v>42500</v>
      </c>
      <c r="H355" t="s">
        <v>49</v>
      </c>
      <c r="I355" t="s">
        <v>47</v>
      </c>
      <c r="J355" t="s">
        <v>9</v>
      </c>
      <c r="K355">
        <v>0</v>
      </c>
    </row>
    <row r="356" spans="1:11" x14ac:dyDescent="0.25">
      <c r="A356" t="s">
        <v>17</v>
      </c>
      <c r="B356" t="s">
        <v>21</v>
      </c>
      <c r="C356">
        <v>56239560</v>
      </c>
      <c r="D356" t="s">
        <v>48</v>
      </c>
      <c r="E356" t="s">
        <v>51</v>
      </c>
      <c r="F356" s="4">
        <v>41445</v>
      </c>
      <c r="G356" s="4">
        <v>42500</v>
      </c>
      <c r="H356" t="s">
        <v>49</v>
      </c>
      <c r="I356" t="s">
        <v>47</v>
      </c>
      <c r="J356" t="s">
        <v>10</v>
      </c>
      <c r="K356">
        <v>0</v>
      </c>
    </row>
    <row r="357" spans="1:11" x14ac:dyDescent="0.25">
      <c r="A357" t="s">
        <v>17</v>
      </c>
      <c r="B357" t="s">
        <v>21</v>
      </c>
      <c r="C357">
        <v>56239560</v>
      </c>
      <c r="D357" t="s">
        <v>48</v>
      </c>
      <c r="E357" t="s">
        <v>51</v>
      </c>
      <c r="F357" s="4">
        <v>41445</v>
      </c>
      <c r="G357" s="4">
        <v>42500</v>
      </c>
      <c r="H357" t="s">
        <v>49</v>
      </c>
      <c r="I357" t="s">
        <v>47</v>
      </c>
      <c r="J357" t="s">
        <v>11</v>
      </c>
      <c r="K357">
        <v>2</v>
      </c>
    </row>
    <row r="358" spans="1:11" x14ac:dyDescent="0.25">
      <c r="A358" t="s">
        <v>17</v>
      </c>
      <c r="B358" t="s">
        <v>21</v>
      </c>
      <c r="C358">
        <v>56239560</v>
      </c>
      <c r="D358" t="s">
        <v>48</v>
      </c>
      <c r="E358" t="s">
        <v>51</v>
      </c>
      <c r="F358" s="4">
        <v>41445</v>
      </c>
      <c r="G358" s="4">
        <v>42500</v>
      </c>
      <c r="H358" t="s">
        <v>49</v>
      </c>
      <c r="I358" t="s">
        <v>47</v>
      </c>
      <c r="J358" t="s">
        <v>12</v>
      </c>
      <c r="K358">
        <v>0</v>
      </c>
    </row>
    <row r="359" spans="1:11" x14ac:dyDescent="0.25">
      <c r="A359" t="s">
        <v>17</v>
      </c>
      <c r="B359" t="s">
        <v>21</v>
      </c>
      <c r="C359">
        <v>56239560</v>
      </c>
      <c r="D359" t="s">
        <v>48</v>
      </c>
      <c r="E359" t="s">
        <v>51</v>
      </c>
      <c r="F359" s="4">
        <v>41445</v>
      </c>
      <c r="G359" s="4">
        <v>42500</v>
      </c>
      <c r="H359" t="s">
        <v>49</v>
      </c>
      <c r="I359" t="s">
        <v>47</v>
      </c>
      <c r="J359" t="s">
        <v>13</v>
      </c>
      <c r="K359">
        <v>1</v>
      </c>
    </row>
    <row r="360" spans="1:11" x14ac:dyDescent="0.25">
      <c r="A360" t="s">
        <v>17</v>
      </c>
      <c r="B360" t="s">
        <v>21</v>
      </c>
      <c r="C360">
        <v>56239560</v>
      </c>
      <c r="D360" t="s">
        <v>48</v>
      </c>
      <c r="E360" t="s">
        <v>51</v>
      </c>
      <c r="F360" s="4">
        <v>41445</v>
      </c>
      <c r="G360" s="4">
        <v>42500</v>
      </c>
      <c r="H360" t="s">
        <v>49</v>
      </c>
      <c r="I360" t="s">
        <v>47</v>
      </c>
      <c r="J360" t="s">
        <v>14</v>
      </c>
      <c r="K360">
        <v>2</v>
      </c>
    </row>
    <row r="361" spans="1:11" x14ac:dyDescent="0.25">
      <c r="A361" t="s">
        <v>17</v>
      </c>
      <c r="B361" t="s">
        <v>21</v>
      </c>
      <c r="C361">
        <v>56239560</v>
      </c>
      <c r="D361" t="s">
        <v>48</v>
      </c>
      <c r="E361" t="s">
        <v>51</v>
      </c>
      <c r="F361" s="4">
        <v>41445</v>
      </c>
      <c r="G361" s="4">
        <v>42500</v>
      </c>
      <c r="H361" t="s">
        <v>49</v>
      </c>
      <c r="I361" t="s">
        <v>47</v>
      </c>
      <c r="J361" t="s">
        <v>15</v>
      </c>
      <c r="K361">
        <v>0</v>
      </c>
    </row>
    <row r="362" spans="1:11" x14ac:dyDescent="0.25">
      <c r="A362" t="s">
        <v>17</v>
      </c>
      <c r="B362" t="s">
        <v>19</v>
      </c>
      <c r="C362">
        <v>56239560</v>
      </c>
      <c r="D362" t="s">
        <v>48</v>
      </c>
      <c r="E362" t="s">
        <v>51</v>
      </c>
      <c r="F362" s="4">
        <v>41445</v>
      </c>
      <c r="G362" s="4">
        <v>42562</v>
      </c>
      <c r="H362" t="s">
        <v>49</v>
      </c>
      <c r="I362" t="s">
        <v>47</v>
      </c>
      <c r="J362" t="s">
        <v>6</v>
      </c>
      <c r="K362">
        <v>3</v>
      </c>
    </row>
    <row r="363" spans="1:11" x14ac:dyDescent="0.25">
      <c r="A363" t="s">
        <v>17</v>
      </c>
      <c r="B363" t="s">
        <v>19</v>
      </c>
      <c r="C363">
        <v>56239560</v>
      </c>
      <c r="D363" t="s">
        <v>48</v>
      </c>
      <c r="E363" t="s">
        <v>51</v>
      </c>
      <c r="F363" s="4">
        <v>41445</v>
      </c>
      <c r="G363" s="4">
        <v>42562</v>
      </c>
      <c r="H363" t="s">
        <v>49</v>
      </c>
      <c r="I363" t="s">
        <v>47</v>
      </c>
      <c r="J363" t="s">
        <v>7</v>
      </c>
      <c r="K363">
        <v>0</v>
      </c>
    </row>
    <row r="364" spans="1:11" x14ac:dyDescent="0.25">
      <c r="A364" t="s">
        <v>17</v>
      </c>
      <c r="B364" t="s">
        <v>19</v>
      </c>
      <c r="C364">
        <v>56239560</v>
      </c>
      <c r="D364" t="s">
        <v>48</v>
      </c>
      <c r="E364" t="s">
        <v>51</v>
      </c>
      <c r="F364" s="4">
        <v>41445</v>
      </c>
      <c r="G364" s="4">
        <v>42562</v>
      </c>
      <c r="H364" t="s">
        <v>49</v>
      </c>
      <c r="I364" t="s">
        <v>47</v>
      </c>
      <c r="J364" t="s">
        <v>8</v>
      </c>
      <c r="K364">
        <v>1</v>
      </c>
    </row>
    <row r="365" spans="1:11" x14ac:dyDescent="0.25">
      <c r="A365" t="s">
        <v>17</v>
      </c>
      <c r="B365" t="s">
        <v>19</v>
      </c>
      <c r="C365">
        <v>56239560</v>
      </c>
      <c r="D365" t="s">
        <v>48</v>
      </c>
      <c r="E365" t="s">
        <v>51</v>
      </c>
      <c r="F365" s="4">
        <v>41445</v>
      </c>
      <c r="G365" s="4">
        <v>42562</v>
      </c>
      <c r="H365" t="s">
        <v>49</v>
      </c>
      <c r="I365" t="s">
        <v>47</v>
      </c>
      <c r="J365" t="s">
        <v>9</v>
      </c>
      <c r="K365">
        <v>1</v>
      </c>
    </row>
    <row r="366" spans="1:11" x14ac:dyDescent="0.25">
      <c r="A366" t="s">
        <v>17</v>
      </c>
      <c r="B366" t="s">
        <v>19</v>
      </c>
      <c r="C366">
        <v>56239560</v>
      </c>
      <c r="D366" t="s">
        <v>48</v>
      </c>
      <c r="E366" t="s">
        <v>51</v>
      </c>
      <c r="F366" s="4">
        <v>41445</v>
      </c>
      <c r="G366" s="4">
        <v>42562</v>
      </c>
      <c r="H366" t="s">
        <v>49</v>
      </c>
      <c r="I366" t="s">
        <v>47</v>
      </c>
      <c r="J366" t="s">
        <v>10</v>
      </c>
      <c r="K366">
        <v>1</v>
      </c>
    </row>
    <row r="367" spans="1:11" x14ac:dyDescent="0.25">
      <c r="A367" t="s">
        <v>17</v>
      </c>
      <c r="B367" t="s">
        <v>19</v>
      </c>
      <c r="C367">
        <v>56239560</v>
      </c>
      <c r="D367" t="s">
        <v>48</v>
      </c>
      <c r="E367" t="s">
        <v>51</v>
      </c>
      <c r="F367" s="4">
        <v>41445</v>
      </c>
      <c r="G367" s="4">
        <v>42562</v>
      </c>
      <c r="H367" t="s">
        <v>49</v>
      </c>
      <c r="I367" t="s">
        <v>47</v>
      </c>
      <c r="J367" t="s">
        <v>11</v>
      </c>
      <c r="K367">
        <v>2</v>
      </c>
    </row>
    <row r="368" spans="1:11" x14ac:dyDescent="0.25">
      <c r="A368" t="s">
        <v>17</v>
      </c>
      <c r="B368" t="s">
        <v>19</v>
      </c>
      <c r="C368">
        <v>56239560</v>
      </c>
      <c r="D368" t="s">
        <v>48</v>
      </c>
      <c r="E368" t="s">
        <v>51</v>
      </c>
      <c r="F368" s="4">
        <v>41445</v>
      </c>
      <c r="G368" s="4">
        <v>42562</v>
      </c>
      <c r="H368" t="s">
        <v>49</v>
      </c>
      <c r="I368" t="s">
        <v>47</v>
      </c>
      <c r="J368" t="s">
        <v>12</v>
      </c>
      <c r="K368">
        <v>2</v>
      </c>
    </row>
    <row r="369" spans="1:11" x14ac:dyDescent="0.25">
      <c r="A369" t="s">
        <v>17</v>
      </c>
      <c r="B369" t="s">
        <v>19</v>
      </c>
      <c r="C369">
        <v>56239560</v>
      </c>
      <c r="D369" t="s">
        <v>48</v>
      </c>
      <c r="E369" t="s">
        <v>51</v>
      </c>
      <c r="F369" s="4">
        <v>41445</v>
      </c>
      <c r="G369" s="4">
        <v>42562</v>
      </c>
      <c r="H369" t="s">
        <v>49</v>
      </c>
      <c r="I369" t="s">
        <v>47</v>
      </c>
      <c r="J369" t="s">
        <v>13</v>
      </c>
      <c r="K369">
        <v>0</v>
      </c>
    </row>
    <row r="370" spans="1:11" x14ac:dyDescent="0.25">
      <c r="A370" t="s">
        <v>17</v>
      </c>
      <c r="B370" t="s">
        <v>19</v>
      </c>
      <c r="C370">
        <v>56239560</v>
      </c>
      <c r="D370" t="s">
        <v>48</v>
      </c>
      <c r="E370" t="s">
        <v>51</v>
      </c>
      <c r="F370" s="4">
        <v>41445</v>
      </c>
      <c r="G370" s="4">
        <v>42562</v>
      </c>
      <c r="H370" t="s">
        <v>49</v>
      </c>
      <c r="I370" t="s">
        <v>47</v>
      </c>
      <c r="J370" t="s">
        <v>14</v>
      </c>
      <c r="K370">
        <v>0</v>
      </c>
    </row>
    <row r="371" spans="1:11" x14ac:dyDescent="0.25">
      <c r="A371" t="s">
        <v>17</v>
      </c>
      <c r="B371" t="s">
        <v>19</v>
      </c>
      <c r="C371">
        <v>56239560</v>
      </c>
      <c r="D371" t="s">
        <v>48</v>
      </c>
      <c r="E371" t="s">
        <v>51</v>
      </c>
      <c r="F371" s="4">
        <v>41445</v>
      </c>
      <c r="G371" s="4">
        <v>42562</v>
      </c>
      <c r="H371" t="s">
        <v>49</v>
      </c>
      <c r="I371" t="s">
        <v>47</v>
      </c>
      <c r="J371" t="s">
        <v>15</v>
      </c>
      <c r="K371">
        <v>1</v>
      </c>
    </row>
    <row r="372" spans="1:11" x14ac:dyDescent="0.25">
      <c r="A372" t="s">
        <v>17</v>
      </c>
      <c r="B372" t="s">
        <v>20</v>
      </c>
      <c r="C372">
        <v>74410458</v>
      </c>
      <c r="D372" t="s">
        <v>48</v>
      </c>
      <c r="E372" t="s">
        <v>51</v>
      </c>
      <c r="F372" s="4">
        <v>41669</v>
      </c>
      <c r="G372" s="4">
        <v>41675</v>
      </c>
      <c r="H372" t="s">
        <v>45</v>
      </c>
      <c r="I372" t="s">
        <v>46</v>
      </c>
      <c r="J372" t="s">
        <v>6</v>
      </c>
      <c r="K372">
        <v>0</v>
      </c>
    </row>
    <row r="373" spans="1:11" x14ac:dyDescent="0.25">
      <c r="A373" t="s">
        <v>17</v>
      </c>
      <c r="B373" t="s">
        <v>20</v>
      </c>
      <c r="C373">
        <v>74410458</v>
      </c>
      <c r="D373" t="s">
        <v>48</v>
      </c>
      <c r="E373" t="s">
        <v>51</v>
      </c>
      <c r="F373" s="4">
        <v>41669</v>
      </c>
      <c r="G373" s="4">
        <v>41675</v>
      </c>
      <c r="H373" t="s">
        <v>45</v>
      </c>
      <c r="I373" t="s">
        <v>46</v>
      </c>
      <c r="J373" t="s">
        <v>7</v>
      </c>
      <c r="K373">
        <v>2</v>
      </c>
    </row>
    <row r="374" spans="1:11" x14ac:dyDescent="0.25">
      <c r="A374" t="s">
        <v>17</v>
      </c>
      <c r="B374" t="s">
        <v>20</v>
      </c>
      <c r="C374">
        <v>74410458</v>
      </c>
      <c r="D374" t="s">
        <v>48</v>
      </c>
      <c r="E374" t="s">
        <v>51</v>
      </c>
      <c r="F374" s="4">
        <v>41669</v>
      </c>
      <c r="G374" s="4">
        <v>41675</v>
      </c>
      <c r="H374" t="s">
        <v>45</v>
      </c>
      <c r="I374" t="s">
        <v>46</v>
      </c>
      <c r="J374" t="s">
        <v>8</v>
      </c>
      <c r="K374">
        <v>3</v>
      </c>
    </row>
    <row r="375" spans="1:11" x14ac:dyDescent="0.25">
      <c r="A375" t="s">
        <v>17</v>
      </c>
      <c r="B375" t="s">
        <v>20</v>
      </c>
      <c r="C375">
        <v>74410458</v>
      </c>
      <c r="D375" t="s">
        <v>48</v>
      </c>
      <c r="E375" t="s">
        <v>51</v>
      </c>
      <c r="F375" s="4">
        <v>41669</v>
      </c>
      <c r="G375" s="4">
        <v>41675</v>
      </c>
      <c r="H375" t="s">
        <v>45</v>
      </c>
      <c r="I375" t="s">
        <v>46</v>
      </c>
      <c r="J375" t="s">
        <v>9</v>
      </c>
      <c r="K375">
        <v>2</v>
      </c>
    </row>
    <row r="376" spans="1:11" x14ac:dyDescent="0.25">
      <c r="A376" t="s">
        <v>17</v>
      </c>
      <c r="B376" t="s">
        <v>20</v>
      </c>
      <c r="C376">
        <v>74410458</v>
      </c>
      <c r="D376" t="s">
        <v>48</v>
      </c>
      <c r="E376" t="s">
        <v>51</v>
      </c>
      <c r="F376" s="4">
        <v>41669</v>
      </c>
      <c r="G376" s="4">
        <v>41675</v>
      </c>
      <c r="H376" t="s">
        <v>45</v>
      </c>
      <c r="I376" t="s">
        <v>46</v>
      </c>
      <c r="J376" t="s">
        <v>10</v>
      </c>
      <c r="K376">
        <v>2</v>
      </c>
    </row>
    <row r="377" spans="1:11" x14ac:dyDescent="0.25">
      <c r="A377" t="s">
        <v>17</v>
      </c>
      <c r="B377" t="s">
        <v>20</v>
      </c>
      <c r="C377">
        <v>74410458</v>
      </c>
      <c r="D377" t="s">
        <v>48</v>
      </c>
      <c r="E377" t="s">
        <v>51</v>
      </c>
      <c r="F377" s="4">
        <v>41669</v>
      </c>
      <c r="G377" s="4">
        <v>41675</v>
      </c>
      <c r="H377" t="s">
        <v>45</v>
      </c>
      <c r="I377" t="s">
        <v>46</v>
      </c>
      <c r="J377" t="s">
        <v>11</v>
      </c>
      <c r="K377">
        <v>1</v>
      </c>
    </row>
    <row r="378" spans="1:11" x14ac:dyDescent="0.25">
      <c r="A378" t="s">
        <v>17</v>
      </c>
      <c r="B378" t="s">
        <v>20</v>
      </c>
      <c r="C378">
        <v>74410458</v>
      </c>
      <c r="D378" t="s">
        <v>48</v>
      </c>
      <c r="E378" t="s">
        <v>51</v>
      </c>
      <c r="F378" s="4">
        <v>41669</v>
      </c>
      <c r="G378" s="4">
        <v>41675</v>
      </c>
      <c r="H378" t="s">
        <v>45</v>
      </c>
      <c r="I378" t="s">
        <v>46</v>
      </c>
      <c r="J378" t="s">
        <v>12</v>
      </c>
      <c r="K378">
        <v>1</v>
      </c>
    </row>
    <row r="379" spans="1:11" x14ac:dyDescent="0.25">
      <c r="A379" t="s">
        <v>17</v>
      </c>
      <c r="B379" t="s">
        <v>20</v>
      </c>
      <c r="C379">
        <v>74410458</v>
      </c>
      <c r="D379" t="s">
        <v>48</v>
      </c>
      <c r="E379" t="s">
        <v>51</v>
      </c>
      <c r="F379" s="4">
        <v>41669</v>
      </c>
      <c r="G379" s="4">
        <v>41675</v>
      </c>
      <c r="H379" t="s">
        <v>45</v>
      </c>
      <c r="I379" t="s">
        <v>46</v>
      </c>
      <c r="J379" t="s">
        <v>13</v>
      </c>
      <c r="K379">
        <v>1</v>
      </c>
    </row>
    <row r="380" spans="1:11" x14ac:dyDescent="0.25">
      <c r="A380" t="s">
        <v>17</v>
      </c>
      <c r="B380" t="s">
        <v>20</v>
      </c>
      <c r="C380">
        <v>74410458</v>
      </c>
      <c r="D380" t="s">
        <v>48</v>
      </c>
      <c r="E380" t="s">
        <v>51</v>
      </c>
      <c r="F380" s="4">
        <v>41669</v>
      </c>
      <c r="G380" s="4">
        <v>41675</v>
      </c>
      <c r="H380" t="s">
        <v>45</v>
      </c>
      <c r="I380" t="s">
        <v>46</v>
      </c>
      <c r="J380" t="s">
        <v>14</v>
      </c>
      <c r="K380">
        <v>2</v>
      </c>
    </row>
    <row r="381" spans="1:11" x14ac:dyDescent="0.25">
      <c r="A381" t="s">
        <v>17</v>
      </c>
      <c r="B381" t="s">
        <v>20</v>
      </c>
      <c r="C381">
        <v>74410458</v>
      </c>
      <c r="D381" t="s">
        <v>48</v>
      </c>
      <c r="E381" t="s">
        <v>51</v>
      </c>
      <c r="F381" s="4">
        <v>41669</v>
      </c>
      <c r="G381" s="4">
        <v>41675</v>
      </c>
      <c r="H381" t="s">
        <v>45</v>
      </c>
      <c r="I381" t="s">
        <v>46</v>
      </c>
      <c r="J381" t="s">
        <v>15</v>
      </c>
      <c r="K381">
        <v>1</v>
      </c>
    </row>
    <row r="382" spans="1:11" x14ac:dyDescent="0.25">
      <c r="A382" t="s">
        <v>17</v>
      </c>
      <c r="B382" t="s">
        <v>21</v>
      </c>
      <c r="C382">
        <v>74410458</v>
      </c>
      <c r="D382" t="s">
        <v>48</v>
      </c>
      <c r="E382" t="s">
        <v>51</v>
      </c>
      <c r="F382" s="4">
        <v>41669</v>
      </c>
      <c r="G382" s="4">
        <v>41772</v>
      </c>
      <c r="H382" t="s">
        <v>45</v>
      </c>
      <c r="I382" t="s">
        <v>47</v>
      </c>
      <c r="J382" t="s">
        <v>6</v>
      </c>
      <c r="K382">
        <v>3</v>
      </c>
    </row>
    <row r="383" spans="1:11" x14ac:dyDescent="0.25">
      <c r="A383" t="s">
        <v>17</v>
      </c>
      <c r="B383" t="s">
        <v>21</v>
      </c>
      <c r="C383">
        <v>74410458</v>
      </c>
      <c r="D383" t="s">
        <v>48</v>
      </c>
      <c r="E383" t="s">
        <v>51</v>
      </c>
      <c r="F383" s="4">
        <v>41669</v>
      </c>
      <c r="G383" s="4">
        <v>41772</v>
      </c>
      <c r="H383" t="s">
        <v>45</v>
      </c>
      <c r="I383" t="s">
        <v>47</v>
      </c>
      <c r="J383" t="s">
        <v>7</v>
      </c>
      <c r="K383">
        <v>0</v>
      </c>
    </row>
    <row r="384" spans="1:11" x14ac:dyDescent="0.25">
      <c r="A384" t="s">
        <v>17</v>
      </c>
      <c r="B384" t="s">
        <v>21</v>
      </c>
      <c r="C384">
        <v>74410458</v>
      </c>
      <c r="D384" t="s">
        <v>48</v>
      </c>
      <c r="E384" t="s">
        <v>51</v>
      </c>
      <c r="F384" s="4">
        <v>41669</v>
      </c>
      <c r="G384" s="4">
        <v>41772</v>
      </c>
      <c r="H384" t="s">
        <v>45</v>
      </c>
      <c r="I384" t="s">
        <v>47</v>
      </c>
      <c r="J384" t="s">
        <v>8</v>
      </c>
      <c r="K384">
        <v>0</v>
      </c>
    </row>
    <row r="385" spans="1:11" x14ac:dyDescent="0.25">
      <c r="A385" t="s">
        <v>17</v>
      </c>
      <c r="B385" t="s">
        <v>21</v>
      </c>
      <c r="C385">
        <v>74410458</v>
      </c>
      <c r="D385" t="s">
        <v>48</v>
      </c>
      <c r="E385" t="s">
        <v>51</v>
      </c>
      <c r="F385" s="4">
        <v>41669</v>
      </c>
      <c r="G385" s="4">
        <v>41772</v>
      </c>
      <c r="H385" t="s">
        <v>45</v>
      </c>
      <c r="I385" t="s">
        <v>47</v>
      </c>
      <c r="J385" t="s">
        <v>9</v>
      </c>
      <c r="K385">
        <v>2</v>
      </c>
    </row>
    <row r="386" spans="1:11" x14ac:dyDescent="0.25">
      <c r="A386" t="s">
        <v>17</v>
      </c>
      <c r="B386" t="s">
        <v>21</v>
      </c>
      <c r="C386">
        <v>74410458</v>
      </c>
      <c r="D386" t="s">
        <v>48</v>
      </c>
      <c r="E386" t="s">
        <v>51</v>
      </c>
      <c r="F386" s="4">
        <v>41669</v>
      </c>
      <c r="G386" s="4">
        <v>41772</v>
      </c>
      <c r="H386" t="s">
        <v>45</v>
      </c>
      <c r="I386" t="s">
        <v>47</v>
      </c>
      <c r="J386" t="s">
        <v>10</v>
      </c>
      <c r="K386">
        <v>3</v>
      </c>
    </row>
    <row r="387" spans="1:11" x14ac:dyDescent="0.25">
      <c r="A387" t="s">
        <v>17</v>
      </c>
      <c r="B387" t="s">
        <v>21</v>
      </c>
      <c r="C387">
        <v>74410458</v>
      </c>
      <c r="D387" t="s">
        <v>48</v>
      </c>
      <c r="E387" t="s">
        <v>51</v>
      </c>
      <c r="F387" s="4">
        <v>41669</v>
      </c>
      <c r="G387" s="4">
        <v>41772</v>
      </c>
      <c r="H387" t="s">
        <v>45</v>
      </c>
      <c r="I387" t="s">
        <v>47</v>
      </c>
      <c r="J387" t="s">
        <v>11</v>
      </c>
      <c r="K387">
        <v>0</v>
      </c>
    </row>
    <row r="388" spans="1:11" x14ac:dyDescent="0.25">
      <c r="A388" t="s">
        <v>17</v>
      </c>
      <c r="B388" t="s">
        <v>21</v>
      </c>
      <c r="C388">
        <v>74410458</v>
      </c>
      <c r="D388" t="s">
        <v>48</v>
      </c>
      <c r="E388" t="s">
        <v>51</v>
      </c>
      <c r="F388" s="4">
        <v>41669</v>
      </c>
      <c r="G388" s="4">
        <v>41772</v>
      </c>
      <c r="H388" t="s">
        <v>45</v>
      </c>
      <c r="I388" t="s">
        <v>47</v>
      </c>
      <c r="J388" t="s">
        <v>12</v>
      </c>
      <c r="K388">
        <v>1</v>
      </c>
    </row>
    <row r="389" spans="1:11" x14ac:dyDescent="0.25">
      <c r="A389" t="s">
        <v>17</v>
      </c>
      <c r="B389" t="s">
        <v>21</v>
      </c>
      <c r="C389">
        <v>74410458</v>
      </c>
      <c r="D389" t="s">
        <v>48</v>
      </c>
      <c r="E389" t="s">
        <v>51</v>
      </c>
      <c r="F389" s="4">
        <v>41669</v>
      </c>
      <c r="G389" s="4">
        <v>41772</v>
      </c>
      <c r="H389" t="s">
        <v>45</v>
      </c>
      <c r="I389" t="s">
        <v>47</v>
      </c>
      <c r="J389" t="s">
        <v>13</v>
      </c>
      <c r="K389">
        <v>2</v>
      </c>
    </row>
    <row r="390" spans="1:11" x14ac:dyDescent="0.25">
      <c r="A390" t="s">
        <v>17</v>
      </c>
      <c r="B390" t="s">
        <v>21</v>
      </c>
      <c r="C390">
        <v>74410458</v>
      </c>
      <c r="D390" t="s">
        <v>48</v>
      </c>
      <c r="E390" t="s">
        <v>51</v>
      </c>
      <c r="F390" s="4">
        <v>41669</v>
      </c>
      <c r="G390" s="4">
        <v>41772</v>
      </c>
      <c r="H390" t="s">
        <v>45</v>
      </c>
      <c r="I390" t="s">
        <v>47</v>
      </c>
      <c r="J390" t="s">
        <v>14</v>
      </c>
      <c r="K390">
        <v>0</v>
      </c>
    </row>
    <row r="391" spans="1:11" x14ac:dyDescent="0.25">
      <c r="A391" t="s">
        <v>17</v>
      </c>
      <c r="B391" t="s">
        <v>21</v>
      </c>
      <c r="C391">
        <v>74410458</v>
      </c>
      <c r="D391" t="s">
        <v>48</v>
      </c>
      <c r="E391" t="s">
        <v>51</v>
      </c>
      <c r="F391" s="4">
        <v>41669</v>
      </c>
      <c r="G391" s="4">
        <v>41772</v>
      </c>
      <c r="H391" t="s">
        <v>45</v>
      </c>
      <c r="I391" t="s">
        <v>47</v>
      </c>
      <c r="J391" t="s">
        <v>15</v>
      </c>
      <c r="K391">
        <v>0</v>
      </c>
    </row>
    <row r="392" spans="1:11" x14ac:dyDescent="0.25">
      <c r="A392" t="s">
        <v>17</v>
      </c>
      <c r="B392" t="s">
        <v>19</v>
      </c>
      <c r="C392">
        <v>74410458</v>
      </c>
      <c r="D392" t="s">
        <v>48</v>
      </c>
      <c r="E392" t="s">
        <v>51</v>
      </c>
      <c r="F392" s="4">
        <v>41669</v>
      </c>
      <c r="G392" s="4">
        <v>41848</v>
      </c>
      <c r="H392" t="s">
        <v>45</v>
      </c>
      <c r="I392" t="s">
        <v>47</v>
      </c>
      <c r="J392" t="s">
        <v>6</v>
      </c>
      <c r="K392">
        <v>2</v>
      </c>
    </row>
    <row r="393" spans="1:11" x14ac:dyDescent="0.25">
      <c r="A393" t="s">
        <v>17</v>
      </c>
      <c r="B393" t="s">
        <v>19</v>
      </c>
      <c r="C393">
        <v>74410458</v>
      </c>
      <c r="D393" t="s">
        <v>48</v>
      </c>
      <c r="E393" t="s">
        <v>51</v>
      </c>
      <c r="F393" s="4">
        <v>41669</v>
      </c>
      <c r="G393" s="4">
        <v>41848</v>
      </c>
      <c r="H393" t="s">
        <v>45</v>
      </c>
      <c r="I393" t="s">
        <v>47</v>
      </c>
      <c r="J393" t="s">
        <v>7</v>
      </c>
      <c r="K393">
        <v>0</v>
      </c>
    </row>
    <row r="394" spans="1:11" x14ac:dyDescent="0.25">
      <c r="A394" t="s">
        <v>17</v>
      </c>
      <c r="B394" t="s">
        <v>19</v>
      </c>
      <c r="C394">
        <v>74410458</v>
      </c>
      <c r="D394" t="s">
        <v>48</v>
      </c>
      <c r="E394" t="s">
        <v>51</v>
      </c>
      <c r="F394" s="4">
        <v>41669</v>
      </c>
      <c r="G394" s="4">
        <v>41848</v>
      </c>
      <c r="H394" t="s">
        <v>45</v>
      </c>
      <c r="I394" t="s">
        <v>47</v>
      </c>
      <c r="J394" t="s">
        <v>8</v>
      </c>
      <c r="K394">
        <v>3</v>
      </c>
    </row>
    <row r="395" spans="1:11" x14ac:dyDescent="0.25">
      <c r="A395" t="s">
        <v>17</v>
      </c>
      <c r="B395" t="s">
        <v>19</v>
      </c>
      <c r="C395">
        <v>74410458</v>
      </c>
      <c r="D395" t="s">
        <v>48</v>
      </c>
      <c r="E395" t="s">
        <v>51</v>
      </c>
      <c r="F395" s="4">
        <v>41669</v>
      </c>
      <c r="G395" s="4">
        <v>41848</v>
      </c>
      <c r="H395" t="s">
        <v>45</v>
      </c>
      <c r="I395" t="s">
        <v>47</v>
      </c>
      <c r="J395" t="s">
        <v>9</v>
      </c>
      <c r="K395">
        <v>0</v>
      </c>
    </row>
    <row r="396" spans="1:11" x14ac:dyDescent="0.25">
      <c r="A396" t="s">
        <v>17</v>
      </c>
      <c r="B396" t="s">
        <v>19</v>
      </c>
      <c r="C396">
        <v>74410458</v>
      </c>
      <c r="D396" t="s">
        <v>48</v>
      </c>
      <c r="E396" t="s">
        <v>51</v>
      </c>
      <c r="F396" s="4">
        <v>41669</v>
      </c>
      <c r="G396" s="4">
        <v>41848</v>
      </c>
      <c r="H396" t="s">
        <v>45</v>
      </c>
      <c r="I396" t="s">
        <v>47</v>
      </c>
      <c r="J396" t="s">
        <v>10</v>
      </c>
      <c r="K396">
        <v>3</v>
      </c>
    </row>
    <row r="397" spans="1:11" x14ac:dyDescent="0.25">
      <c r="A397" t="s">
        <v>17</v>
      </c>
      <c r="B397" t="s">
        <v>19</v>
      </c>
      <c r="C397">
        <v>74410458</v>
      </c>
      <c r="D397" t="s">
        <v>48</v>
      </c>
      <c r="E397" t="s">
        <v>51</v>
      </c>
      <c r="F397" s="4">
        <v>41669</v>
      </c>
      <c r="G397" s="4">
        <v>41848</v>
      </c>
      <c r="H397" t="s">
        <v>45</v>
      </c>
      <c r="I397" t="s">
        <v>47</v>
      </c>
      <c r="J397" t="s">
        <v>11</v>
      </c>
      <c r="K397">
        <v>0</v>
      </c>
    </row>
    <row r="398" spans="1:11" x14ac:dyDescent="0.25">
      <c r="A398" t="s">
        <v>17</v>
      </c>
      <c r="B398" t="s">
        <v>19</v>
      </c>
      <c r="C398">
        <v>74410458</v>
      </c>
      <c r="D398" t="s">
        <v>48</v>
      </c>
      <c r="E398" t="s">
        <v>51</v>
      </c>
      <c r="F398" s="4">
        <v>41669</v>
      </c>
      <c r="G398" s="4">
        <v>41848</v>
      </c>
      <c r="H398" t="s">
        <v>45</v>
      </c>
      <c r="I398" t="s">
        <v>47</v>
      </c>
      <c r="J398" t="s">
        <v>12</v>
      </c>
      <c r="K398">
        <v>2</v>
      </c>
    </row>
    <row r="399" spans="1:11" x14ac:dyDescent="0.25">
      <c r="A399" t="s">
        <v>17</v>
      </c>
      <c r="B399" t="s">
        <v>19</v>
      </c>
      <c r="C399">
        <v>74410458</v>
      </c>
      <c r="D399" t="s">
        <v>48</v>
      </c>
      <c r="E399" t="s">
        <v>51</v>
      </c>
      <c r="F399" s="4">
        <v>41669</v>
      </c>
      <c r="G399" s="4">
        <v>41848</v>
      </c>
      <c r="H399" t="s">
        <v>45</v>
      </c>
      <c r="I399" t="s">
        <v>47</v>
      </c>
      <c r="J399" t="s">
        <v>13</v>
      </c>
      <c r="K399">
        <v>2</v>
      </c>
    </row>
    <row r="400" spans="1:11" x14ac:dyDescent="0.25">
      <c r="A400" t="s">
        <v>17</v>
      </c>
      <c r="B400" t="s">
        <v>19</v>
      </c>
      <c r="C400">
        <v>74410458</v>
      </c>
      <c r="D400" t="s">
        <v>48</v>
      </c>
      <c r="E400" t="s">
        <v>51</v>
      </c>
      <c r="F400" s="4">
        <v>41669</v>
      </c>
      <c r="G400" s="4">
        <v>41848</v>
      </c>
      <c r="H400" t="s">
        <v>45</v>
      </c>
      <c r="I400" t="s">
        <v>47</v>
      </c>
      <c r="J400" t="s">
        <v>14</v>
      </c>
      <c r="K400">
        <v>3</v>
      </c>
    </row>
    <row r="401" spans="1:11" x14ac:dyDescent="0.25">
      <c r="A401" t="s">
        <v>17</v>
      </c>
      <c r="B401" t="s">
        <v>19</v>
      </c>
      <c r="C401">
        <v>74410458</v>
      </c>
      <c r="D401" t="s">
        <v>48</v>
      </c>
      <c r="E401" t="s">
        <v>51</v>
      </c>
      <c r="F401" s="4">
        <v>41669</v>
      </c>
      <c r="G401" s="4">
        <v>41848</v>
      </c>
      <c r="H401" t="s">
        <v>45</v>
      </c>
      <c r="I401" t="s">
        <v>47</v>
      </c>
      <c r="J401" t="s">
        <v>15</v>
      </c>
      <c r="K401">
        <v>1</v>
      </c>
    </row>
    <row r="402" spans="1:11" x14ac:dyDescent="0.25">
      <c r="A402" t="s">
        <v>17</v>
      </c>
      <c r="B402" t="s">
        <v>20</v>
      </c>
      <c r="C402">
        <v>74410458</v>
      </c>
      <c r="D402" t="s">
        <v>48</v>
      </c>
      <c r="E402" t="s">
        <v>51</v>
      </c>
      <c r="F402" s="4">
        <v>41669</v>
      </c>
      <c r="G402" s="4">
        <v>41888</v>
      </c>
      <c r="H402" t="s">
        <v>45</v>
      </c>
      <c r="I402" t="s">
        <v>47</v>
      </c>
      <c r="J402" t="s">
        <v>6</v>
      </c>
      <c r="K402">
        <v>2</v>
      </c>
    </row>
    <row r="403" spans="1:11" x14ac:dyDescent="0.25">
      <c r="A403" t="s">
        <v>17</v>
      </c>
      <c r="B403" t="s">
        <v>20</v>
      </c>
      <c r="C403">
        <v>74410458</v>
      </c>
      <c r="D403" t="s">
        <v>48</v>
      </c>
      <c r="E403" t="s">
        <v>51</v>
      </c>
      <c r="F403" s="4">
        <v>41669</v>
      </c>
      <c r="G403" s="4">
        <v>41888</v>
      </c>
      <c r="H403" t="s">
        <v>45</v>
      </c>
      <c r="I403" t="s">
        <v>47</v>
      </c>
      <c r="J403" t="s">
        <v>7</v>
      </c>
      <c r="K403">
        <v>1</v>
      </c>
    </row>
    <row r="404" spans="1:11" x14ac:dyDescent="0.25">
      <c r="A404" t="s">
        <v>17</v>
      </c>
      <c r="B404" t="s">
        <v>20</v>
      </c>
      <c r="C404">
        <v>74410458</v>
      </c>
      <c r="D404" t="s">
        <v>48</v>
      </c>
      <c r="E404" t="s">
        <v>51</v>
      </c>
      <c r="F404" s="4">
        <v>41669</v>
      </c>
      <c r="G404" s="4">
        <v>41888</v>
      </c>
      <c r="H404" t="s">
        <v>45</v>
      </c>
      <c r="I404" t="s">
        <v>47</v>
      </c>
      <c r="J404" t="s">
        <v>8</v>
      </c>
      <c r="K404">
        <v>1</v>
      </c>
    </row>
    <row r="405" spans="1:11" x14ac:dyDescent="0.25">
      <c r="A405" t="s">
        <v>17</v>
      </c>
      <c r="B405" t="s">
        <v>20</v>
      </c>
      <c r="C405">
        <v>74410458</v>
      </c>
      <c r="D405" t="s">
        <v>48</v>
      </c>
      <c r="E405" t="s">
        <v>51</v>
      </c>
      <c r="F405" s="4">
        <v>41669</v>
      </c>
      <c r="G405" s="4">
        <v>41888</v>
      </c>
      <c r="H405" t="s">
        <v>45</v>
      </c>
      <c r="I405" t="s">
        <v>47</v>
      </c>
      <c r="J405" t="s">
        <v>9</v>
      </c>
      <c r="K405">
        <v>3</v>
      </c>
    </row>
    <row r="406" spans="1:11" x14ac:dyDescent="0.25">
      <c r="A406" t="s">
        <v>17</v>
      </c>
      <c r="B406" t="s">
        <v>20</v>
      </c>
      <c r="C406">
        <v>74410458</v>
      </c>
      <c r="D406" t="s">
        <v>48</v>
      </c>
      <c r="E406" t="s">
        <v>51</v>
      </c>
      <c r="F406" s="4">
        <v>41669</v>
      </c>
      <c r="G406" s="4">
        <v>41888</v>
      </c>
      <c r="H406" t="s">
        <v>45</v>
      </c>
      <c r="I406" t="s">
        <v>47</v>
      </c>
      <c r="J406" t="s">
        <v>10</v>
      </c>
      <c r="K406">
        <v>1</v>
      </c>
    </row>
    <row r="407" spans="1:11" x14ac:dyDescent="0.25">
      <c r="A407" t="s">
        <v>17</v>
      </c>
      <c r="B407" t="s">
        <v>20</v>
      </c>
      <c r="C407">
        <v>74410458</v>
      </c>
      <c r="D407" t="s">
        <v>48</v>
      </c>
      <c r="E407" t="s">
        <v>51</v>
      </c>
      <c r="F407" s="4">
        <v>41669</v>
      </c>
      <c r="G407" s="4">
        <v>41888</v>
      </c>
      <c r="H407" t="s">
        <v>45</v>
      </c>
      <c r="I407" t="s">
        <v>47</v>
      </c>
      <c r="J407" t="s">
        <v>11</v>
      </c>
      <c r="K407">
        <v>1</v>
      </c>
    </row>
    <row r="408" spans="1:11" x14ac:dyDescent="0.25">
      <c r="A408" t="s">
        <v>17</v>
      </c>
      <c r="B408" t="s">
        <v>20</v>
      </c>
      <c r="C408">
        <v>74410458</v>
      </c>
      <c r="D408" t="s">
        <v>48</v>
      </c>
      <c r="E408" t="s">
        <v>51</v>
      </c>
      <c r="F408" s="4">
        <v>41669</v>
      </c>
      <c r="G408" s="4">
        <v>41888</v>
      </c>
      <c r="H408" t="s">
        <v>45</v>
      </c>
      <c r="I408" t="s">
        <v>47</v>
      </c>
      <c r="J408" t="s">
        <v>12</v>
      </c>
      <c r="K408">
        <v>3</v>
      </c>
    </row>
    <row r="409" spans="1:11" x14ac:dyDescent="0.25">
      <c r="A409" t="s">
        <v>17</v>
      </c>
      <c r="B409" t="s">
        <v>20</v>
      </c>
      <c r="C409">
        <v>74410458</v>
      </c>
      <c r="D409" t="s">
        <v>48</v>
      </c>
      <c r="E409" t="s">
        <v>51</v>
      </c>
      <c r="F409" s="4">
        <v>41669</v>
      </c>
      <c r="G409" s="4">
        <v>41888</v>
      </c>
      <c r="H409" t="s">
        <v>45</v>
      </c>
      <c r="I409" t="s">
        <v>47</v>
      </c>
      <c r="J409" t="s">
        <v>13</v>
      </c>
      <c r="K409">
        <v>2</v>
      </c>
    </row>
    <row r="410" spans="1:11" x14ac:dyDescent="0.25">
      <c r="A410" t="s">
        <v>17</v>
      </c>
      <c r="B410" t="s">
        <v>20</v>
      </c>
      <c r="C410">
        <v>74410458</v>
      </c>
      <c r="D410" t="s">
        <v>48</v>
      </c>
      <c r="E410" t="s">
        <v>51</v>
      </c>
      <c r="F410" s="4">
        <v>41669</v>
      </c>
      <c r="G410" s="4">
        <v>41888</v>
      </c>
      <c r="H410" t="s">
        <v>45</v>
      </c>
      <c r="I410" t="s">
        <v>47</v>
      </c>
      <c r="J410" t="s">
        <v>14</v>
      </c>
      <c r="K410">
        <v>1</v>
      </c>
    </row>
    <row r="411" spans="1:11" x14ac:dyDescent="0.25">
      <c r="A411" t="s">
        <v>17</v>
      </c>
      <c r="B411" t="s">
        <v>20</v>
      </c>
      <c r="C411">
        <v>74410458</v>
      </c>
      <c r="D411" t="s">
        <v>48</v>
      </c>
      <c r="E411" t="s">
        <v>51</v>
      </c>
      <c r="F411" s="4">
        <v>41669</v>
      </c>
      <c r="G411" s="4">
        <v>41888</v>
      </c>
      <c r="H411" t="s">
        <v>45</v>
      </c>
      <c r="I411" t="s">
        <v>47</v>
      </c>
      <c r="J411" t="s">
        <v>15</v>
      </c>
      <c r="K411">
        <v>2</v>
      </c>
    </row>
    <row r="412" spans="1:11" x14ac:dyDescent="0.25">
      <c r="A412" t="s">
        <v>17</v>
      </c>
      <c r="B412" t="s">
        <v>21</v>
      </c>
      <c r="C412">
        <v>74410458</v>
      </c>
      <c r="D412" t="s">
        <v>48</v>
      </c>
      <c r="E412" t="s">
        <v>51</v>
      </c>
      <c r="F412" s="4">
        <v>41669</v>
      </c>
      <c r="G412" s="4">
        <v>42014</v>
      </c>
      <c r="H412" t="s">
        <v>45</v>
      </c>
      <c r="I412" t="s">
        <v>47</v>
      </c>
      <c r="J412" t="s">
        <v>6</v>
      </c>
      <c r="K412">
        <v>1</v>
      </c>
    </row>
    <row r="413" spans="1:11" x14ac:dyDescent="0.25">
      <c r="A413" t="s">
        <v>17</v>
      </c>
      <c r="B413" t="s">
        <v>21</v>
      </c>
      <c r="C413">
        <v>74410458</v>
      </c>
      <c r="D413" t="s">
        <v>48</v>
      </c>
      <c r="E413" t="s">
        <v>51</v>
      </c>
      <c r="F413" s="4">
        <v>41669</v>
      </c>
      <c r="G413" s="4">
        <v>42014</v>
      </c>
      <c r="H413" t="s">
        <v>45</v>
      </c>
      <c r="I413" t="s">
        <v>47</v>
      </c>
      <c r="J413" t="s">
        <v>7</v>
      </c>
      <c r="K413">
        <v>0</v>
      </c>
    </row>
    <row r="414" spans="1:11" x14ac:dyDescent="0.25">
      <c r="A414" t="s">
        <v>17</v>
      </c>
      <c r="B414" t="s">
        <v>21</v>
      </c>
      <c r="C414">
        <v>74410458</v>
      </c>
      <c r="D414" t="s">
        <v>48</v>
      </c>
      <c r="E414" t="s">
        <v>51</v>
      </c>
      <c r="F414" s="4">
        <v>41669</v>
      </c>
      <c r="G414" s="4">
        <v>42014</v>
      </c>
      <c r="H414" t="s">
        <v>45</v>
      </c>
      <c r="I414" t="s">
        <v>47</v>
      </c>
      <c r="J414" t="s">
        <v>8</v>
      </c>
      <c r="K414">
        <v>1</v>
      </c>
    </row>
    <row r="415" spans="1:11" x14ac:dyDescent="0.25">
      <c r="A415" t="s">
        <v>17</v>
      </c>
      <c r="B415" t="s">
        <v>21</v>
      </c>
      <c r="C415">
        <v>74410458</v>
      </c>
      <c r="D415" t="s">
        <v>48</v>
      </c>
      <c r="E415" t="s">
        <v>51</v>
      </c>
      <c r="F415" s="4">
        <v>41669</v>
      </c>
      <c r="G415" s="4">
        <v>42014</v>
      </c>
      <c r="H415" t="s">
        <v>45</v>
      </c>
      <c r="I415" t="s">
        <v>47</v>
      </c>
      <c r="J415" t="s">
        <v>9</v>
      </c>
      <c r="K415">
        <v>0</v>
      </c>
    </row>
    <row r="416" spans="1:11" x14ac:dyDescent="0.25">
      <c r="A416" t="s">
        <v>17</v>
      </c>
      <c r="B416" t="s">
        <v>21</v>
      </c>
      <c r="C416">
        <v>74410458</v>
      </c>
      <c r="D416" t="s">
        <v>48</v>
      </c>
      <c r="E416" t="s">
        <v>51</v>
      </c>
      <c r="F416" s="4">
        <v>41669</v>
      </c>
      <c r="G416" s="4">
        <v>42014</v>
      </c>
      <c r="H416" t="s">
        <v>45</v>
      </c>
      <c r="I416" t="s">
        <v>47</v>
      </c>
      <c r="J416" t="s">
        <v>10</v>
      </c>
      <c r="K416">
        <v>3</v>
      </c>
    </row>
    <row r="417" spans="1:11" x14ac:dyDescent="0.25">
      <c r="A417" t="s">
        <v>17</v>
      </c>
      <c r="B417" t="s">
        <v>21</v>
      </c>
      <c r="C417">
        <v>74410458</v>
      </c>
      <c r="D417" t="s">
        <v>48</v>
      </c>
      <c r="E417" t="s">
        <v>51</v>
      </c>
      <c r="F417" s="4">
        <v>41669</v>
      </c>
      <c r="G417" s="4">
        <v>42014</v>
      </c>
      <c r="H417" t="s">
        <v>45</v>
      </c>
      <c r="I417" t="s">
        <v>47</v>
      </c>
      <c r="J417" t="s">
        <v>11</v>
      </c>
      <c r="K417">
        <v>1</v>
      </c>
    </row>
    <row r="418" spans="1:11" x14ac:dyDescent="0.25">
      <c r="A418" t="s">
        <v>17</v>
      </c>
      <c r="B418" t="s">
        <v>21</v>
      </c>
      <c r="C418">
        <v>74410458</v>
      </c>
      <c r="D418" t="s">
        <v>48</v>
      </c>
      <c r="E418" t="s">
        <v>51</v>
      </c>
      <c r="F418" s="4">
        <v>41669</v>
      </c>
      <c r="G418" s="4">
        <v>42014</v>
      </c>
      <c r="H418" t="s">
        <v>45</v>
      </c>
      <c r="I418" t="s">
        <v>47</v>
      </c>
      <c r="J418" t="s">
        <v>12</v>
      </c>
      <c r="K418">
        <v>2</v>
      </c>
    </row>
    <row r="419" spans="1:11" x14ac:dyDescent="0.25">
      <c r="A419" t="s">
        <v>17</v>
      </c>
      <c r="B419" t="s">
        <v>21</v>
      </c>
      <c r="C419">
        <v>74410458</v>
      </c>
      <c r="D419" t="s">
        <v>48</v>
      </c>
      <c r="E419" t="s">
        <v>51</v>
      </c>
      <c r="F419" s="4">
        <v>41669</v>
      </c>
      <c r="G419" s="4">
        <v>42014</v>
      </c>
      <c r="H419" t="s">
        <v>45</v>
      </c>
      <c r="I419" t="s">
        <v>47</v>
      </c>
      <c r="J419" t="s">
        <v>13</v>
      </c>
      <c r="K419">
        <v>0</v>
      </c>
    </row>
    <row r="420" spans="1:11" x14ac:dyDescent="0.25">
      <c r="A420" t="s">
        <v>17</v>
      </c>
      <c r="B420" t="s">
        <v>21</v>
      </c>
      <c r="C420">
        <v>74410458</v>
      </c>
      <c r="D420" t="s">
        <v>48</v>
      </c>
      <c r="E420" t="s">
        <v>51</v>
      </c>
      <c r="F420" s="4">
        <v>41669</v>
      </c>
      <c r="G420" s="4">
        <v>42014</v>
      </c>
      <c r="H420" t="s">
        <v>45</v>
      </c>
      <c r="I420" t="s">
        <v>47</v>
      </c>
      <c r="J420" t="s">
        <v>14</v>
      </c>
      <c r="K420">
        <v>1</v>
      </c>
    </row>
    <row r="421" spans="1:11" x14ac:dyDescent="0.25">
      <c r="A421" t="s">
        <v>17</v>
      </c>
      <c r="B421" t="s">
        <v>21</v>
      </c>
      <c r="C421">
        <v>74410458</v>
      </c>
      <c r="D421" t="s">
        <v>48</v>
      </c>
      <c r="E421" t="s">
        <v>51</v>
      </c>
      <c r="F421" s="4">
        <v>41669</v>
      </c>
      <c r="G421" s="4">
        <v>42014</v>
      </c>
      <c r="H421" t="s">
        <v>45</v>
      </c>
      <c r="I421" t="s">
        <v>47</v>
      </c>
      <c r="J421" t="s">
        <v>15</v>
      </c>
      <c r="K421">
        <v>2</v>
      </c>
    </row>
    <row r="422" spans="1:11" x14ac:dyDescent="0.25">
      <c r="A422" t="s">
        <v>17</v>
      </c>
      <c r="B422" t="s">
        <v>19</v>
      </c>
      <c r="C422">
        <v>74410458</v>
      </c>
      <c r="D422" t="s">
        <v>48</v>
      </c>
      <c r="E422" t="s">
        <v>51</v>
      </c>
      <c r="F422" s="4">
        <v>41669</v>
      </c>
      <c r="G422" s="4">
        <v>42151</v>
      </c>
      <c r="H422" t="s">
        <v>45</v>
      </c>
      <c r="I422" t="s">
        <v>47</v>
      </c>
      <c r="J422" t="s">
        <v>6</v>
      </c>
      <c r="K422">
        <v>1</v>
      </c>
    </row>
    <row r="423" spans="1:11" x14ac:dyDescent="0.25">
      <c r="A423" t="s">
        <v>17</v>
      </c>
      <c r="B423" t="s">
        <v>19</v>
      </c>
      <c r="C423">
        <v>74410458</v>
      </c>
      <c r="D423" t="s">
        <v>48</v>
      </c>
      <c r="E423" t="s">
        <v>51</v>
      </c>
      <c r="F423" s="4">
        <v>41669</v>
      </c>
      <c r="G423" s="4">
        <v>42151</v>
      </c>
      <c r="H423" t="s">
        <v>45</v>
      </c>
      <c r="I423" t="s">
        <v>47</v>
      </c>
      <c r="J423" t="s">
        <v>7</v>
      </c>
      <c r="K423">
        <v>1</v>
      </c>
    </row>
    <row r="424" spans="1:11" x14ac:dyDescent="0.25">
      <c r="A424" t="s">
        <v>17</v>
      </c>
      <c r="B424" t="s">
        <v>19</v>
      </c>
      <c r="C424">
        <v>74410458</v>
      </c>
      <c r="D424" t="s">
        <v>48</v>
      </c>
      <c r="E424" t="s">
        <v>51</v>
      </c>
      <c r="F424" s="4">
        <v>41669</v>
      </c>
      <c r="G424" s="4">
        <v>42151</v>
      </c>
      <c r="H424" t="s">
        <v>45</v>
      </c>
      <c r="I424" t="s">
        <v>47</v>
      </c>
      <c r="J424" t="s">
        <v>8</v>
      </c>
      <c r="K424">
        <v>1</v>
      </c>
    </row>
    <row r="425" spans="1:11" x14ac:dyDescent="0.25">
      <c r="A425" t="s">
        <v>17</v>
      </c>
      <c r="B425" t="s">
        <v>19</v>
      </c>
      <c r="C425">
        <v>74410458</v>
      </c>
      <c r="D425" t="s">
        <v>48</v>
      </c>
      <c r="E425" t="s">
        <v>51</v>
      </c>
      <c r="F425" s="4">
        <v>41669</v>
      </c>
      <c r="G425" s="4">
        <v>42151</v>
      </c>
      <c r="H425" t="s">
        <v>45</v>
      </c>
      <c r="I425" t="s">
        <v>47</v>
      </c>
      <c r="J425" t="s">
        <v>9</v>
      </c>
      <c r="K425">
        <v>1</v>
      </c>
    </row>
    <row r="426" spans="1:11" x14ac:dyDescent="0.25">
      <c r="A426" t="s">
        <v>17</v>
      </c>
      <c r="B426" t="s">
        <v>19</v>
      </c>
      <c r="C426">
        <v>74410458</v>
      </c>
      <c r="D426" t="s">
        <v>48</v>
      </c>
      <c r="E426" t="s">
        <v>51</v>
      </c>
      <c r="F426" s="4">
        <v>41669</v>
      </c>
      <c r="G426" s="4">
        <v>42151</v>
      </c>
      <c r="H426" t="s">
        <v>45</v>
      </c>
      <c r="I426" t="s">
        <v>47</v>
      </c>
      <c r="J426" t="s">
        <v>10</v>
      </c>
      <c r="K426">
        <v>2</v>
      </c>
    </row>
    <row r="427" spans="1:11" x14ac:dyDescent="0.25">
      <c r="A427" t="s">
        <v>17</v>
      </c>
      <c r="B427" t="s">
        <v>19</v>
      </c>
      <c r="C427">
        <v>74410458</v>
      </c>
      <c r="D427" t="s">
        <v>48</v>
      </c>
      <c r="E427" t="s">
        <v>51</v>
      </c>
      <c r="F427" s="4">
        <v>41669</v>
      </c>
      <c r="G427" s="4">
        <v>42151</v>
      </c>
      <c r="H427" t="s">
        <v>45</v>
      </c>
      <c r="I427" t="s">
        <v>47</v>
      </c>
      <c r="J427" t="s">
        <v>11</v>
      </c>
      <c r="K427">
        <v>1</v>
      </c>
    </row>
    <row r="428" spans="1:11" x14ac:dyDescent="0.25">
      <c r="A428" t="s">
        <v>17</v>
      </c>
      <c r="B428" t="s">
        <v>19</v>
      </c>
      <c r="C428">
        <v>74410458</v>
      </c>
      <c r="D428" t="s">
        <v>48</v>
      </c>
      <c r="E428" t="s">
        <v>51</v>
      </c>
      <c r="F428" s="4">
        <v>41669</v>
      </c>
      <c r="G428" s="4">
        <v>42151</v>
      </c>
      <c r="H428" t="s">
        <v>45</v>
      </c>
      <c r="I428" t="s">
        <v>47</v>
      </c>
      <c r="J428" t="s">
        <v>12</v>
      </c>
      <c r="K428">
        <v>0</v>
      </c>
    </row>
    <row r="429" spans="1:11" x14ac:dyDescent="0.25">
      <c r="A429" t="s">
        <v>17</v>
      </c>
      <c r="B429" t="s">
        <v>19</v>
      </c>
      <c r="C429">
        <v>74410458</v>
      </c>
      <c r="D429" t="s">
        <v>48</v>
      </c>
      <c r="E429" t="s">
        <v>51</v>
      </c>
      <c r="F429" s="4">
        <v>41669</v>
      </c>
      <c r="G429" s="4">
        <v>42151</v>
      </c>
      <c r="H429" t="s">
        <v>45</v>
      </c>
      <c r="I429" t="s">
        <v>47</v>
      </c>
      <c r="J429" t="s">
        <v>13</v>
      </c>
      <c r="K429">
        <v>1</v>
      </c>
    </row>
    <row r="430" spans="1:11" x14ac:dyDescent="0.25">
      <c r="A430" t="s">
        <v>17</v>
      </c>
      <c r="B430" t="s">
        <v>19</v>
      </c>
      <c r="C430">
        <v>74410458</v>
      </c>
      <c r="D430" t="s">
        <v>48</v>
      </c>
      <c r="E430" t="s">
        <v>51</v>
      </c>
      <c r="F430" s="4">
        <v>41669</v>
      </c>
      <c r="G430" s="4">
        <v>42151</v>
      </c>
      <c r="H430" t="s">
        <v>45</v>
      </c>
      <c r="I430" t="s">
        <v>47</v>
      </c>
      <c r="J430" t="s">
        <v>14</v>
      </c>
      <c r="K430">
        <v>1</v>
      </c>
    </row>
    <row r="431" spans="1:11" x14ac:dyDescent="0.25">
      <c r="A431" t="s">
        <v>17</v>
      </c>
      <c r="B431" t="s">
        <v>19</v>
      </c>
      <c r="C431">
        <v>74410458</v>
      </c>
      <c r="D431" t="s">
        <v>48</v>
      </c>
      <c r="E431" t="s">
        <v>51</v>
      </c>
      <c r="F431" s="4">
        <v>41669</v>
      </c>
      <c r="G431" s="4">
        <v>42151</v>
      </c>
      <c r="H431" t="s">
        <v>45</v>
      </c>
      <c r="I431" t="s">
        <v>47</v>
      </c>
      <c r="J431" t="s">
        <v>15</v>
      </c>
      <c r="K431">
        <v>0</v>
      </c>
    </row>
    <row r="432" spans="1:11" x14ac:dyDescent="0.25">
      <c r="A432" t="s">
        <v>17</v>
      </c>
      <c r="B432" t="s">
        <v>20</v>
      </c>
      <c r="C432">
        <v>74410458</v>
      </c>
      <c r="D432" t="s">
        <v>48</v>
      </c>
      <c r="E432" t="s">
        <v>51</v>
      </c>
      <c r="F432" s="4">
        <v>41669</v>
      </c>
      <c r="G432" s="4">
        <v>42251</v>
      </c>
      <c r="H432" t="s">
        <v>45</v>
      </c>
      <c r="I432" t="s">
        <v>47</v>
      </c>
      <c r="J432" t="s">
        <v>6</v>
      </c>
      <c r="K432">
        <v>2</v>
      </c>
    </row>
    <row r="433" spans="1:11" x14ac:dyDescent="0.25">
      <c r="A433" t="s">
        <v>17</v>
      </c>
      <c r="B433" t="s">
        <v>20</v>
      </c>
      <c r="C433">
        <v>74410458</v>
      </c>
      <c r="D433" t="s">
        <v>48</v>
      </c>
      <c r="E433" t="s">
        <v>51</v>
      </c>
      <c r="F433" s="4">
        <v>41669</v>
      </c>
      <c r="G433" s="4">
        <v>42251</v>
      </c>
      <c r="H433" t="s">
        <v>45</v>
      </c>
      <c r="I433" t="s">
        <v>47</v>
      </c>
      <c r="J433" t="s">
        <v>7</v>
      </c>
      <c r="K433">
        <v>1</v>
      </c>
    </row>
    <row r="434" spans="1:11" x14ac:dyDescent="0.25">
      <c r="A434" t="s">
        <v>17</v>
      </c>
      <c r="B434" t="s">
        <v>20</v>
      </c>
      <c r="C434">
        <v>74410458</v>
      </c>
      <c r="D434" t="s">
        <v>48</v>
      </c>
      <c r="E434" t="s">
        <v>51</v>
      </c>
      <c r="F434" s="4">
        <v>41669</v>
      </c>
      <c r="G434" s="4">
        <v>42251</v>
      </c>
      <c r="H434" t="s">
        <v>45</v>
      </c>
      <c r="I434" t="s">
        <v>47</v>
      </c>
      <c r="J434" t="s">
        <v>8</v>
      </c>
      <c r="K434">
        <v>1</v>
      </c>
    </row>
    <row r="435" spans="1:11" x14ac:dyDescent="0.25">
      <c r="A435" t="s">
        <v>17</v>
      </c>
      <c r="B435" t="s">
        <v>20</v>
      </c>
      <c r="C435">
        <v>74410458</v>
      </c>
      <c r="D435" t="s">
        <v>48</v>
      </c>
      <c r="E435" t="s">
        <v>51</v>
      </c>
      <c r="F435" s="4">
        <v>41669</v>
      </c>
      <c r="G435" s="4">
        <v>42251</v>
      </c>
      <c r="H435" t="s">
        <v>45</v>
      </c>
      <c r="I435" t="s">
        <v>47</v>
      </c>
      <c r="J435" t="s">
        <v>9</v>
      </c>
      <c r="K435">
        <v>0</v>
      </c>
    </row>
    <row r="436" spans="1:11" x14ac:dyDescent="0.25">
      <c r="A436" t="s">
        <v>17</v>
      </c>
      <c r="B436" t="s">
        <v>20</v>
      </c>
      <c r="C436">
        <v>74410458</v>
      </c>
      <c r="D436" t="s">
        <v>48</v>
      </c>
      <c r="E436" t="s">
        <v>51</v>
      </c>
      <c r="F436" s="4">
        <v>41669</v>
      </c>
      <c r="G436" s="4">
        <v>42251</v>
      </c>
      <c r="H436" t="s">
        <v>45</v>
      </c>
      <c r="I436" t="s">
        <v>47</v>
      </c>
      <c r="J436" t="s">
        <v>10</v>
      </c>
      <c r="K436">
        <v>0</v>
      </c>
    </row>
    <row r="437" spans="1:11" x14ac:dyDescent="0.25">
      <c r="A437" t="s">
        <v>17</v>
      </c>
      <c r="B437" t="s">
        <v>20</v>
      </c>
      <c r="C437">
        <v>74410458</v>
      </c>
      <c r="D437" t="s">
        <v>48</v>
      </c>
      <c r="E437" t="s">
        <v>51</v>
      </c>
      <c r="F437" s="4">
        <v>41669</v>
      </c>
      <c r="G437" s="4">
        <v>42251</v>
      </c>
      <c r="H437" t="s">
        <v>45</v>
      </c>
      <c r="I437" t="s">
        <v>47</v>
      </c>
      <c r="J437" t="s">
        <v>11</v>
      </c>
      <c r="K437">
        <v>1</v>
      </c>
    </row>
    <row r="438" spans="1:11" x14ac:dyDescent="0.25">
      <c r="A438" t="s">
        <v>17</v>
      </c>
      <c r="B438" t="s">
        <v>20</v>
      </c>
      <c r="C438">
        <v>74410458</v>
      </c>
      <c r="D438" t="s">
        <v>48</v>
      </c>
      <c r="E438" t="s">
        <v>51</v>
      </c>
      <c r="F438" s="4">
        <v>41669</v>
      </c>
      <c r="G438" s="4">
        <v>42251</v>
      </c>
      <c r="H438" t="s">
        <v>45</v>
      </c>
      <c r="I438" t="s">
        <v>47</v>
      </c>
      <c r="J438" t="s">
        <v>12</v>
      </c>
      <c r="K438">
        <v>2</v>
      </c>
    </row>
    <row r="439" spans="1:11" x14ac:dyDescent="0.25">
      <c r="A439" t="s">
        <v>17</v>
      </c>
      <c r="B439" t="s">
        <v>20</v>
      </c>
      <c r="C439">
        <v>74410458</v>
      </c>
      <c r="D439" t="s">
        <v>48</v>
      </c>
      <c r="E439" t="s">
        <v>51</v>
      </c>
      <c r="F439" s="4">
        <v>41669</v>
      </c>
      <c r="G439" s="4">
        <v>42251</v>
      </c>
      <c r="H439" t="s">
        <v>45</v>
      </c>
      <c r="I439" t="s">
        <v>47</v>
      </c>
      <c r="J439" t="s">
        <v>13</v>
      </c>
      <c r="K439">
        <v>0</v>
      </c>
    </row>
    <row r="440" spans="1:11" x14ac:dyDescent="0.25">
      <c r="A440" t="s">
        <v>17</v>
      </c>
      <c r="B440" t="s">
        <v>20</v>
      </c>
      <c r="C440">
        <v>74410458</v>
      </c>
      <c r="D440" t="s">
        <v>48</v>
      </c>
      <c r="E440" t="s">
        <v>51</v>
      </c>
      <c r="F440" s="4">
        <v>41669</v>
      </c>
      <c r="G440" s="4">
        <v>42251</v>
      </c>
      <c r="H440" t="s">
        <v>45</v>
      </c>
      <c r="I440" t="s">
        <v>47</v>
      </c>
      <c r="J440" t="s">
        <v>14</v>
      </c>
      <c r="K440">
        <v>0</v>
      </c>
    </row>
    <row r="441" spans="1:11" x14ac:dyDescent="0.25">
      <c r="A441" t="s">
        <v>17</v>
      </c>
      <c r="B441" t="s">
        <v>20</v>
      </c>
      <c r="C441">
        <v>74410458</v>
      </c>
      <c r="D441" t="s">
        <v>48</v>
      </c>
      <c r="E441" t="s">
        <v>51</v>
      </c>
      <c r="F441" s="4">
        <v>41669</v>
      </c>
      <c r="G441" s="4">
        <v>42251</v>
      </c>
      <c r="H441" t="s">
        <v>45</v>
      </c>
      <c r="I441" t="s">
        <v>47</v>
      </c>
      <c r="J441" t="s">
        <v>15</v>
      </c>
      <c r="K441">
        <v>2</v>
      </c>
    </row>
    <row r="442" spans="1:11" x14ac:dyDescent="0.25">
      <c r="A442" t="s">
        <v>17</v>
      </c>
      <c r="B442" t="s">
        <v>21</v>
      </c>
      <c r="C442">
        <v>70550876</v>
      </c>
      <c r="D442" t="s">
        <v>48</v>
      </c>
      <c r="E442" t="s">
        <v>50</v>
      </c>
      <c r="F442" s="4">
        <v>41734</v>
      </c>
      <c r="G442" s="4">
        <v>41757</v>
      </c>
      <c r="H442" t="s">
        <v>45</v>
      </c>
      <c r="I442" t="s">
        <v>46</v>
      </c>
      <c r="J442" t="s">
        <v>6</v>
      </c>
      <c r="K442">
        <v>1</v>
      </c>
    </row>
    <row r="443" spans="1:11" x14ac:dyDescent="0.25">
      <c r="A443" t="s">
        <v>17</v>
      </c>
      <c r="B443" t="s">
        <v>21</v>
      </c>
      <c r="C443">
        <v>70550876</v>
      </c>
      <c r="D443" t="s">
        <v>48</v>
      </c>
      <c r="E443" t="s">
        <v>50</v>
      </c>
      <c r="F443" s="4">
        <v>41734</v>
      </c>
      <c r="G443" s="4">
        <v>41757</v>
      </c>
      <c r="H443" t="s">
        <v>45</v>
      </c>
      <c r="I443" t="s">
        <v>46</v>
      </c>
      <c r="J443" t="s">
        <v>7</v>
      </c>
      <c r="K443">
        <v>1</v>
      </c>
    </row>
    <row r="444" spans="1:11" x14ac:dyDescent="0.25">
      <c r="A444" t="s">
        <v>17</v>
      </c>
      <c r="B444" t="s">
        <v>21</v>
      </c>
      <c r="C444">
        <v>70550876</v>
      </c>
      <c r="D444" t="s">
        <v>48</v>
      </c>
      <c r="E444" t="s">
        <v>50</v>
      </c>
      <c r="F444" s="4">
        <v>41734</v>
      </c>
      <c r="G444" s="4">
        <v>41757</v>
      </c>
      <c r="H444" t="s">
        <v>45</v>
      </c>
      <c r="I444" t="s">
        <v>46</v>
      </c>
      <c r="J444" t="s">
        <v>8</v>
      </c>
      <c r="K444">
        <v>1</v>
      </c>
    </row>
    <row r="445" spans="1:11" x14ac:dyDescent="0.25">
      <c r="A445" t="s">
        <v>17</v>
      </c>
      <c r="B445" t="s">
        <v>21</v>
      </c>
      <c r="C445">
        <v>70550876</v>
      </c>
      <c r="D445" t="s">
        <v>48</v>
      </c>
      <c r="E445" t="s">
        <v>50</v>
      </c>
      <c r="F445" s="4">
        <v>41734</v>
      </c>
      <c r="G445" s="4">
        <v>41757</v>
      </c>
      <c r="H445" t="s">
        <v>45</v>
      </c>
      <c r="I445" t="s">
        <v>46</v>
      </c>
      <c r="J445" t="s">
        <v>9</v>
      </c>
      <c r="K445">
        <v>2</v>
      </c>
    </row>
    <row r="446" spans="1:11" x14ac:dyDescent="0.25">
      <c r="A446" t="s">
        <v>17</v>
      </c>
      <c r="B446" t="s">
        <v>21</v>
      </c>
      <c r="C446">
        <v>70550876</v>
      </c>
      <c r="D446" t="s">
        <v>48</v>
      </c>
      <c r="E446" t="s">
        <v>50</v>
      </c>
      <c r="F446" s="4">
        <v>41734</v>
      </c>
      <c r="G446" s="4">
        <v>41757</v>
      </c>
      <c r="H446" t="s">
        <v>45</v>
      </c>
      <c r="I446" t="s">
        <v>46</v>
      </c>
      <c r="J446" t="s">
        <v>10</v>
      </c>
      <c r="K446">
        <v>0</v>
      </c>
    </row>
    <row r="447" spans="1:11" x14ac:dyDescent="0.25">
      <c r="A447" t="s">
        <v>17</v>
      </c>
      <c r="B447" t="s">
        <v>21</v>
      </c>
      <c r="C447">
        <v>70550876</v>
      </c>
      <c r="D447" t="s">
        <v>48</v>
      </c>
      <c r="E447" t="s">
        <v>50</v>
      </c>
      <c r="F447" s="4">
        <v>41734</v>
      </c>
      <c r="G447" s="4">
        <v>41757</v>
      </c>
      <c r="H447" t="s">
        <v>45</v>
      </c>
      <c r="I447" t="s">
        <v>46</v>
      </c>
      <c r="J447" t="s">
        <v>11</v>
      </c>
      <c r="K447">
        <v>3</v>
      </c>
    </row>
    <row r="448" spans="1:11" x14ac:dyDescent="0.25">
      <c r="A448" t="s">
        <v>17</v>
      </c>
      <c r="B448" t="s">
        <v>21</v>
      </c>
      <c r="C448">
        <v>70550876</v>
      </c>
      <c r="D448" t="s">
        <v>48</v>
      </c>
      <c r="E448" t="s">
        <v>50</v>
      </c>
      <c r="F448" s="4">
        <v>41734</v>
      </c>
      <c r="G448" s="4">
        <v>41757</v>
      </c>
      <c r="H448" t="s">
        <v>45</v>
      </c>
      <c r="I448" t="s">
        <v>46</v>
      </c>
      <c r="J448" t="s">
        <v>12</v>
      </c>
      <c r="K448">
        <v>2</v>
      </c>
    </row>
    <row r="449" spans="1:11" x14ac:dyDescent="0.25">
      <c r="A449" t="s">
        <v>17</v>
      </c>
      <c r="B449" t="s">
        <v>21</v>
      </c>
      <c r="C449">
        <v>70550876</v>
      </c>
      <c r="D449" t="s">
        <v>48</v>
      </c>
      <c r="E449" t="s">
        <v>50</v>
      </c>
      <c r="F449" s="4">
        <v>41734</v>
      </c>
      <c r="G449" s="4">
        <v>41757</v>
      </c>
      <c r="H449" t="s">
        <v>45</v>
      </c>
      <c r="I449" t="s">
        <v>46</v>
      </c>
      <c r="J449" t="s">
        <v>13</v>
      </c>
      <c r="K449">
        <v>2</v>
      </c>
    </row>
    <row r="450" spans="1:11" x14ac:dyDescent="0.25">
      <c r="A450" t="s">
        <v>17</v>
      </c>
      <c r="B450" t="s">
        <v>21</v>
      </c>
      <c r="C450">
        <v>70550876</v>
      </c>
      <c r="D450" t="s">
        <v>48</v>
      </c>
      <c r="E450" t="s">
        <v>50</v>
      </c>
      <c r="F450" s="4">
        <v>41734</v>
      </c>
      <c r="G450" s="4">
        <v>41757</v>
      </c>
      <c r="H450" t="s">
        <v>45</v>
      </c>
      <c r="I450" t="s">
        <v>46</v>
      </c>
      <c r="J450" t="s">
        <v>14</v>
      </c>
      <c r="K450">
        <v>0</v>
      </c>
    </row>
    <row r="451" spans="1:11" x14ac:dyDescent="0.25">
      <c r="A451" t="s">
        <v>17</v>
      </c>
      <c r="B451" t="s">
        <v>21</v>
      </c>
      <c r="C451">
        <v>70550876</v>
      </c>
      <c r="D451" t="s">
        <v>48</v>
      </c>
      <c r="E451" t="s">
        <v>50</v>
      </c>
      <c r="F451" s="4">
        <v>41734</v>
      </c>
      <c r="G451" s="4">
        <v>41757</v>
      </c>
      <c r="H451" t="s">
        <v>45</v>
      </c>
      <c r="I451" t="s">
        <v>46</v>
      </c>
      <c r="J451" t="s">
        <v>15</v>
      </c>
      <c r="K451">
        <v>1</v>
      </c>
    </row>
    <row r="452" spans="1:11" x14ac:dyDescent="0.25">
      <c r="A452" t="s">
        <v>17</v>
      </c>
      <c r="B452" t="s">
        <v>19</v>
      </c>
      <c r="C452">
        <v>27653086</v>
      </c>
      <c r="D452" t="s">
        <v>43</v>
      </c>
      <c r="E452" t="s">
        <v>44</v>
      </c>
      <c r="F452" s="4">
        <v>41691</v>
      </c>
      <c r="G452" s="4">
        <v>41725</v>
      </c>
      <c r="H452" t="s">
        <v>45</v>
      </c>
      <c r="I452" t="s">
        <v>46</v>
      </c>
      <c r="J452" t="s">
        <v>6</v>
      </c>
      <c r="K452">
        <v>1</v>
      </c>
    </row>
    <row r="453" spans="1:11" x14ac:dyDescent="0.25">
      <c r="A453" t="s">
        <v>17</v>
      </c>
      <c r="B453" t="s">
        <v>19</v>
      </c>
      <c r="C453">
        <v>27653086</v>
      </c>
      <c r="D453" t="s">
        <v>43</v>
      </c>
      <c r="E453" t="s">
        <v>44</v>
      </c>
      <c r="F453" s="4">
        <v>41691</v>
      </c>
      <c r="G453" s="4">
        <v>41725</v>
      </c>
      <c r="H453" t="s">
        <v>45</v>
      </c>
      <c r="I453" t="s">
        <v>46</v>
      </c>
      <c r="J453" t="s">
        <v>7</v>
      </c>
      <c r="K453">
        <v>1</v>
      </c>
    </row>
    <row r="454" spans="1:11" x14ac:dyDescent="0.25">
      <c r="A454" t="s">
        <v>17</v>
      </c>
      <c r="B454" t="s">
        <v>19</v>
      </c>
      <c r="C454">
        <v>27653086</v>
      </c>
      <c r="D454" t="s">
        <v>43</v>
      </c>
      <c r="E454" t="s">
        <v>44</v>
      </c>
      <c r="F454" s="4">
        <v>41691</v>
      </c>
      <c r="G454" s="4">
        <v>41725</v>
      </c>
      <c r="H454" t="s">
        <v>45</v>
      </c>
      <c r="I454" t="s">
        <v>46</v>
      </c>
      <c r="J454" t="s">
        <v>8</v>
      </c>
      <c r="K454">
        <v>1</v>
      </c>
    </row>
    <row r="455" spans="1:11" x14ac:dyDescent="0.25">
      <c r="A455" t="s">
        <v>17</v>
      </c>
      <c r="B455" t="s">
        <v>19</v>
      </c>
      <c r="C455">
        <v>27653086</v>
      </c>
      <c r="D455" t="s">
        <v>43</v>
      </c>
      <c r="E455" t="s">
        <v>44</v>
      </c>
      <c r="F455" s="4">
        <v>41691</v>
      </c>
      <c r="G455" s="4">
        <v>41725</v>
      </c>
      <c r="H455" t="s">
        <v>45</v>
      </c>
      <c r="I455" t="s">
        <v>46</v>
      </c>
      <c r="J455" t="s">
        <v>9</v>
      </c>
      <c r="K455">
        <v>3</v>
      </c>
    </row>
    <row r="456" spans="1:11" x14ac:dyDescent="0.25">
      <c r="A456" t="s">
        <v>17</v>
      </c>
      <c r="B456" t="s">
        <v>19</v>
      </c>
      <c r="C456">
        <v>27653086</v>
      </c>
      <c r="D456" t="s">
        <v>43</v>
      </c>
      <c r="E456" t="s">
        <v>44</v>
      </c>
      <c r="F456" s="4">
        <v>41691</v>
      </c>
      <c r="G456" s="4">
        <v>41725</v>
      </c>
      <c r="H456" t="s">
        <v>45</v>
      </c>
      <c r="I456" t="s">
        <v>46</v>
      </c>
      <c r="J456" t="s">
        <v>10</v>
      </c>
      <c r="K456">
        <v>0</v>
      </c>
    </row>
    <row r="457" spans="1:11" x14ac:dyDescent="0.25">
      <c r="A457" t="s">
        <v>17</v>
      </c>
      <c r="B457" t="s">
        <v>19</v>
      </c>
      <c r="C457">
        <v>27653086</v>
      </c>
      <c r="D457" t="s">
        <v>43</v>
      </c>
      <c r="E457" t="s">
        <v>44</v>
      </c>
      <c r="F457" s="4">
        <v>41691</v>
      </c>
      <c r="G457" s="4">
        <v>41725</v>
      </c>
      <c r="H457" t="s">
        <v>45</v>
      </c>
      <c r="I457" t="s">
        <v>46</v>
      </c>
      <c r="J457" t="s">
        <v>11</v>
      </c>
      <c r="K457">
        <v>1</v>
      </c>
    </row>
    <row r="458" spans="1:11" x14ac:dyDescent="0.25">
      <c r="A458" t="s">
        <v>17</v>
      </c>
      <c r="B458" t="s">
        <v>19</v>
      </c>
      <c r="C458">
        <v>27653086</v>
      </c>
      <c r="D458" t="s">
        <v>43</v>
      </c>
      <c r="E458" t="s">
        <v>44</v>
      </c>
      <c r="F458" s="4">
        <v>41691</v>
      </c>
      <c r="G458" s="4">
        <v>41725</v>
      </c>
      <c r="H458" t="s">
        <v>45</v>
      </c>
      <c r="I458" t="s">
        <v>46</v>
      </c>
      <c r="J458" t="s">
        <v>12</v>
      </c>
      <c r="K458">
        <v>0</v>
      </c>
    </row>
    <row r="459" spans="1:11" x14ac:dyDescent="0.25">
      <c r="A459" t="s">
        <v>17</v>
      </c>
      <c r="B459" t="s">
        <v>19</v>
      </c>
      <c r="C459">
        <v>27653086</v>
      </c>
      <c r="D459" t="s">
        <v>43</v>
      </c>
      <c r="E459" t="s">
        <v>44</v>
      </c>
      <c r="F459" s="4">
        <v>41691</v>
      </c>
      <c r="G459" s="4">
        <v>41725</v>
      </c>
      <c r="H459" t="s">
        <v>45</v>
      </c>
      <c r="I459" t="s">
        <v>46</v>
      </c>
      <c r="J459" t="s">
        <v>13</v>
      </c>
      <c r="K459">
        <v>1</v>
      </c>
    </row>
    <row r="460" spans="1:11" x14ac:dyDescent="0.25">
      <c r="A460" t="s">
        <v>17</v>
      </c>
      <c r="B460" t="s">
        <v>19</v>
      </c>
      <c r="C460">
        <v>27653086</v>
      </c>
      <c r="D460" t="s">
        <v>43</v>
      </c>
      <c r="E460" t="s">
        <v>44</v>
      </c>
      <c r="F460" s="4">
        <v>41691</v>
      </c>
      <c r="G460" s="4">
        <v>41725</v>
      </c>
      <c r="H460" t="s">
        <v>45</v>
      </c>
      <c r="I460" t="s">
        <v>46</v>
      </c>
      <c r="J460" t="s">
        <v>14</v>
      </c>
      <c r="K460">
        <v>3</v>
      </c>
    </row>
    <row r="461" spans="1:11" x14ac:dyDescent="0.25">
      <c r="A461" t="s">
        <v>17</v>
      </c>
      <c r="B461" t="s">
        <v>19</v>
      </c>
      <c r="C461">
        <v>27653086</v>
      </c>
      <c r="D461" t="s">
        <v>43</v>
      </c>
      <c r="E461" t="s">
        <v>44</v>
      </c>
      <c r="F461" s="4">
        <v>41691</v>
      </c>
      <c r="G461" s="4">
        <v>41725</v>
      </c>
      <c r="H461" t="s">
        <v>45</v>
      </c>
      <c r="I461" t="s">
        <v>46</v>
      </c>
      <c r="J461" t="s">
        <v>15</v>
      </c>
      <c r="K461">
        <v>1</v>
      </c>
    </row>
    <row r="462" spans="1:11" x14ac:dyDescent="0.25">
      <c r="A462" t="s">
        <v>17</v>
      </c>
      <c r="B462" t="s">
        <v>20</v>
      </c>
      <c r="C462">
        <v>77634374</v>
      </c>
      <c r="D462" t="s">
        <v>43</v>
      </c>
      <c r="E462" t="s">
        <v>50</v>
      </c>
      <c r="F462" s="4">
        <v>41548</v>
      </c>
      <c r="G462" s="4">
        <v>41552</v>
      </c>
      <c r="H462" t="s">
        <v>45</v>
      </c>
      <c r="I462" t="s">
        <v>46</v>
      </c>
      <c r="J462" t="s">
        <v>6</v>
      </c>
      <c r="K462">
        <v>0</v>
      </c>
    </row>
    <row r="463" spans="1:11" x14ac:dyDescent="0.25">
      <c r="A463" t="s">
        <v>17</v>
      </c>
      <c r="B463" t="s">
        <v>20</v>
      </c>
      <c r="C463">
        <v>77634374</v>
      </c>
      <c r="D463" t="s">
        <v>43</v>
      </c>
      <c r="E463" t="s">
        <v>50</v>
      </c>
      <c r="F463" s="4">
        <v>41548</v>
      </c>
      <c r="G463" s="4">
        <v>41552</v>
      </c>
      <c r="H463" t="s">
        <v>45</v>
      </c>
      <c r="I463" t="s">
        <v>46</v>
      </c>
      <c r="J463" t="s">
        <v>7</v>
      </c>
      <c r="K463">
        <v>0</v>
      </c>
    </row>
    <row r="464" spans="1:11" x14ac:dyDescent="0.25">
      <c r="A464" t="s">
        <v>17</v>
      </c>
      <c r="B464" t="s">
        <v>20</v>
      </c>
      <c r="C464">
        <v>77634374</v>
      </c>
      <c r="D464" t="s">
        <v>43</v>
      </c>
      <c r="E464" t="s">
        <v>50</v>
      </c>
      <c r="F464" s="4">
        <v>41548</v>
      </c>
      <c r="G464" s="4">
        <v>41552</v>
      </c>
      <c r="H464" t="s">
        <v>45</v>
      </c>
      <c r="I464" t="s">
        <v>46</v>
      </c>
      <c r="J464" t="s">
        <v>8</v>
      </c>
      <c r="K464">
        <v>3</v>
      </c>
    </row>
    <row r="465" spans="1:11" x14ac:dyDescent="0.25">
      <c r="A465" t="s">
        <v>17</v>
      </c>
      <c r="B465" t="s">
        <v>20</v>
      </c>
      <c r="C465">
        <v>77634374</v>
      </c>
      <c r="D465" t="s">
        <v>43</v>
      </c>
      <c r="E465" t="s">
        <v>50</v>
      </c>
      <c r="F465" s="4">
        <v>41548</v>
      </c>
      <c r="G465" s="4">
        <v>41552</v>
      </c>
      <c r="H465" t="s">
        <v>45</v>
      </c>
      <c r="I465" t="s">
        <v>46</v>
      </c>
      <c r="J465" t="s">
        <v>9</v>
      </c>
      <c r="K465">
        <v>0</v>
      </c>
    </row>
    <row r="466" spans="1:11" x14ac:dyDescent="0.25">
      <c r="A466" t="s">
        <v>17</v>
      </c>
      <c r="B466" t="s">
        <v>20</v>
      </c>
      <c r="C466">
        <v>77634374</v>
      </c>
      <c r="D466" t="s">
        <v>43</v>
      </c>
      <c r="E466" t="s">
        <v>50</v>
      </c>
      <c r="F466" s="4">
        <v>41548</v>
      </c>
      <c r="G466" s="4">
        <v>41552</v>
      </c>
      <c r="H466" t="s">
        <v>45</v>
      </c>
      <c r="I466" t="s">
        <v>46</v>
      </c>
      <c r="J466" t="s">
        <v>10</v>
      </c>
      <c r="K466">
        <v>0</v>
      </c>
    </row>
    <row r="467" spans="1:11" x14ac:dyDescent="0.25">
      <c r="A467" t="s">
        <v>17</v>
      </c>
      <c r="B467" t="s">
        <v>20</v>
      </c>
      <c r="C467">
        <v>77634374</v>
      </c>
      <c r="D467" t="s">
        <v>43</v>
      </c>
      <c r="E467" t="s">
        <v>50</v>
      </c>
      <c r="F467" s="4">
        <v>41548</v>
      </c>
      <c r="G467" s="4">
        <v>41552</v>
      </c>
      <c r="H467" t="s">
        <v>45</v>
      </c>
      <c r="I467" t="s">
        <v>46</v>
      </c>
      <c r="J467" t="s">
        <v>11</v>
      </c>
      <c r="K467">
        <v>2</v>
      </c>
    </row>
    <row r="468" spans="1:11" x14ac:dyDescent="0.25">
      <c r="A468" t="s">
        <v>17</v>
      </c>
      <c r="B468" t="s">
        <v>20</v>
      </c>
      <c r="C468">
        <v>77634374</v>
      </c>
      <c r="D468" t="s">
        <v>43</v>
      </c>
      <c r="E468" t="s">
        <v>50</v>
      </c>
      <c r="F468" s="4">
        <v>41548</v>
      </c>
      <c r="G468" s="4">
        <v>41552</v>
      </c>
      <c r="H468" t="s">
        <v>45</v>
      </c>
      <c r="I468" t="s">
        <v>46</v>
      </c>
      <c r="J468" t="s">
        <v>12</v>
      </c>
      <c r="K468">
        <v>2</v>
      </c>
    </row>
    <row r="469" spans="1:11" x14ac:dyDescent="0.25">
      <c r="A469" t="s">
        <v>17</v>
      </c>
      <c r="B469" t="s">
        <v>20</v>
      </c>
      <c r="C469">
        <v>77634374</v>
      </c>
      <c r="D469" t="s">
        <v>43</v>
      </c>
      <c r="E469" t="s">
        <v>50</v>
      </c>
      <c r="F469" s="4">
        <v>41548</v>
      </c>
      <c r="G469" s="4">
        <v>41552</v>
      </c>
      <c r="H469" t="s">
        <v>45</v>
      </c>
      <c r="I469" t="s">
        <v>46</v>
      </c>
      <c r="J469" t="s">
        <v>13</v>
      </c>
      <c r="K469">
        <v>1</v>
      </c>
    </row>
    <row r="470" spans="1:11" x14ac:dyDescent="0.25">
      <c r="A470" t="s">
        <v>17</v>
      </c>
      <c r="B470" t="s">
        <v>20</v>
      </c>
      <c r="C470">
        <v>77634374</v>
      </c>
      <c r="D470" t="s">
        <v>43</v>
      </c>
      <c r="E470" t="s">
        <v>50</v>
      </c>
      <c r="F470" s="4">
        <v>41548</v>
      </c>
      <c r="G470" s="4">
        <v>41552</v>
      </c>
      <c r="H470" t="s">
        <v>45</v>
      </c>
      <c r="I470" t="s">
        <v>46</v>
      </c>
      <c r="J470" t="s">
        <v>14</v>
      </c>
      <c r="K470">
        <v>0</v>
      </c>
    </row>
    <row r="471" spans="1:11" x14ac:dyDescent="0.25">
      <c r="A471" t="s">
        <v>17</v>
      </c>
      <c r="B471" t="s">
        <v>20</v>
      </c>
      <c r="C471">
        <v>77634374</v>
      </c>
      <c r="D471" t="s">
        <v>43</v>
      </c>
      <c r="E471" t="s">
        <v>50</v>
      </c>
      <c r="F471" s="4">
        <v>41548</v>
      </c>
      <c r="G471" s="4">
        <v>41552</v>
      </c>
      <c r="H471" t="s">
        <v>45</v>
      </c>
      <c r="I471" t="s">
        <v>46</v>
      </c>
      <c r="J471" t="s">
        <v>15</v>
      </c>
      <c r="K471">
        <v>1</v>
      </c>
    </row>
    <row r="472" spans="1:11" x14ac:dyDescent="0.25">
      <c r="A472" t="s">
        <v>17</v>
      </c>
      <c r="B472" t="s">
        <v>21</v>
      </c>
      <c r="C472">
        <v>77634374</v>
      </c>
      <c r="D472" t="s">
        <v>43</v>
      </c>
      <c r="E472" t="s">
        <v>50</v>
      </c>
      <c r="F472" s="4">
        <v>41548</v>
      </c>
      <c r="G472" s="4">
        <v>41615</v>
      </c>
      <c r="H472" t="s">
        <v>45</v>
      </c>
      <c r="I472" t="s">
        <v>47</v>
      </c>
      <c r="J472" t="s">
        <v>6</v>
      </c>
      <c r="K472">
        <v>1</v>
      </c>
    </row>
    <row r="473" spans="1:11" x14ac:dyDescent="0.25">
      <c r="A473" t="s">
        <v>17</v>
      </c>
      <c r="B473" t="s">
        <v>21</v>
      </c>
      <c r="C473">
        <v>77634374</v>
      </c>
      <c r="D473" t="s">
        <v>43</v>
      </c>
      <c r="E473" t="s">
        <v>50</v>
      </c>
      <c r="F473" s="4">
        <v>41548</v>
      </c>
      <c r="G473" s="4">
        <v>41615</v>
      </c>
      <c r="H473" t="s">
        <v>45</v>
      </c>
      <c r="I473" t="s">
        <v>47</v>
      </c>
      <c r="J473" t="s">
        <v>7</v>
      </c>
      <c r="K473">
        <v>2</v>
      </c>
    </row>
    <row r="474" spans="1:11" x14ac:dyDescent="0.25">
      <c r="A474" t="s">
        <v>17</v>
      </c>
      <c r="B474" t="s">
        <v>21</v>
      </c>
      <c r="C474">
        <v>77634374</v>
      </c>
      <c r="D474" t="s">
        <v>43</v>
      </c>
      <c r="E474" t="s">
        <v>50</v>
      </c>
      <c r="F474" s="4">
        <v>41548</v>
      </c>
      <c r="G474" s="4">
        <v>41615</v>
      </c>
      <c r="H474" t="s">
        <v>45</v>
      </c>
      <c r="I474" t="s">
        <v>47</v>
      </c>
      <c r="J474" t="s">
        <v>8</v>
      </c>
      <c r="K474">
        <v>2</v>
      </c>
    </row>
    <row r="475" spans="1:11" x14ac:dyDescent="0.25">
      <c r="A475" t="s">
        <v>17</v>
      </c>
      <c r="B475" t="s">
        <v>21</v>
      </c>
      <c r="C475">
        <v>77634374</v>
      </c>
      <c r="D475" t="s">
        <v>43</v>
      </c>
      <c r="E475" t="s">
        <v>50</v>
      </c>
      <c r="F475" s="4">
        <v>41548</v>
      </c>
      <c r="G475" s="4">
        <v>41615</v>
      </c>
      <c r="H475" t="s">
        <v>45</v>
      </c>
      <c r="I475" t="s">
        <v>47</v>
      </c>
      <c r="J475" t="s">
        <v>9</v>
      </c>
      <c r="K475">
        <v>2</v>
      </c>
    </row>
    <row r="476" spans="1:11" x14ac:dyDescent="0.25">
      <c r="A476" t="s">
        <v>17</v>
      </c>
      <c r="B476" t="s">
        <v>21</v>
      </c>
      <c r="C476">
        <v>77634374</v>
      </c>
      <c r="D476" t="s">
        <v>43</v>
      </c>
      <c r="E476" t="s">
        <v>50</v>
      </c>
      <c r="F476" s="4">
        <v>41548</v>
      </c>
      <c r="G476" s="4">
        <v>41615</v>
      </c>
      <c r="H476" t="s">
        <v>45</v>
      </c>
      <c r="I476" t="s">
        <v>47</v>
      </c>
      <c r="J476" t="s">
        <v>10</v>
      </c>
      <c r="K476">
        <v>1</v>
      </c>
    </row>
    <row r="477" spans="1:11" x14ac:dyDescent="0.25">
      <c r="A477" t="s">
        <v>17</v>
      </c>
      <c r="B477" t="s">
        <v>21</v>
      </c>
      <c r="C477">
        <v>77634374</v>
      </c>
      <c r="D477" t="s">
        <v>43</v>
      </c>
      <c r="E477" t="s">
        <v>50</v>
      </c>
      <c r="F477" s="4">
        <v>41548</v>
      </c>
      <c r="G477" s="4">
        <v>41615</v>
      </c>
      <c r="H477" t="s">
        <v>45</v>
      </c>
      <c r="I477" t="s">
        <v>47</v>
      </c>
      <c r="J477" t="s">
        <v>11</v>
      </c>
      <c r="K477">
        <v>0</v>
      </c>
    </row>
    <row r="478" spans="1:11" x14ac:dyDescent="0.25">
      <c r="A478" t="s">
        <v>17</v>
      </c>
      <c r="B478" t="s">
        <v>21</v>
      </c>
      <c r="C478">
        <v>77634374</v>
      </c>
      <c r="D478" t="s">
        <v>43</v>
      </c>
      <c r="E478" t="s">
        <v>50</v>
      </c>
      <c r="F478" s="4">
        <v>41548</v>
      </c>
      <c r="G478" s="4">
        <v>41615</v>
      </c>
      <c r="H478" t="s">
        <v>45</v>
      </c>
      <c r="I478" t="s">
        <v>47</v>
      </c>
      <c r="J478" t="s">
        <v>12</v>
      </c>
      <c r="K478">
        <v>1</v>
      </c>
    </row>
    <row r="479" spans="1:11" x14ac:dyDescent="0.25">
      <c r="A479" t="s">
        <v>17</v>
      </c>
      <c r="B479" t="s">
        <v>21</v>
      </c>
      <c r="C479">
        <v>77634374</v>
      </c>
      <c r="D479" t="s">
        <v>43</v>
      </c>
      <c r="E479" t="s">
        <v>50</v>
      </c>
      <c r="F479" s="4">
        <v>41548</v>
      </c>
      <c r="G479" s="4">
        <v>41615</v>
      </c>
      <c r="H479" t="s">
        <v>45</v>
      </c>
      <c r="I479" t="s">
        <v>47</v>
      </c>
      <c r="J479" t="s">
        <v>13</v>
      </c>
      <c r="K479">
        <v>0</v>
      </c>
    </row>
    <row r="480" spans="1:11" x14ac:dyDescent="0.25">
      <c r="A480" t="s">
        <v>17</v>
      </c>
      <c r="B480" t="s">
        <v>21</v>
      </c>
      <c r="C480">
        <v>77634374</v>
      </c>
      <c r="D480" t="s">
        <v>43</v>
      </c>
      <c r="E480" t="s">
        <v>50</v>
      </c>
      <c r="F480" s="4">
        <v>41548</v>
      </c>
      <c r="G480" s="4">
        <v>41615</v>
      </c>
      <c r="H480" t="s">
        <v>45</v>
      </c>
      <c r="I480" t="s">
        <v>47</v>
      </c>
      <c r="J480" t="s">
        <v>14</v>
      </c>
      <c r="K480">
        <v>1</v>
      </c>
    </row>
    <row r="481" spans="1:11" x14ac:dyDescent="0.25">
      <c r="A481" t="s">
        <v>17</v>
      </c>
      <c r="B481" t="s">
        <v>21</v>
      </c>
      <c r="C481">
        <v>77634374</v>
      </c>
      <c r="D481" t="s">
        <v>43</v>
      </c>
      <c r="E481" t="s">
        <v>50</v>
      </c>
      <c r="F481" s="4">
        <v>41548</v>
      </c>
      <c r="G481" s="4">
        <v>41615</v>
      </c>
      <c r="H481" t="s">
        <v>45</v>
      </c>
      <c r="I481" t="s">
        <v>47</v>
      </c>
      <c r="J481" t="s">
        <v>15</v>
      </c>
      <c r="K481">
        <v>2</v>
      </c>
    </row>
    <row r="482" spans="1:11" x14ac:dyDescent="0.25">
      <c r="A482" t="s">
        <v>17</v>
      </c>
      <c r="B482" t="s">
        <v>19</v>
      </c>
      <c r="C482">
        <v>77634374</v>
      </c>
      <c r="D482" t="s">
        <v>43</v>
      </c>
      <c r="E482" t="s">
        <v>50</v>
      </c>
      <c r="F482" s="4">
        <v>41548</v>
      </c>
      <c r="G482" s="4">
        <v>41648</v>
      </c>
      <c r="H482" t="s">
        <v>45</v>
      </c>
      <c r="I482" t="s">
        <v>47</v>
      </c>
      <c r="J482" t="s">
        <v>6</v>
      </c>
      <c r="K482">
        <v>0</v>
      </c>
    </row>
    <row r="483" spans="1:11" x14ac:dyDescent="0.25">
      <c r="A483" t="s">
        <v>17</v>
      </c>
      <c r="B483" t="s">
        <v>19</v>
      </c>
      <c r="C483">
        <v>77634374</v>
      </c>
      <c r="D483" t="s">
        <v>43</v>
      </c>
      <c r="E483" t="s">
        <v>50</v>
      </c>
      <c r="F483" s="4">
        <v>41548</v>
      </c>
      <c r="G483" s="4">
        <v>41648</v>
      </c>
      <c r="H483" t="s">
        <v>45</v>
      </c>
      <c r="I483" t="s">
        <v>47</v>
      </c>
      <c r="J483" t="s">
        <v>7</v>
      </c>
      <c r="K483">
        <v>1</v>
      </c>
    </row>
    <row r="484" spans="1:11" x14ac:dyDescent="0.25">
      <c r="A484" t="s">
        <v>17</v>
      </c>
      <c r="B484" t="s">
        <v>19</v>
      </c>
      <c r="C484">
        <v>77634374</v>
      </c>
      <c r="D484" t="s">
        <v>43</v>
      </c>
      <c r="E484" t="s">
        <v>50</v>
      </c>
      <c r="F484" s="4">
        <v>41548</v>
      </c>
      <c r="G484" s="4">
        <v>41648</v>
      </c>
      <c r="H484" t="s">
        <v>45</v>
      </c>
      <c r="I484" t="s">
        <v>47</v>
      </c>
      <c r="J484" t="s">
        <v>8</v>
      </c>
      <c r="K484">
        <v>1</v>
      </c>
    </row>
    <row r="485" spans="1:11" x14ac:dyDescent="0.25">
      <c r="A485" t="s">
        <v>17</v>
      </c>
      <c r="B485" t="s">
        <v>19</v>
      </c>
      <c r="C485">
        <v>77634374</v>
      </c>
      <c r="D485" t="s">
        <v>43</v>
      </c>
      <c r="E485" t="s">
        <v>50</v>
      </c>
      <c r="F485" s="4">
        <v>41548</v>
      </c>
      <c r="G485" s="4">
        <v>41648</v>
      </c>
      <c r="H485" t="s">
        <v>45</v>
      </c>
      <c r="I485" t="s">
        <v>47</v>
      </c>
      <c r="J485" t="s">
        <v>9</v>
      </c>
      <c r="K485">
        <v>3</v>
      </c>
    </row>
    <row r="486" spans="1:11" x14ac:dyDescent="0.25">
      <c r="A486" t="s">
        <v>17</v>
      </c>
      <c r="B486" t="s">
        <v>19</v>
      </c>
      <c r="C486">
        <v>77634374</v>
      </c>
      <c r="D486" t="s">
        <v>43</v>
      </c>
      <c r="E486" t="s">
        <v>50</v>
      </c>
      <c r="F486" s="4">
        <v>41548</v>
      </c>
      <c r="G486" s="4">
        <v>41648</v>
      </c>
      <c r="H486" t="s">
        <v>45</v>
      </c>
      <c r="I486" t="s">
        <v>47</v>
      </c>
      <c r="J486" t="s">
        <v>10</v>
      </c>
      <c r="K486">
        <v>0</v>
      </c>
    </row>
    <row r="487" spans="1:11" x14ac:dyDescent="0.25">
      <c r="A487" t="s">
        <v>17</v>
      </c>
      <c r="B487" t="s">
        <v>19</v>
      </c>
      <c r="C487">
        <v>77634374</v>
      </c>
      <c r="D487" t="s">
        <v>43</v>
      </c>
      <c r="E487" t="s">
        <v>50</v>
      </c>
      <c r="F487" s="4">
        <v>41548</v>
      </c>
      <c r="G487" s="4">
        <v>41648</v>
      </c>
      <c r="H487" t="s">
        <v>45</v>
      </c>
      <c r="I487" t="s">
        <v>47</v>
      </c>
      <c r="J487" t="s">
        <v>11</v>
      </c>
      <c r="K487">
        <v>0</v>
      </c>
    </row>
    <row r="488" spans="1:11" x14ac:dyDescent="0.25">
      <c r="A488" t="s">
        <v>17</v>
      </c>
      <c r="B488" t="s">
        <v>19</v>
      </c>
      <c r="C488">
        <v>77634374</v>
      </c>
      <c r="D488" t="s">
        <v>43</v>
      </c>
      <c r="E488" t="s">
        <v>50</v>
      </c>
      <c r="F488" s="4">
        <v>41548</v>
      </c>
      <c r="G488" s="4">
        <v>41648</v>
      </c>
      <c r="H488" t="s">
        <v>45</v>
      </c>
      <c r="I488" t="s">
        <v>47</v>
      </c>
      <c r="J488" t="s">
        <v>12</v>
      </c>
      <c r="K488">
        <v>2</v>
      </c>
    </row>
    <row r="489" spans="1:11" x14ac:dyDescent="0.25">
      <c r="A489" t="s">
        <v>17</v>
      </c>
      <c r="B489" t="s">
        <v>19</v>
      </c>
      <c r="C489">
        <v>77634374</v>
      </c>
      <c r="D489" t="s">
        <v>43</v>
      </c>
      <c r="E489" t="s">
        <v>50</v>
      </c>
      <c r="F489" s="4">
        <v>41548</v>
      </c>
      <c r="G489" s="4">
        <v>41648</v>
      </c>
      <c r="H489" t="s">
        <v>45</v>
      </c>
      <c r="I489" t="s">
        <v>47</v>
      </c>
      <c r="J489" t="s">
        <v>13</v>
      </c>
      <c r="K489">
        <v>1</v>
      </c>
    </row>
    <row r="490" spans="1:11" x14ac:dyDescent="0.25">
      <c r="A490" t="s">
        <v>17</v>
      </c>
      <c r="B490" t="s">
        <v>19</v>
      </c>
      <c r="C490">
        <v>77634374</v>
      </c>
      <c r="D490" t="s">
        <v>43</v>
      </c>
      <c r="E490" t="s">
        <v>50</v>
      </c>
      <c r="F490" s="4">
        <v>41548</v>
      </c>
      <c r="G490" s="4">
        <v>41648</v>
      </c>
      <c r="H490" t="s">
        <v>45</v>
      </c>
      <c r="I490" t="s">
        <v>47</v>
      </c>
      <c r="J490" t="s">
        <v>14</v>
      </c>
      <c r="K490">
        <v>3</v>
      </c>
    </row>
    <row r="491" spans="1:11" x14ac:dyDescent="0.25">
      <c r="A491" t="s">
        <v>17</v>
      </c>
      <c r="B491" t="s">
        <v>19</v>
      </c>
      <c r="C491">
        <v>77634374</v>
      </c>
      <c r="D491" t="s">
        <v>43</v>
      </c>
      <c r="E491" t="s">
        <v>50</v>
      </c>
      <c r="F491" s="4">
        <v>41548</v>
      </c>
      <c r="G491" s="4">
        <v>41648</v>
      </c>
      <c r="H491" t="s">
        <v>45</v>
      </c>
      <c r="I491" t="s">
        <v>47</v>
      </c>
      <c r="J491" t="s">
        <v>15</v>
      </c>
      <c r="K491">
        <v>1</v>
      </c>
    </row>
    <row r="492" spans="1:11" x14ac:dyDescent="0.25">
      <c r="A492" t="s">
        <v>17</v>
      </c>
      <c r="B492" t="s">
        <v>20</v>
      </c>
      <c r="C492">
        <v>67389131</v>
      </c>
      <c r="D492" t="s">
        <v>48</v>
      </c>
      <c r="E492" t="s">
        <v>50</v>
      </c>
      <c r="F492" s="4">
        <v>41313</v>
      </c>
      <c r="G492" s="4">
        <v>41365</v>
      </c>
      <c r="H492" t="s">
        <v>45</v>
      </c>
      <c r="I492" t="s">
        <v>46</v>
      </c>
      <c r="J492" t="s">
        <v>6</v>
      </c>
      <c r="K492">
        <v>1</v>
      </c>
    </row>
    <row r="493" spans="1:11" x14ac:dyDescent="0.25">
      <c r="A493" t="s">
        <v>17</v>
      </c>
      <c r="B493" t="s">
        <v>20</v>
      </c>
      <c r="C493">
        <v>67389131</v>
      </c>
      <c r="D493" t="s">
        <v>48</v>
      </c>
      <c r="E493" t="s">
        <v>50</v>
      </c>
      <c r="F493" s="4">
        <v>41313</v>
      </c>
      <c r="G493" s="4">
        <v>41365</v>
      </c>
      <c r="H493" t="s">
        <v>45</v>
      </c>
      <c r="I493" t="s">
        <v>46</v>
      </c>
      <c r="J493" t="s">
        <v>7</v>
      </c>
      <c r="K493">
        <v>1</v>
      </c>
    </row>
    <row r="494" spans="1:11" x14ac:dyDescent="0.25">
      <c r="A494" t="s">
        <v>17</v>
      </c>
      <c r="B494" t="s">
        <v>20</v>
      </c>
      <c r="C494">
        <v>67389131</v>
      </c>
      <c r="D494" t="s">
        <v>48</v>
      </c>
      <c r="E494" t="s">
        <v>50</v>
      </c>
      <c r="F494" s="4">
        <v>41313</v>
      </c>
      <c r="G494" s="4">
        <v>41365</v>
      </c>
      <c r="H494" t="s">
        <v>45</v>
      </c>
      <c r="I494" t="s">
        <v>46</v>
      </c>
      <c r="J494" t="s">
        <v>8</v>
      </c>
      <c r="K494">
        <v>3</v>
      </c>
    </row>
    <row r="495" spans="1:11" x14ac:dyDescent="0.25">
      <c r="A495" t="s">
        <v>17</v>
      </c>
      <c r="B495" t="s">
        <v>20</v>
      </c>
      <c r="C495">
        <v>67389131</v>
      </c>
      <c r="D495" t="s">
        <v>48</v>
      </c>
      <c r="E495" t="s">
        <v>50</v>
      </c>
      <c r="F495" s="4">
        <v>41313</v>
      </c>
      <c r="G495" s="4">
        <v>41365</v>
      </c>
      <c r="H495" t="s">
        <v>45</v>
      </c>
      <c r="I495" t="s">
        <v>46</v>
      </c>
      <c r="J495" t="s">
        <v>9</v>
      </c>
      <c r="K495">
        <v>0</v>
      </c>
    </row>
    <row r="496" spans="1:11" x14ac:dyDescent="0.25">
      <c r="A496" t="s">
        <v>17</v>
      </c>
      <c r="B496" t="s">
        <v>20</v>
      </c>
      <c r="C496">
        <v>67389131</v>
      </c>
      <c r="D496" t="s">
        <v>48</v>
      </c>
      <c r="E496" t="s">
        <v>50</v>
      </c>
      <c r="F496" s="4">
        <v>41313</v>
      </c>
      <c r="G496" s="4">
        <v>41365</v>
      </c>
      <c r="H496" t="s">
        <v>45</v>
      </c>
      <c r="I496" t="s">
        <v>46</v>
      </c>
      <c r="J496" t="s">
        <v>10</v>
      </c>
      <c r="K496">
        <v>1</v>
      </c>
    </row>
    <row r="497" spans="1:11" x14ac:dyDescent="0.25">
      <c r="A497" t="s">
        <v>17</v>
      </c>
      <c r="B497" t="s">
        <v>20</v>
      </c>
      <c r="C497">
        <v>67389131</v>
      </c>
      <c r="D497" t="s">
        <v>48</v>
      </c>
      <c r="E497" t="s">
        <v>50</v>
      </c>
      <c r="F497" s="4">
        <v>41313</v>
      </c>
      <c r="G497" s="4">
        <v>41365</v>
      </c>
      <c r="H497" t="s">
        <v>45</v>
      </c>
      <c r="I497" t="s">
        <v>46</v>
      </c>
      <c r="J497" t="s">
        <v>11</v>
      </c>
      <c r="K497">
        <v>1</v>
      </c>
    </row>
    <row r="498" spans="1:11" x14ac:dyDescent="0.25">
      <c r="A498" t="s">
        <v>17</v>
      </c>
      <c r="B498" t="s">
        <v>20</v>
      </c>
      <c r="C498">
        <v>67389131</v>
      </c>
      <c r="D498" t="s">
        <v>48</v>
      </c>
      <c r="E498" t="s">
        <v>50</v>
      </c>
      <c r="F498" s="4">
        <v>41313</v>
      </c>
      <c r="G498" s="4">
        <v>41365</v>
      </c>
      <c r="H498" t="s">
        <v>45</v>
      </c>
      <c r="I498" t="s">
        <v>46</v>
      </c>
      <c r="J498" t="s">
        <v>12</v>
      </c>
      <c r="K498">
        <v>2</v>
      </c>
    </row>
    <row r="499" spans="1:11" x14ac:dyDescent="0.25">
      <c r="A499" t="s">
        <v>17</v>
      </c>
      <c r="B499" t="s">
        <v>20</v>
      </c>
      <c r="C499">
        <v>67389131</v>
      </c>
      <c r="D499" t="s">
        <v>48</v>
      </c>
      <c r="E499" t="s">
        <v>50</v>
      </c>
      <c r="F499" s="4">
        <v>41313</v>
      </c>
      <c r="G499" s="4">
        <v>41365</v>
      </c>
      <c r="H499" t="s">
        <v>45</v>
      </c>
      <c r="I499" t="s">
        <v>46</v>
      </c>
      <c r="J499" t="s">
        <v>13</v>
      </c>
      <c r="K499">
        <v>0</v>
      </c>
    </row>
    <row r="500" spans="1:11" x14ac:dyDescent="0.25">
      <c r="A500" t="s">
        <v>17</v>
      </c>
      <c r="B500" t="s">
        <v>20</v>
      </c>
      <c r="C500">
        <v>67389131</v>
      </c>
      <c r="D500" t="s">
        <v>48</v>
      </c>
      <c r="E500" t="s">
        <v>50</v>
      </c>
      <c r="F500" s="4">
        <v>41313</v>
      </c>
      <c r="G500" s="4">
        <v>41365</v>
      </c>
      <c r="H500" t="s">
        <v>45</v>
      </c>
      <c r="I500" t="s">
        <v>46</v>
      </c>
      <c r="J500" t="s">
        <v>14</v>
      </c>
      <c r="K500">
        <v>0</v>
      </c>
    </row>
    <row r="501" spans="1:11" x14ac:dyDescent="0.25">
      <c r="A501" t="s">
        <v>17</v>
      </c>
      <c r="B501" t="s">
        <v>20</v>
      </c>
      <c r="C501">
        <v>67389131</v>
      </c>
      <c r="D501" t="s">
        <v>48</v>
      </c>
      <c r="E501" t="s">
        <v>50</v>
      </c>
      <c r="F501" s="4">
        <v>41313</v>
      </c>
      <c r="G501" s="4">
        <v>41365</v>
      </c>
      <c r="H501" t="s">
        <v>45</v>
      </c>
      <c r="I501" t="s">
        <v>46</v>
      </c>
      <c r="J501" t="s">
        <v>15</v>
      </c>
      <c r="K501">
        <v>2</v>
      </c>
    </row>
    <row r="502" spans="1:11" x14ac:dyDescent="0.25">
      <c r="A502" t="s">
        <v>17</v>
      </c>
      <c r="B502" t="s">
        <v>21</v>
      </c>
      <c r="C502">
        <v>31161805</v>
      </c>
      <c r="D502" t="s">
        <v>48</v>
      </c>
      <c r="E502" t="s">
        <v>50</v>
      </c>
      <c r="F502" s="4">
        <v>41312</v>
      </c>
      <c r="G502" s="4">
        <v>41323</v>
      </c>
      <c r="H502" t="s">
        <v>45</v>
      </c>
      <c r="I502" t="s">
        <v>46</v>
      </c>
      <c r="J502" t="s">
        <v>6</v>
      </c>
      <c r="K502">
        <v>1</v>
      </c>
    </row>
    <row r="503" spans="1:11" x14ac:dyDescent="0.25">
      <c r="A503" t="s">
        <v>17</v>
      </c>
      <c r="B503" t="s">
        <v>21</v>
      </c>
      <c r="C503">
        <v>31161805</v>
      </c>
      <c r="D503" t="s">
        <v>48</v>
      </c>
      <c r="E503" t="s">
        <v>50</v>
      </c>
      <c r="F503" s="4">
        <v>41312</v>
      </c>
      <c r="G503" s="4">
        <v>41323</v>
      </c>
      <c r="H503" t="s">
        <v>45</v>
      </c>
      <c r="I503" t="s">
        <v>46</v>
      </c>
      <c r="J503" t="s">
        <v>7</v>
      </c>
      <c r="K503">
        <v>1</v>
      </c>
    </row>
    <row r="504" spans="1:11" x14ac:dyDescent="0.25">
      <c r="A504" t="s">
        <v>17</v>
      </c>
      <c r="B504" t="s">
        <v>21</v>
      </c>
      <c r="C504">
        <v>31161805</v>
      </c>
      <c r="D504" t="s">
        <v>48</v>
      </c>
      <c r="E504" t="s">
        <v>50</v>
      </c>
      <c r="F504" s="4">
        <v>41312</v>
      </c>
      <c r="G504" s="4">
        <v>41323</v>
      </c>
      <c r="H504" t="s">
        <v>45</v>
      </c>
      <c r="I504" t="s">
        <v>46</v>
      </c>
      <c r="J504" t="s">
        <v>8</v>
      </c>
      <c r="K504">
        <v>3</v>
      </c>
    </row>
    <row r="505" spans="1:11" x14ac:dyDescent="0.25">
      <c r="A505" t="s">
        <v>17</v>
      </c>
      <c r="B505" t="s">
        <v>21</v>
      </c>
      <c r="C505">
        <v>31161805</v>
      </c>
      <c r="D505" t="s">
        <v>48</v>
      </c>
      <c r="E505" t="s">
        <v>50</v>
      </c>
      <c r="F505" s="4">
        <v>41312</v>
      </c>
      <c r="G505" s="4">
        <v>41323</v>
      </c>
      <c r="H505" t="s">
        <v>45</v>
      </c>
      <c r="I505" t="s">
        <v>46</v>
      </c>
      <c r="J505" t="s">
        <v>9</v>
      </c>
      <c r="K505">
        <v>1</v>
      </c>
    </row>
    <row r="506" spans="1:11" x14ac:dyDescent="0.25">
      <c r="A506" t="s">
        <v>17</v>
      </c>
      <c r="B506" t="s">
        <v>21</v>
      </c>
      <c r="C506">
        <v>31161805</v>
      </c>
      <c r="D506" t="s">
        <v>48</v>
      </c>
      <c r="E506" t="s">
        <v>50</v>
      </c>
      <c r="F506" s="4">
        <v>41312</v>
      </c>
      <c r="G506" s="4">
        <v>41323</v>
      </c>
      <c r="H506" t="s">
        <v>45</v>
      </c>
      <c r="I506" t="s">
        <v>46</v>
      </c>
      <c r="J506" t="s">
        <v>10</v>
      </c>
      <c r="K506">
        <v>0</v>
      </c>
    </row>
    <row r="507" spans="1:11" x14ac:dyDescent="0.25">
      <c r="A507" t="s">
        <v>17</v>
      </c>
      <c r="B507" t="s">
        <v>21</v>
      </c>
      <c r="C507">
        <v>31161805</v>
      </c>
      <c r="D507" t="s">
        <v>48</v>
      </c>
      <c r="E507" t="s">
        <v>50</v>
      </c>
      <c r="F507" s="4">
        <v>41312</v>
      </c>
      <c r="G507" s="4">
        <v>41323</v>
      </c>
      <c r="H507" t="s">
        <v>45</v>
      </c>
      <c r="I507" t="s">
        <v>46</v>
      </c>
      <c r="J507" t="s">
        <v>11</v>
      </c>
      <c r="K507">
        <v>2</v>
      </c>
    </row>
    <row r="508" spans="1:11" x14ac:dyDescent="0.25">
      <c r="A508" t="s">
        <v>17</v>
      </c>
      <c r="B508" t="s">
        <v>21</v>
      </c>
      <c r="C508">
        <v>31161805</v>
      </c>
      <c r="D508" t="s">
        <v>48</v>
      </c>
      <c r="E508" t="s">
        <v>50</v>
      </c>
      <c r="F508" s="4">
        <v>41312</v>
      </c>
      <c r="G508" s="4">
        <v>41323</v>
      </c>
      <c r="H508" t="s">
        <v>45</v>
      </c>
      <c r="I508" t="s">
        <v>46</v>
      </c>
      <c r="J508" t="s">
        <v>12</v>
      </c>
      <c r="K508">
        <v>1</v>
      </c>
    </row>
    <row r="509" spans="1:11" x14ac:dyDescent="0.25">
      <c r="A509" t="s">
        <v>17</v>
      </c>
      <c r="B509" t="s">
        <v>21</v>
      </c>
      <c r="C509">
        <v>31161805</v>
      </c>
      <c r="D509" t="s">
        <v>48</v>
      </c>
      <c r="E509" t="s">
        <v>50</v>
      </c>
      <c r="F509" s="4">
        <v>41312</v>
      </c>
      <c r="G509" s="4">
        <v>41323</v>
      </c>
      <c r="H509" t="s">
        <v>45</v>
      </c>
      <c r="I509" t="s">
        <v>46</v>
      </c>
      <c r="J509" t="s">
        <v>13</v>
      </c>
      <c r="K509">
        <v>0</v>
      </c>
    </row>
    <row r="510" spans="1:11" x14ac:dyDescent="0.25">
      <c r="A510" t="s">
        <v>17</v>
      </c>
      <c r="B510" t="s">
        <v>21</v>
      </c>
      <c r="C510">
        <v>31161805</v>
      </c>
      <c r="D510" t="s">
        <v>48</v>
      </c>
      <c r="E510" t="s">
        <v>50</v>
      </c>
      <c r="F510" s="4">
        <v>41312</v>
      </c>
      <c r="G510" s="4">
        <v>41323</v>
      </c>
      <c r="H510" t="s">
        <v>45</v>
      </c>
      <c r="I510" t="s">
        <v>46</v>
      </c>
      <c r="J510" t="s">
        <v>14</v>
      </c>
      <c r="K510">
        <v>0</v>
      </c>
    </row>
    <row r="511" spans="1:11" x14ac:dyDescent="0.25">
      <c r="A511" t="s">
        <v>17</v>
      </c>
      <c r="B511" t="s">
        <v>21</v>
      </c>
      <c r="C511">
        <v>31161805</v>
      </c>
      <c r="D511" t="s">
        <v>48</v>
      </c>
      <c r="E511" t="s">
        <v>50</v>
      </c>
      <c r="F511" s="4">
        <v>41312</v>
      </c>
      <c r="G511" s="4">
        <v>41323</v>
      </c>
      <c r="H511" t="s">
        <v>45</v>
      </c>
      <c r="I511" t="s">
        <v>46</v>
      </c>
      <c r="J511" t="s">
        <v>15</v>
      </c>
      <c r="K511">
        <v>1</v>
      </c>
    </row>
    <row r="512" spans="1:11" x14ac:dyDescent="0.25">
      <c r="A512" t="s">
        <v>17</v>
      </c>
      <c r="B512" t="s">
        <v>19</v>
      </c>
      <c r="C512">
        <v>31161805</v>
      </c>
      <c r="D512" t="s">
        <v>48</v>
      </c>
      <c r="E512" t="s">
        <v>50</v>
      </c>
      <c r="F512" s="4">
        <v>41312</v>
      </c>
      <c r="G512" s="4">
        <v>41369</v>
      </c>
      <c r="H512" t="s">
        <v>45</v>
      </c>
      <c r="I512" t="s">
        <v>47</v>
      </c>
      <c r="J512" t="s">
        <v>6</v>
      </c>
      <c r="K512">
        <v>0</v>
      </c>
    </row>
    <row r="513" spans="1:11" x14ac:dyDescent="0.25">
      <c r="A513" t="s">
        <v>17</v>
      </c>
      <c r="B513" t="s">
        <v>19</v>
      </c>
      <c r="C513">
        <v>31161805</v>
      </c>
      <c r="D513" t="s">
        <v>48</v>
      </c>
      <c r="E513" t="s">
        <v>50</v>
      </c>
      <c r="F513" s="4">
        <v>41312</v>
      </c>
      <c r="G513" s="4">
        <v>41369</v>
      </c>
      <c r="H513" t="s">
        <v>45</v>
      </c>
      <c r="I513" t="s">
        <v>47</v>
      </c>
      <c r="J513" t="s">
        <v>7</v>
      </c>
      <c r="K513">
        <v>0</v>
      </c>
    </row>
    <row r="514" spans="1:11" x14ac:dyDescent="0.25">
      <c r="A514" t="s">
        <v>17</v>
      </c>
      <c r="B514" t="s">
        <v>19</v>
      </c>
      <c r="C514">
        <v>31161805</v>
      </c>
      <c r="D514" t="s">
        <v>48</v>
      </c>
      <c r="E514" t="s">
        <v>50</v>
      </c>
      <c r="F514" s="4">
        <v>41312</v>
      </c>
      <c r="G514" s="4">
        <v>41369</v>
      </c>
      <c r="H514" t="s">
        <v>45</v>
      </c>
      <c r="I514" t="s">
        <v>47</v>
      </c>
      <c r="J514" t="s">
        <v>8</v>
      </c>
      <c r="K514">
        <v>1</v>
      </c>
    </row>
    <row r="515" spans="1:11" x14ac:dyDescent="0.25">
      <c r="A515" t="s">
        <v>17</v>
      </c>
      <c r="B515" t="s">
        <v>19</v>
      </c>
      <c r="C515">
        <v>31161805</v>
      </c>
      <c r="D515" t="s">
        <v>48</v>
      </c>
      <c r="E515" t="s">
        <v>50</v>
      </c>
      <c r="F515" s="4">
        <v>41312</v>
      </c>
      <c r="G515" s="4">
        <v>41369</v>
      </c>
      <c r="H515" t="s">
        <v>45</v>
      </c>
      <c r="I515" t="s">
        <v>47</v>
      </c>
      <c r="J515" t="s">
        <v>9</v>
      </c>
      <c r="K515">
        <v>1</v>
      </c>
    </row>
    <row r="516" spans="1:11" x14ac:dyDescent="0.25">
      <c r="A516" t="s">
        <v>17</v>
      </c>
      <c r="B516" t="s">
        <v>19</v>
      </c>
      <c r="C516">
        <v>31161805</v>
      </c>
      <c r="D516" t="s">
        <v>48</v>
      </c>
      <c r="E516" t="s">
        <v>50</v>
      </c>
      <c r="F516" s="4">
        <v>41312</v>
      </c>
      <c r="G516" s="4">
        <v>41369</v>
      </c>
      <c r="H516" t="s">
        <v>45</v>
      </c>
      <c r="I516" t="s">
        <v>47</v>
      </c>
      <c r="J516" t="s">
        <v>10</v>
      </c>
      <c r="K516">
        <v>3</v>
      </c>
    </row>
    <row r="517" spans="1:11" x14ac:dyDescent="0.25">
      <c r="A517" t="s">
        <v>17</v>
      </c>
      <c r="B517" t="s">
        <v>19</v>
      </c>
      <c r="C517">
        <v>31161805</v>
      </c>
      <c r="D517" t="s">
        <v>48</v>
      </c>
      <c r="E517" t="s">
        <v>50</v>
      </c>
      <c r="F517" s="4">
        <v>41312</v>
      </c>
      <c r="G517" s="4">
        <v>41369</v>
      </c>
      <c r="H517" t="s">
        <v>45</v>
      </c>
      <c r="I517" t="s">
        <v>47</v>
      </c>
      <c r="J517" t="s">
        <v>11</v>
      </c>
      <c r="K517">
        <v>0</v>
      </c>
    </row>
    <row r="518" spans="1:11" x14ac:dyDescent="0.25">
      <c r="A518" t="s">
        <v>17</v>
      </c>
      <c r="B518" t="s">
        <v>19</v>
      </c>
      <c r="C518">
        <v>31161805</v>
      </c>
      <c r="D518" t="s">
        <v>48</v>
      </c>
      <c r="E518" t="s">
        <v>50</v>
      </c>
      <c r="F518" s="4">
        <v>41312</v>
      </c>
      <c r="G518" s="4">
        <v>41369</v>
      </c>
      <c r="H518" t="s">
        <v>45</v>
      </c>
      <c r="I518" t="s">
        <v>47</v>
      </c>
      <c r="J518" t="s">
        <v>12</v>
      </c>
      <c r="K518">
        <v>3</v>
      </c>
    </row>
    <row r="519" spans="1:11" x14ac:dyDescent="0.25">
      <c r="A519" t="s">
        <v>17</v>
      </c>
      <c r="B519" t="s">
        <v>19</v>
      </c>
      <c r="C519">
        <v>31161805</v>
      </c>
      <c r="D519" t="s">
        <v>48</v>
      </c>
      <c r="E519" t="s">
        <v>50</v>
      </c>
      <c r="F519" s="4">
        <v>41312</v>
      </c>
      <c r="G519" s="4">
        <v>41369</v>
      </c>
      <c r="H519" t="s">
        <v>45</v>
      </c>
      <c r="I519" t="s">
        <v>47</v>
      </c>
      <c r="J519" t="s">
        <v>13</v>
      </c>
      <c r="K519">
        <v>1</v>
      </c>
    </row>
    <row r="520" spans="1:11" x14ac:dyDescent="0.25">
      <c r="A520" t="s">
        <v>17</v>
      </c>
      <c r="B520" t="s">
        <v>19</v>
      </c>
      <c r="C520">
        <v>31161805</v>
      </c>
      <c r="D520" t="s">
        <v>48</v>
      </c>
      <c r="E520" t="s">
        <v>50</v>
      </c>
      <c r="F520" s="4">
        <v>41312</v>
      </c>
      <c r="G520" s="4">
        <v>41369</v>
      </c>
      <c r="H520" t="s">
        <v>45</v>
      </c>
      <c r="I520" t="s">
        <v>47</v>
      </c>
      <c r="J520" t="s">
        <v>14</v>
      </c>
      <c r="K520">
        <v>0</v>
      </c>
    </row>
    <row r="521" spans="1:11" x14ac:dyDescent="0.25">
      <c r="A521" t="s">
        <v>17</v>
      </c>
      <c r="B521" t="s">
        <v>19</v>
      </c>
      <c r="C521">
        <v>31161805</v>
      </c>
      <c r="D521" t="s">
        <v>48</v>
      </c>
      <c r="E521" t="s">
        <v>50</v>
      </c>
      <c r="F521" s="4">
        <v>41312</v>
      </c>
      <c r="G521" s="4">
        <v>41369</v>
      </c>
      <c r="H521" t="s">
        <v>45</v>
      </c>
      <c r="I521" t="s">
        <v>47</v>
      </c>
      <c r="J521" t="s">
        <v>15</v>
      </c>
      <c r="K521">
        <v>0</v>
      </c>
    </row>
    <row r="522" spans="1:11" x14ac:dyDescent="0.25">
      <c r="A522" t="s">
        <v>17</v>
      </c>
      <c r="B522" t="s">
        <v>20</v>
      </c>
      <c r="C522">
        <v>10225850</v>
      </c>
      <c r="D522" t="s">
        <v>48</v>
      </c>
      <c r="E522" t="s">
        <v>44</v>
      </c>
      <c r="F522" s="4">
        <v>41335</v>
      </c>
      <c r="G522" s="4">
        <v>41354</v>
      </c>
      <c r="H522" t="s">
        <v>45</v>
      </c>
      <c r="I522" t="s">
        <v>46</v>
      </c>
      <c r="J522" t="s">
        <v>6</v>
      </c>
      <c r="K522">
        <v>1</v>
      </c>
    </row>
    <row r="523" spans="1:11" x14ac:dyDescent="0.25">
      <c r="A523" t="s">
        <v>17</v>
      </c>
      <c r="B523" t="s">
        <v>20</v>
      </c>
      <c r="C523">
        <v>10225850</v>
      </c>
      <c r="D523" t="s">
        <v>48</v>
      </c>
      <c r="E523" t="s">
        <v>44</v>
      </c>
      <c r="F523" s="4">
        <v>41335</v>
      </c>
      <c r="G523" s="4">
        <v>41354</v>
      </c>
      <c r="H523" t="s">
        <v>45</v>
      </c>
      <c r="I523" t="s">
        <v>46</v>
      </c>
      <c r="J523" t="s">
        <v>7</v>
      </c>
      <c r="K523">
        <v>2</v>
      </c>
    </row>
    <row r="524" spans="1:11" x14ac:dyDescent="0.25">
      <c r="A524" t="s">
        <v>17</v>
      </c>
      <c r="B524" t="s">
        <v>20</v>
      </c>
      <c r="C524">
        <v>10225850</v>
      </c>
      <c r="D524" t="s">
        <v>48</v>
      </c>
      <c r="E524" t="s">
        <v>44</v>
      </c>
      <c r="F524" s="4">
        <v>41335</v>
      </c>
      <c r="G524" s="4">
        <v>41354</v>
      </c>
      <c r="H524" t="s">
        <v>45</v>
      </c>
      <c r="I524" t="s">
        <v>46</v>
      </c>
      <c r="J524" t="s">
        <v>8</v>
      </c>
      <c r="K524">
        <v>0</v>
      </c>
    </row>
    <row r="525" spans="1:11" x14ac:dyDescent="0.25">
      <c r="A525" t="s">
        <v>17</v>
      </c>
      <c r="B525" t="s">
        <v>20</v>
      </c>
      <c r="C525">
        <v>10225850</v>
      </c>
      <c r="D525" t="s">
        <v>48</v>
      </c>
      <c r="E525" t="s">
        <v>44</v>
      </c>
      <c r="F525" s="4">
        <v>41335</v>
      </c>
      <c r="G525" s="4">
        <v>41354</v>
      </c>
      <c r="H525" t="s">
        <v>45</v>
      </c>
      <c r="I525" t="s">
        <v>46</v>
      </c>
      <c r="J525" t="s">
        <v>9</v>
      </c>
      <c r="K525">
        <v>0</v>
      </c>
    </row>
    <row r="526" spans="1:11" x14ac:dyDescent="0.25">
      <c r="A526" t="s">
        <v>17</v>
      </c>
      <c r="B526" t="s">
        <v>20</v>
      </c>
      <c r="C526">
        <v>10225850</v>
      </c>
      <c r="D526" t="s">
        <v>48</v>
      </c>
      <c r="E526" t="s">
        <v>44</v>
      </c>
      <c r="F526" s="4">
        <v>41335</v>
      </c>
      <c r="G526" s="4">
        <v>41354</v>
      </c>
      <c r="H526" t="s">
        <v>45</v>
      </c>
      <c r="I526" t="s">
        <v>46</v>
      </c>
      <c r="J526" t="s">
        <v>10</v>
      </c>
      <c r="K526">
        <v>2</v>
      </c>
    </row>
    <row r="527" spans="1:11" x14ac:dyDescent="0.25">
      <c r="A527" t="s">
        <v>17</v>
      </c>
      <c r="B527" t="s">
        <v>20</v>
      </c>
      <c r="C527">
        <v>10225850</v>
      </c>
      <c r="D527" t="s">
        <v>48</v>
      </c>
      <c r="E527" t="s">
        <v>44</v>
      </c>
      <c r="F527" s="4">
        <v>41335</v>
      </c>
      <c r="G527" s="4">
        <v>41354</v>
      </c>
      <c r="H527" t="s">
        <v>45</v>
      </c>
      <c r="I527" t="s">
        <v>46</v>
      </c>
      <c r="J527" t="s">
        <v>11</v>
      </c>
      <c r="K527">
        <v>1</v>
      </c>
    </row>
    <row r="528" spans="1:11" x14ac:dyDescent="0.25">
      <c r="A528" t="s">
        <v>17</v>
      </c>
      <c r="B528" t="s">
        <v>20</v>
      </c>
      <c r="C528">
        <v>10225850</v>
      </c>
      <c r="D528" t="s">
        <v>48</v>
      </c>
      <c r="E528" t="s">
        <v>44</v>
      </c>
      <c r="F528" s="4">
        <v>41335</v>
      </c>
      <c r="G528" s="4">
        <v>41354</v>
      </c>
      <c r="H528" t="s">
        <v>45</v>
      </c>
      <c r="I528" t="s">
        <v>46</v>
      </c>
      <c r="J528" t="s">
        <v>12</v>
      </c>
      <c r="K528">
        <v>2</v>
      </c>
    </row>
    <row r="529" spans="1:11" x14ac:dyDescent="0.25">
      <c r="A529" t="s">
        <v>17</v>
      </c>
      <c r="B529" t="s">
        <v>20</v>
      </c>
      <c r="C529">
        <v>10225850</v>
      </c>
      <c r="D529" t="s">
        <v>48</v>
      </c>
      <c r="E529" t="s">
        <v>44</v>
      </c>
      <c r="F529" s="4">
        <v>41335</v>
      </c>
      <c r="G529" s="4">
        <v>41354</v>
      </c>
      <c r="H529" t="s">
        <v>45</v>
      </c>
      <c r="I529" t="s">
        <v>46</v>
      </c>
      <c r="J529" t="s">
        <v>13</v>
      </c>
      <c r="K529">
        <v>0</v>
      </c>
    </row>
    <row r="530" spans="1:11" x14ac:dyDescent="0.25">
      <c r="A530" t="s">
        <v>17</v>
      </c>
      <c r="B530" t="s">
        <v>20</v>
      </c>
      <c r="C530">
        <v>10225850</v>
      </c>
      <c r="D530" t="s">
        <v>48</v>
      </c>
      <c r="E530" t="s">
        <v>44</v>
      </c>
      <c r="F530" s="4">
        <v>41335</v>
      </c>
      <c r="G530" s="4">
        <v>41354</v>
      </c>
      <c r="H530" t="s">
        <v>45</v>
      </c>
      <c r="I530" t="s">
        <v>46</v>
      </c>
      <c r="J530" t="s">
        <v>14</v>
      </c>
      <c r="K530">
        <v>1</v>
      </c>
    </row>
    <row r="531" spans="1:11" x14ac:dyDescent="0.25">
      <c r="A531" t="s">
        <v>17</v>
      </c>
      <c r="B531" t="s">
        <v>20</v>
      </c>
      <c r="C531">
        <v>10225850</v>
      </c>
      <c r="D531" t="s">
        <v>48</v>
      </c>
      <c r="E531" t="s">
        <v>44</v>
      </c>
      <c r="F531" s="4">
        <v>41335</v>
      </c>
      <c r="G531" s="4">
        <v>41354</v>
      </c>
      <c r="H531" t="s">
        <v>45</v>
      </c>
      <c r="I531" t="s">
        <v>46</v>
      </c>
      <c r="J531" t="s">
        <v>15</v>
      </c>
      <c r="K531">
        <v>1</v>
      </c>
    </row>
    <row r="532" spans="1:11" x14ac:dyDescent="0.25">
      <c r="A532" t="s">
        <v>17</v>
      </c>
      <c r="B532" t="s">
        <v>21</v>
      </c>
      <c r="C532">
        <v>10225850</v>
      </c>
      <c r="D532" t="s">
        <v>48</v>
      </c>
      <c r="E532" t="s">
        <v>44</v>
      </c>
      <c r="F532" s="4">
        <v>41335</v>
      </c>
      <c r="G532" s="4">
        <v>41433</v>
      </c>
      <c r="H532" t="s">
        <v>45</v>
      </c>
      <c r="I532" t="s">
        <v>47</v>
      </c>
      <c r="J532" t="s">
        <v>6</v>
      </c>
      <c r="K532">
        <v>3</v>
      </c>
    </row>
    <row r="533" spans="1:11" x14ac:dyDescent="0.25">
      <c r="A533" t="s">
        <v>17</v>
      </c>
      <c r="B533" t="s">
        <v>21</v>
      </c>
      <c r="C533">
        <v>10225850</v>
      </c>
      <c r="D533" t="s">
        <v>48</v>
      </c>
      <c r="E533" t="s">
        <v>44</v>
      </c>
      <c r="F533" s="4">
        <v>41335</v>
      </c>
      <c r="G533" s="4">
        <v>41433</v>
      </c>
      <c r="H533" t="s">
        <v>45</v>
      </c>
      <c r="I533" t="s">
        <v>47</v>
      </c>
      <c r="J533" t="s">
        <v>7</v>
      </c>
      <c r="K533">
        <v>1</v>
      </c>
    </row>
    <row r="534" spans="1:11" x14ac:dyDescent="0.25">
      <c r="A534" t="s">
        <v>17</v>
      </c>
      <c r="B534" t="s">
        <v>21</v>
      </c>
      <c r="C534">
        <v>10225850</v>
      </c>
      <c r="D534" t="s">
        <v>48</v>
      </c>
      <c r="E534" t="s">
        <v>44</v>
      </c>
      <c r="F534" s="4">
        <v>41335</v>
      </c>
      <c r="G534" s="4">
        <v>41433</v>
      </c>
      <c r="H534" t="s">
        <v>45</v>
      </c>
      <c r="I534" t="s">
        <v>47</v>
      </c>
      <c r="J534" t="s">
        <v>8</v>
      </c>
      <c r="K534">
        <v>3</v>
      </c>
    </row>
    <row r="535" spans="1:11" x14ac:dyDescent="0.25">
      <c r="A535" t="s">
        <v>17</v>
      </c>
      <c r="B535" t="s">
        <v>21</v>
      </c>
      <c r="C535">
        <v>10225850</v>
      </c>
      <c r="D535" t="s">
        <v>48</v>
      </c>
      <c r="E535" t="s">
        <v>44</v>
      </c>
      <c r="F535" s="4">
        <v>41335</v>
      </c>
      <c r="G535" s="4">
        <v>41433</v>
      </c>
      <c r="H535" t="s">
        <v>45</v>
      </c>
      <c r="I535" t="s">
        <v>47</v>
      </c>
      <c r="J535" t="s">
        <v>9</v>
      </c>
      <c r="K535">
        <v>0</v>
      </c>
    </row>
    <row r="536" spans="1:11" x14ac:dyDescent="0.25">
      <c r="A536" t="s">
        <v>17</v>
      </c>
      <c r="B536" t="s">
        <v>21</v>
      </c>
      <c r="C536">
        <v>10225850</v>
      </c>
      <c r="D536" t="s">
        <v>48</v>
      </c>
      <c r="E536" t="s">
        <v>44</v>
      </c>
      <c r="F536" s="4">
        <v>41335</v>
      </c>
      <c r="G536" s="4">
        <v>41433</v>
      </c>
      <c r="H536" t="s">
        <v>45</v>
      </c>
      <c r="I536" t="s">
        <v>47</v>
      </c>
      <c r="J536" t="s">
        <v>10</v>
      </c>
      <c r="K536">
        <v>2</v>
      </c>
    </row>
    <row r="537" spans="1:11" x14ac:dyDescent="0.25">
      <c r="A537" t="s">
        <v>17</v>
      </c>
      <c r="B537" t="s">
        <v>21</v>
      </c>
      <c r="C537">
        <v>10225850</v>
      </c>
      <c r="D537" t="s">
        <v>48</v>
      </c>
      <c r="E537" t="s">
        <v>44</v>
      </c>
      <c r="F537" s="4">
        <v>41335</v>
      </c>
      <c r="G537" s="4">
        <v>41433</v>
      </c>
      <c r="H537" t="s">
        <v>45</v>
      </c>
      <c r="I537" t="s">
        <v>47</v>
      </c>
      <c r="J537" t="s">
        <v>11</v>
      </c>
      <c r="K537">
        <v>1</v>
      </c>
    </row>
    <row r="538" spans="1:11" x14ac:dyDescent="0.25">
      <c r="A538" t="s">
        <v>17</v>
      </c>
      <c r="B538" t="s">
        <v>21</v>
      </c>
      <c r="C538">
        <v>10225850</v>
      </c>
      <c r="D538" t="s">
        <v>48</v>
      </c>
      <c r="E538" t="s">
        <v>44</v>
      </c>
      <c r="F538" s="4">
        <v>41335</v>
      </c>
      <c r="G538" s="4">
        <v>41433</v>
      </c>
      <c r="H538" t="s">
        <v>45</v>
      </c>
      <c r="I538" t="s">
        <v>47</v>
      </c>
      <c r="J538" t="s">
        <v>12</v>
      </c>
      <c r="K538">
        <v>0</v>
      </c>
    </row>
    <row r="539" spans="1:11" x14ac:dyDescent="0.25">
      <c r="A539" t="s">
        <v>17</v>
      </c>
      <c r="B539" t="s">
        <v>21</v>
      </c>
      <c r="C539">
        <v>10225850</v>
      </c>
      <c r="D539" t="s">
        <v>48</v>
      </c>
      <c r="E539" t="s">
        <v>44</v>
      </c>
      <c r="F539" s="4">
        <v>41335</v>
      </c>
      <c r="G539" s="4">
        <v>41433</v>
      </c>
      <c r="H539" t="s">
        <v>45</v>
      </c>
      <c r="I539" t="s">
        <v>47</v>
      </c>
      <c r="J539" t="s">
        <v>13</v>
      </c>
      <c r="K539">
        <v>1</v>
      </c>
    </row>
    <row r="540" spans="1:11" x14ac:dyDescent="0.25">
      <c r="A540" t="s">
        <v>17</v>
      </c>
      <c r="B540" t="s">
        <v>21</v>
      </c>
      <c r="C540">
        <v>10225850</v>
      </c>
      <c r="D540" t="s">
        <v>48</v>
      </c>
      <c r="E540" t="s">
        <v>44</v>
      </c>
      <c r="F540" s="4">
        <v>41335</v>
      </c>
      <c r="G540" s="4">
        <v>41433</v>
      </c>
      <c r="H540" t="s">
        <v>45</v>
      </c>
      <c r="I540" t="s">
        <v>47</v>
      </c>
      <c r="J540" t="s">
        <v>14</v>
      </c>
      <c r="K540">
        <v>2</v>
      </c>
    </row>
    <row r="541" spans="1:11" x14ac:dyDescent="0.25">
      <c r="A541" t="s">
        <v>17</v>
      </c>
      <c r="B541" t="s">
        <v>21</v>
      </c>
      <c r="C541">
        <v>10225850</v>
      </c>
      <c r="D541" t="s">
        <v>48</v>
      </c>
      <c r="E541" t="s">
        <v>44</v>
      </c>
      <c r="F541" s="4">
        <v>41335</v>
      </c>
      <c r="G541" s="4">
        <v>41433</v>
      </c>
      <c r="H541" t="s">
        <v>45</v>
      </c>
      <c r="I541" t="s">
        <v>47</v>
      </c>
      <c r="J541" t="s">
        <v>15</v>
      </c>
      <c r="K541">
        <v>1</v>
      </c>
    </row>
    <row r="542" spans="1:11" x14ac:dyDescent="0.25">
      <c r="A542" t="s">
        <v>17</v>
      </c>
      <c r="B542" t="s">
        <v>19</v>
      </c>
      <c r="C542">
        <v>10225850</v>
      </c>
      <c r="D542" t="s">
        <v>48</v>
      </c>
      <c r="E542" t="s">
        <v>44</v>
      </c>
      <c r="F542" s="4">
        <v>41335</v>
      </c>
      <c r="G542" s="4">
        <v>41479</v>
      </c>
      <c r="H542" t="s">
        <v>45</v>
      </c>
      <c r="I542" t="s">
        <v>47</v>
      </c>
      <c r="J542" t="s">
        <v>6</v>
      </c>
      <c r="K542">
        <v>3</v>
      </c>
    </row>
    <row r="543" spans="1:11" x14ac:dyDescent="0.25">
      <c r="A543" t="s">
        <v>17</v>
      </c>
      <c r="B543" t="s">
        <v>19</v>
      </c>
      <c r="C543">
        <v>10225850</v>
      </c>
      <c r="D543" t="s">
        <v>48</v>
      </c>
      <c r="E543" t="s">
        <v>44</v>
      </c>
      <c r="F543" s="4">
        <v>41335</v>
      </c>
      <c r="G543" s="4">
        <v>41479</v>
      </c>
      <c r="H543" t="s">
        <v>45</v>
      </c>
      <c r="I543" t="s">
        <v>47</v>
      </c>
      <c r="J543" t="s">
        <v>7</v>
      </c>
      <c r="K543">
        <v>0</v>
      </c>
    </row>
    <row r="544" spans="1:11" x14ac:dyDescent="0.25">
      <c r="A544" t="s">
        <v>17</v>
      </c>
      <c r="B544" t="s">
        <v>19</v>
      </c>
      <c r="C544">
        <v>10225850</v>
      </c>
      <c r="D544" t="s">
        <v>48</v>
      </c>
      <c r="E544" t="s">
        <v>44</v>
      </c>
      <c r="F544" s="4">
        <v>41335</v>
      </c>
      <c r="G544" s="4">
        <v>41479</v>
      </c>
      <c r="H544" t="s">
        <v>45</v>
      </c>
      <c r="I544" t="s">
        <v>47</v>
      </c>
      <c r="J544" t="s">
        <v>8</v>
      </c>
      <c r="K544">
        <v>3</v>
      </c>
    </row>
    <row r="545" spans="1:11" x14ac:dyDescent="0.25">
      <c r="A545" t="s">
        <v>17</v>
      </c>
      <c r="B545" t="s">
        <v>19</v>
      </c>
      <c r="C545">
        <v>10225850</v>
      </c>
      <c r="D545" t="s">
        <v>48</v>
      </c>
      <c r="E545" t="s">
        <v>44</v>
      </c>
      <c r="F545" s="4">
        <v>41335</v>
      </c>
      <c r="G545" s="4">
        <v>41479</v>
      </c>
      <c r="H545" t="s">
        <v>45</v>
      </c>
      <c r="I545" t="s">
        <v>47</v>
      </c>
      <c r="J545" t="s">
        <v>9</v>
      </c>
      <c r="K545">
        <v>3</v>
      </c>
    </row>
    <row r="546" spans="1:11" x14ac:dyDescent="0.25">
      <c r="A546" t="s">
        <v>17</v>
      </c>
      <c r="B546" t="s">
        <v>19</v>
      </c>
      <c r="C546">
        <v>10225850</v>
      </c>
      <c r="D546" t="s">
        <v>48</v>
      </c>
      <c r="E546" t="s">
        <v>44</v>
      </c>
      <c r="F546" s="4">
        <v>41335</v>
      </c>
      <c r="G546" s="4">
        <v>41479</v>
      </c>
      <c r="H546" t="s">
        <v>45</v>
      </c>
      <c r="I546" t="s">
        <v>47</v>
      </c>
      <c r="J546" t="s">
        <v>10</v>
      </c>
      <c r="K546">
        <v>2</v>
      </c>
    </row>
    <row r="547" spans="1:11" x14ac:dyDescent="0.25">
      <c r="A547" t="s">
        <v>17</v>
      </c>
      <c r="B547" t="s">
        <v>19</v>
      </c>
      <c r="C547">
        <v>10225850</v>
      </c>
      <c r="D547" t="s">
        <v>48</v>
      </c>
      <c r="E547" t="s">
        <v>44</v>
      </c>
      <c r="F547" s="4">
        <v>41335</v>
      </c>
      <c r="G547" s="4">
        <v>41479</v>
      </c>
      <c r="H547" t="s">
        <v>45</v>
      </c>
      <c r="I547" t="s">
        <v>47</v>
      </c>
      <c r="J547" t="s">
        <v>11</v>
      </c>
      <c r="K547">
        <v>1</v>
      </c>
    </row>
    <row r="548" spans="1:11" x14ac:dyDescent="0.25">
      <c r="A548" t="s">
        <v>17</v>
      </c>
      <c r="B548" t="s">
        <v>19</v>
      </c>
      <c r="C548">
        <v>10225850</v>
      </c>
      <c r="D548" t="s">
        <v>48</v>
      </c>
      <c r="E548" t="s">
        <v>44</v>
      </c>
      <c r="F548" s="4">
        <v>41335</v>
      </c>
      <c r="G548" s="4">
        <v>41479</v>
      </c>
      <c r="H548" t="s">
        <v>45</v>
      </c>
      <c r="I548" t="s">
        <v>47</v>
      </c>
      <c r="J548" t="s">
        <v>12</v>
      </c>
      <c r="K548">
        <v>1</v>
      </c>
    </row>
    <row r="549" spans="1:11" x14ac:dyDescent="0.25">
      <c r="A549" t="s">
        <v>17</v>
      </c>
      <c r="B549" t="s">
        <v>19</v>
      </c>
      <c r="C549">
        <v>10225850</v>
      </c>
      <c r="D549" t="s">
        <v>48</v>
      </c>
      <c r="E549" t="s">
        <v>44</v>
      </c>
      <c r="F549" s="4">
        <v>41335</v>
      </c>
      <c r="G549" s="4">
        <v>41479</v>
      </c>
      <c r="H549" t="s">
        <v>45</v>
      </c>
      <c r="I549" t="s">
        <v>47</v>
      </c>
      <c r="J549" t="s">
        <v>13</v>
      </c>
      <c r="K549">
        <v>1</v>
      </c>
    </row>
    <row r="550" spans="1:11" x14ac:dyDescent="0.25">
      <c r="A550" t="s">
        <v>17</v>
      </c>
      <c r="B550" t="s">
        <v>19</v>
      </c>
      <c r="C550">
        <v>10225850</v>
      </c>
      <c r="D550" t="s">
        <v>48</v>
      </c>
      <c r="E550" t="s">
        <v>44</v>
      </c>
      <c r="F550" s="4">
        <v>41335</v>
      </c>
      <c r="G550" s="4">
        <v>41479</v>
      </c>
      <c r="H550" t="s">
        <v>45</v>
      </c>
      <c r="I550" t="s">
        <v>47</v>
      </c>
      <c r="J550" t="s">
        <v>14</v>
      </c>
      <c r="K550">
        <v>1</v>
      </c>
    </row>
    <row r="551" spans="1:11" x14ac:dyDescent="0.25">
      <c r="A551" t="s">
        <v>17</v>
      </c>
      <c r="B551" t="s">
        <v>19</v>
      </c>
      <c r="C551">
        <v>10225850</v>
      </c>
      <c r="D551" t="s">
        <v>48</v>
      </c>
      <c r="E551" t="s">
        <v>44</v>
      </c>
      <c r="F551" s="4">
        <v>41335</v>
      </c>
      <c r="G551" s="4">
        <v>41479</v>
      </c>
      <c r="H551" t="s">
        <v>45</v>
      </c>
      <c r="I551" t="s">
        <v>47</v>
      </c>
      <c r="J551" t="s">
        <v>15</v>
      </c>
      <c r="K551">
        <v>1</v>
      </c>
    </row>
    <row r="552" spans="1:11" x14ac:dyDescent="0.25">
      <c r="A552" t="s">
        <v>17</v>
      </c>
      <c r="B552" t="s">
        <v>20</v>
      </c>
      <c r="C552">
        <v>48451617</v>
      </c>
      <c r="D552" t="s">
        <v>48</v>
      </c>
      <c r="E552" t="s">
        <v>44</v>
      </c>
      <c r="F552" s="4">
        <v>41446</v>
      </c>
      <c r="G552" s="4">
        <v>41471</v>
      </c>
      <c r="H552" t="s">
        <v>45</v>
      </c>
      <c r="I552" t="s">
        <v>46</v>
      </c>
      <c r="J552" t="s">
        <v>6</v>
      </c>
      <c r="K552">
        <v>0</v>
      </c>
    </row>
    <row r="553" spans="1:11" x14ac:dyDescent="0.25">
      <c r="A553" t="s">
        <v>17</v>
      </c>
      <c r="B553" t="s">
        <v>20</v>
      </c>
      <c r="C553">
        <v>48451617</v>
      </c>
      <c r="D553" t="s">
        <v>48</v>
      </c>
      <c r="E553" t="s">
        <v>44</v>
      </c>
      <c r="F553" s="4">
        <v>41446</v>
      </c>
      <c r="G553" s="4">
        <v>41471</v>
      </c>
      <c r="H553" t="s">
        <v>45</v>
      </c>
      <c r="I553" t="s">
        <v>46</v>
      </c>
      <c r="J553" t="s">
        <v>7</v>
      </c>
      <c r="K553">
        <v>2</v>
      </c>
    </row>
    <row r="554" spans="1:11" x14ac:dyDescent="0.25">
      <c r="A554" t="s">
        <v>17</v>
      </c>
      <c r="B554" t="s">
        <v>20</v>
      </c>
      <c r="C554">
        <v>48451617</v>
      </c>
      <c r="D554" t="s">
        <v>48</v>
      </c>
      <c r="E554" t="s">
        <v>44</v>
      </c>
      <c r="F554" s="4">
        <v>41446</v>
      </c>
      <c r="G554" s="4">
        <v>41471</v>
      </c>
      <c r="H554" t="s">
        <v>45</v>
      </c>
      <c r="I554" t="s">
        <v>46</v>
      </c>
      <c r="J554" t="s">
        <v>8</v>
      </c>
      <c r="K554">
        <v>1</v>
      </c>
    </row>
    <row r="555" spans="1:11" x14ac:dyDescent="0.25">
      <c r="A555" t="s">
        <v>17</v>
      </c>
      <c r="B555" t="s">
        <v>20</v>
      </c>
      <c r="C555">
        <v>48451617</v>
      </c>
      <c r="D555" t="s">
        <v>48</v>
      </c>
      <c r="E555" t="s">
        <v>44</v>
      </c>
      <c r="F555" s="4">
        <v>41446</v>
      </c>
      <c r="G555" s="4">
        <v>41471</v>
      </c>
      <c r="H555" t="s">
        <v>45</v>
      </c>
      <c r="I555" t="s">
        <v>46</v>
      </c>
      <c r="J555" t="s">
        <v>9</v>
      </c>
      <c r="K555">
        <v>1</v>
      </c>
    </row>
    <row r="556" spans="1:11" x14ac:dyDescent="0.25">
      <c r="A556" t="s">
        <v>17</v>
      </c>
      <c r="B556" t="s">
        <v>20</v>
      </c>
      <c r="C556">
        <v>48451617</v>
      </c>
      <c r="D556" t="s">
        <v>48</v>
      </c>
      <c r="E556" t="s">
        <v>44</v>
      </c>
      <c r="F556" s="4">
        <v>41446</v>
      </c>
      <c r="G556" s="4">
        <v>41471</v>
      </c>
      <c r="H556" t="s">
        <v>45</v>
      </c>
      <c r="I556" t="s">
        <v>46</v>
      </c>
      <c r="J556" t="s">
        <v>10</v>
      </c>
      <c r="K556">
        <v>3</v>
      </c>
    </row>
    <row r="557" spans="1:11" x14ac:dyDescent="0.25">
      <c r="A557" t="s">
        <v>17</v>
      </c>
      <c r="B557" t="s">
        <v>20</v>
      </c>
      <c r="C557">
        <v>48451617</v>
      </c>
      <c r="D557" t="s">
        <v>48</v>
      </c>
      <c r="E557" t="s">
        <v>44</v>
      </c>
      <c r="F557" s="4">
        <v>41446</v>
      </c>
      <c r="G557" s="4">
        <v>41471</v>
      </c>
      <c r="H557" t="s">
        <v>45</v>
      </c>
      <c r="I557" t="s">
        <v>46</v>
      </c>
      <c r="J557" t="s">
        <v>11</v>
      </c>
      <c r="K557">
        <v>1</v>
      </c>
    </row>
    <row r="558" spans="1:11" x14ac:dyDescent="0.25">
      <c r="A558" t="s">
        <v>17</v>
      </c>
      <c r="B558" t="s">
        <v>20</v>
      </c>
      <c r="C558">
        <v>48451617</v>
      </c>
      <c r="D558" t="s">
        <v>48</v>
      </c>
      <c r="E558" t="s">
        <v>44</v>
      </c>
      <c r="F558" s="4">
        <v>41446</v>
      </c>
      <c r="G558" s="4">
        <v>41471</v>
      </c>
      <c r="H558" t="s">
        <v>45</v>
      </c>
      <c r="I558" t="s">
        <v>46</v>
      </c>
      <c r="J558" t="s">
        <v>12</v>
      </c>
      <c r="K558">
        <v>0</v>
      </c>
    </row>
    <row r="559" spans="1:11" x14ac:dyDescent="0.25">
      <c r="A559" t="s">
        <v>17</v>
      </c>
      <c r="B559" t="s">
        <v>20</v>
      </c>
      <c r="C559">
        <v>48451617</v>
      </c>
      <c r="D559" t="s">
        <v>48</v>
      </c>
      <c r="E559" t="s">
        <v>44</v>
      </c>
      <c r="F559" s="4">
        <v>41446</v>
      </c>
      <c r="G559" s="4">
        <v>41471</v>
      </c>
      <c r="H559" t="s">
        <v>45</v>
      </c>
      <c r="I559" t="s">
        <v>46</v>
      </c>
      <c r="J559" t="s">
        <v>13</v>
      </c>
      <c r="K559">
        <v>2</v>
      </c>
    </row>
    <row r="560" spans="1:11" x14ac:dyDescent="0.25">
      <c r="A560" t="s">
        <v>17</v>
      </c>
      <c r="B560" t="s">
        <v>20</v>
      </c>
      <c r="C560">
        <v>48451617</v>
      </c>
      <c r="D560" t="s">
        <v>48</v>
      </c>
      <c r="E560" t="s">
        <v>44</v>
      </c>
      <c r="F560" s="4">
        <v>41446</v>
      </c>
      <c r="G560" s="4">
        <v>41471</v>
      </c>
      <c r="H560" t="s">
        <v>45</v>
      </c>
      <c r="I560" t="s">
        <v>46</v>
      </c>
      <c r="J560" t="s">
        <v>14</v>
      </c>
      <c r="K560">
        <v>1</v>
      </c>
    </row>
    <row r="561" spans="1:11" x14ac:dyDescent="0.25">
      <c r="A561" t="s">
        <v>17</v>
      </c>
      <c r="B561" t="s">
        <v>20</v>
      </c>
      <c r="C561">
        <v>48451617</v>
      </c>
      <c r="D561" t="s">
        <v>48</v>
      </c>
      <c r="E561" t="s">
        <v>44</v>
      </c>
      <c r="F561" s="4">
        <v>41446</v>
      </c>
      <c r="G561" s="4">
        <v>41471</v>
      </c>
      <c r="H561" t="s">
        <v>45</v>
      </c>
      <c r="I561" t="s">
        <v>46</v>
      </c>
      <c r="J561" t="s">
        <v>15</v>
      </c>
      <c r="K561">
        <v>1</v>
      </c>
    </row>
    <row r="562" spans="1:11" x14ac:dyDescent="0.25">
      <c r="A562" t="s">
        <v>17</v>
      </c>
      <c r="B562" t="s">
        <v>21</v>
      </c>
      <c r="C562">
        <v>48451617</v>
      </c>
      <c r="D562" t="s">
        <v>48</v>
      </c>
      <c r="E562" t="s">
        <v>44</v>
      </c>
      <c r="F562" s="4">
        <v>41446</v>
      </c>
      <c r="G562" s="4">
        <v>41580</v>
      </c>
      <c r="H562" t="s">
        <v>45</v>
      </c>
      <c r="I562" t="s">
        <v>47</v>
      </c>
      <c r="J562" t="s">
        <v>6</v>
      </c>
      <c r="K562">
        <v>0</v>
      </c>
    </row>
    <row r="563" spans="1:11" x14ac:dyDescent="0.25">
      <c r="A563" t="s">
        <v>17</v>
      </c>
      <c r="B563" t="s">
        <v>21</v>
      </c>
      <c r="C563">
        <v>48451617</v>
      </c>
      <c r="D563" t="s">
        <v>48</v>
      </c>
      <c r="E563" t="s">
        <v>44</v>
      </c>
      <c r="F563" s="4">
        <v>41446</v>
      </c>
      <c r="G563" s="4">
        <v>41580</v>
      </c>
      <c r="H563" t="s">
        <v>45</v>
      </c>
      <c r="I563" t="s">
        <v>47</v>
      </c>
      <c r="J563" t="s">
        <v>7</v>
      </c>
      <c r="K563">
        <v>2</v>
      </c>
    </row>
    <row r="564" spans="1:11" x14ac:dyDescent="0.25">
      <c r="A564" t="s">
        <v>17</v>
      </c>
      <c r="B564" t="s">
        <v>21</v>
      </c>
      <c r="C564">
        <v>48451617</v>
      </c>
      <c r="D564" t="s">
        <v>48</v>
      </c>
      <c r="E564" t="s">
        <v>44</v>
      </c>
      <c r="F564" s="4">
        <v>41446</v>
      </c>
      <c r="G564" s="4">
        <v>41580</v>
      </c>
      <c r="H564" t="s">
        <v>45</v>
      </c>
      <c r="I564" t="s">
        <v>47</v>
      </c>
      <c r="J564" t="s">
        <v>8</v>
      </c>
      <c r="K564">
        <v>1</v>
      </c>
    </row>
    <row r="565" spans="1:11" x14ac:dyDescent="0.25">
      <c r="A565" t="s">
        <v>17</v>
      </c>
      <c r="B565" t="s">
        <v>21</v>
      </c>
      <c r="C565">
        <v>48451617</v>
      </c>
      <c r="D565" t="s">
        <v>48</v>
      </c>
      <c r="E565" t="s">
        <v>44</v>
      </c>
      <c r="F565" s="4">
        <v>41446</v>
      </c>
      <c r="G565" s="4">
        <v>41580</v>
      </c>
      <c r="H565" t="s">
        <v>45</v>
      </c>
      <c r="I565" t="s">
        <v>47</v>
      </c>
      <c r="J565" t="s">
        <v>9</v>
      </c>
      <c r="K565">
        <v>1</v>
      </c>
    </row>
    <row r="566" spans="1:11" x14ac:dyDescent="0.25">
      <c r="A566" t="s">
        <v>17</v>
      </c>
      <c r="B566" t="s">
        <v>21</v>
      </c>
      <c r="C566">
        <v>48451617</v>
      </c>
      <c r="D566" t="s">
        <v>48</v>
      </c>
      <c r="E566" t="s">
        <v>44</v>
      </c>
      <c r="F566" s="4">
        <v>41446</v>
      </c>
      <c r="G566" s="4">
        <v>41580</v>
      </c>
      <c r="H566" t="s">
        <v>45</v>
      </c>
      <c r="I566" t="s">
        <v>47</v>
      </c>
      <c r="J566" t="s">
        <v>10</v>
      </c>
      <c r="K566">
        <v>1</v>
      </c>
    </row>
    <row r="567" spans="1:11" x14ac:dyDescent="0.25">
      <c r="A567" t="s">
        <v>17</v>
      </c>
      <c r="B567" t="s">
        <v>21</v>
      </c>
      <c r="C567">
        <v>48451617</v>
      </c>
      <c r="D567" t="s">
        <v>48</v>
      </c>
      <c r="E567" t="s">
        <v>44</v>
      </c>
      <c r="F567" s="4">
        <v>41446</v>
      </c>
      <c r="G567" s="4">
        <v>41580</v>
      </c>
      <c r="H567" t="s">
        <v>45</v>
      </c>
      <c r="I567" t="s">
        <v>47</v>
      </c>
      <c r="J567" t="s">
        <v>11</v>
      </c>
      <c r="K567">
        <v>0</v>
      </c>
    </row>
    <row r="568" spans="1:11" x14ac:dyDescent="0.25">
      <c r="A568" t="s">
        <v>17</v>
      </c>
      <c r="B568" t="s">
        <v>21</v>
      </c>
      <c r="C568">
        <v>48451617</v>
      </c>
      <c r="D568" t="s">
        <v>48</v>
      </c>
      <c r="E568" t="s">
        <v>44</v>
      </c>
      <c r="F568" s="4">
        <v>41446</v>
      </c>
      <c r="G568" s="4">
        <v>41580</v>
      </c>
      <c r="H568" t="s">
        <v>45</v>
      </c>
      <c r="I568" t="s">
        <v>47</v>
      </c>
      <c r="J568" t="s">
        <v>12</v>
      </c>
      <c r="K568">
        <v>3</v>
      </c>
    </row>
    <row r="569" spans="1:11" x14ac:dyDescent="0.25">
      <c r="A569" t="s">
        <v>17</v>
      </c>
      <c r="B569" t="s">
        <v>21</v>
      </c>
      <c r="C569">
        <v>48451617</v>
      </c>
      <c r="D569" t="s">
        <v>48</v>
      </c>
      <c r="E569" t="s">
        <v>44</v>
      </c>
      <c r="F569" s="4">
        <v>41446</v>
      </c>
      <c r="G569" s="4">
        <v>41580</v>
      </c>
      <c r="H569" t="s">
        <v>45</v>
      </c>
      <c r="I569" t="s">
        <v>47</v>
      </c>
      <c r="J569" t="s">
        <v>13</v>
      </c>
      <c r="K569">
        <v>0</v>
      </c>
    </row>
    <row r="570" spans="1:11" x14ac:dyDescent="0.25">
      <c r="A570" t="s">
        <v>17</v>
      </c>
      <c r="B570" t="s">
        <v>21</v>
      </c>
      <c r="C570">
        <v>48451617</v>
      </c>
      <c r="D570" t="s">
        <v>48</v>
      </c>
      <c r="E570" t="s">
        <v>44</v>
      </c>
      <c r="F570" s="4">
        <v>41446</v>
      </c>
      <c r="G570" s="4">
        <v>41580</v>
      </c>
      <c r="H570" t="s">
        <v>45</v>
      </c>
      <c r="I570" t="s">
        <v>47</v>
      </c>
      <c r="J570" t="s">
        <v>14</v>
      </c>
      <c r="K570">
        <v>1</v>
      </c>
    </row>
    <row r="571" spans="1:11" x14ac:dyDescent="0.25">
      <c r="A571" t="s">
        <v>17</v>
      </c>
      <c r="B571" t="s">
        <v>21</v>
      </c>
      <c r="C571">
        <v>48451617</v>
      </c>
      <c r="D571" t="s">
        <v>48</v>
      </c>
      <c r="E571" t="s">
        <v>44</v>
      </c>
      <c r="F571" s="4">
        <v>41446</v>
      </c>
      <c r="G571" s="4">
        <v>41580</v>
      </c>
      <c r="H571" t="s">
        <v>45</v>
      </c>
      <c r="I571" t="s">
        <v>47</v>
      </c>
      <c r="J571" t="s">
        <v>15</v>
      </c>
      <c r="K571">
        <v>2</v>
      </c>
    </row>
    <row r="572" spans="1:11" x14ac:dyDescent="0.25">
      <c r="A572" t="s">
        <v>17</v>
      </c>
      <c r="B572" t="s">
        <v>19</v>
      </c>
      <c r="C572">
        <v>48451617</v>
      </c>
      <c r="D572" t="s">
        <v>48</v>
      </c>
      <c r="E572" t="s">
        <v>44</v>
      </c>
      <c r="F572" s="4">
        <v>41446</v>
      </c>
      <c r="G572" s="4">
        <v>41660</v>
      </c>
      <c r="H572" t="s">
        <v>45</v>
      </c>
      <c r="I572" t="s">
        <v>47</v>
      </c>
      <c r="J572" t="s">
        <v>6</v>
      </c>
      <c r="K572">
        <v>2</v>
      </c>
    </row>
    <row r="573" spans="1:11" x14ac:dyDescent="0.25">
      <c r="A573" t="s">
        <v>17</v>
      </c>
      <c r="B573" t="s">
        <v>19</v>
      </c>
      <c r="C573">
        <v>48451617</v>
      </c>
      <c r="D573" t="s">
        <v>48</v>
      </c>
      <c r="E573" t="s">
        <v>44</v>
      </c>
      <c r="F573" s="4">
        <v>41446</v>
      </c>
      <c r="G573" s="4">
        <v>41660</v>
      </c>
      <c r="H573" t="s">
        <v>45</v>
      </c>
      <c r="I573" t="s">
        <v>47</v>
      </c>
      <c r="J573" t="s">
        <v>7</v>
      </c>
      <c r="K573">
        <v>2</v>
      </c>
    </row>
    <row r="574" spans="1:11" x14ac:dyDescent="0.25">
      <c r="A574" t="s">
        <v>17</v>
      </c>
      <c r="B574" t="s">
        <v>19</v>
      </c>
      <c r="C574">
        <v>48451617</v>
      </c>
      <c r="D574" t="s">
        <v>48</v>
      </c>
      <c r="E574" t="s">
        <v>44</v>
      </c>
      <c r="F574" s="4">
        <v>41446</v>
      </c>
      <c r="G574" s="4">
        <v>41660</v>
      </c>
      <c r="H574" t="s">
        <v>45</v>
      </c>
      <c r="I574" t="s">
        <v>47</v>
      </c>
      <c r="J574" t="s">
        <v>8</v>
      </c>
      <c r="K574">
        <v>0</v>
      </c>
    </row>
    <row r="575" spans="1:11" x14ac:dyDescent="0.25">
      <c r="A575" t="s">
        <v>17</v>
      </c>
      <c r="B575" t="s">
        <v>19</v>
      </c>
      <c r="C575">
        <v>48451617</v>
      </c>
      <c r="D575" t="s">
        <v>48</v>
      </c>
      <c r="E575" t="s">
        <v>44</v>
      </c>
      <c r="F575" s="4">
        <v>41446</v>
      </c>
      <c r="G575" s="4">
        <v>41660</v>
      </c>
      <c r="H575" t="s">
        <v>45</v>
      </c>
      <c r="I575" t="s">
        <v>47</v>
      </c>
      <c r="J575" t="s">
        <v>9</v>
      </c>
      <c r="K575">
        <v>3</v>
      </c>
    </row>
    <row r="576" spans="1:11" x14ac:dyDescent="0.25">
      <c r="A576" t="s">
        <v>17</v>
      </c>
      <c r="B576" t="s">
        <v>19</v>
      </c>
      <c r="C576">
        <v>48451617</v>
      </c>
      <c r="D576" t="s">
        <v>48</v>
      </c>
      <c r="E576" t="s">
        <v>44</v>
      </c>
      <c r="F576" s="4">
        <v>41446</v>
      </c>
      <c r="G576" s="4">
        <v>41660</v>
      </c>
      <c r="H576" t="s">
        <v>45</v>
      </c>
      <c r="I576" t="s">
        <v>47</v>
      </c>
      <c r="J576" t="s">
        <v>10</v>
      </c>
      <c r="K576">
        <v>2</v>
      </c>
    </row>
    <row r="577" spans="1:11" x14ac:dyDescent="0.25">
      <c r="A577" t="s">
        <v>17</v>
      </c>
      <c r="B577" t="s">
        <v>19</v>
      </c>
      <c r="C577">
        <v>48451617</v>
      </c>
      <c r="D577" t="s">
        <v>48</v>
      </c>
      <c r="E577" t="s">
        <v>44</v>
      </c>
      <c r="F577" s="4">
        <v>41446</v>
      </c>
      <c r="G577" s="4">
        <v>41660</v>
      </c>
      <c r="H577" t="s">
        <v>45</v>
      </c>
      <c r="I577" t="s">
        <v>47</v>
      </c>
      <c r="J577" t="s">
        <v>11</v>
      </c>
      <c r="K577">
        <v>0</v>
      </c>
    </row>
    <row r="578" spans="1:11" x14ac:dyDescent="0.25">
      <c r="A578" t="s">
        <v>17</v>
      </c>
      <c r="B578" t="s">
        <v>19</v>
      </c>
      <c r="C578">
        <v>48451617</v>
      </c>
      <c r="D578" t="s">
        <v>48</v>
      </c>
      <c r="E578" t="s">
        <v>44</v>
      </c>
      <c r="F578" s="4">
        <v>41446</v>
      </c>
      <c r="G578" s="4">
        <v>41660</v>
      </c>
      <c r="H578" t="s">
        <v>45</v>
      </c>
      <c r="I578" t="s">
        <v>47</v>
      </c>
      <c r="J578" t="s">
        <v>12</v>
      </c>
      <c r="K578">
        <v>2</v>
      </c>
    </row>
    <row r="579" spans="1:11" x14ac:dyDescent="0.25">
      <c r="A579" t="s">
        <v>17</v>
      </c>
      <c r="B579" t="s">
        <v>19</v>
      </c>
      <c r="C579">
        <v>48451617</v>
      </c>
      <c r="D579" t="s">
        <v>48</v>
      </c>
      <c r="E579" t="s">
        <v>44</v>
      </c>
      <c r="F579" s="4">
        <v>41446</v>
      </c>
      <c r="G579" s="4">
        <v>41660</v>
      </c>
      <c r="H579" t="s">
        <v>45</v>
      </c>
      <c r="I579" t="s">
        <v>47</v>
      </c>
      <c r="J579" t="s">
        <v>13</v>
      </c>
      <c r="K579">
        <v>1</v>
      </c>
    </row>
    <row r="580" spans="1:11" x14ac:dyDescent="0.25">
      <c r="A580" t="s">
        <v>17</v>
      </c>
      <c r="B580" t="s">
        <v>19</v>
      </c>
      <c r="C580">
        <v>48451617</v>
      </c>
      <c r="D580" t="s">
        <v>48</v>
      </c>
      <c r="E580" t="s">
        <v>44</v>
      </c>
      <c r="F580" s="4">
        <v>41446</v>
      </c>
      <c r="G580" s="4">
        <v>41660</v>
      </c>
      <c r="H580" t="s">
        <v>45</v>
      </c>
      <c r="I580" t="s">
        <v>47</v>
      </c>
      <c r="J580" t="s">
        <v>14</v>
      </c>
      <c r="K580">
        <v>1</v>
      </c>
    </row>
    <row r="581" spans="1:11" x14ac:dyDescent="0.25">
      <c r="A581" t="s">
        <v>17</v>
      </c>
      <c r="B581" t="s">
        <v>19</v>
      </c>
      <c r="C581">
        <v>48451617</v>
      </c>
      <c r="D581" t="s">
        <v>48</v>
      </c>
      <c r="E581" t="s">
        <v>44</v>
      </c>
      <c r="F581" s="4">
        <v>41446</v>
      </c>
      <c r="G581" s="4">
        <v>41660</v>
      </c>
      <c r="H581" t="s">
        <v>45</v>
      </c>
      <c r="I581" t="s">
        <v>47</v>
      </c>
      <c r="J581" t="s">
        <v>15</v>
      </c>
      <c r="K581">
        <v>0</v>
      </c>
    </row>
    <row r="582" spans="1:11" x14ac:dyDescent="0.25">
      <c r="A582" t="s">
        <v>17</v>
      </c>
      <c r="B582" t="s">
        <v>20</v>
      </c>
      <c r="C582">
        <v>23222105</v>
      </c>
      <c r="D582" t="s">
        <v>48</v>
      </c>
      <c r="E582" t="s">
        <v>44</v>
      </c>
      <c r="F582" s="4">
        <v>41716</v>
      </c>
      <c r="G582" s="4">
        <v>41723</v>
      </c>
      <c r="H582" t="s">
        <v>45</v>
      </c>
      <c r="I582" t="s">
        <v>46</v>
      </c>
      <c r="J582" t="s">
        <v>6</v>
      </c>
      <c r="K582">
        <v>2</v>
      </c>
    </row>
    <row r="583" spans="1:11" x14ac:dyDescent="0.25">
      <c r="A583" t="s">
        <v>17</v>
      </c>
      <c r="B583" t="s">
        <v>20</v>
      </c>
      <c r="C583">
        <v>23222105</v>
      </c>
      <c r="D583" t="s">
        <v>48</v>
      </c>
      <c r="E583" t="s">
        <v>44</v>
      </c>
      <c r="F583" s="4">
        <v>41716</v>
      </c>
      <c r="G583" s="4">
        <v>41723</v>
      </c>
      <c r="H583" t="s">
        <v>45</v>
      </c>
      <c r="I583" t="s">
        <v>46</v>
      </c>
      <c r="J583" t="s">
        <v>7</v>
      </c>
      <c r="K583">
        <v>0</v>
      </c>
    </row>
    <row r="584" spans="1:11" x14ac:dyDescent="0.25">
      <c r="A584" t="s">
        <v>17</v>
      </c>
      <c r="B584" t="s">
        <v>20</v>
      </c>
      <c r="C584">
        <v>23222105</v>
      </c>
      <c r="D584" t="s">
        <v>48</v>
      </c>
      <c r="E584" t="s">
        <v>44</v>
      </c>
      <c r="F584" s="4">
        <v>41716</v>
      </c>
      <c r="G584" s="4">
        <v>41723</v>
      </c>
      <c r="H584" t="s">
        <v>45</v>
      </c>
      <c r="I584" t="s">
        <v>46</v>
      </c>
      <c r="J584" t="s">
        <v>8</v>
      </c>
      <c r="K584">
        <v>3</v>
      </c>
    </row>
    <row r="585" spans="1:11" x14ac:dyDescent="0.25">
      <c r="A585" t="s">
        <v>17</v>
      </c>
      <c r="B585" t="s">
        <v>20</v>
      </c>
      <c r="C585">
        <v>23222105</v>
      </c>
      <c r="D585" t="s">
        <v>48</v>
      </c>
      <c r="E585" t="s">
        <v>44</v>
      </c>
      <c r="F585" s="4">
        <v>41716</v>
      </c>
      <c r="G585" s="4">
        <v>41723</v>
      </c>
      <c r="H585" t="s">
        <v>45</v>
      </c>
      <c r="I585" t="s">
        <v>46</v>
      </c>
      <c r="J585" t="s">
        <v>9</v>
      </c>
      <c r="K585">
        <v>1</v>
      </c>
    </row>
    <row r="586" spans="1:11" x14ac:dyDescent="0.25">
      <c r="A586" t="s">
        <v>17</v>
      </c>
      <c r="B586" t="s">
        <v>20</v>
      </c>
      <c r="C586">
        <v>23222105</v>
      </c>
      <c r="D586" t="s">
        <v>48</v>
      </c>
      <c r="E586" t="s">
        <v>44</v>
      </c>
      <c r="F586" s="4">
        <v>41716</v>
      </c>
      <c r="G586" s="4">
        <v>41723</v>
      </c>
      <c r="H586" t="s">
        <v>45</v>
      </c>
      <c r="I586" t="s">
        <v>46</v>
      </c>
      <c r="J586" t="s">
        <v>10</v>
      </c>
      <c r="K586">
        <v>3</v>
      </c>
    </row>
    <row r="587" spans="1:11" x14ac:dyDescent="0.25">
      <c r="A587" t="s">
        <v>17</v>
      </c>
      <c r="B587" t="s">
        <v>20</v>
      </c>
      <c r="C587">
        <v>23222105</v>
      </c>
      <c r="D587" t="s">
        <v>48</v>
      </c>
      <c r="E587" t="s">
        <v>44</v>
      </c>
      <c r="F587" s="4">
        <v>41716</v>
      </c>
      <c r="G587" s="4">
        <v>41723</v>
      </c>
      <c r="H587" t="s">
        <v>45</v>
      </c>
      <c r="I587" t="s">
        <v>46</v>
      </c>
      <c r="J587" t="s">
        <v>11</v>
      </c>
      <c r="K587">
        <v>1</v>
      </c>
    </row>
    <row r="588" spans="1:11" x14ac:dyDescent="0.25">
      <c r="A588" t="s">
        <v>17</v>
      </c>
      <c r="B588" t="s">
        <v>20</v>
      </c>
      <c r="C588">
        <v>23222105</v>
      </c>
      <c r="D588" t="s">
        <v>48</v>
      </c>
      <c r="E588" t="s">
        <v>44</v>
      </c>
      <c r="F588" s="4">
        <v>41716</v>
      </c>
      <c r="G588" s="4">
        <v>41723</v>
      </c>
      <c r="H588" t="s">
        <v>45</v>
      </c>
      <c r="I588" t="s">
        <v>46</v>
      </c>
      <c r="J588" t="s">
        <v>12</v>
      </c>
      <c r="K588">
        <v>0</v>
      </c>
    </row>
    <row r="589" spans="1:11" x14ac:dyDescent="0.25">
      <c r="A589" t="s">
        <v>17</v>
      </c>
      <c r="B589" t="s">
        <v>20</v>
      </c>
      <c r="C589">
        <v>23222105</v>
      </c>
      <c r="D589" t="s">
        <v>48</v>
      </c>
      <c r="E589" t="s">
        <v>44</v>
      </c>
      <c r="F589" s="4">
        <v>41716</v>
      </c>
      <c r="G589" s="4">
        <v>41723</v>
      </c>
      <c r="H589" t="s">
        <v>45</v>
      </c>
      <c r="I589" t="s">
        <v>46</v>
      </c>
      <c r="J589" t="s">
        <v>13</v>
      </c>
      <c r="K589">
        <v>1</v>
      </c>
    </row>
    <row r="590" spans="1:11" x14ac:dyDescent="0.25">
      <c r="A590" t="s">
        <v>17</v>
      </c>
      <c r="B590" t="s">
        <v>20</v>
      </c>
      <c r="C590">
        <v>23222105</v>
      </c>
      <c r="D590" t="s">
        <v>48</v>
      </c>
      <c r="E590" t="s">
        <v>44</v>
      </c>
      <c r="F590" s="4">
        <v>41716</v>
      </c>
      <c r="G590" s="4">
        <v>41723</v>
      </c>
      <c r="H590" t="s">
        <v>45</v>
      </c>
      <c r="I590" t="s">
        <v>46</v>
      </c>
      <c r="J590" t="s">
        <v>14</v>
      </c>
      <c r="K590">
        <v>0</v>
      </c>
    </row>
    <row r="591" spans="1:11" x14ac:dyDescent="0.25">
      <c r="A591" t="s">
        <v>17</v>
      </c>
      <c r="B591" t="s">
        <v>20</v>
      </c>
      <c r="C591">
        <v>23222105</v>
      </c>
      <c r="D591" t="s">
        <v>48</v>
      </c>
      <c r="E591" t="s">
        <v>44</v>
      </c>
      <c r="F591" s="4">
        <v>41716</v>
      </c>
      <c r="G591" s="4">
        <v>41723</v>
      </c>
      <c r="H591" t="s">
        <v>45</v>
      </c>
      <c r="I591" t="s">
        <v>46</v>
      </c>
      <c r="J591" t="s">
        <v>15</v>
      </c>
      <c r="K591">
        <v>1</v>
      </c>
    </row>
    <row r="592" spans="1:11" x14ac:dyDescent="0.25">
      <c r="A592" t="s">
        <v>17</v>
      </c>
      <c r="B592" t="s">
        <v>21</v>
      </c>
      <c r="C592">
        <v>69897263</v>
      </c>
      <c r="D592" t="s">
        <v>48</v>
      </c>
      <c r="E592" t="s">
        <v>44</v>
      </c>
      <c r="F592" s="4">
        <v>41698</v>
      </c>
      <c r="G592" s="4">
        <v>41744</v>
      </c>
      <c r="H592" t="s">
        <v>49</v>
      </c>
      <c r="I592" t="s">
        <v>46</v>
      </c>
      <c r="J592" t="s">
        <v>6</v>
      </c>
      <c r="K592">
        <v>0</v>
      </c>
    </row>
    <row r="593" spans="1:11" x14ac:dyDescent="0.25">
      <c r="A593" t="s">
        <v>17</v>
      </c>
      <c r="B593" t="s">
        <v>21</v>
      </c>
      <c r="C593">
        <v>69897263</v>
      </c>
      <c r="D593" t="s">
        <v>48</v>
      </c>
      <c r="E593" t="s">
        <v>44</v>
      </c>
      <c r="F593" s="4">
        <v>41698</v>
      </c>
      <c r="G593" s="4">
        <v>41744</v>
      </c>
      <c r="H593" t="s">
        <v>49</v>
      </c>
      <c r="I593" t="s">
        <v>46</v>
      </c>
      <c r="J593" t="s">
        <v>7</v>
      </c>
      <c r="K593">
        <v>2</v>
      </c>
    </row>
    <row r="594" spans="1:11" x14ac:dyDescent="0.25">
      <c r="A594" t="s">
        <v>17</v>
      </c>
      <c r="B594" t="s">
        <v>21</v>
      </c>
      <c r="C594">
        <v>69897263</v>
      </c>
      <c r="D594" t="s">
        <v>48</v>
      </c>
      <c r="E594" t="s">
        <v>44</v>
      </c>
      <c r="F594" s="4">
        <v>41698</v>
      </c>
      <c r="G594" s="4">
        <v>41744</v>
      </c>
      <c r="H594" t="s">
        <v>49</v>
      </c>
      <c r="I594" t="s">
        <v>46</v>
      </c>
      <c r="J594" t="s">
        <v>8</v>
      </c>
      <c r="K594">
        <v>2</v>
      </c>
    </row>
    <row r="595" spans="1:11" x14ac:dyDescent="0.25">
      <c r="A595" t="s">
        <v>17</v>
      </c>
      <c r="B595" t="s">
        <v>21</v>
      </c>
      <c r="C595">
        <v>69897263</v>
      </c>
      <c r="D595" t="s">
        <v>48</v>
      </c>
      <c r="E595" t="s">
        <v>44</v>
      </c>
      <c r="F595" s="4">
        <v>41698</v>
      </c>
      <c r="G595" s="4">
        <v>41744</v>
      </c>
      <c r="H595" t="s">
        <v>49</v>
      </c>
      <c r="I595" t="s">
        <v>46</v>
      </c>
      <c r="J595" t="s">
        <v>9</v>
      </c>
      <c r="K595">
        <v>0</v>
      </c>
    </row>
    <row r="596" spans="1:11" x14ac:dyDescent="0.25">
      <c r="A596" t="s">
        <v>17</v>
      </c>
      <c r="B596" t="s">
        <v>21</v>
      </c>
      <c r="C596">
        <v>69897263</v>
      </c>
      <c r="D596" t="s">
        <v>48</v>
      </c>
      <c r="E596" t="s">
        <v>44</v>
      </c>
      <c r="F596" s="4">
        <v>41698</v>
      </c>
      <c r="G596" s="4">
        <v>41744</v>
      </c>
      <c r="H596" t="s">
        <v>49</v>
      </c>
      <c r="I596" t="s">
        <v>46</v>
      </c>
      <c r="J596" t="s">
        <v>10</v>
      </c>
      <c r="K596">
        <v>3</v>
      </c>
    </row>
    <row r="597" spans="1:11" x14ac:dyDescent="0.25">
      <c r="A597" t="s">
        <v>17</v>
      </c>
      <c r="B597" t="s">
        <v>21</v>
      </c>
      <c r="C597">
        <v>69897263</v>
      </c>
      <c r="D597" t="s">
        <v>48</v>
      </c>
      <c r="E597" t="s">
        <v>44</v>
      </c>
      <c r="F597" s="4">
        <v>41698</v>
      </c>
      <c r="G597" s="4">
        <v>41744</v>
      </c>
      <c r="H597" t="s">
        <v>49</v>
      </c>
      <c r="I597" t="s">
        <v>46</v>
      </c>
      <c r="J597" t="s">
        <v>11</v>
      </c>
      <c r="K597">
        <v>1</v>
      </c>
    </row>
    <row r="598" spans="1:11" x14ac:dyDescent="0.25">
      <c r="A598" t="s">
        <v>17</v>
      </c>
      <c r="B598" t="s">
        <v>21</v>
      </c>
      <c r="C598">
        <v>69897263</v>
      </c>
      <c r="D598" t="s">
        <v>48</v>
      </c>
      <c r="E598" t="s">
        <v>44</v>
      </c>
      <c r="F598" s="4">
        <v>41698</v>
      </c>
      <c r="G598" s="4">
        <v>41744</v>
      </c>
      <c r="H598" t="s">
        <v>49</v>
      </c>
      <c r="I598" t="s">
        <v>46</v>
      </c>
      <c r="J598" t="s">
        <v>12</v>
      </c>
      <c r="K598">
        <v>0</v>
      </c>
    </row>
    <row r="599" spans="1:11" x14ac:dyDescent="0.25">
      <c r="A599" t="s">
        <v>17</v>
      </c>
      <c r="B599" t="s">
        <v>21</v>
      </c>
      <c r="C599">
        <v>69897263</v>
      </c>
      <c r="D599" t="s">
        <v>48</v>
      </c>
      <c r="E599" t="s">
        <v>44</v>
      </c>
      <c r="F599" s="4">
        <v>41698</v>
      </c>
      <c r="G599" s="4">
        <v>41744</v>
      </c>
      <c r="H599" t="s">
        <v>49</v>
      </c>
      <c r="I599" t="s">
        <v>46</v>
      </c>
      <c r="J599" t="s">
        <v>13</v>
      </c>
      <c r="K599">
        <v>0</v>
      </c>
    </row>
    <row r="600" spans="1:11" x14ac:dyDescent="0.25">
      <c r="A600" t="s">
        <v>17</v>
      </c>
      <c r="B600" t="s">
        <v>21</v>
      </c>
      <c r="C600">
        <v>69897263</v>
      </c>
      <c r="D600" t="s">
        <v>48</v>
      </c>
      <c r="E600" t="s">
        <v>44</v>
      </c>
      <c r="F600" s="4">
        <v>41698</v>
      </c>
      <c r="G600" s="4">
        <v>41744</v>
      </c>
      <c r="H600" t="s">
        <v>49</v>
      </c>
      <c r="I600" t="s">
        <v>46</v>
      </c>
      <c r="J600" t="s">
        <v>14</v>
      </c>
      <c r="K600">
        <v>1</v>
      </c>
    </row>
    <row r="601" spans="1:11" x14ac:dyDescent="0.25">
      <c r="A601" t="s">
        <v>17</v>
      </c>
      <c r="B601" t="s">
        <v>21</v>
      </c>
      <c r="C601">
        <v>69897263</v>
      </c>
      <c r="D601" t="s">
        <v>48</v>
      </c>
      <c r="E601" t="s">
        <v>44</v>
      </c>
      <c r="F601" s="4">
        <v>41698</v>
      </c>
      <c r="G601" s="4">
        <v>41744</v>
      </c>
      <c r="H601" t="s">
        <v>49</v>
      </c>
      <c r="I601" t="s">
        <v>46</v>
      </c>
      <c r="J601" t="s">
        <v>15</v>
      </c>
      <c r="K601">
        <v>0</v>
      </c>
    </row>
    <row r="602" spans="1:11" x14ac:dyDescent="0.25">
      <c r="A602" t="s">
        <v>17</v>
      </c>
      <c r="B602" t="s">
        <v>19</v>
      </c>
      <c r="C602">
        <v>69897263</v>
      </c>
      <c r="D602" t="s">
        <v>48</v>
      </c>
      <c r="E602" t="s">
        <v>44</v>
      </c>
      <c r="F602" s="4">
        <v>41698</v>
      </c>
      <c r="G602" s="4">
        <v>41853</v>
      </c>
      <c r="H602" t="s">
        <v>49</v>
      </c>
      <c r="I602" t="s">
        <v>47</v>
      </c>
      <c r="J602" t="s">
        <v>6</v>
      </c>
      <c r="K602">
        <v>0</v>
      </c>
    </row>
    <row r="603" spans="1:11" x14ac:dyDescent="0.25">
      <c r="A603" t="s">
        <v>17</v>
      </c>
      <c r="B603" t="s">
        <v>19</v>
      </c>
      <c r="C603">
        <v>69897263</v>
      </c>
      <c r="D603" t="s">
        <v>48</v>
      </c>
      <c r="E603" t="s">
        <v>44</v>
      </c>
      <c r="F603" s="4">
        <v>41698</v>
      </c>
      <c r="G603" s="4">
        <v>41853</v>
      </c>
      <c r="H603" t="s">
        <v>49</v>
      </c>
      <c r="I603" t="s">
        <v>47</v>
      </c>
      <c r="J603" t="s">
        <v>7</v>
      </c>
      <c r="K603">
        <v>1</v>
      </c>
    </row>
    <row r="604" spans="1:11" x14ac:dyDescent="0.25">
      <c r="A604" t="s">
        <v>17</v>
      </c>
      <c r="B604" t="s">
        <v>19</v>
      </c>
      <c r="C604">
        <v>69897263</v>
      </c>
      <c r="D604" t="s">
        <v>48</v>
      </c>
      <c r="E604" t="s">
        <v>44</v>
      </c>
      <c r="F604" s="4">
        <v>41698</v>
      </c>
      <c r="G604" s="4">
        <v>41853</v>
      </c>
      <c r="H604" t="s">
        <v>49</v>
      </c>
      <c r="I604" t="s">
        <v>47</v>
      </c>
      <c r="J604" t="s">
        <v>8</v>
      </c>
      <c r="K604">
        <v>3</v>
      </c>
    </row>
    <row r="605" spans="1:11" x14ac:dyDescent="0.25">
      <c r="A605" t="s">
        <v>17</v>
      </c>
      <c r="B605" t="s">
        <v>19</v>
      </c>
      <c r="C605">
        <v>69897263</v>
      </c>
      <c r="D605" t="s">
        <v>48</v>
      </c>
      <c r="E605" t="s">
        <v>44</v>
      </c>
      <c r="F605" s="4">
        <v>41698</v>
      </c>
      <c r="G605" s="4">
        <v>41853</v>
      </c>
      <c r="H605" t="s">
        <v>49</v>
      </c>
      <c r="I605" t="s">
        <v>47</v>
      </c>
      <c r="J605" t="s">
        <v>9</v>
      </c>
      <c r="K605">
        <v>3</v>
      </c>
    </row>
    <row r="606" spans="1:11" x14ac:dyDescent="0.25">
      <c r="A606" t="s">
        <v>17</v>
      </c>
      <c r="B606" t="s">
        <v>19</v>
      </c>
      <c r="C606">
        <v>69897263</v>
      </c>
      <c r="D606" t="s">
        <v>48</v>
      </c>
      <c r="E606" t="s">
        <v>44</v>
      </c>
      <c r="F606" s="4">
        <v>41698</v>
      </c>
      <c r="G606" s="4">
        <v>41853</v>
      </c>
      <c r="H606" t="s">
        <v>49</v>
      </c>
      <c r="I606" t="s">
        <v>47</v>
      </c>
      <c r="J606" t="s">
        <v>10</v>
      </c>
      <c r="K606">
        <v>3</v>
      </c>
    </row>
    <row r="607" spans="1:11" x14ac:dyDescent="0.25">
      <c r="A607" t="s">
        <v>17</v>
      </c>
      <c r="B607" t="s">
        <v>19</v>
      </c>
      <c r="C607">
        <v>69897263</v>
      </c>
      <c r="D607" t="s">
        <v>48</v>
      </c>
      <c r="E607" t="s">
        <v>44</v>
      </c>
      <c r="F607" s="4">
        <v>41698</v>
      </c>
      <c r="G607" s="4">
        <v>41853</v>
      </c>
      <c r="H607" t="s">
        <v>49</v>
      </c>
      <c r="I607" t="s">
        <v>47</v>
      </c>
      <c r="J607" t="s">
        <v>11</v>
      </c>
      <c r="K607">
        <v>1</v>
      </c>
    </row>
    <row r="608" spans="1:11" x14ac:dyDescent="0.25">
      <c r="A608" t="s">
        <v>17</v>
      </c>
      <c r="B608" t="s">
        <v>19</v>
      </c>
      <c r="C608">
        <v>69897263</v>
      </c>
      <c r="D608" t="s">
        <v>48</v>
      </c>
      <c r="E608" t="s">
        <v>44</v>
      </c>
      <c r="F608" s="4">
        <v>41698</v>
      </c>
      <c r="G608" s="4">
        <v>41853</v>
      </c>
      <c r="H608" t="s">
        <v>49</v>
      </c>
      <c r="I608" t="s">
        <v>47</v>
      </c>
      <c r="J608" t="s">
        <v>12</v>
      </c>
      <c r="K608">
        <v>0</v>
      </c>
    </row>
    <row r="609" spans="1:11" x14ac:dyDescent="0.25">
      <c r="A609" t="s">
        <v>17</v>
      </c>
      <c r="B609" t="s">
        <v>19</v>
      </c>
      <c r="C609">
        <v>69897263</v>
      </c>
      <c r="D609" t="s">
        <v>48</v>
      </c>
      <c r="E609" t="s">
        <v>44</v>
      </c>
      <c r="F609" s="4">
        <v>41698</v>
      </c>
      <c r="G609" s="4">
        <v>41853</v>
      </c>
      <c r="H609" t="s">
        <v>49</v>
      </c>
      <c r="I609" t="s">
        <v>47</v>
      </c>
      <c r="J609" t="s">
        <v>13</v>
      </c>
      <c r="K609">
        <v>1</v>
      </c>
    </row>
    <row r="610" spans="1:11" x14ac:dyDescent="0.25">
      <c r="A610" t="s">
        <v>17</v>
      </c>
      <c r="B610" t="s">
        <v>19</v>
      </c>
      <c r="C610">
        <v>69897263</v>
      </c>
      <c r="D610" t="s">
        <v>48</v>
      </c>
      <c r="E610" t="s">
        <v>44</v>
      </c>
      <c r="F610" s="4">
        <v>41698</v>
      </c>
      <c r="G610" s="4">
        <v>41853</v>
      </c>
      <c r="H610" t="s">
        <v>49</v>
      </c>
      <c r="I610" t="s">
        <v>47</v>
      </c>
      <c r="J610" t="s">
        <v>14</v>
      </c>
      <c r="K610">
        <v>2</v>
      </c>
    </row>
    <row r="611" spans="1:11" x14ac:dyDescent="0.25">
      <c r="A611" t="s">
        <v>17</v>
      </c>
      <c r="B611" t="s">
        <v>19</v>
      </c>
      <c r="C611">
        <v>69897263</v>
      </c>
      <c r="D611" t="s">
        <v>48</v>
      </c>
      <c r="E611" t="s">
        <v>44</v>
      </c>
      <c r="F611" s="4">
        <v>41698</v>
      </c>
      <c r="G611" s="4">
        <v>41853</v>
      </c>
      <c r="H611" t="s">
        <v>49</v>
      </c>
      <c r="I611" t="s">
        <v>47</v>
      </c>
      <c r="J611" t="s">
        <v>15</v>
      </c>
      <c r="K611">
        <v>1</v>
      </c>
    </row>
    <row r="612" spans="1:11" x14ac:dyDescent="0.25">
      <c r="A612" t="s">
        <v>18</v>
      </c>
      <c r="B612" t="s">
        <v>20</v>
      </c>
      <c r="C612">
        <v>17680504</v>
      </c>
      <c r="D612" t="s">
        <v>48</v>
      </c>
      <c r="E612" t="s">
        <v>50</v>
      </c>
      <c r="F612" s="4">
        <v>41413</v>
      </c>
      <c r="G612" s="4">
        <v>41416</v>
      </c>
      <c r="H612" t="s">
        <v>45</v>
      </c>
      <c r="I612" t="s">
        <v>46</v>
      </c>
      <c r="J612" t="s">
        <v>6</v>
      </c>
      <c r="K612">
        <v>1</v>
      </c>
    </row>
    <row r="613" spans="1:11" x14ac:dyDescent="0.25">
      <c r="A613" t="s">
        <v>18</v>
      </c>
      <c r="B613" t="s">
        <v>20</v>
      </c>
      <c r="C613">
        <v>17680504</v>
      </c>
      <c r="D613" t="s">
        <v>48</v>
      </c>
      <c r="E613" t="s">
        <v>50</v>
      </c>
      <c r="F613" s="4">
        <v>41413</v>
      </c>
      <c r="G613" s="4">
        <v>41416</v>
      </c>
      <c r="H613" t="s">
        <v>45</v>
      </c>
      <c r="I613" t="s">
        <v>46</v>
      </c>
      <c r="J613" t="s">
        <v>7</v>
      </c>
      <c r="K613">
        <v>1</v>
      </c>
    </row>
    <row r="614" spans="1:11" x14ac:dyDescent="0.25">
      <c r="A614" t="s">
        <v>18</v>
      </c>
      <c r="B614" t="s">
        <v>20</v>
      </c>
      <c r="C614">
        <v>17680504</v>
      </c>
      <c r="D614" t="s">
        <v>48</v>
      </c>
      <c r="E614" t="s">
        <v>50</v>
      </c>
      <c r="F614" s="4">
        <v>41413</v>
      </c>
      <c r="G614" s="4">
        <v>41416</v>
      </c>
      <c r="H614" t="s">
        <v>45</v>
      </c>
      <c r="I614" t="s">
        <v>46</v>
      </c>
      <c r="J614" t="s">
        <v>8</v>
      </c>
      <c r="K614">
        <v>0</v>
      </c>
    </row>
    <row r="615" spans="1:11" x14ac:dyDescent="0.25">
      <c r="A615" t="s">
        <v>18</v>
      </c>
      <c r="B615" t="s">
        <v>20</v>
      </c>
      <c r="C615">
        <v>17680504</v>
      </c>
      <c r="D615" t="s">
        <v>48</v>
      </c>
      <c r="E615" t="s">
        <v>50</v>
      </c>
      <c r="F615" s="4">
        <v>41413</v>
      </c>
      <c r="G615" s="4">
        <v>41416</v>
      </c>
      <c r="H615" t="s">
        <v>45</v>
      </c>
      <c r="I615" t="s">
        <v>46</v>
      </c>
      <c r="J615" t="s">
        <v>9</v>
      </c>
      <c r="K615">
        <v>2</v>
      </c>
    </row>
    <row r="616" spans="1:11" x14ac:dyDescent="0.25">
      <c r="A616" t="s">
        <v>18</v>
      </c>
      <c r="B616" t="s">
        <v>20</v>
      </c>
      <c r="C616">
        <v>17680504</v>
      </c>
      <c r="D616" t="s">
        <v>48</v>
      </c>
      <c r="E616" t="s">
        <v>50</v>
      </c>
      <c r="F616" s="4">
        <v>41413</v>
      </c>
      <c r="G616" s="4">
        <v>41416</v>
      </c>
      <c r="H616" t="s">
        <v>45</v>
      </c>
      <c r="I616" t="s">
        <v>46</v>
      </c>
      <c r="J616" t="s">
        <v>10</v>
      </c>
      <c r="K616">
        <v>3</v>
      </c>
    </row>
    <row r="617" spans="1:11" x14ac:dyDescent="0.25">
      <c r="A617" t="s">
        <v>18</v>
      </c>
      <c r="B617" t="s">
        <v>20</v>
      </c>
      <c r="C617">
        <v>17680504</v>
      </c>
      <c r="D617" t="s">
        <v>48</v>
      </c>
      <c r="E617" t="s">
        <v>50</v>
      </c>
      <c r="F617" s="4">
        <v>41413</v>
      </c>
      <c r="G617" s="4">
        <v>41416</v>
      </c>
      <c r="H617" t="s">
        <v>45</v>
      </c>
      <c r="I617" t="s">
        <v>46</v>
      </c>
      <c r="J617" t="s">
        <v>11</v>
      </c>
      <c r="K617">
        <v>2</v>
      </c>
    </row>
    <row r="618" spans="1:11" x14ac:dyDescent="0.25">
      <c r="A618" t="s">
        <v>18</v>
      </c>
      <c r="B618" t="s">
        <v>20</v>
      </c>
      <c r="C618">
        <v>17680504</v>
      </c>
      <c r="D618" t="s">
        <v>48</v>
      </c>
      <c r="E618" t="s">
        <v>50</v>
      </c>
      <c r="F618" s="4">
        <v>41413</v>
      </c>
      <c r="G618" s="4">
        <v>41416</v>
      </c>
      <c r="H618" t="s">
        <v>45</v>
      </c>
      <c r="I618" t="s">
        <v>46</v>
      </c>
      <c r="J618" t="s">
        <v>12</v>
      </c>
      <c r="K618">
        <v>3</v>
      </c>
    </row>
    <row r="619" spans="1:11" x14ac:dyDescent="0.25">
      <c r="A619" t="s">
        <v>18</v>
      </c>
      <c r="B619" t="s">
        <v>20</v>
      </c>
      <c r="C619">
        <v>17680504</v>
      </c>
      <c r="D619" t="s">
        <v>48</v>
      </c>
      <c r="E619" t="s">
        <v>50</v>
      </c>
      <c r="F619" s="4">
        <v>41413</v>
      </c>
      <c r="G619" s="4">
        <v>41416</v>
      </c>
      <c r="H619" t="s">
        <v>45</v>
      </c>
      <c r="I619" t="s">
        <v>46</v>
      </c>
      <c r="J619" t="s">
        <v>13</v>
      </c>
      <c r="K619">
        <v>1</v>
      </c>
    </row>
    <row r="620" spans="1:11" x14ac:dyDescent="0.25">
      <c r="A620" t="s">
        <v>18</v>
      </c>
      <c r="B620" t="s">
        <v>20</v>
      </c>
      <c r="C620">
        <v>17680504</v>
      </c>
      <c r="D620" t="s">
        <v>48</v>
      </c>
      <c r="E620" t="s">
        <v>50</v>
      </c>
      <c r="F620" s="4">
        <v>41413</v>
      </c>
      <c r="G620" s="4">
        <v>41416</v>
      </c>
      <c r="H620" t="s">
        <v>45</v>
      </c>
      <c r="I620" t="s">
        <v>46</v>
      </c>
      <c r="J620" t="s">
        <v>14</v>
      </c>
      <c r="K620">
        <v>3</v>
      </c>
    </row>
    <row r="621" spans="1:11" x14ac:dyDescent="0.25">
      <c r="A621" t="s">
        <v>18</v>
      </c>
      <c r="B621" t="s">
        <v>20</v>
      </c>
      <c r="C621">
        <v>17680504</v>
      </c>
      <c r="D621" t="s">
        <v>48</v>
      </c>
      <c r="E621" t="s">
        <v>50</v>
      </c>
      <c r="F621" s="4">
        <v>41413</v>
      </c>
      <c r="G621" s="4">
        <v>41416</v>
      </c>
      <c r="H621" t="s">
        <v>45</v>
      </c>
      <c r="I621" t="s">
        <v>46</v>
      </c>
      <c r="J621" t="s">
        <v>15</v>
      </c>
      <c r="K621">
        <v>2</v>
      </c>
    </row>
    <row r="622" spans="1:11" x14ac:dyDescent="0.25">
      <c r="A622" t="s">
        <v>18</v>
      </c>
      <c r="B622" t="s">
        <v>21</v>
      </c>
      <c r="C622">
        <v>17680504</v>
      </c>
      <c r="D622" t="s">
        <v>48</v>
      </c>
      <c r="E622" t="s">
        <v>50</v>
      </c>
      <c r="F622" s="4">
        <v>41413</v>
      </c>
      <c r="G622" s="4">
        <v>41493</v>
      </c>
      <c r="H622" t="s">
        <v>45</v>
      </c>
      <c r="I622" t="s">
        <v>47</v>
      </c>
      <c r="J622" t="s">
        <v>6</v>
      </c>
      <c r="K622">
        <v>1</v>
      </c>
    </row>
    <row r="623" spans="1:11" x14ac:dyDescent="0.25">
      <c r="A623" t="s">
        <v>18</v>
      </c>
      <c r="B623" t="s">
        <v>21</v>
      </c>
      <c r="C623">
        <v>17680504</v>
      </c>
      <c r="D623" t="s">
        <v>48</v>
      </c>
      <c r="E623" t="s">
        <v>50</v>
      </c>
      <c r="F623" s="4">
        <v>41413</v>
      </c>
      <c r="G623" s="4">
        <v>41493</v>
      </c>
      <c r="H623" t="s">
        <v>45</v>
      </c>
      <c r="I623" t="s">
        <v>47</v>
      </c>
      <c r="J623" t="s">
        <v>7</v>
      </c>
      <c r="K623">
        <v>2</v>
      </c>
    </row>
    <row r="624" spans="1:11" x14ac:dyDescent="0.25">
      <c r="A624" t="s">
        <v>18</v>
      </c>
      <c r="B624" t="s">
        <v>21</v>
      </c>
      <c r="C624">
        <v>17680504</v>
      </c>
      <c r="D624" t="s">
        <v>48</v>
      </c>
      <c r="E624" t="s">
        <v>50</v>
      </c>
      <c r="F624" s="4">
        <v>41413</v>
      </c>
      <c r="G624" s="4">
        <v>41493</v>
      </c>
      <c r="H624" t="s">
        <v>45</v>
      </c>
      <c r="I624" t="s">
        <v>47</v>
      </c>
      <c r="J624" t="s">
        <v>8</v>
      </c>
      <c r="K624">
        <v>1</v>
      </c>
    </row>
    <row r="625" spans="1:11" x14ac:dyDescent="0.25">
      <c r="A625" t="s">
        <v>18</v>
      </c>
      <c r="B625" t="s">
        <v>21</v>
      </c>
      <c r="C625">
        <v>17680504</v>
      </c>
      <c r="D625" t="s">
        <v>48</v>
      </c>
      <c r="E625" t="s">
        <v>50</v>
      </c>
      <c r="F625" s="4">
        <v>41413</v>
      </c>
      <c r="G625" s="4">
        <v>41493</v>
      </c>
      <c r="H625" t="s">
        <v>45</v>
      </c>
      <c r="I625" t="s">
        <v>47</v>
      </c>
      <c r="J625" t="s">
        <v>9</v>
      </c>
      <c r="K625">
        <v>2</v>
      </c>
    </row>
    <row r="626" spans="1:11" x14ac:dyDescent="0.25">
      <c r="A626" t="s">
        <v>18</v>
      </c>
      <c r="B626" t="s">
        <v>21</v>
      </c>
      <c r="C626">
        <v>17680504</v>
      </c>
      <c r="D626" t="s">
        <v>48</v>
      </c>
      <c r="E626" t="s">
        <v>50</v>
      </c>
      <c r="F626" s="4">
        <v>41413</v>
      </c>
      <c r="G626" s="4">
        <v>41493</v>
      </c>
      <c r="H626" t="s">
        <v>45</v>
      </c>
      <c r="I626" t="s">
        <v>47</v>
      </c>
      <c r="J626" t="s">
        <v>10</v>
      </c>
      <c r="K626">
        <v>1</v>
      </c>
    </row>
    <row r="627" spans="1:11" x14ac:dyDescent="0.25">
      <c r="A627" t="s">
        <v>18</v>
      </c>
      <c r="B627" t="s">
        <v>21</v>
      </c>
      <c r="C627">
        <v>17680504</v>
      </c>
      <c r="D627" t="s">
        <v>48</v>
      </c>
      <c r="E627" t="s">
        <v>50</v>
      </c>
      <c r="F627" s="4">
        <v>41413</v>
      </c>
      <c r="G627" s="4">
        <v>41493</v>
      </c>
      <c r="H627" t="s">
        <v>45</v>
      </c>
      <c r="I627" t="s">
        <v>47</v>
      </c>
      <c r="J627" t="s">
        <v>11</v>
      </c>
      <c r="K627">
        <v>2</v>
      </c>
    </row>
    <row r="628" spans="1:11" x14ac:dyDescent="0.25">
      <c r="A628" t="s">
        <v>18</v>
      </c>
      <c r="B628" t="s">
        <v>21</v>
      </c>
      <c r="C628">
        <v>17680504</v>
      </c>
      <c r="D628" t="s">
        <v>48</v>
      </c>
      <c r="E628" t="s">
        <v>50</v>
      </c>
      <c r="F628" s="4">
        <v>41413</v>
      </c>
      <c r="G628" s="4">
        <v>41493</v>
      </c>
      <c r="H628" t="s">
        <v>45</v>
      </c>
      <c r="I628" t="s">
        <v>47</v>
      </c>
      <c r="J628" t="s">
        <v>12</v>
      </c>
      <c r="K628">
        <v>1</v>
      </c>
    </row>
    <row r="629" spans="1:11" x14ac:dyDescent="0.25">
      <c r="A629" t="s">
        <v>18</v>
      </c>
      <c r="B629" t="s">
        <v>21</v>
      </c>
      <c r="C629">
        <v>17680504</v>
      </c>
      <c r="D629" t="s">
        <v>48</v>
      </c>
      <c r="E629" t="s">
        <v>50</v>
      </c>
      <c r="F629" s="4">
        <v>41413</v>
      </c>
      <c r="G629" s="4">
        <v>41493</v>
      </c>
      <c r="H629" t="s">
        <v>45</v>
      </c>
      <c r="I629" t="s">
        <v>47</v>
      </c>
      <c r="J629" t="s">
        <v>13</v>
      </c>
      <c r="K629">
        <v>2</v>
      </c>
    </row>
    <row r="630" spans="1:11" x14ac:dyDescent="0.25">
      <c r="A630" t="s">
        <v>18</v>
      </c>
      <c r="B630" t="s">
        <v>21</v>
      </c>
      <c r="C630">
        <v>17680504</v>
      </c>
      <c r="D630" t="s">
        <v>48</v>
      </c>
      <c r="E630" t="s">
        <v>50</v>
      </c>
      <c r="F630" s="4">
        <v>41413</v>
      </c>
      <c r="G630" s="4">
        <v>41493</v>
      </c>
      <c r="H630" t="s">
        <v>45</v>
      </c>
      <c r="I630" t="s">
        <v>47</v>
      </c>
      <c r="J630" t="s">
        <v>14</v>
      </c>
      <c r="K630">
        <v>1</v>
      </c>
    </row>
    <row r="631" spans="1:11" x14ac:dyDescent="0.25">
      <c r="A631" t="s">
        <v>18</v>
      </c>
      <c r="B631" t="s">
        <v>21</v>
      </c>
      <c r="C631">
        <v>17680504</v>
      </c>
      <c r="D631" t="s">
        <v>48</v>
      </c>
      <c r="E631" t="s">
        <v>50</v>
      </c>
      <c r="F631" s="4">
        <v>41413</v>
      </c>
      <c r="G631" s="4">
        <v>41493</v>
      </c>
      <c r="H631" t="s">
        <v>45</v>
      </c>
      <c r="I631" t="s">
        <v>47</v>
      </c>
      <c r="J631" t="s">
        <v>15</v>
      </c>
      <c r="K631">
        <v>1</v>
      </c>
    </row>
    <row r="632" spans="1:11" x14ac:dyDescent="0.25">
      <c r="A632" t="s">
        <v>18</v>
      </c>
      <c r="B632" t="s">
        <v>19</v>
      </c>
      <c r="C632">
        <v>17680504</v>
      </c>
      <c r="D632" t="s">
        <v>48</v>
      </c>
      <c r="E632" t="s">
        <v>50</v>
      </c>
      <c r="F632" s="4">
        <v>41413</v>
      </c>
      <c r="G632" s="4">
        <v>41503</v>
      </c>
      <c r="H632" t="s">
        <v>45</v>
      </c>
      <c r="I632" t="s">
        <v>47</v>
      </c>
      <c r="J632" t="s">
        <v>6</v>
      </c>
      <c r="K632">
        <v>1</v>
      </c>
    </row>
    <row r="633" spans="1:11" x14ac:dyDescent="0.25">
      <c r="A633" t="s">
        <v>18</v>
      </c>
      <c r="B633" t="s">
        <v>19</v>
      </c>
      <c r="C633">
        <v>17680504</v>
      </c>
      <c r="D633" t="s">
        <v>48</v>
      </c>
      <c r="E633" t="s">
        <v>50</v>
      </c>
      <c r="F633" s="4">
        <v>41413</v>
      </c>
      <c r="G633" s="4">
        <v>41503</v>
      </c>
      <c r="H633" t="s">
        <v>45</v>
      </c>
      <c r="I633" t="s">
        <v>47</v>
      </c>
      <c r="J633" t="s">
        <v>7</v>
      </c>
      <c r="K633">
        <v>2</v>
      </c>
    </row>
    <row r="634" spans="1:11" x14ac:dyDescent="0.25">
      <c r="A634" t="s">
        <v>18</v>
      </c>
      <c r="B634" t="s">
        <v>19</v>
      </c>
      <c r="C634">
        <v>17680504</v>
      </c>
      <c r="D634" t="s">
        <v>48</v>
      </c>
      <c r="E634" t="s">
        <v>50</v>
      </c>
      <c r="F634" s="4">
        <v>41413</v>
      </c>
      <c r="G634" s="4">
        <v>41503</v>
      </c>
      <c r="H634" t="s">
        <v>45</v>
      </c>
      <c r="I634" t="s">
        <v>47</v>
      </c>
      <c r="J634" t="s">
        <v>8</v>
      </c>
      <c r="K634">
        <v>3</v>
      </c>
    </row>
    <row r="635" spans="1:11" x14ac:dyDescent="0.25">
      <c r="A635" t="s">
        <v>18</v>
      </c>
      <c r="B635" t="s">
        <v>19</v>
      </c>
      <c r="C635">
        <v>17680504</v>
      </c>
      <c r="D635" t="s">
        <v>48</v>
      </c>
      <c r="E635" t="s">
        <v>50</v>
      </c>
      <c r="F635" s="4">
        <v>41413</v>
      </c>
      <c r="G635" s="4">
        <v>41503</v>
      </c>
      <c r="H635" t="s">
        <v>45</v>
      </c>
      <c r="I635" t="s">
        <v>47</v>
      </c>
      <c r="J635" t="s">
        <v>9</v>
      </c>
      <c r="K635">
        <v>1</v>
      </c>
    </row>
    <row r="636" spans="1:11" x14ac:dyDescent="0.25">
      <c r="A636" t="s">
        <v>18</v>
      </c>
      <c r="B636" t="s">
        <v>19</v>
      </c>
      <c r="C636">
        <v>17680504</v>
      </c>
      <c r="D636" t="s">
        <v>48</v>
      </c>
      <c r="E636" t="s">
        <v>50</v>
      </c>
      <c r="F636" s="4">
        <v>41413</v>
      </c>
      <c r="G636" s="4">
        <v>41503</v>
      </c>
      <c r="H636" t="s">
        <v>45</v>
      </c>
      <c r="I636" t="s">
        <v>47</v>
      </c>
      <c r="J636" t="s">
        <v>10</v>
      </c>
      <c r="K636">
        <v>1</v>
      </c>
    </row>
    <row r="637" spans="1:11" x14ac:dyDescent="0.25">
      <c r="A637" t="s">
        <v>18</v>
      </c>
      <c r="B637" t="s">
        <v>19</v>
      </c>
      <c r="C637">
        <v>17680504</v>
      </c>
      <c r="D637" t="s">
        <v>48</v>
      </c>
      <c r="E637" t="s">
        <v>50</v>
      </c>
      <c r="F637" s="4">
        <v>41413</v>
      </c>
      <c r="G637" s="4">
        <v>41503</v>
      </c>
      <c r="H637" t="s">
        <v>45</v>
      </c>
      <c r="I637" t="s">
        <v>47</v>
      </c>
      <c r="J637" t="s">
        <v>11</v>
      </c>
      <c r="K637">
        <v>1</v>
      </c>
    </row>
    <row r="638" spans="1:11" x14ac:dyDescent="0.25">
      <c r="A638" t="s">
        <v>18</v>
      </c>
      <c r="B638" t="s">
        <v>19</v>
      </c>
      <c r="C638">
        <v>17680504</v>
      </c>
      <c r="D638" t="s">
        <v>48</v>
      </c>
      <c r="E638" t="s">
        <v>50</v>
      </c>
      <c r="F638" s="4">
        <v>41413</v>
      </c>
      <c r="G638" s="4">
        <v>41503</v>
      </c>
      <c r="H638" t="s">
        <v>45</v>
      </c>
      <c r="I638" t="s">
        <v>47</v>
      </c>
      <c r="J638" t="s">
        <v>12</v>
      </c>
      <c r="K638">
        <v>1</v>
      </c>
    </row>
    <row r="639" spans="1:11" x14ac:dyDescent="0.25">
      <c r="A639" t="s">
        <v>18</v>
      </c>
      <c r="B639" t="s">
        <v>19</v>
      </c>
      <c r="C639">
        <v>17680504</v>
      </c>
      <c r="D639" t="s">
        <v>48</v>
      </c>
      <c r="E639" t="s">
        <v>50</v>
      </c>
      <c r="F639" s="4">
        <v>41413</v>
      </c>
      <c r="G639" s="4">
        <v>41503</v>
      </c>
      <c r="H639" t="s">
        <v>45</v>
      </c>
      <c r="I639" t="s">
        <v>47</v>
      </c>
      <c r="J639" t="s">
        <v>13</v>
      </c>
      <c r="K639">
        <v>0</v>
      </c>
    </row>
    <row r="640" spans="1:11" x14ac:dyDescent="0.25">
      <c r="A640" t="s">
        <v>18</v>
      </c>
      <c r="B640" t="s">
        <v>19</v>
      </c>
      <c r="C640">
        <v>17680504</v>
      </c>
      <c r="D640" t="s">
        <v>48</v>
      </c>
      <c r="E640" t="s">
        <v>50</v>
      </c>
      <c r="F640" s="4">
        <v>41413</v>
      </c>
      <c r="G640" s="4">
        <v>41503</v>
      </c>
      <c r="H640" t="s">
        <v>45</v>
      </c>
      <c r="I640" t="s">
        <v>47</v>
      </c>
      <c r="J640" t="s">
        <v>14</v>
      </c>
      <c r="K640">
        <v>1</v>
      </c>
    </row>
    <row r="641" spans="1:11" x14ac:dyDescent="0.25">
      <c r="A641" t="s">
        <v>18</v>
      </c>
      <c r="B641" t="s">
        <v>19</v>
      </c>
      <c r="C641">
        <v>17680504</v>
      </c>
      <c r="D641" t="s">
        <v>48</v>
      </c>
      <c r="E641" t="s">
        <v>50</v>
      </c>
      <c r="F641" s="4">
        <v>41413</v>
      </c>
      <c r="G641" s="4">
        <v>41503</v>
      </c>
      <c r="H641" t="s">
        <v>45</v>
      </c>
      <c r="I641" t="s">
        <v>47</v>
      </c>
      <c r="J641" t="s">
        <v>15</v>
      </c>
      <c r="K641">
        <v>1</v>
      </c>
    </row>
    <row r="642" spans="1:11" x14ac:dyDescent="0.25">
      <c r="A642" t="s">
        <v>18</v>
      </c>
      <c r="B642" t="s">
        <v>20</v>
      </c>
      <c r="C642">
        <v>17680504</v>
      </c>
      <c r="D642" t="s">
        <v>48</v>
      </c>
      <c r="E642" t="s">
        <v>50</v>
      </c>
      <c r="F642" s="4">
        <v>41413</v>
      </c>
      <c r="G642" s="4">
        <v>41641</v>
      </c>
      <c r="H642" t="s">
        <v>45</v>
      </c>
      <c r="I642" t="s">
        <v>47</v>
      </c>
      <c r="J642" t="s">
        <v>6</v>
      </c>
      <c r="K642">
        <v>1</v>
      </c>
    </row>
    <row r="643" spans="1:11" x14ac:dyDescent="0.25">
      <c r="A643" t="s">
        <v>18</v>
      </c>
      <c r="B643" t="s">
        <v>20</v>
      </c>
      <c r="C643">
        <v>17680504</v>
      </c>
      <c r="D643" t="s">
        <v>48</v>
      </c>
      <c r="E643" t="s">
        <v>50</v>
      </c>
      <c r="F643" s="4">
        <v>41413</v>
      </c>
      <c r="G643" s="4">
        <v>41641</v>
      </c>
      <c r="H643" t="s">
        <v>45</v>
      </c>
      <c r="I643" t="s">
        <v>47</v>
      </c>
      <c r="J643" t="s">
        <v>7</v>
      </c>
      <c r="K643">
        <v>2</v>
      </c>
    </row>
    <row r="644" spans="1:11" x14ac:dyDescent="0.25">
      <c r="A644" t="s">
        <v>18</v>
      </c>
      <c r="B644" t="s">
        <v>20</v>
      </c>
      <c r="C644">
        <v>17680504</v>
      </c>
      <c r="D644" t="s">
        <v>48</v>
      </c>
      <c r="E644" t="s">
        <v>50</v>
      </c>
      <c r="F644" s="4">
        <v>41413</v>
      </c>
      <c r="G644" s="4">
        <v>41641</v>
      </c>
      <c r="H644" t="s">
        <v>45</v>
      </c>
      <c r="I644" t="s">
        <v>47</v>
      </c>
      <c r="J644" t="s">
        <v>8</v>
      </c>
      <c r="K644">
        <v>3</v>
      </c>
    </row>
    <row r="645" spans="1:11" x14ac:dyDescent="0.25">
      <c r="A645" t="s">
        <v>18</v>
      </c>
      <c r="B645" t="s">
        <v>20</v>
      </c>
      <c r="C645">
        <v>17680504</v>
      </c>
      <c r="D645" t="s">
        <v>48</v>
      </c>
      <c r="E645" t="s">
        <v>50</v>
      </c>
      <c r="F645" s="4">
        <v>41413</v>
      </c>
      <c r="G645" s="4">
        <v>41641</v>
      </c>
      <c r="H645" t="s">
        <v>45</v>
      </c>
      <c r="I645" t="s">
        <v>47</v>
      </c>
      <c r="J645" t="s">
        <v>9</v>
      </c>
      <c r="K645">
        <v>0</v>
      </c>
    </row>
    <row r="646" spans="1:11" x14ac:dyDescent="0.25">
      <c r="A646" t="s">
        <v>18</v>
      </c>
      <c r="B646" t="s">
        <v>20</v>
      </c>
      <c r="C646">
        <v>17680504</v>
      </c>
      <c r="D646" t="s">
        <v>48</v>
      </c>
      <c r="E646" t="s">
        <v>50</v>
      </c>
      <c r="F646" s="4">
        <v>41413</v>
      </c>
      <c r="G646" s="4">
        <v>41641</v>
      </c>
      <c r="H646" t="s">
        <v>45</v>
      </c>
      <c r="I646" t="s">
        <v>47</v>
      </c>
      <c r="J646" t="s">
        <v>10</v>
      </c>
      <c r="K646">
        <v>1</v>
      </c>
    </row>
    <row r="647" spans="1:11" x14ac:dyDescent="0.25">
      <c r="A647" t="s">
        <v>18</v>
      </c>
      <c r="B647" t="s">
        <v>20</v>
      </c>
      <c r="C647">
        <v>17680504</v>
      </c>
      <c r="D647" t="s">
        <v>48</v>
      </c>
      <c r="E647" t="s">
        <v>50</v>
      </c>
      <c r="F647" s="4">
        <v>41413</v>
      </c>
      <c r="G647" s="4">
        <v>41641</v>
      </c>
      <c r="H647" t="s">
        <v>45</v>
      </c>
      <c r="I647" t="s">
        <v>47</v>
      </c>
      <c r="J647" t="s">
        <v>11</v>
      </c>
      <c r="K647">
        <v>1</v>
      </c>
    </row>
    <row r="648" spans="1:11" x14ac:dyDescent="0.25">
      <c r="A648" t="s">
        <v>18</v>
      </c>
      <c r="B648" t="s">
        <v>20</v>
      </c>
      <c r="C648">
        <v>17680504</v>
      </c>
      <c r="D648" t="s">
        <v>48</v>
      </c>
      <c r="E648" t="s">
        <v>50</v>
      </c>
      <c r="F648" s="4">
        <v>41413</v>
      </c>
      <c r="G648" s="4">
        <v>41641</v>
      </c>
      <c r="H648" t="s">
        <v>45</v>
      </c>
      <c r="I648" t="s">
        <v>47</v>
      </c>
      <c r="J648" t="s">
        <v>12</v>
      </c>
      <c r="K648">
        <v>0</v>
      </c>
    </row>
    <row r="649" spans="1:11" x14ac:dyDescent="0.25">
      <c r="A649" t="s">
        <v>18</v>
      </c>
      <c r="B649" t="s">
        <v>20</v>
      </c>
      <c r="C649">
        <v>17680504</v>
      </c>
      <c r="D649" t="s">
        <v>48</v>
      </c>
      <c r="E649" t="s">
        <v>50</v>
      </c>
      <c r="F649" s="4">
        <v>41413</v>
      </c>
      <c r="G649" s="4">
        <v>41641</v>
      </c>
      <c r="H649" t="s">
        <v>45</v>
      </c>
      <c r="I649" t="s">
        <v>47</v>
      </c>
      <c r="J649" t="s">
        <v>13</v>
      </c>
      <c r="K649">
        <v>1</v>
      </c>
    </row>
    <row r="650" spans="1:11" x14ac:dyDescent="0.25">
      <c r="A650" t="s">
        <v>18</v>
      </c>
      <c r="B650" t="s">
        <v>20</v>
      </c>
      <c r="C650">
        <v>17680504</v>
      </c>
      <c r="D650" t="s">
        <v>48</v>
      </c>
      <c r="E650" t="s">
        <v>50</v>
      </c>
      <c r="F650" s="4">
        <v>41413</v>
      </c>
      <c r="G650" s="4">
        <v>41641</v>
      </c>
      <c r="H650" t="s">
        <v>45</v>
      </c>
      <c r="I650" t="s">
        <v>47</v>
      </c>
      <c r="J650" t="s">
        <v>14</v>
      </c>
      <c r="K650">
        <v>3</v>
      </c>
    </row>
    <row r="651" spans="1:11" x14ac:dyDescent="0.25">
      <c r="A651" t="s">
        <v>18</v>
      </c>
      <c r="B651" t="s">
        <v>20</v>
      </c>
      <c r="C651">
        <v>17680504</v>
      </c>
      <c r="D651" t="s">
        <v>48</v>
      </c>
      <c r="E651" t="s">
        <v>50</v>
      </c>
      <c r="F651" s="4">
        <v>41413</v>
      </c>
      <c r="G651" s="4">
        <v>41641</v>
      </c>
      <c r="H651" t="s">
        <v>45</v>
      </c>
      <c r="I651" t="s">
        <v>47</v>
      </c>
      <c r="J651" t="s">
        <v>15</v>
      </c>
      <c r="K651">
        <v>2</v>
      </c>
    </row>
    <row r="652" spans="1:11" x14ac:dyDescent="0.25">
      <c r="A652" t="s">
        <v>18</v>
      </c>
      <c r="B652" t="s">
        <v>21</v>
      </c>
      <c r="C652">
        <v>17680504</v>
      </c>
      <c r="D652" t="s">
        <v>48</v>
      </c>
      <c r="E652" t="s">
        <v>50</v>
      </c>
      <c r="F652" s="4">
        <v>41413</v>
      </c>
      <c r="G652" s="4">
        <v>41717</v>
      </c>
      <c r="H652" t="s">
        <v>45</v>
      </c>
      <c r="I652" t="s">
        <v>47</v>
      </c>
      <c r="J652" t="s">
        <v>6</v>
      </c>
      <c r="K652">
        <v>1</v>
      </c>
    </row>
    <row r="653" spans="1:11" x14ac:dyDescent="0.25">
      <c r="A653" t="s">
        <v>18</v>
      </c>
      <c r="B653" t="s">
        <v>21</v>
      </c>
      <c r="C653">
        <v>17680504</v>
      </c>
      <c r="D653" t="s">
        <v>48</v>
      </c>
      <c r="E653" t="s">
        <v>50</v>
      </c>
      <c r="F653" s="4">
        <v>41413</v>
      </c>
      <c r="G653" s="4">
        <v>41717</v>
      </c>
      <c r="H653" t="s">
        <v>45</v>
      </c>
      <c r="I653" t="s">
        <v>47</v>
      </c>
      <c r="J653" t="s">
        <v>7</v>
      </c>
      <c r="K653">
        <v>1</v>
      </c>
    </row>
    <row r="654" spans="1:11" x14ac:dyDescent="0.25">
      <c r="A654" t="s">
        <v>18</v>
      </c>
      <c r="B654" t="s">
        <v>21</v>
      </c>
      <c r="C654">
        <v>17680504</v>
      </c>
      <c r="D654" t="s">
        <v>48</v>
      </c>
      <c r="E654" t="s">
        <v>50</v>
      </c>
      <c r="F654" s="4">
        <v>41413</v>
      </c>
      <c r="G654" s="4">
        <v>41717</v>
      </c>
      <c r="H654" t="s">
        <v>45</v>
      </c>
      <c r="I654" t="s">
        <v>47</v>
      </c>
      <c r="J654" t="s">
        <v>8</v>
      </c>
      <c r="K654">
        <v>2</v>
      </c>
    </row>
    <row r="655" spans="1:11" x14ac:dyDescent="0.25">
      <c r="A655" t="s">
        <v>18</v>
      </c>
      <c r="B655" t="s">
        <v>21</v>
      </c>
      <c r="C655">
        <v>17680504</v>
      </c>
      <c r="D655" t="s">
        <v>48</v>
      </c>
      <c r="E655" t="s">
        <v>50</v>
      </c>
      <c r="F655" s="4">
        <v>41413</v>
      </c>
      <c r="G655" s="4">
        <v>41717</v>
      </c>
      <c r="H655" t="s">
        <v>45</v>
      </c>
      <c r="I655" t="s">
        <v>47</v>
      </c>
      <c r="J655" t="s">
        <v>9</v>
      </c>
      <c r="K655">
        <v>0</v>
      </c>
    </row>
    <row r="656" spans="1:11" x14ac:dyDescent="0.25">
      <c r="A656" t="s">
        <v>18</v>
      </c>
      <c r="B656" t="s">
        <v>21</v>
      </c>
      <c r="C656">
        <v>17680504</v>
      </c>
      <c r="D656" t="s">
        <v>48</v>
      </c>
      <c r="E656" t="s">
        <v>50</v>
      </c>
      <c r="F656" s="4">
        <v>41413</v>
      </c>
      <c r="G656" s="4">
        <v>41717</v>
      </c>
      <c r="H656" t="s">
        <v>45</v>
      </c>
      <c r="I656" t="s">
        <v>47</v>
      </c>
      <c r="J656" t="s">
        <v>10</v>
      </c>
      <c r="K656">
        <v>1</v>
      </c>
    </row>
    <row r="657" spans="1:11" x14ac:dyDescent="0.25">
      <c r="A657" t="s">
        <v>18</v>
      </c>
      <c r="B657" t="s">
        <v>21</v>
      </c>
      <c r="C657">
        <v>17680504</v>
      </c>
      <c r="D657" t="s">
        <v>48</v>
      </c>
      <c r="E657" t="s">
        <v>50</v>
      </c>
      <c r="F657" s="4">
        <v>41413</v>
      </c>
      <c r="G657" s="4">
        <v>41717</v>
      </c>
      <c r="H657" t="s">
        <v>45</v>
      </c>
      <c r="I657" t="s">
        <v>47</v>
      </c>
      <c r="J657" t="s">
        <v>11</v>
      </c>
      <c r="K657">
        <v>3</v>
      </c>
    </row>
    <row r="658" spans="1:11" x14ac:dyDescent="0.25">
      <c r="A658" t="s">
        <v>18</v>
      </c>
      <c r="B658" t="s">
        <v>21</v>
      </c>
      <c r="C658">
        <v>17680504</v>
      </c>
      <c r="D658" t="s">
        <v>48</v>
      </c>
      <c r="E658" t="s">
        <v>50</v>
      </c>
      <c r="F658" s="4">
        <v>41413</v>
      </c>
      <c r="G658" s="4">
        <v>41717</v>
      </c>
      <c r="H658" t="s">
        <v>45</v>
      </c>
      <c r="I658" t="s">
        <v>47</v>
      </c>
      <c r="J658" t="s">
        <v>12</v>
      </c>
      <c r="K658">
        <v>1</v>
      </c>
    </row>
    <row r="659" spans="1:11" x14ac:dyDescent="0.25">
      <c r="A659" t="s">
        <v>18</v>
      </c>
      <c r="B659" t="s">
        <v>21</v>
      </c>
      <c r="C659">
        <v>17680504</v>
      </c>
      <c r="D659" t="s">
        <v>48</v>
      </c>
      <c r="E659" t="s">
        <v>50</v>
      </c>
      <c r="F659" s="4">
        <v>41413</v>
      </c>
      <c r="G659" s="4">
        <v>41717</v>
      </c>
      <c r="H659" t="s">
        <v>45</v>
      </c>
      <c r="I659" t="s">
        <v>47</v>
      </c>
      <c r="J659" t="s">
        <v>13</v>
      </c>
      <c r="K659">
        <v>1</v>
      </c>
    </row>
    <row r="660" spans="1:11" x14ac:dyDescent="0.25">
      <c r="A660" t="s">
        <v>18</v>
      </c>
      <c r="B660" t="s">
        <v>21</v>
      </c>
      <c r="C660">
        <v>17680504</v>
      </c>
      <c r="D660" t="s">
        <v>48</v>
      </c>
      <c r="E660" t="s">
        <v>50</v>
      </c>
      <c r="F660" s="4">
        <v>41413</v>
      </c>
      <c r="G660" s="4">
        <v>41717</v>
      </c>
      <c r="H660" t="s">
        <v>45</v>
      </c>
      <c r="I660" t="s">
        <v>47</v>
      </c>
      <c r="J660" t="s">
        <v>14</v>
      </c>
      <c r="K660">
        <v>1</v>
      </c>
    </row>
    <row r="661" spans="1:11" x14ac:dyDescent="0.25">
      <c r="A661" t="s">
        <v>18</v>
      </c>
      <c r="B661" t="s">
        <v>21</v>
      </c>
      <c r="C661">
        <v>17680504</v>
      </c>
      <c r="D661" t="s">
        <v>48</v>
      </c>
      <c r="E661" t="s">
        <v>50</v>
      </c>
      <c r="F661" s="4">
        <v>41413</v>
      </c>
      <c r="G661" s="4">
        <v>41717</v>
      </c>
      <c r="H661" t="s">
        <v>45</v>
      </c>
      <c r="I661" t="s">
        <v>47</v>
      </c>
      <c r="J661" t="s">
        <v>15</v>
      </c>
      <c r="K661">
        <v>1</v>
      </c>
    </row>
    <row r="662" spans="1:11" x14ac:dyDescent="0.25">
      <c r="A662" t="s">
        <v>18</v>
      </c>
      <c r="B662" t="s">
        <v>19</v>
      </c>
      <c r="C662">
        <v>17680504</v>
      </c>
      <c r="D662" t="s">
        <v>48</v>
      </c>
      <c r="E662" t="s">
        <v>50</v>
      </c>
      <c r="F662" s="4">
        <v>41413</v>
      </c>
      <c r="G662" s="4">
        <v>41798</v>
      </c>
      <c r="H662" t="s">
        <v>45</v>
      </c>
      <c r="I662" t="s">
        <v>47</v>
      </c>
      <c r="J662" t="s">
        <v>6</v>
      </c>
      <c r="K662">
        <v>2</v>
      </c>
    </row>
    <row r="663" spans="1:11" x14ac:dyDescent="0.25">
      <c r="A663" t="s">
        <v>18</v>
      </c>
      <c r="B663" t="s">
        <v>19</v>
      </c>
      <c r="C663">
        <v>17680504</v>
      </c>
      <c r="D663" t="s">
        <v>48</v>
      </c>
      <c r="E663" t="s">
        <v>50</v>
      </c>
      <c r="F663" s="4">
        <v>41413</v>
      </c>
      <c r="G663" s="4">
        <v>41798</v>
      </c>
      <c r="H663" t="s">
        <v>45</v>
      </c>
      <c r="I663" t="s">
        <v>47</v>
      </c>
      <c r="J663" t="s">
        <v>7</v>
      </c>
      <c r="K663">
        <v>2</v>
      </c>
    </row>
    <row r="664" spans="1:11" x14ac:dyDescent="0.25">
      <c r="A664" t="s">
        <v>18</v>
      </c>
      <c r="B664" t="s">
        <v>19</v>
      </c>
      <c r="C664">
        <v>17680504</v>
      </c>
      <c r="D664" t="s">
        <v>48</v>
      </c>
      <c r="E664" t="s">
        <v>50</v>
      </c>
      <c r="F664" s="4">
        <v>41413</v>
      </c>
      <c r="G664" s="4">
        <v>41798</v>
      </c>
      <c r="H664" t="s">
        <v>45</v>
      </c>
      <c r="I664" t="s">
        <v>47</v>
      </c>
      <c r="J664" t="s">
        <v>8</v>
      </c>
      <c r="K664">
        <v>1</v>
      </c>
    </row>
    <row r="665" spans="1:11" x14ac:dyDescent="0.25">
      <c r="A665" t="s">
        <v>18</v>
      </c>
      <c r="B665" t="s">
        <v>19</v>
      </c>
      <c r="C665">
        <v>17680504</v>
      </c>
      <c r="D665" t="s">
        <v>48</v>
      </c>
      <c r="E665" t="s">
        <v>50</v>
      </c>
      <c r="F665" s="4">
        <v>41413</v>
      </c>
      <c r="G665" s="4">
        <v>41798</v>
      </c>
      <c r="H665" t="s">
        <v>45</v>
      </c>
      <c r="I665" t="s">
        <v>47</v>
      </c>
      <c r="J665" t="s">
        <v>9</v>
      </c>
      <c r="K665">
        <v>2</v>
      </c>
    </row>
    <row r="666" spans="1:11" x14ac:dyDescent="0.25">
      <c r="A666" t="s">
        <v>18</v>
      </c>
      <c r="B666" t="s">
        <v>19</v>
      </c>
      <c r="C666">
        <v>17680504</v>
      </c>
      <c r="D666" t="s">
        <v>48</v>
      </c>
      <c r="E666" t="s">
        <v>50</v>
      </c>
      <c r="F666" s="4">
        <v>41413</v>
      </c>
      <c r="G666" s="4">
        <v>41798</v>
      </c>
      <c r="H666" t="s">
        <v>45</v>
      </c>
      <c r="I666" t="s">
        <v>47</v>
      </c>
      <c r="J666" t="s">
        <v>10</v>
      </c>
      <c r="K666">
        <v>3</v>
      </c>
    </row>
    <row r="667" spans="1:11" x14ac:dyDescent="0.25">
      <c r="A667" t="s">
        <v>18</v>
      </c>
      <c r="B667" t="s">
        <v>19</v>
      </c>
      <c r="C667">
        <v>17680504</v>
      </c>
      <c r="D667" t="s">
        <v>48</v>
      </c>
      <c r="E667" t="s">
        <v>50</v>
      </c>
      <c r="F667" s="4">
        <v>41413</v>
      </c>
      <c r="G667" s="4">
        <v>41798</v>
      </c>
      <c r="H667" t="s">
        <v>45</v>
      </c>
      <c r="I667" t="s">
        <v>47</v>
      </c>
      <c r="J667" t="s">
        <v>11</v>
      </c>
      <c r="K667">
        <v>1</v>
      </c>
    </row>
    <row r="668" spans="1:11" x14ac:dyDescent="0.25">
      <c r="A668" t="s">
        <v>18</v>
      </c>
      <c r="B668" t="s">
        <v>19</v>
      </c>
      <c r="C668">
        <v>17680504</v>
      </c>
      <c r="D668" t="s">
        <v>48</v>
      </c>
      <c r="E668" t="s">
        <v>50</v>
      </c>
      <c r="F668" s="4">
        <v>41413</v>
      </c>
      <c r="G668" s="4">
        <v>41798</v>
      </c>
      <c r="H668" t="s">
        <v>45</v>
      </c>
      <c r="I668" t="s">
        <v>47</v>
      </c>
      <c r="J668" t="s">
        <v>12</v>
      </c>
      <c r="K668">
        <v>1</v>
      </c>
    </row>
    <row r="669" spans="1:11" x14ac:dyDescent="0.25">
      <c r="A669" t="s">
        <v>18</v>
      </c>
      <c r="B669" t="s">
        <v>19</v>
      </c>
      <c r="C669">
        <v>17680504</v>
      </c>
      <c r="D669" t="s">
        <v>48</v>
      </c>
      <c r="E669" t="s">
        <v>50</v>
      </c>
      <c r="F669" s="4">
        <v>41413</v>
      </c>
      <c r="G669" s="4">
        <v>41798</v>
      </c>
      <c r="H669" t="s">
        <v>45</v>
      </c>
      <c r="I669" t="s">
        <v>47</v>
      </c>
      <c r="J669" t="s">
        <v>13</v>
      </c>
      <c r="K669">
        <v>1</v>
      </c>
    </row>
    <row r="670" spans="1:11" x14ac:dyDescent="0.25">
      <c r="A670" t="s">
        <v>18</v>
      </c>
      <c r="B670" t="s">
        <v>19</v>
      </c>
      <c r="C670">
        <v>17680504</v>
      </c>
      <c r="D670" t="s">
        <v>48</v>
      </c>
      <c r="E670" t="s">
        <v>50</v>
      </c>
      <c r="F670" s="4">
        <v>41413</v>
      </c>
      <c r="G670" s="4">
        <v>41798</v>
      </c>
      <c r="H670" t="s">
        <v>45</v>
      </c>
      <c r="I670" t="s">
        <v>47</v>
      </c>
      <c r="J670" t="s">
        <v>14</v>
      </c>
      <c r="K670">
        <v>3</v>
      </c>
    </row>
    <row r="671" spans="1:11" x14ac:dyDescent="0.25">
      <c r="A671" t="s">
        <v>18</v>
      </c>
      <c r="B671" t="s">
        <v>19</v>
      </c>
      <c r="C671">
        <v>17680504</v>
      </c>
      <c r="D671" t="s">
        <v>48</v>
      </c>
      <c r="E671" t="s">
        <v>50</v>
      </c>
      <c r="F671" s="4">
        <v>41413</v>
      </c>
      <c r="G671" s="4">
        <v>41798</v>
      </c>
      <c r="H671" t="s">
        <v>45</v>
      </c>
      <c r="I671" t="s">
        <v>47</v>
      </c>
      <c r="J671" t="s">
        <v>15</v>
      </c>
      <c r="K671">
        <v>2</v>
      </c>
    </row>
    <row r="672" spans="1:11" x14ac:dyDescent="0.25">
      <c r="A672" t="s">
        <v>18</v>
      </c>
      <c r="B672" t="s">
        <v>20</v>
      </c>
      <c r="C672">
        <v>17680504</v>
      </c>
      <c r="D672" t="s">
        <v>48</v>
      </c>
      <c r="E672" t="s">
        <v>50</v>
      </c>
      <c r="F672" s="4">
        <v>41413</v>
      </c>
      <c r="G672" s="4">
        <v>41836</v>
      </c>
      <c r="H672" t="s">
        <v>45</v>
      </c>
      <c r="I672" t="s">
        <v>47</v>
      </c>
      <c r="J672" t="s">
        <v>6</v>
      </c>
      <c r="K672">
        <v>2</v>
      </c>
    </row>
    <row r="673" spans="1:11" x14ac:dyDescent="0.25">
      <c r="A673" t="s">
        <v>18</v>
      </c>
      <c r="B673" t="s">
        <v>20</v>
      </c>
      <c r="C673">
        <v>17680504</v>
      </c>
      <c r="D673" t="s">
        <v>48</v>
      </c>
      <c r="E673" t="s">
        <v>50</v>
      </c>
      <c r="F673" s="4">
        <v>41413</v>
      </c>
      <c r="G673" s="4">
        <v>41836</v>
      </c>
      <c r="H673" t="s">
        <v>45</v>
      </c>
      <c r="I673" t="s">
        <v>47</v>
      </c>
      <c r="J673" t="s">
        <v>7</v>
      </c>
      <c r="K673">
        <v>0</v>
      </c>
    </row>
    <row r="674" spans="1:11" x14ac:dyDescent="0.25">
      <c r="A674" t="s">
        <v>18</v>
      </c>
      <c r="B674" t="s">
        <v>20</v>
      </c>
      <c r="C674">
        <v>17680504</v>
      </c>
      <c r="D674" t="s">
        <v>48</v>
      </c>
      <c r="E674" t="s">
        <v>50</v>
      </c>
      <c r="F674" s="4">
        <v>41413</v>
      </c>
      <c r="G674" s="4">
        <v>41836</v>
      </c>
      <c r="H674" t="s">
        <v>45</v>
      </c>
      <c r="I674" t="s">
        <v>47</v>
      </c>
      <c r="J674" t="s">
        <v>8</v>
      </c>
      <c r="K674">
        <v>1</v>
      </c>
    </row>
    <row r="675" spans="1:11" x14ac:dyDescent="0.25">
      <c r="A675" t="s">
        <v>18</v>
      </c>
      <c r="B675" t="s">
        <v>20</v>
      </c>
      <c r="C675">
        <v>17680504</v>
      </c>
      <c r="D675" t="s">
        <v>48</v>
      </c>
      <c r="E675" t="s">
        <v>50</v>
      </c>
      <c r="F675" s="4">
        <v>41413</v>
      </c>
      <c r="G675" s="4">
        <v>41836</v>
      </c>
      <c r="H675" t="s">
        <v>45</v>
      </c>
      <c r="I675" t="s">
        <v>47</v>
      </c>
      <c r="J675" t="s">
        <v>9</v>
      </c>
      <c r="K675">
        <v>2</v>
      </c>
    </row>
    <row r="676" spans="1:11" x14ac:dyDescent="0.25">
      <c r="A676" t="s">
        <v>18</v>
      </c>
      <c r="B676" t="s">
        <v>20</v>
      </c>
      <c r="C676">
        <v>17680504</v>
      </c>
      <c r="D676" t="s">
        <v>48</v>
      </c>
      <c r="E676" t="s">
        <v>50</v>
      </c>
      <c r="F676" s="4">
        <v>41413</v>
      </c>
      <c r="G676" s="4">
        <v>41836</v>
      </c>
      <c r="H676" t="s">
        <v>45</v>
      </c>
      <c r="I676" t="s">
        <v>47</v>
      </c>
      <c r="J676" t="s">
        <v>10</v>
      </c>
      <c r="K676">
        <v>0</v>
      </c>
    </row>
    <row r="677" spans="1:11" x14ac:dyDescent="0.25">
      <c r="A677" t="s">
        <v>18</v>
      </c>
      <c r="B677" t="s">
        <v>20</v>
      </c>
      <c r="C677">
        <v>17680504</v>
      </c>
      <c r="D677" t="s">
        <v>48</v>
      </c>
      <c r="E677" t="s">
        <v>50</v>
      </c>
      <c r="F677" s="4">
        <v>41413</v>
      </c>
      <c r="G677" s="4">
        <v>41836</v>
      </c>
      <c r="H677" t="s">
        <v>45</v>
      </c>
      <c r="I677" t="s">
        <v>47</v>
      </c>
      <c r="J677" t="s">
        <v>11</v>
      </c>
      <c r="K677">
        <v>0</v>
      </c>
    </row>
    <row r="678" spans="1:11" x14ac:dyDescent="0.25">
      <c r="A678" t="s">
        <v>18</v>
      </c>
      <c r="B678" t="s">
        <v>20</v>
      </c>
      <c r="C678">
        <v>17680504</v>
      </c>
      <c r="D678" t="s">
        <v>48</v>
      </c>
      <c r="E678" t="s">
        <v>50</v>
      </c>
      <c r="F678" s="4">
        <v>41413</v>
      </c>
      <c r="G678" s="4">
        <v>41836</v>
      </c>
      <c r="H678" t="s">
        <v>45</v>
      </c>
      <c r="I678" t="s">
        <v>47</v>
      </c>
      <c r="J678" t="s">
        <v>12</v>
      </c>
      <c r="K678">
        <v>1</v>
      </c>
    </row>
    <row r="679" spans="1:11" x14ac:dyDescent="0.25">
      <c r="A679" t="s">
        <v>18</v>
      </c>
      <c r="B679" t="s">
        <v>20</v>
      </c>
      <c r="C679">
        <v>17680504</v>
      </c>
      <c r="D679" t="s">
        <v>48</v>
      </c>
      <c r="E679" t="s">
        <v>50</v>
      </c>
      <c r="F679" s="4">
        <v>41413</v>
      </c>
      <c r="G679" s="4">
        <v>41836</v>
      </c>
      <c r="H679" t="s">
        <v>45</v>
      </c>
      <c r="I679" t="s">
        <v>47</v>
      </c>
      <c r="J679" t="s">
        <v>13</v>
      </c>
      <c r="K679">
        <v>1</v>
      </c>
    </row>
    <row r="680" spans="1:11" x14ac:dyDescent="0.25">
      <c r="A680" t="s">
        <v>18</v>
      </c>
      <c r="B680" t="s">
        <v>20</v>
      </c>
      <c r="C680">
        <v>17680504</v>
      </c>
      <c r="D680" t="s">
        <v>48</v>
      </c>
      <c r="E680" t="s">
        <v>50</v>
      </c>
      <c r="F680" s="4">
        <v>41413</v>
      </c>
      <c r="G680" s="4">
        <v>41836</v>
      </c>
      <c r="H680" t="s">
        <v>45</v>
      </c>
      <c r="I680" t="s">
        <v>47</v>
      </c>
      <c r="J680" t="s">
        <v>14</v>
      </c>
      <c r="K680">
        <v>0</v>
      </c>
    </row>
    <row r="681" spans="1:11" x14ac:dyDescent="0.25">
      <c r="A681" t="s">
        <v>18</v>
      </c>
      <c r="B681" t="s">
        <v>20</v>
      </c>
      <c r="C681">
        <v>17680504</v>
      </c>
      <c r="D681" t="s">
        <v>48</v>
      </c>
      <c r="E681" t="s">
        <v>50</v>
      </c>
      <c r="F681" s="4">
        <v>41413</v>
      </c>
      <c r="G681" s="4">
        <v>41836</v>
      </c>
      <c r="H681" t="s">
        <v>45</v>
      </c>
      <c r="I681" t="s">
        <v>47</v>
      </c>
      <c r="J681" t="s">
        <v>15</v>
      </c>
      <c r="K681">
        <v>1</v>
      </c>
    </row>
    <row r="682" spans="1:11" x14ac:dyDescent="0.25">
      <c r="A682" t="s">
        <v>18</v>
      </c>
      <c r="B682" t="s">
        <v>21</v>
      </c>
      <c r="C682">
        <v>50346134</v>
      </c>
      <c r="D682" t="s">
        <v>48</v>
      </c>
      <c r="E682" t="s">
        <v>44</v>
      </c>
      <c r="F682" s="4">
        <v>41477</v>
      </c>
      <c r="G682" s="4">
        <v>41482</v>
      </c>
      <c r="H682" t="s">
        <v>45</v>
      </c>
      <c r="I682" t="s">
        <v>46</v>
      </c>
      <c r="J682" t="s">
        <v>6</v>
      </c>
      <c r="K682">
        <v>1</v>
      </c>
    </row>
    <row r="683" spans="1:11" x14ac:dyDescent="0.25">
      <c r="A683" t="s">
        <v>18</v>
      </c>
      <c r="B683" t="s">
        <v>21</v>
      </c>
      <c r="C683">
        <v>50346134</v>
      </c>
      <c r="D683" t="s">
        <v>48</v>
      </c>
      <c r="E683" t="s">
        <v>44</v>
      </c>
      <c r="F683" s="4">
        <v>41477</v>
      </c>
      <c r="G683" s="4">
        <v>41482</v>
      </c>
      <c r="H683" t="s">
        <v>45</v>
      </c>
      <c r="I683" t="s">
        <v>46</v>
      </c>
      <c r="J683" t="s">
        <v>7</v>
      </c>
      <c r="K683">
        <v>1</v>
      </c>
    </row>
    <row r="684" spans="1:11" x14ac:dyDescent="0.25">
      <c r="A684" t="s">
        <v>18</v>
      </c>
      <c r="B684" t="s">
        <v>21</v>
      </c>
      <c r="C684">
        <v>50346134</v>
      </c>
      <c r="D684" t="s">
        <v>48</v>
      </c>
      <c r="E684" t="s">
        <v>44</v>
      </c>
      <c r="F684" s="4">
        <v>41477</v>
      </c>
      <c r="G684" s="4">
        <v>41482</v>
      </c>
      <c r="H684" t="s">
        <v>45</v>
      </c>
      <c r="I684" t="s">
        <v>46</v>
      </c>
      <c r="J684" t="s">
        <v>8</v>
      </c>
      <c r="K684">
        <v>3</v>
      </c>
    </row>
    <row r="685" spans="1:11" x14ac:dyDescent="0.25">
      <c r="A685" t="s">
        <v>18</v>
      </c>
      <c r="B685" t="s">
        <v>21</v>
      </c>
      <c r="C685">
        <v>50346134</v>
      </c>
      <c r="D685" t="s">
        <v>48</v>
      </c>
      <c r="E685" t="s">
        <v>44</v>
      </c>
      <c r="F685" s="4">
        <v>41477</v>
      </c>
      <c r="G685" s="4">
        <v>41482</v>
      </c>
      <c r="H685" t="s">
        <v>45</v>
      </c>
      <c r="I685" t="s">
        <v>46</v>
      </c>
      <c r="J685" t="s">
        <v>9</v>
      </c>
      <c r="K685">
        <v>0</v>
      </c>
    </row>
    <row r="686" spans="1:11" x14ac:dyDescent="0.25">
      <c r="A686" t="s">
        <v>18</v>
      </c>
      <c r="B686" t="s">
        <v>21</v>
      </c>
      <c r="C686">
        <v>50346134</v>
      </c>
      <c r="D686" t="s">
        <v>48</v>
      </c>
      <c r="E686" t="s">
        <v>44</v>
      </c>
      <c r="F686" s="4">
        <v>41477</v>
      </c>
      <c r="G686" s="4">
        <v>41482</v>
      </c>
      <c r="H686" t="s">
        <v>45</v>
      </c>
      <c r="I686" t="s">
        <v>46</v>
      </c>
      <c r="J686" t="s">
        <v>10</v>
      </c>
      <c r="K686">
        <v>1</v>
      </c>
    </row>
    <row r="687" spans="1:11" x14ac:dyDescent="0.25">
      <c r="A687" t="s">
        <v>18</v>
      </c>
      <c r="B687" t="s">
        <v>21</v>
      </c>
      <c r="C687">
        <v>50346134</v>
      </c>
      <c r="D687" t="s">
        <v>48</v>
      </c>
      <c r="E687" t="s">
        <v>44</v>
      </c>
      <c r="F687" s="4">
        <v>41477</v>
      </c>
      <c r="G687" s="4">
        <v>41482</v>
      </c>
      <c r="H687" t="s">
        <v>45</v>
      </c>
      <c r="I687" t="s">
        <v>46</v>
      </c>
      <c r="J687" t="s">
        <v>11</v>
      </c>
      <c r="K687">
        <v>1</v>
      </c>
    </row>
    <row r="688" spans="1:11" x14ac:dyDescent="0.25">
      <c r="A688" t="s">
        <v>18</v>
      </c>
      <c r="B688" t="s">
        <v>21</v>
      </c>
      <c r="C688">
        <v>50346134</v>
      </c>
      <c r="D688" t="s">
        <v>48</v>
      </c>
      <c r="E688" t="s">
        <v>44</v>
      </c>
      <c r="F688" s="4">
        <v>41477</v>
      </c>
      <c r="G688" s="4">
        <v>41482</v>
      </c>
      <c r="H688" t="s">
        <v>45</v>
      </c>
      <c r="I688" t="s">
        <v>46</v>
      </c>
      <c r="J688" t="s">
        <v>12</v>
      </c>
      <c r="K688">
        <v>0</v>
      </c>
    </row>
    <row r="689" spans="1:11" x14ac:dyDescent="0.25">
      <c r="A689" t="s">
        <v>18</v>
      </c>
      <c r="B689" t="s">
        <v>21</v>
      </c>
      <c r="C689">
        <v>50346134</v>
      </c>
      <c r="D689" t="s">
        <v>48</v>
      </c>
      <c r="E689" t="s">
        <v>44</v>
      </c>
      <c r="F689" s="4">
        <v>41477</v>
      </c>
      <c r="G689" s="4">
        <v>41482</v>
      </c>
      <c r="H689" t="s">
        <v>45</v>
      </c>
      <c r="I689" t="s">
        <v>46</v>
      </c>
      <c r="J689" t="s">
        <v>13</v>
      </c>
      <c r="K689">
        <v>2</v>
      </c>
    </row>
    <row r="690" spans="1:11" x14ac:dyDescent="0.25">
      <c r="A690" t="s">
        <v>18</v>
      </c>
      <c r="B690" t="s">
        <v>21</v>
      </c>
      <c r="C690">
        <v>50346134</v>
      </c>
      <c r="D690" t="s">
        <v>48</v>
      </c>
      <c r="E690" t="s">
        <v>44</v>
      </c>
      <c r="F690" s="4">
        <v>41477</v>
      </c>
      <c r="G690" s="4">
        <v>41482</v>
      </c>
      <c r="H690" t="s">
        <v>45</v>
      </c>
      <c r="I690" t="s">
        <v>46</v>
      </c>
      <c r="J690" t="s">
        <v>14</v>
      </c>
      <c r="K690">
        <v>2</v>
      </c>
    </row>
    <row r="691" spans="1:11" x14ac:dyDescent="0.25">
      <c r="A691" t="s">
        <v>18</v>
      </c>
      <c r="B691" t="s">
        <v>21</v>
      </c>
      <c r="C691">
        <v>50346134</v>
      </c>
      <c r="D691" t="s">
        <v>48</v>
      </c>
      <c r="E691" t="s">
        <v>44</v>
      </c>
      <c r="F691" s="4">
        <v>41477</v>
      </c>
      <c r="G691" s="4">
        <v>41482</v>
      </c>
      <c r="H691" t="s">
        <v>45</v>
      </c>
      <c r="I691" t="s">
        <v>46</v>
      </c>
      <c r="J691" t="s">
        <v>15</v>
      </c>
      <c r="K691">
        <v>2</v>
      </c>
    </row>
    <row r="692" spans="1:11" x14ac:dyDescent="0.25">
      <c r="A692" t="s">
        <v>18</v>
      </c>
      <c r="B692" t="s">
        <v>19</v>
      </c>
      <c r="C692">
        <v>50346134</v>
      </c>
      <c r="D692" t="s">
        <v>48</v>
      </c>
      <c r="E692" t="s">
        <v>44</v>
      </c>
      <c r="F692" s="4">
        <v>41477</v>
      </c>
      <c r="G692" s="4">
        <v>41593</v>
      </c>
      <c r="H692" t="s">
        <v>45</v>
      </c>
      <c r="I692" t="s">
        <v>47</v>
      </c>
      <c r="J692" t="s">
        <v>6</v>
      </c>
      <c r="K692">
        <v>2</v>
      </c>
    </row>
    <row r="693" spans="1:11" x14ac:dyDescent="0.25">
      <c r="A693" t="s">
        <v>18</v>
      </c>
      <c r="B693" t="s">
        <v>19</v>
      </c>
      <c r="C693">
        <v>50346134</v>
      </c>
      <c r="D693" t="s">
        <v>48</v>
      </c>
      <c r="E693" t="s">
        <v>44</v>
      </c>
      <c r="F693" s="4">
        <v>41477</v>
      </c>
      <c r="G693" s="4">
        <v>41593</v>
      </c>
      <c r="H693" t="s">
        <v>45</v>
      </c>
      <c r="I693" t="s">
        <v>47</v>
      </c>
      <c r="J693" t="s">
        <v>7</v>
      </c>
      <c r="K693">
        <v>0</v>
      </c>
    </row>
    <row r="694" spans="1:11" x14ac:dyDescent="0.25">
      <c r="A694" t="s">
        <v>18</v>
      </c>
      <c r="B694" t="s">
        <v>19</v>
      </c>
      <c r="C694">
        <v>50346134</v>
      </c>
      <c r="D694" t="s">
        <v>48</v>
      </c>
      <c r="E694" t="s">
        <v>44</v>
      </c>
      <c r="F694" s="4">
        <v>41477</v>
      </c>
      <c r="G694" s="4">
        <v>41593</v>
      </c>
      <c r="H694" t="s">
        <v>45</v>
      </c>
      <c r="I694" t="s">
        <v>47</v>
      </c>
      <c r="J694" t="s">
        <v>8</v>
      </c>
      <c r="K694">
        <v>2</v>
      </c>
    </row>
    <row r="695" spans="1:11" x14ac:dyDescent="0.25">
      <c r="A695" t="s">
        <v>18</v>
      </c>
      <c r="B695" t="s">
        <v>19</v>
      </c>
      <c r="C695">
        <v>50346134</v>
      </c>
      <c r="D695" t="s">
        <v>48</v>
      </c>
      <c r="E695" t="s">
        <v>44</v>
      </c>
      <c r="F695" s="4">
        <v>41477</v>
      </c>
      <c r="G695" s="4">
        <v>41593</v>
      </c>
      <c r="H695" t="s">
        <v>45</v>
      </c>
      <c r="I695" t="s">
        <v>47</v>
      </c>
      <c r="J695" t="s">
        <v>9</v>
      </c>
      <c r="K695">
        <v>2</v>
      </c>
    </row>
    <row r="696" spans="1:11" x14ac:dyDescent="0.25">
      <c r="A696" t="s">
        <v>18</v>
      </c>
      <c r="B696" t="s">
        <v>19</v>
      </c>
      <c r="C696">
        <v>50346134</v>
      </c>
      <c r="D696" t="s">
        <v>48</v>
      </c>
      <c r="E696" t="s">
        <v>44</v>
      </c>
      <c r="F696" s="4">
        <v>41477</v>
      </c>
      <c r="G696" s="4">
        <v>41593</v>
      </c>
      <c r="H696" t="s">
        <v>45</v>
      </c>
      <c r="I696" t="s">
        <v>47</v>
      </c>
      <c r="J696" t="s">
        <v>10</v>
      </c>
      <c r="K696">
        <v>0</v>
      </c>
    </row>
    <row r="697" spans="1:11" x14ac:dyDescent="0.25">
      <c r="A697" t="s">
        <v>18</v>
      </c>
      <c r="B697" t="s">
        <v>19</v>
      </c>
      <c r="C697">
        <v>50346134</v>
      </c>
      <c r="D697" t="s">
        <v>48</v>
      </c>
      <c r="E697" t="s">
        <v>44</v>
      </c>
      <c r="F697" s="4">
        <v>41477</v>
      </c>
      <c r="G697" s="4">
        <v>41593</v>
      </c>
      <c r="H697" t="s">
        <v>45</v>
      </c>
      <c r="I697" t="s">
        <v>47</v>
      </c>
      <c r="J697" t="s">
        <v>11</v>
      </c>
      <c r="K697">
        <v>2</v>
      </c>
    </row>
    <row r="698" spans="1:11" x14ac:dyDescent="0.25">
      <c r="A698" t="s">
        <v>18</v>
      </c>
      <c r="B698" t="s">
        <v>19</v>
      </c>
      <c r="C698">
        <v>50346134</v>
      </c>
      <c r="D698" t="s">
        <v>48</v>
      </c>
      <c r="E698" t="s">
        <v>44</v>
      </c>
      <c r="F698" s="4">
        <v>41477</v>
      </c>
      <c r="G698" s="4">
        <v>41593</v>
      </c>
      <c r="H698" t="s">
        <v>45</v>
      </c>
      <c r="I698" t="s">
        <v>47</v>
      </c>
      <c r="J698" t="s">
        <v>12</v>
      </c>
      <c r="K698">
        <v>1</v>
      </c>
    </row>
    <row r="699" spans="1:11" x14ac:dyDescent="0.25">
      <c r="A699" t="s">
        <v>18</v>
      </c>
      <c r="B699" t="s">
        <v>19</v>
      </c>
      <c r="C699">
        <v>50346134</v>
      </c>
      <c r="D699" t="s">
        <v>48</v>
      </c>
      <c r="E699" t="s">
        <v>44</v>
      </c>
      <c r="F699" s="4">
        <v>41477</v>
      </c>
      <c r="G699" s="4">
        <v>41593</v>
      </c>
      <c r="H699" t="s">
        <v>45</v>
      </c>
      <c r="I699" t="s">
        <v>47</v>
      </c>
      <c r="J699" t="s">
        <v>13</v>
      </c>
      <c r="K699">
        <v>0</v>
      </c>
    </row>
    <row r="700" spans="1:11" x14ac:dyDescent="0.25">
      <c r="A700" t="s">
        <v>18</v>
      </c>
      <c r="B700" t="s">
        <v>19</v>
      </c>
      <c r="C700">
        <v>50346134</v>
      </c>
      <c r="D700" t="s">
        <v>48</v>
      </c>
      <c r="E700" t="s">
        <v>44</v>
      </c>
      <c r="F700" s="4">
        <v>41477</v>
      </c>
      <c r="G700" s="4">
        <v>41593</v>
      </c>
      <c r="H700" t="s">
        <v>45</v>
      </c>
      <c r="I700" t="s">
        <v>47</v>
      </c>
      <c r="J700" t="s">
        <v>14</v>
      </c>
      <c r="K700">
        <v>3</v>
      </c>
    </row>
    <row r="701" spans="1:11" x14ac:dyDescent="0.25">
      <c r="A701" t="s">
        <v>18</v>
      </c>
      <c r="B701" t="s">
        <v>19</v>
      </c>
      <c r="C701">
        <v>50346134</v>
      </c>
      <c r="D701" t="s">
        <v>48</v>
      </c>
      <c r="E701" t="s">
        <v>44</v>
      </c>
      <c r="F701" s="4">
        <v>41477</v>
      </c>
      <c r="G701" s="4">
        <v>41593</v>
      </c>
      <c r="H701" t="s">
        <v>45</v>
      </c>
      <c r="I701" t="s">
        <v>47</v>
      </c>
      <c r="J701" t="s">
        <v>15</v>
      </c>
      <c r="K701">
        <v>2</v>
      </c>
    </row>
    <row r="702" spans="1:11" x14ac:dyDescent="0.25">
      <c r="A702" t="s">
        <v>18</v>
      </c>
      <c r="B702" t="s">
        <v>20</v>
      </c>
      <c r="C702">
        <v>89228216</v>
      </c>
      <c r="D702" t="s">
        <v>43</v>
      </c>
      <c r="E702" t="s">
        <v>44</v>
      </c>
      <c r="F702" s="4">
        <v>41475</v>
      </c>
      <c r="G702" s="4">
        <v>41504</v>
      </c>
      <c r="H702" t="s">
        <v>49</v>
      </c>
      <c r="I702" t="s">
        <v>46</v>
      </c>
      <c r="J702" t="s">
        <v>6</v>
      </c>
      <c r="K702">
        <v>0</v>
      </c>
    </row>
    <row r="703" spans="1:11" x14ac:dyDescent="0.25">
      <c r="A703" t="s">
        <v>18</v>
      </c>
      <c r="B703" t="s">
        <v>20</v>
      </c>
      <c r="C703">
        <v>89228216</v>
      </c>
      <c r="D703" t="s">
        <v>43</v>
      </c>
      <c r="E703" t="s">
        <v>44</v>
      </c>
      <c r="F703" s="4">
        <v>41475</v>
      </c>
      <c r="G703" s="4">
        <v>41504</v>
      </c>
      <c r="H703" t="s">
        <v>49</v>
      </c>
      <c r="I703" t="s">
        <v>46</v>
      </c>
      <c r="J703" t="s">
        <v>7</v>
      </c>
      <c r="K703">
        <v>1</v>
      </c>
    </row>
    <row r="704" spans="1:11" x14ac:dyDescent="0.25">
      <c r="A704" t="s">
        <v>18</v>
      </c>
      <c r="B704" t="s">
        <v>20</v>
      </c>
      <c r="C704">
        <v>89228216</v>
      </c>
      <c r="D704" t="s">
        <v>43</v>
      </c>
      <c r="E704" t="s">
        <v>44</v>
      </c>
      <c r="F704" s="4">
        <v>41475</v>
      </c>
      <c r="G704" s="4">
        <v>41504</v>
      </c>
      <c r="H704" t="s">
        <v>49</v>
      </c>
      <c r="I704" t="s">
        <v>46</v>
      </c>
      <c r="J704" t="s">
        <v>8</v>
      </c>
      <c r="K704">
        <v>0</v>
      </c>
    </row>
    <row r="705" spans="1:11" x14ac:dyDescent="0.25">
      <c r="A705" t="s">
        <v>18</v>
      </c>
      <c r="B705" t="s">
        <v>20</v>
      </c>
      <c r="C705">
        <v>89228216</v>
      </c>
      <c r="D705" t="s">
        <v>43</v>
      </c>
      <c r="E705" t="s">
        <v>44</v>
      </c>
      <c r="F705" s="4">
        <v>41475</v>
      </c>
      <c r="G705" s="4">
        <v>41504</v>
      </c>
      <c r="H705" t="s">
        <v>49</v>
      </c>
      <c r="I705" t="s">
        <v>46</v>
      </c>
      <c r="J705" t="s">
        <v>9</v>
      </c>
      <c r="K705">
        <v>1</v>
      </c>
    </row>
    <row r="706" spans="1:11" x14ac:dyDescent="0.25">
      <c r="A706" t="s">
        <v>18</v>
      </c>
      <c r="B706" t="s">
        <v>20</v>
      </c>
      <c r="C706">
        <v>89228216</v>
      </c>
      <c r="D706" t="s">
        <v>43</v>
      </c>
      <c r="E706" t="s">
        <v>44</v>
      </c>
      <c r="F706" s="4">
        <v>41475</v>
      </c>
      <c r="G706" s="4">
        <v>41504</v>
      </c>
      <c r="H706" t="s">
        <v>49</v>
      </c>
      <c r="I706" t="s">
        <v>46</v>
      </c>
      <c r="J706" t="s">
        <v>10</v>
      </c>
      <c r="K706">
        <v>2</v>
      </c>
    </row>
    <row r="707" spans="1:11" x14ac:dyDescent="0.25">
      <c r="A707" t="s">
        <v>18</v>
      </c>
      <c r="B707" t="s">
        <v>20</v>
      </c>
      <c r="C707">
        <v>89228216</v>
      </c>
      <c r="D707" t="s">
        <v>43</v>
      </c>
      <c r="E707" t="s">
        <v>44</v>
      </c>
      <c r="F707" s="4">
        <v>41475</v>
      </c>
      <c r="G707" s="4">
        <v>41504</v>
      </c>
      <c r="H707" t="s">
        <v>49</v>
      </c>
      <c r="I707" t="s">
        <v>46</v>
      </c>
      <c r="J707" t="s">
        <v>11</v>
      </c>
      <c r="K707">
        <v>1</v>
      </c>
    </row>
    <row r="708" spans="1:11" x14ac:dyDescent="0.25">
      <c r="A708" t="s">
        <v>18</v>
      </c>
      <c r="B708" t="s">
        <v>20</v>
      </c>
      <c r="C708">
        <v>89228216</v>
      </c>
      <c r="D708" t="s">
        <v>43</v>
      </c>
      <c r="E708" t="s">
        <v>44</v>
      </c>
      <c r="F708" s="4">
        <v>41475</v>
      </c>
      <c r="G708" s="4">
        <v>41504</v>
      </c>
      <c r="H708" t="s">
        <v>49</v>
      </c>
      <c r="I708" t="s">
        <v>46</v>
      </c>
      <c r="J708" t="s">
        <v>12</v>
      </c>
      <c r="K708">
        <v>0</v>
      </c>
    </row>
    <row r="709" spans="1:11" x14ac:dyDescent="0.25">
      <c r="A709" t="s">
        <v>18</v>
      </c>
      <c r="B709" t="s">
        <v>20</v>
      </c>
      <c r="C709">
        <v>89228216</v>
      </c>
      <c r="D709" t="s">
        <v>43</v>
      </c>
      <c r="E709" t="s">
        <v>44</v>
      </c>
      <c r="F709" s="4">
        <v>41475</v>
      </c>
      <c r="G709" s="4">
        <v>41504</v>
      </c>
      <c r="H709" t="s">
        <v>49</v>
      </c>
      <c r="I709" t="s">
        <v>46</v>
      </c>
      <c r="J709" t="s">
        <v>13</v>
      </c>
      <c r="K709">
        <v>1</v>
      </c>
    </row>
    <row r="710" spans="1:11" x14ac:dyDescent="0.25">
      <c r="A710" t="s">
        <v>18</v>
      </c>
      <c r="B710" t="s">
        <v>20</v>
      </c>
      <c r="C710">
        <v>89228216</v>
      </c>
      <c r="D710" t="s">
        <v>43</v>
      </c>
      <c r="E710" t="s">
        <v>44</v>
      </c>
      <c r="F710" s="4">
        <v>41475</v>
      </c>
      <c r="G710" s="4">
        <v>41504</v>
      </c>
      <c r="H710" t="s">
        <v>49</v>
      </c>
      <c r="I710" t="s">
        <v>46</v>
      </c>
      <c r="J710" t="s">
        <v>14</v>
      </c>
      <c r="K710">
        <v>1</v>
      </c>
    </row>
    <row r="711" spans="1:11" x14ac:dyDescent="0.25">
      <c r="A711" t="s">
        <v>18</v>
      </c>
      <c r="B711" t="s">
        <v>20</v>
      </c>
      <c r="C711">
        <v>89228216</v>
      </c>
      <c r="D711" t="s">
        <v>43</v>
      </c>
      <c r="E711" t="s">
        <v>44</v>
      </c>
      <c r="F711" s="4">
        <v>41475</v>
      </c>
      <c r="G711" s="4">
        <v>41504</v>
      </c>
      <c r="H711" t="s">
        <v>49</v>
      </c>
      <c r="I711" t="s">
        <v>46</v>
      </c>
      <c r="J711" t="s">
        <v>15</v>
      </c>
      <c r="K711">
        <v>1</v>
      </c>
    </row>
    <row r="712" spans="1:11" x14ac:dyDescent="0.25">
      <c r="A712" t="s">
        <v>18</v>
      </c>
      <c r="B712" t="s">
        <v>21</v>
      </c>
      <c r="C712">
        <v>89228216</v>
      </c>
      <c r="D712" t="s">
        <v>43</v>
      </c>
      <c r="E712" t="s">
        <v>44</v>
      </c>
      <c r="F712" s="4">
        <v>41475</v>
      </c>
      <c r="G712" s="4">
        <v>41589</v>
      </c>
      <c r="H712" t="s">
        <v>49</v>
      </c>
      <c r="I712" t="s">
        <v>47</v>
      </c>
      <c r="J712" t="s">
        <v>6</v>
      </c>
      <c r="K712">
        <v>2</v>
      </c>
    </row>
    <row r="713" spans="1:11" x14ac:dyDescent="0.25">
      <c r="A713" t="s">
        <v>18</v>
      </c>
      <c r="B713" t="s">
        <v>21</v>
      </c>
      <c r="C713">
        <v>89228216</v>
      </c>
      <c r="D713" t="s">
        <v>43</v>
      </c>
      <c r="E713" t="s">
        <v>44</v>
      </c>
      <c r="F713" s="4">
        <v>41475</v>
      </c>
      <c r="G713" s="4">
        <v>41589</v>
      </c>
      <c r="H713" t="s">
        <v>49</v>
      </c>
      <c r="I713" t="s">
        <v>47</v>
      </c>
      <c r="J713" t="s">
        <v>7</v>
      </c>
      <c r="K713">
        <v>0</v>
      </c>
    </row>
    <row r="714" spans="1:11" x14ac:dyDescent="0.25">
      <c r="A714" t="s">
        <v>18</v>
      </c>
      <c r="B714" t="s">
        <v>21</v>
      </c>
      <c r="C714">
        <v>89228216</v>
      </c>
      <c r="D714" t="s">
        <v>43</v>
      </c>
      <c r="E714" t="s">
        <v>44</v>
      </c>
      <c r="F714" s="4">
        <v>41475</v>
      </c>
      <c r="G714" s="4">
        <v>41589</v>
      </c>
      <c r="H714" t="s">
        <v>49</v>
      </c>
      <c r="I714" t="s">
        <v>47</v>
      </c>
      <c r="J714" t="s">
        <v>8</v>
      </c>
      <c r="K714">
        <v>2</v>
      </c>
    </row>
    <row r="715" spans="1:11" x14ac:dyDescent="0.25">
      <c r="A715" t="s">
        <v>18</v>
      </c>
      <c r="B715" t="s">
        <v>21</v>
      </c>
      <c r="C715">
        <v>89228216</v>
      </c>
      <c r="D715" t="s">
        <v>43</v>
      </c>
      <c r="E715" t="s">
        <v>44</v>
      </c>
      <c r="F715" s="4">
        <v>41475</v>
      </c>
      <c r="G715" s="4">
        <v>41589</v>
      </c>
      <c r="H715" t="s">
        <v>49</v>
      </c>
      <c r="I715" t="s">
        <v>47</v>
      </c>
      <c r="J715" t="s">
        <v>9</v>
      </c>
      <c r="K715">
        <v>3</v>
      </c>
    </row>
    <row r="716" spans="1:11" x14ac:dyDescent="0.25">
      <c r="A716" t="s">
        <v>18</v>
      </c>
      <c r="B716" t="s">
        <v>21</v>
      </c>
      <c r="C716">
        <v>89228216</v>
      </c>
      <c r="D716" t="s">
        <v>43</v>
      </c>
      <c r="E716" t="s">
        <v>44</v>
      </c>
      <c r="F716" s="4">
        <v>41475</v>
      </c>
      <c r="G716" s="4">
        <v>41589</v>
      </c>
      <c r="H716" t="s">
        <v>49</v>
      </c>
      <c r="I716" t="s">
        <v>47</v>
      </c>
      <c r="J716" t="s">
        <v>10</v>
      </c>
      <c r="K716">
        <v>3</v>
      </c>
    </row>
    <row r="717" spans="1:11" x14ac:dyDescent="0.25">
      <c r="A717" t="s">
        <v>18</v>
      </c>
      <c r="B717" t="s">
        <v>21</v>
      </c>
      <c r="C717">
        <v>89228216</v>
      </c>
      <c r="D717" t="s">
        <v>43</v>
      </c>
      <c r="E717" t="s">
        <v>44</v>
      </c>
      <c r="F717" s="4">
        <v>41475</v>
      </c>
      <c r="G717" s="4">
        <v>41589</v>
      </c>
      <c r="H717" t="s">
        <v>49</v>
      </c>
      <c r="I717" t="s">
        <v>47</v>
      </c>
      <c r="J717" t="s">
        <v>11</v>
      </c>
      <c r="K717">
        <v>1</v>
      </c>
    </row>
    <row r="718" spans="1:11" x14ac:dyDescent="0.25">
      <c r="A718" t="s">
        <v>18</v>
      </c>
      <c r="B718" t="s">
        <v>21</v>
      </c>
      <c r="C718">
        <v>89228216</v>
      </c>
      <c r="D718" t="s">
        <v>43</v>
      </c>
      <c r="E718" t="s">
        <v>44</v>
      </c>
      <c r="F718" s="4">
        <v>41475</v>
      </c>
      <c r="G718" s="4">
        <v>41589</v>
      </c>
      <c r="H718" t="s">
        <v>49</v>
      </c>
      <c r="I718" t="s">
        <v>47</v>
      </c>
      <c r="J718" t="s">
        <v>12</v>
      </c>
      <c r="K718">
        <v>1</v>
      </c>
    </row>
    <row r="719" spans="1:11" x14ac:dyDescent="0.25">
      <c r="A719" t="s">
        <v>18</v>
      </c>
      <c r="B719" t="s">
        <v>21</v>
      </c>
      <c r="C719">
        <v>89228216</v>
      </c>
      <c r="D719" t="s">
        <v>43</v>
      </c>
      <c r="E719" t="s">
        <v>44</v>
      </c>
      <c r="F719" s="4">
        <v>41475</v>
      </c>
      <c r="G719" s="4">
        <v>41589</v>
      </c>
      <c r="H719" t="s">
        <v>49</v>
      </c>
      <c r="I719" t="s">
        <v>47</v>
      </c>
      <c r="J719" t="s">
        <v>13</v>
      </c>
      <c r="K719">
        <v>1</v>
      </c>
    </row>
    <row r="720" spans="1:11" x14ac:dyDescent="0.25">
      <c r="A720" t="s">
        <v>18</v>
      </c>
      <c r="B720" t="s">
        <v>21</v>
      </c>
      <c r="C720">
        <v>89228216</v>
      </c>
      <c r="D720" t="s">
        <v>43</v>
      </c>
      <c r="E720" t="s">
        <v>44</v>
      </c>
      <c r="F720" s="4">
        <v>41475</v>
      </c>
      <c r="G720" s="4">
        <v>41589</v>
      </c>
      <c r="H720" t="s">
        <v>49</v>
      </c>
      <c r="I720" t="s">
        <v>47</v>
      </c>
      <c r="J720" t="s">
        <v>14</v>
      </c>
      <c r="K720">
        <v>3</v>
      </c>
    </row>
    <row r="721" spans="1:11" x14ac:dyDescent="0.25">
      <c r="A721" t="s">
        <v>18</v>
      </c>
      <c r="B721" t="s">
        <v>21</v>
      </c>
      <c r="C721">
        <v>89228216</v>
      </c>
      <c r="D721" t="s">
        <v>43</v>
      </c>
      <c r="E721" t="s">
        <v>44</v>
      </c>
      <c r="F721" s="4">
        <v>41475</v>
      </c>
      <c r="G721" s="4">
        <v>41589</v>
      </c>
      <c r="H721" t="s">
        <v>49</v>
      </c>
      <c r="I721" t="s">
        <v>47</v>
      </c>
      <c r="J721" t="s">
        <v>15</v>
      </c>
      <c r="K721">
        <v>1</v>
      </c>
    </row>
    <row r="722" spans="1:11" x14ac:dyDescent="0.25">
      <c r="A722" t="s">
        <v>18</v>
      </c>
      <c r="B722" t="s">
        <v>19</v>
      </c>
      <c r="C722">
        <v>89228216</v>
      </c>
      <c r="D722" t="s">
        <v>43</v>
      </c>
      <c r="E722" t="s">
        <v>44</v>
      </c>
      <c r="F722" s="4">
        <v>41475</v>
      </c>
      <c r="G722" s="4">
        <v>41622</v>
      </c>
      <c r="H722" t="s">
        <v>49</v>
      </c>
      <c r="I722" t="s">
        <v>47</v>
      </c>
      <c r="J722" t="s">
        <v>6</v>
      </c>
      <c r="K722">
        <v>2</v>
      </c>
    </row>
    <row r="723" spans="1:11" x14ac:dyDescent="0.25">
      <c r="A723" t="s">
        <v>18</v>
      </c>
      <c r="B723" t="s">
        <v>19</v>
      </c>
      <c r="C723">
        <v>89228216</v>
      </c>
      <c r="D723" t="s">
        <v>43</v>
      </c>
      <c r="E723" t="s">
        <v>44</v>
      </c>
      <c r="F723" s="4">
        <v>41475</v>
      </c>
      <c r="G723" s="4">
        <v>41622</v>
      </c>
      <c r="H723" t="s">
        <v>49</v>
      </c>
      <c r="I723" t="s">
        <v>47</v>
      </c>
      <c r="J723" t="s">
        <v>7</v>
      </c>
      <c r="K723">
        <v>2</v>
      </c>
    </row>
    <row r="724" spans="1:11" x14ac:dyDescent="0.25">
      <c r="A724" t="s">
        <v>18</v>
      </c>
      <c r="B724" t="s">
        <v>19</v>
      </c>
      <c r="C724">
        <v>89228216</v>
      </c>
      <c r="D724" t="s">
        <v>43</v>
      </c>
      <c r="E724" t="s">
        <v>44</v>
      </c>
      <c r="F724" s="4">
        <v>41475</v>
      </c>
      <c r="G724" s="4">
        <v>41622</v>
      </c>
      <c r="H724" t="s">
        <v>49</v>
      </c>
      <c r="I724" t="s">
        <v>47</v>
      </c>
      <c r="J724" t="s">
        <v>8</v>
      </c>
      <c r="K724">
        <v>2</v>
      </c>
    </row>
    <row r="725" spans="1:11" x14ac:dyDescent="0.25">
      <c r="A725" t="s">
        <v>18</v>
      </c>
      <c r="B725" t="s">
        <v>19</v>
      </c>
      <c r="C725">
        <v>89228216</v>
      </c>
      <c r="D725" t="s">
        <v>43</v>
      </c>
      <c r="E725" t="s">
        <v>44</v>
      </c>
      <c r="F725" s="4">
        <v>41475</v>
      </c>
      <c r="G725" s="4">
        <v>41622</v>
      </c>
      <c r="H725" t="s">
        <v>49</v>
      </c>
      <c r="I725" t="s">
        <v>47</v>
      </c>
      <c r="J725" t="s">
        <v>9</v>
      </c>
      <c r="K725">
        <v>2</v>
      </c>
    </row>
    <row r="726" spans="1:11" x14ac:dyDescent="0.25">
      <c r="A726" t="s">
        <v>18</v>
      </c>
      <c r="B726" t="s">
        <v>19</v>
      </c>
      <c r="C726">
        <v>89228216</v>
      </c>
      <c r="D726" t="s">
        <v>43</v>
      </c>
      <c r="E726" t="s">
        <v>44</v>
      </c>
      <c r="F726" s="4">
        <v>41475</v>
      </c>
      <c r="G726" s="4">
        <v>41622</v>
      </c>
      <c r="H726" t="s">
        <v>49</v>
      </c>
      <c r="I726" t="s">
        <v>47</v>
      </c>
      <c r="J726" t="s">
        <v>10</v>
      </c>
      <c r="K726">
        <v>3</v>
      </c>
    </row>
    <row r="727" spans="1:11" x14ac:dyDescent="0.25">
      <c r="A727" t="s">
        <v>18</v>
      </c>
      <c r="B727" t="s">
        <v>19</v>
      </c>
      <c r="C727">
        <v>89228216</v>
      </c>
      <c r="D727" t="s">
        <v>43</v>
      </c>
      <c r="E727" t="s">
        <v>44</v>
      </c>
      <c r="F727" s="4">
        <v>41475</v>
      </c>
      <c r="G727" s="4">
        <v>41622</v>
      </c>
      <c r="H727" t="s">
        <v>49</v>
      </c>
      <c r="I727" t="s">
        <v>47</v>
      </c>
      <c r="J727" t="s">
        <v>11</v>
      </c>
      <c r="K727">
        <v>0</v>
      </c>
    </row>
    <row r="728" spans="1:11" x14ac:dyDescent="0.25">
      <c r="A728" t="s">
        <v>18</v>
      </c>
      <c r="B728" t="s">
        <v>19</v>
      </c>
      <c r="C728">
        <v>89228216</v>
      </c>
      <c r="D728" t="s">
        <v>43</v>
      </c>
      <c r="E728" t="s">
        <v>44</v>
      </c>
      <c r="F728" s="4">
        <v>41475</v>
      </c>
      <c r="G728" s="4">
        <v>41622</v>
      </c>
      <c r="H728" t="s">
        <v>49</v>
      </c>
      <c r="I728" t="s">
        <v>47</v>
      </c>
      <c r="J728" t="s">
        <v>12</v>
      </c>
      <c r="K728">
        <v>0</v>
      </c>
    </row>
    <row r="729" spans="1:11" x14ac:dyDescent="0.25">
      <c r="A729" t="s">
        <v>18</v>
      </c>
      <c r="B729" t="s">
        <v>19</v>
      </c>
      <c r="C729">
        <v>89228216</v>
      </c>
      <c r="D729" t="s">
        <v>43</v>
      </c>
      <c r="E729" t="s">
        <v>44</v>
      </c>
      <c r="F729" s="4">
        <v>41475</v>
      </c>
      <c r="G729" s="4">
        <v>41622</v>
      </c>
      <c r="H729" t="s">
        <v>49</v>
      </c>
      <c r="I729" t="s">
        <v>47</v>
      </c>
      <c r="J729" t="s">
        <v>13</v>
      </c>
      <c r="K729">
        <v>0</v>
      </c>
    </row>
    <row r="730" spans="1:11" x14ac:dyDescent="0.25">
      <c r="A730" t="s">
        <v>18</v>
      </c>
      <c r="B730" t="s">
        <v>19</v>
      </c>
      <c r="C730">
        <v>89228216</v>
      </c>
      <c r="D730" t="s">
        <v>43</v>
      </c>
      <c r="E730" t="s">
        <v>44</v>
      </c>
      <c r="F730" s="4">
        <v>41475</v>
      </c>
      <c r="G730" s="4">
        <v>41622</v>
      </c>
      <c r="H730" t="s">
        <v>49</v>
      </c>
      <c r="I730" t="s">
        <v>47</v>
      </c>
      <c r="J730" t="s">
        <v>14</v>
      </c>
      <c r="K730">
        <v>0</v>
      </c>
    </row>
    <row r="731" spans="1:11" x14ac:dyDescent="0.25">
      <c r="A731" t="s">
        <v>18</v>
      </c>
      <c r="B731" t="s">
        <v>19</v>
      </c>
      <c r="C731">
        <v>89228216</v>
      </c>
      <c r="D731" t="s">
        <v>43</v>
      </c>
      <c r="E731" t="s">
        <v>44</v>
      </c>
      <c r="F731" s="4">
        <v>41475</v>
      </c>
      <c r="G731" s="4">
        <v>41622</v>
      </c>
      <c r="H731" t="s">
        <v>49</v>
      </c>
      <c r="I731" t="s">
        <v>47</v>
      </c>
      <c r="J731" t="s">
        <v>15</v>
      </c>
      <c r="K731">
        <v>0</v>
      </c>
    </row>
    <row r="732" spans="1:11" x14ac:dyDescent="0.25">
      <c r="A732" t="s">
        <v>18</v>
      </c>
      <c r="B732" t="s">
        <v>20</v>
      </c>
      <c r="C732">
        <v>89228216</v>
      </c>
      <c r="D732" t="s">
        <v>43</v>
      </c>
      <c r="E732" t="s">
        <v>44</v>
      </c>
      <c r="F732" s="4">
        <v>41475</v>
      </c>
      <c r="G732" s="4">
        <v>41676</v>
      </c>
      <c r="H732" t="s">
        <v>49</v>
      </c>
      <c r="I732" t="s">
        <v>47</v>
      </c>
      <c r="J732" t="s">
        <v>6</v>
      </c>
      <c r="K732">
        <v>0</v>
      </c>
    </row>
    <row r="733" spans="1:11" x14ac:dyDescent="0.25">
      <c r="A733" t="s">
        <v>18</v>
      </c>
      <c r="B733" t="s">
        <v>20</v>
      </c>
      <c r="C733">
        <v>89228216</v>
      </c>
      <c r="D733" t="s">
        <v>43</v>
      </c>
      <c r="E733" t="s">
        <v>44</v>
      </c>
      <c r="F733" s="4">
        <v>41475</v>
      </c>
      <c r="G733" s="4">
        <v>41676</v>
      </c>
      <c r="H733" t="s">
        <v>49</v>
      </c>
      <c r="I733" t="s">
        <v>47</v>
      </c>
      <c r="J733" t="s">
        <v>7</v>
      </c>
      <c r="K733">
        <v>2</v>
      </c>
    </row>
    <row r="734" spans="1:11" x14ac:dyDescent="0.25">
      <c r="A734" t="s">
        <v>18</v>
      </c>
      <c r="B734" t="s">
        <v>20</v>
      </c>
      <c r="C734">
        <v>89228216</v>
      </c>
      <c r="D734" t="s">
        <v>43</v>
      </c>
      <c r="E734" t="s">
        <v>44</v>
      </c>
      <c r="F734" s="4">
        <v>41475</v>
      </c>
      <c r="G734" s="4">
        <v>41676</v>
      </c>
      <c r="H734" t="s">
        <v>49</v>
      </c>
      <c r="I734" t="s">
        <v>47</v>
      </c>
      <c r="J734" t="s">
        <v>8</v>
      </c>
      <c r="K734">
        <v>2</v>
      </c>
    </row>
    <row r="735" spans="1:11" x14ac:dyDescent="0.25">
      <c r="A735" t="s">
        <v>18</v>
      </c>
      <c r="B735" t="s">
        <v>20</v>
      </c>
      <c r="C735">
        <v>89228216</v>
      </c>
      <c r="D735" t="s">
        <v>43</v>
      </c>
      <c r="E735" t="s">
        <v>44</v>
      </c>
      <c r="F735" s="4">
        <v>41475</v>
      </c>
      <c r="G735" s="4">
        <v>41676</v>
      </c>
      <c r="H735" t="s">
        <v>49</v>
      </c>
      <c r="I735" t="s">
        <v>47</v>
      </c>
      <c r="J735" t="s">
        <v>9</v>
      </c>
      <c r="K735">
        <v>3</v>
      </c>
    </row>
    <row r="736" spans="1:11" x14ac:dyDescent="0.25">
      <c r="A736" t="s">
        <v>18</v>
      </c>
      <c r="B736" t="s">
        <v>20</v>
      </c>
      <c r="C736">
        <v>89228216</v>
      </c>
      <c r="D736" t="s">
        <v>43</v>
      </c>
      <c r="E736" t="s">
        <v>44</v>
      </c>
      <c r="F736" s="4">
        <v>41475</v>
      </c>
      <c r="G736" s="4">
        <v>41676</v>
      </c>
      <c r="H736" t="s">
        <v>49</v>
      </c>
      <c r="I736" t="s">
        <v>47</v>
      </c>
      <c r="J736" t="s">
        <v>10</v>
      </c>
      <c r="K736">
        <v>3</v>
      </c>
    </row>
    <row r="737" spans="1:11" x14ac:dyDescent="0.25">
      <c r="A737" t="s">
        <v>18</v>
      </c>
      <c r="B737" t="s">
        <v>20</v>
      </c>
      <c r="C737">
        <v>89228216</v>
      </c>
      <c r="D737" t="s">
        <v>43</v>
      </c>
      <c r="E737" t="s">
        <v>44</v>
      </c>
      <c r="F737" s="4">
        <v>41475</v>
      </c>
      <c r="G737" s="4">
        <v>41676</v>
      </c>
      <c r="H737" t="s">
        <v>49</v>
      </c>
      <c r="I737" t="s">
        <v>47</v>
      </c>
      <c r="J737" t="s">
        <v>11</v>
      </c>
      <c r="K737">
        <v>1</v>
      </c>
    </row>
    <row r="738" spans="1:11" x14ac:dyDescent="0.25">
      <c r="A738" t="s">
        <v>18</v>
      </c>
      <c r="B738" t="s">
        <v>20</v>
      </c>
      <c r="C738">
        <v>89228216</v>
      </c>
      <c r="D738" t="s">
        <v>43</v>
      </c>
      <c r="E738" t="s">
        <v>44</v>
      </c>
      <c r="F738" s="4">
        <v>41475</v>
      </c>
      <c r="G738" s="4">
        <v>41676</v>
      </c>
      <c r="H738" t="s">
        <v>49</v>
      </c>
      <c r="I738" t="s">
        <v>47</v>
      </c>
      <c r="J738" t="s">
        <v>12</v>
      </c>
      <c r="K738">
        <v>1</v>
      </c>
    </row>
    <row r="739" spans="1:11" x14ac:dyDescent="0.25">
      <c r="A739" t="s">
        <v>18</v>
      </c>
      <c r="B739" t="s">
        <v>20</v>
      </c>
      <c r="C739">
        <v>89228216</v>
      </c>
      <c r="D739" t="s">
        <v>43</v>
      </c>
      <c r="E739" t="s">
        <v>44</v>
      </c>
      <c r="F739" s="4">
        <v>41475</v>
      </c>
      <c r="G739" s="4">
        <v>41676</v>
      </c>
      <c r="H739" t="s">
        <v>49</v>
      </c>
      <c r="I739" t="s">
        <v>47</v>
      </c>
      <c r="J739" t="s">
        <v>13</v>
      </c>
      <c r="K739">
        <v>1</v>
      </c>
    </row>
    <row r="740" spans="1:11" x14ac:dyDescent="0.25">
      <c r="A740" t="s">
        <v>18</v>
      </c>
      <c r="B740" t="s">
        <v>20</v>
      </c>
      <c r="C740">
        <v>89228216</v>
      </c>
      <c r="D740" t="s">
        <v>43</v>
      </c>
      <c r="E740" t="s">
        <v>44</v>
      </c>
      <c r="F740" s="4">
        <v>41475</v>
      </c>
      <c r="G740" s="4">
        <v>41676</v>
      </c>
      <c r="H740" t="s">
        <v>49</v>
      </c>
      <c r="I740" t="s">
        <v>47</v>
      </c>
      <c r="J740" t="s">
        <v>14</v>
      </c>
      <c r="K740">
        <v>2</v>
      </c>
    </row>
    <row r="741" spans="1:11" x14ac:dyDescent="0.25">
      <c r="A741" t="s">
        <v>18</v>
      </c>
      <c r="B741" t="s">
        <v>20</v>
      </c>
      <c r="C741">
        <v>89228216</v>
      </c>
      <c r="D741" t="s">
        <v>43</v>
      </c>
      <c r="E741" t="s">
        <v>44</v>
      </c>
      <c r="F741" s="4">
        <v>41475</v>
      </c>
      <c r="G741" s="4">
        <v>41676</v>
      </c>
      <c r="H741" t="s">
        <v>49</v>
      </c>
      <c r="I741" t="s">
        <v>47</v>
      </c>
      <c r="J741" t="s">
        <v>15</v>
      </c>
      <c r="K741">
        <v>1</v>
      </c>
    </row>
    <row r="742" spans="1:11" x14ac:dyDescent="0.25">
      <c r="A742" t="s">
        <v>18</v>
      </c>
      <c r="B742" t="s">
        <v>21</v>
      </c>
      <c r="C742">
        <v>16127858</v>
      </c>
      <c r="D742" t="s">
        <v>43</v>
      </c>
      <c r="E742" t="s">
        <v>44</v>
      </c>
      <c r="F742" s="4">
        <v>41525</v>
      </c>
      <c r="G742" s="4">
        <v>41552</v>
      </c>
      <c r="H742" t="s">
        <v>45</v>
      </c>
      <c r="I742" t="s">
        <v>46</v>
      </c>
      <c r="J742" t="s">
        <v>6</v>
      </c>
      <c r="K742">
        <v>2</v>
      </c>
    </row>
    <row r="743" spans="1:11" x14ac:dyDescent="0.25">
      <c r="A743" t="s">
        <v>18</v>
      </c>
      <c r="B743" t="s">
        <v>21</v>
      </c>
      <c r="C743">
        <v>16127858</v>
      </c>
      <c r="D743" t="s">
        <v>43</v>
      </c>
      <c r="E743" t="s">
        <v>44</v>
      </c>
      <c r="F743" s="4">
        <v>41525</v>
      </c>
      <c r="G743" s="4">
        <v>41552</v>
      </c>
      <c r="H743" t="s">
        <v>45</v>
      </c>
      <c r="I743" t="s">
        <v>46</v>
      </c>
      <c r="J743" t="s">
        <v>7</v>
      </c>
      <c r="K743">
        <v>0</v>
      </c>
    </row>
    <row r="744" spans="1:11" x14ac:dyDescent="0.25">
      <c r="A744" t="s">
        <v>18</v>
      </c>
      <c r="B744" t="s">
        <v>21</v>
      </c>
      <c r="C744">
        <v>16127858</v>
      </c>
      <c r="D744" t="s">
        <v>43</v>
      </c>
      <c r="E744" t="s">
        <v>44</v>
      </c>
      <c r="F744" s="4">
        <v>41525</v>
      </c>
      <c r="G744" s="4">
        <v>41552</v>
      </c>
      <c r="H744" t="s">
        <v>45</v>
      </c>
      <c r="I744" t="s">
        <v>46</v>
      </c>
      <c r="J744" t="s">
        <v>8</v>
      </c>
      <c r="K744">
        <v>1</v>
      </c>
    </row>
    <row r="745" spans="1:11" x14ac:dyDescent="0.25">
      <c r="A745" t="s">
        <v>18</v>
      </c>
      <c r="B745" t="s">
        <v>21</v>
      </c>
      <c r="C745">
        <v>16127858</v>
      </c>
      <c r="D745" t="s">
        <v>43</v>
      </c>
      <c r="E745" t="s">
        <v>44</v>
      </c>
      <c r="F745" s="4">
        <v>41525</v>
      </c>
      <c r="G745" s="4">
        <v>41552</v>
      </c>
      <c r="H745" t="s">
        <v>45</v>
      </c>
      <c r="I745" t="s">
        <v>46</v>
      </c>
      <c r="J745" t="s">
        <v>9</v>
      </c>
      <c r="K745">
        <v>0</v>
      </c>
    </row>
    <row r="746" spans="1:11" x14ac:dyDescent="0.25">
      <c r="A746" t="s">
        <v>18</v>
      </c>
      <c r="B746" t="s">
        <v>21</v>
      </c>
      <c r="C746">
        <v>16127858</v>
      </c>
      <c r="D746" t="s">
        <v>43</v>
      </c>
      <c r="E746" t="s">
        <v>44</v>
      </c>
      <c r="F746" s="4">
        <v>41525</v>
      </c>
      <c r="G746" s="4">
        <v>41552</v>
      </c>
      <c r="H746" t="s">
        <v>45</v>
      </c>
      <c r="I746" t="s">
        <v>46</v>
      </c>
      <c r="J746" t="s">
        <v>10</v>
      </c>
      <c r="K746">
        <v>1</v>
      </c>
    </row>
    <row r="747" spans="1:11" x14ac:dyDescent="0.25">
      <c r="A747" t="s">
        <v>18</v>
      </c>
      <c r="B747" t="s">
        <v>21</v>
      </c>
      <c r="C747">
        <v>16127858</v>
      </c>
      <c r="D747" t="s">
        <v>43</v>
      </c>
      <c r="E747" t="s">
        <v>44</v>
      </c>
      <c r="F747" s="4">
        <v>41525</v>
      </c>
      <c r="G747" s="4">
        <v>41552</v>
      </c>
      <c r="H747" t="s">
        <v>45</v>
      </c>
      <c r="I747" t="s">
        <v>46</v>
      </c>
      <c r="J747" t="s">
        <v>11</v>
      </c>
      <c r="K747">
        <v>1</v>
      </c>
    </row>
    <row r="748" spans="1:11" x14ac:dyDescent="0.25">
      <c r="A748" t="s">
        <v>18</v>
      </c>
      <c r="B748" t="s">
        <v>21</v>
      </c>
      <c r="C748">
        <v>16127858</v>
      </c>
      <c r="D748" t="s">
        <v>43</v>
      </c>
      <c r="E748" t="s">
        <v>44</v>
      </c>
      <c r="F748" s="4">
        <v>41525</v>
      </c>
      <c r="G748" s="4">
        <v>41552</v>
      </c>
      <c r="H748" t="s">
        <v>45</v>
      </c>
      <c r="I748" t="s">
        <v>46</v>
      </c>
      <c r="J748" t="s">
        <v>12</v>
      </c>
      <c r="K748">
        <v>1</v>
      </c>
    </row>
    <row r="749" spans="1:11" x14ac:dyDescent="0.25">
      <c r="A749" t="s">
        <v>18</v>
      </c>
      <c r="B749" t="s">
        <v>21</v>
      </c>
      <c r="C749">
        <v>16127858</v>
      </c>
      <c r="D749" t="s">
        <v>43</v>
      </c>
      <c r="E749" t="s">
        <v>44</v>
      </c>
      <c r="F749" s="4">
        <v>41525</v>
      </c>
      <c r="G749" s="4">
        <v>41552</v>
      </c>
      <c r="H749" t="s">
        <v>45</v>
      </c>
      <c r="I749" t="s">
        <v>46</v>
      </c>
      <c r="J749" t="s">
        <v>13</v>
      </c>
      <c r="K749">
        <v>1</v>
      </c>
    </row>
    <row r="750" spans="1:11" x14ac:dyDescent="0.25">
      <c r="A750" t="s">
        <v>18</v>
      </c>
      <c r="B750" t="s">
        <v>21</v>
      </c>
      <c r="C750">
        <v>16127858</v>
      </c>
      <c r="D750" t="s">
        <v>43</v>
      </c>
      <c r="E750" t="s">
        <v>44</v>
      </c>
      <c r="F750" s="4">
        <v>41525</v>
      </c>
      <c r="G750" s="4">
        <v>41552</v>
      </c>
      <c r="H750" t="s">
        <v>45</v>
      </c>
      <c r="I750" t="s">
        <v>46</v>
      </c>
      <c r="J750" t="s">
        <v>14</v>
      </c>
      <c r="K750">
        <v>2</v>
      </c>
    </row>
    <row r="751" spans="1:11" x14ac:dyDescent="0.25">
      <c r="A751" t="s">
        <v>18</v>
      </c>
      <c r="B751" t="s">
        <v>21</v>
      </c>
      <c r="C751">
        <v>16127858</v>
      </c>
      <c r="D751" t="s">
        <v>43</v>
      </c>
      <c r="E751" t="s">
        <v>44</v>
      </c>
      <c r="F751" s="4">
        <v>41525</v>
      </c>
      <c r="G751" s="4">
        <v>41552</v>
      </c>
      <c r="H751" t="s">
        <v>45</v>
      </c>
      <c r="I751" t="s">
        <v>46</v>
      </c>
      <c r="J751" t="s">
        <v>15</v>
      </c>
      <c r="K751">
        <v>0</v>
      </c>
    </row>
    <row r="752" spans="1:11" x14ac:dyDescent="0.25">
      <c r="A752" t="s">
        <v>18</v>
      </c>
      <c r="B752" t="s">
        <v>19</v>
      </c>
      <c r="C752">
        <v>72414695</v>
      </c>
      <c r="D752" t="s">
        <v>43</v>
      </c>
      <c r="E752" t="s">
        <v>50</v>
      </c>
      <c r="F752" s="4">
        <v>41516</v>
      </c>
      <c r="G752" s="4">
        <v>41535</v>
      </c>
      <c r="H752" t="s">
        <v>45</v>
      </c>
      <c r="I752" t="s">
        <v>46</v>
      </c>
      <c r="J752" t="s">
        <v>6</v>
      </c>
      <c r="K752">
        <v>0</v>
      </c>
    </row>
    <row r="753" spans="1:11" x14ac:dyDescent="0.25">
      <c r="A753" t="s">
        <v>18</v>
      </c>
      <c r="B753" t="s">
        <v>19</v>
      </c>
      <c r="C753">
        <v>72414695</v>
      </c>
      <c r="D753" t="s">
        <v>43</v>
      </c>
      <c r="E753" t="s">
        <v>50</v>
      </c>
      <c r="F753" s="4">
        <v>41516</v>
      </c>
      <c r="G753" s="4">
        <v>41535</v>
      </c>
      <c r="H753" t="s">
        <v>45</v>
      </c>
      <c r="I753" t="s">
        <v>46</v>
      </c>
      <c r="J753" t="s">
        <v>7</v>
      </c>
      <c r="K753">
        <v>2</v>
      </c>
    </row>
    <row r="754" spans="1:11" x14ac:dyDescent="0.25">
      <c r="A754" t="s">
        <v>18</v>
      </c>
      <c r="B754" t="s">
        <v>19</v>
      </c>
      <c r="C754">
        <v>72414695</v>
      </c>
      <c r="D754" t="s">
        <v>43</v>
      </c>
      <c r="E754" t="s">
        <v>50</v>
      </c>
      <c r="F754" s="4">
        <v>41516</v>
      </c>
      <c r="G754" s="4">
        <v>41535</v>
      </c>
      <c r="H754" t="s">
        <v>45</v>
      </c>
      <c r="I754" t="s">
        <v>46</v>
      </c>
      <c r="J754" t="s">
        <v>8</v>
      </c>
      <c r="K754">
        <v>3</v>
      </c>
    </row>
    <row r="755" spans="1:11" x14ac:dyDescent="0.25">
      <c r="A755" t="s">
        <v>18</v>
      </c>
      <c r="B755" t="s">
        <v>19</v>
      </c>
      <c r="C755">
        <v>72414695</v>
      </c>
      <c r="D755" t="s">
        <v>43</v>
      </c>
      <c r="E755" t="s">
        <v>50</v>
      </c>
      <c r="F755" s="4">
        <v>41516</v>
      </c>
      <c r="G755" s="4">
        <v>41535</v>
      </c>
      <c r="H755" t="s">
        <v>45</v>
      </c>
      <c r="I755" t="s">
        <v>46</v>
      </c>
      <c r="J755" t="s">
        <v>9</v>
      </c>
      <c r="K755">
        <v>3</v>
      </c>
    </row>
    <row r="756" spans="1:11" x14ac:dyDescent="0.25">
      <c r="A756" t="s">
        <v>18</v>
      </c>
      <c r="B756" t="s">
        <v>19</v>
      </c>
      <c r="C756">
        <v>72414695</v>
      </c>
      <c r="D756" t="s">
        <v>43</v>
      </c>
      <c r="E756" t="s">
        <v>50</v>
      </c>
      <c r="F756" s="4">
        <v>41516</v>
      </c>
      <c r="G756" s="4">
        <v>41535</v>
      </c>
      <c r="H756" t="s">
        <v>45</v>
      </c>
      <c r="I756" t="s">
        <v>46</v>
      </c>
      <c r="J756" t="s">
        <v>10</v>
      </c>
      <c r="K756">
        <v>1</v>
      </c>
    </row>
    <row r="757" spans="1:11" x14ac:dyDescent="0.25">
      <c r="A757" t="s">
        <v>18</v>
      </c>
      <c r="B757" t="s">
        <v>19</v>
      </c>
      <c r="C757">
        <v>72414695</v>
      </c>
      <c r="D757" t="s">
        <v>43</v>
      </c>
      <c r="E757" t="s">
        <v>50</v>
      </c>
      <c r="F757" s="4">
        <v>41516</v>
      </c>
      <c r="G757" s="4">
        <v>41535</v>
      </c>
      <c r="H757" t="s">
        <v>45</v>
      </c>
      <c r="I757" t="s">
        <v>46</v>
      </c>
      <c r="J757" t="s">
        <v>11</v>
      </c>
      <c r="K757">
        <v>1</v>
      </c>
    </row>
    <row r="758" spans="1:11" x14ac:dyDescent="0.25">
      <c r="A758" t="s">
        <v>18</v>
      </c>
      <c r="B758" t="s">
        <v>19</v>
      </c>
      <c r="C758">
        <v>72414695</v>
      </c>
      <c r="D758" t="s">
        <v>43</v>
      </c>
      <c r="E758" t="s">
        <v>50</v>
      </c>
      <c r="F758" s="4">
        <v>41516</v>
      </c>
      <c r="G758" s="4">
        <v>41535</v>
      </c>
      <c r="H758" t="s">
        <v>45</v>
      </c>
      <c r="I758" t="s">
        <v>46</v>
      </c>
      <c r="J758" t="s">
        <v>12</v>
      </c>
      <c r="K758">
        <v>3</v>
      </c>
    </row>
    <row r="759" spans="1:11" x14ac:dyDescent="0.25">
      <c r="A759" t="s">
        <v>18</v>
      </c>
      <c r="B759" t="s">
        <v>19</v>
      </c>
      <c r="C759">
        <v>72414695</v>
      </c>
      <c r="D759" t="s">
        <v>43</v>
      </c>
      <c r="E759" t="s">
        <v>50</v>
      </c>
      <c r="F759" s="4">
        <v>41516</v>
      </c>
      <c r="G759" s="4">
        <v>41535</v>
      </c>
      <c r="H759" t="s">
        <v>45</v>
      </c>
      <c r="I759" t="s">
        <v>46</v>
      </c>
      <c r="J759" t="s">
        <v>13</v>
      </c>
      <c r="K759">
        <v>1</v>
      </c>
    </row>
    <row r="760" spans="1:11" x14ac:dyDescent="0.25">
      <c r="A760" t="s">
        <v>18</v>
      </c>
      <c r="B760" t="s">
        <v>19</v>
      </c>
      <c r="C760">
        <v>72414695</v>
      </c>
      <c r="D760" t="s">
        <v>43</v>
      </c>
      <c r="E760" t="s">
        <v>50</v>
      </c>
      <c r="F760" s="4">
        <v>41516</v>
      </c>
      <c r="G760" s="4">
        <v>41535</v>
      </c>
      <c r="H760" t="s">
        <v>45</v>
      </c>
      <c r="I760" t="s">
        <v>46</v>
      </c>
      <c r="J760" t="s">
        <v>14</v>
      </c>
      <c r="K760">
        <v>0</v>
      </c>
    </row>
    <row r="761" spans="1:11" x14ac:dyDescent="0.25">
      <c r="A761" t="s">
        <v>18</v>
      </c>
      <c r="B761" t="s">
        <v>19</v>
      </c>
      <c r="C761">
        <v>72414695</v>
      </c>
      <c r="D761" t="s">
        <v>43</v>
      </c>
      <c r="E761" t="s">
        <v>50</v>
      </c>
      <c r="F761" s="4">
        <v>41516</v>
      </c>
      <c r="G761" s="4">
        <v>41535</v>
      </c>
      <c r="H761" t="s">
        <v>45</v>
      </c>
      <c r="I761" t="s">
        <v>46</v>
      </c>
      <c r="J761" t="s">
        <v>15</v>
      </c>
      <c r="K761">
        <v>0</v>
      </c>
    </row>
    <row r="762" spans="1:11" x14ac:dyDescent="0.25">
      <c r="A762" t="s">
        <v>18</v>
      </c>
      <c r="B762" t="s">
        <v>20</v>
      </c>
      <c r="C762">
        <v>44019324</v>
      </c>
      <c r="D762" t="s">
        <v>48</v>
      </c>
      <c r="E762" t="s">
        <v>44</v>
      </c>
      <c r="F762" s="4">
        <v>41621</v>
      </c>
      <c r="G762" s="4">
        <v>41671</v>
      </c>
      <c r="H762" t="s">
        <v>45</v>
      </c>
      <c r="I762" t="s">
        <v>46</v>
      </c>
      <c r="J762" t="s">
        <v>6</v>
      </c>
      <c r="K762">
        <v>1</v>
      </c>
    </row>
    <row r="763" spans="1:11" x14ac:dyDescent="0.25">
      <c r="A763" t="s">
        <v>18</v>
      </c>
      <c r="B763" t="s">
        <v>20</v>
      </c>
      <c r="C763">
        <v>44019324</v>
      </c>
      <c r="D763" t="s">
        <v>48</v>
      </c>
      <c r="E763" t="s">
        <v>44</v>
      </c>
      <c r="F763" s="4">
        <v>41621</v>
      </c>
      <c r="G763" s="4">
        <v>41671</v>
      </c>
      <c r="H763" t="s">
        <v>45</v>
      </c>
      <c r="I763" t="s">
        <v>46</v>
      </c>
      <c r="J763" t="s">
        <v>7</v>
      </c>
      <c r="K763">
        <v>1</v>
      </c>
    </row>
    <row r="764" spans="1:11" x14ac:dyDescent="0.25">
      <c r="A764" t="s">
        <v>18</v>
      </c>
      <c r="B764" t="s">
        <v>20</v>
      </c>
      <c r="C764">
        <v>44019324</v>
      </c>
      <c r="D764" t="s">
        <v>48</v>
      </c>
      <c r="E764" t="s">
        <v>44</v>
      </c>
      <c r="F764" s="4">
        <v>41621</v>
      </c>
      <c r="G764" s="4">
        <v>41671</v>
      </c>
      <c r="H764" t="s">
        <v>45</v>
      </c>
      <c r="I764" t="s">
        <v>46</v>
      </c>
      <c r="J764" t="s">
        <v>8</v>
      </c>
      <c r="K764">
        <v>1</v>
      </c>
    </row>
    <row r="765" spans="1:11" x14ac:dyDescent="0.25">
      <c r="A765" t="s">
        <v>18</v>
      </c>
      <c r="B765" t="s">
        <v>20</v>
      </c>
      <c r="C765">
        <v>44019324</v>
      </c>
      <c r="D765" t="s">
        <v>48</v>
      </c>
      <c r="E765" t="s">
        <v>44</v>
      </c>
      <c r="F765" s="4">
        <v>41621</v>
      </c>
      <c r="G765" s="4">
        <v>41671</v>
      </c>
      <c r="H765" t="s">
        <v>45</v>
      </c>
      <c r="I765" t="s">
        <v>46</v>
      </c>
      <c r="J765" t="s">
        <v>9</v>
      </c>
      <c r="K765">
        <v>0</v>
      </c>
    </row>
    <row r="766" spans="1:11" x14ac:dyDescent="0.25">
      <c r="A766" t="s">
        <v>18</v>
      </c>
      <c r="B766" t="s">
        <v>20</v>
      </c>
      <c r="C766">
        <v>44019324</v>
      </c>
      <c r="D766" t="s">
        <v>48</v>
      </c>
      <c r="E766" t="s">
        <v>44</v>
      </c>
      <c r="F766" s="4">
        <v>41621</v>
      </c>
      <c r="G766" s="4">
        <v>41671</v>
      </c>
      <c r="H766" t="s">
        <v>45</v>
      </c>
      <c r="I766" t="s">
        <v>46</v>
      </c>
      <c r="J766" t="s">
        <v>10</v>
      </c>
      <c r="K766">
        <v>2</v>
      </c>
    </row>
    <row r="767" spans="1:11" x14ac:dyDescent="0.25">
      <c r="A767" t="s">
        <v>18</v>
      </c>
      <c r="B767" t="s">
        <v>20</v>
      </c>
      <c r="C767">
        <v>44019324</v>
      </c>
      <c r="D767" t="s">
        <v>48</v>
      </c>
      <c r="E767" t="s">
        <v>44</v>
      </c>
      <c r="F767" s="4">
        <v>41621</v>
      </c>
      <c r="G767" s="4">
        <v>41671</v>
      </c>
      <c r="H767" t="s">
        <v>45</v>
      </c>
      <c r="I767" t="s">
        <v>46</v>
      </c>
      <c r="J767" t="s">
        <v>11</v>
      </c>
      <c r="K767">
        <v>3</v>
      </c>
    </row>
    <row r="768" spans="1:11" x14ac:dyDescent="0.25">
      <c r="A768" t="s">
        <v>18</v>
      </c>
      <c r="B768" t="s">
        <v>20</v>
      </c>
      <c r="C768">
        <v>44019324</v>
      </c>
      <c r="D768" t="s">
        <v>48</v>
      </c>
      <c r="E768" t="s">
        <v>44</v>
      </c>
      <c r="F768" s="4">
        <v>41621</v>
      </c>
      <c r="G768" s="4">
        <v>41671</v>
      </c>
      <c r="H768" t="s">
        <v>45</v>
      </c>
      <c r="I768" t="s">
        <v>46</v>
      </c>
      <c r="J768" t="s">
        <v>12</v>
      </c>
      <c r="K768">
        <v>0</v>
      </c>
    </row>
    <row r="769" spans="1:11" x14ac:dyDescent="0.25">
      <c r="A769" t="s">
        <v>18</v>
      </c>
      <c r="B769" t="s">
        <v>20</v>
      </c>
      <c r="C769">
        <v>44019324</v>
      </c>
      <c r="D769" t="s">
        <v>48</v>
      </c>
      <c r="E769" t="s">
        <v>44</v>
      </c>
      <c r="F769" s="4">
        <v>41621</v>
      </c>
      <c r="G769" s="4">
        <v>41671</v>
      </c>
      <c r="H769" t="s">
        <v>45</v>
      </c>
      <c r="I769" t="s">
        <v>46</v>
      </c>
      <c r="J769" t="s">
        <v>13</v>
      </c>
      <c r="K769">
        <v>1</v>
      </c>
    </row>
    <row r="770" spans="1:11" x14ac:dyDescent="0.25">
      <c r="A770" t="s">
        <v>18</v>
      </c>
      <c r="B770" t="s">
        <v>20</v>
      </c>
      <c r="C770">
        <v>44019324</v>
      </c>
      <c r="D770" t="s">
        <v>48</v>
      </c>
      <c r="E770" t="s">
        <v>44</v>
      </c>
      <c r="F770" s="4">
        <v>41621</v>
      </c>
      <c r="G770" s="4">
        <v>41671</v>
      </c>
      <c r="H770" t="s">
        <v>45</v>
      </c>
      <c r="I770" t="s">
        <v>46</v>
      </c>
      <c r="J770" t="s">
        <v>14</v>
      </c>
      <c r="K770">
        <v>0</v>
      </c>
    </row>
    <row r="771" spans="1:11" x14ac:dyDescent="0.25">
      <c r="A771" t="s">
        <v>18</v>
      </c>
      <c r="B771" t="s">
        <v>20</v>
      </c>
      <c r="C771">
        <v>44019324</v>
      </c>
      <c r="D771" t="s">
        <v>48</v>
      </c>
      <c r="E771" t="s">
        <v>44</v>
      </c>
      <c r="F771" s="4">
        <v>41621</v>
      </c>
      <c r="G771" s="4">
        <v>41671</v>
      </c>
      <c r="H771" t="s">
        <v>45</v>
      </c>
      <c r="I771" t="s">
        <v>46</v>
      </c>
      <c r="J771" t="s">
        <v>15</v>
      </c>
      <c r="K771">
        <v>1</v>
      </c>
    </row>
    <row r="772" spans="1:11" x14ac:dyDescent="0.25">
      <c r="A772" t="s">
        <v>18</v>
      </c>
      <c r="B772" t="s">
        <v>21</v>
      </c>
      <c r="C772">
        <v>44019324</v>
      </c>
      <c r="D772" t="s">
        <v>48</v>
      </c>
      <c r="E772" t="s">
        <v>44</v>
      </c>
      <c r="F772" s="4">
        <v>41621</v>
      </c>
      <c r="G772" s="4">
        <v>41731</v>
      </c>
      <c r="H772" t="s">
        <v>45</v>
      </c>
      <c r="I772" t="s">
        <v>47</v>
      </c>
      <c r="J772" t="s">
        <v>6</v>
      </c>
      <c r="K772">
        <v>0</v>
      </c>
    </row>
    <row r="773" spans="1:11" x14ac:dyDescent="0.25">
      <c r="A773" t="s">
        <v>18</v>
      </c>
      <c r="B773" t="s">
        <v>21</v>
      </c>
      <c r="C773">
        <v>44019324</v>
      </c>
      <c r="D773" t="s">
        <v>48</v>
      </c>
      <c r="E773" t="s">
        <v>44</v>
      </c>
      <c r="F773" s="4">
        <v>41621</v>
      </c>
      <c r="G773" s="4">
        <v>41731</v>
      </c>
      <c r="H773" t="s">
        <v>45</v>
      </c>
      <c r="I773" t="s">
        <v>47</v>
      </c>
      <c r="J773" t="s">
        <v>7</v>
      </c>
      <c r="K773">
        <v>1</v>
      </c>
    </row>
    <row r="774" spans="1:11" x14ac:dyDescent="0.25">
      <c r="A774" t="s">
        <v>18</v>
      </c>
      <c r="B774" t="s">
        <v>21</v>
      </c>
      <c r="C774">
        <v>44019324</v>
      </c>
      <c r="D774" t="s">
        <v>48</v>
      </c>
      <c r="E774" t="s">
        <v>44</v>
      </c>
      <c r="F774" s="4">
        <v>41621</v>
      </c>
      <c r="G774" s="4">
        <v>41731</v>
      </c>
      <c r="H774" t="s">
        <v>45</v>
      </c>
      <c r="I774" t="s">
        <v>47</v>
      </c>
      <c r="J774" t="s">
        <v>8</v>
      </c>
      <c r="K774">
        <v>2</v>
      </c>
    </row>
    <row r="775" spans="1:11" x14ac:dyDescent="0.25">
      <c r="A775" t="s">
        <v>18</v>
      </c>
      <c r="B775" t="s">
        <v>21</v>
      </c>
      <c r="C775">
        <v>44019324</v>
      </c>
      <c r="D775" t="s">
        <v>48</v>
      </c>
      <c r="E775" t="s">
        <v>44</v>
      </c>
      <c r="F775" s="4">
        <v>41621</v>
      </c>
      <c r="G775" s="4">
        <v>41731</v>
      </c>
      <c r="H775" t="s">
        <v>45</v>
      </c>
      <c r="I775" t="s">
        <v>47</v>
      </c>
      <c r="J775" t="s">
        <v>9</v>
      </c>
      <c r="K775">
        <v>2</v>
      </c>
    </row>
    <row r="776" spans="1:11" x14ac:dyDescent="0.25">
      <c r="A776" t="s">
        <v>18</v>
      </c>
      <c r="B776" t="s">
        <v>21</v>
      </c>
      <c r="C776">
        <v>44019324</v>
      </c>
      <c r="D776" t="s">
        <v>48</v>
      </c>
      <c r="E776" t="s">
        <v>44</v>
      </c>
      <c r="F776" s="4">
        <v>41621</v>
      </c>
      <c r="G776" s="4">
        <v>41731</v>
      </c>
      <c r="H776" t="s">
        <v>45</v>
      </c>
      <c r="I776" t="s">
        <v>47</v>
      </c>
      <c r="J776" t="s">
        <v>10</v>
      </c>
      <c r="K776">
        <v>1</v>
      </c>
    </row>
    <row r="777" spans="1:11" x14ac:dyDescent="0.25">
      <c r="A777" t="s">
        <v>18</v>
      </c>
      <c r="B777" t="s">
        <v>21</v>
      </c>
      <c r="C777">
        <v>44019324</v>
      </c>
      <c r="D777" t="s">
        <v>48</v>
      </c>
      <c r="E777" t="s">
        <v>44</v>
      </c>
      <c r="F777" s="4">
        <v>41621</v>
      </c>
      <c r="G777" s="4">
        <v>41731</v>
      </c>
      <c r="H777" t="s">
        <v>45</v>
      </c>
      <c r="I777" t="s">
        <v>47</v>
      </c>
      <c r="J777" t="s">
        <v>11</v>
      </c>
      <c r="K777">
        <v>3</v>
      </c>
    </row>
    <row r="778" spans="1:11" x14ac:dyDescent="0.25">
      <c r="A778" t="s">
        <v>18</v>
      </c>
      <c r="B778" t="s">
        <v>21</v>
      </c>
      <c r="C778">
        <v>44019324</v>
      </c>
      <c r="D778" t="s">
        <v>48</v>
      </c>
      <c r="E778" t="s">
        <v>44</v>
      </c>
      <c r="F778" s="4">
        <v>41621</v>
      </c>
      <c r="G778" s="4">
        <v>41731</v>
      </c>
      <c r="H778" t="s">
        <v>45</v>
      </c>
      <c r="I778" t="s">
        <v>47</v>
      </c>
      <c r="J778" t="s">
        <v>12</v>
      </c>
      <c r="K778">
        <v>1</v>
      </c>
    </row>
    <row r="779" spans="1:11" x14ac:dyDescent="0.25">
      <c r="A779" t="s">
        <v>18</v>
      </c>
      <c r="B779" t="s">
        <v>21</v>
      </c>
      <c r="C779">
        <v>44019324</v>
      </c>
      <c r="D779" t="s">
        <v>48</v>
      </c>
      <c r="E779" t="s">
        <v>44</v>
      </c>
      <c r="F779" s="4">
        <v>41621</v>
      </c>
      <c r="G779" s="4">
        <v>41731</v>
      </c>
      <c r="H779" t="s">
        <v>45</v>
      </c>
      <c r="I779" t="s">
        <v>47</v>
      </c>
      <c r="J779" t="s">
        <v>13</v>
      </c>
      <c r="K779">
        <v>1</v>
      </c>
    </row>
    <row r="780" spans="1:11" x14ac:dyDescent="0.25">
      <c r="A780" t="s">
        <v>18</v>
      </c>
      <c r="B780" t="s">
        <v>21</v>
      </c>
      <c r="C780">
        <v>44019324</v>
      </c>
      <c r="D780" t="s">
        <v>48</v>
      </c>
      <c r="E780" t="s">
        <v>44</v>
      </c>
      <c r="F780" s="4">
        <v>41621</v>
      </c>
      <c r="G780" s="4">
        <v>41731</v>
      </c>
      <c r="H780" t="s">
        <v>45</v>
      </c>
      <c r="I780" t="s">
        <v>47</v>
      </c>
      <c r="J780" t="s">
        <v>14</v>
      </c>
      <c r="K780">
        <v>1</v>
      </c>
    </row>
    <row r="781" spans="1:11" x14ac:dyDescent="0.25">
      <c r="A781" t="s">
        <v>18</v>
      </c>
      <c r="B781" t="s">
        <v>21</v>
      </c>
      <c r="C781">
        <v>44019324</v>
      </c>
      <c r="D781" t="s">
        <v>48</v>
      </c>
      <c r="E781" t="s">
        <v>44</v>
      </c>
      <c r="F781" s="4">
        <v>41621</v>
      </c>
      <c r="G781" s="4">
        <v>41731</v>
      </c>
      <c r="H781" t="s">
        <v>45</v>
      </c>
      <c r="I781" t="s">
        <v>47</v>
      </c>
      <c r="J781" t="s">
        <v>15</v>
      </c>
      <c r="K781">
        <v>0</v>
      </c>
    </row>
    <row r="782" spans="1:11" x14ac:dyDescent="0.25">
      <c r="A782" t="s">
        <v>18</v>
      </c>
      <c r="B782" t="s">
        <v>19</v>
      </c>
      <c r="C782">
        <v>69461947</v>
      </c>
      <c r="D782" t="s">
        <v>43</v>
      </c>
      <c r="E782" t="s">
        <v>44</v>
      </c>
      <c r="F782" s="4">
        <v>41496</v>
      </c>
      <c r="G782" s="4">
        <v>41549</v>
      </c>
      <c r="H782" t="s">
        <v>49</v>
      </c>
      <c r="I782" t="s">
        <v>46</v>
      </c>
      <c r="J782" t="s">
        <v>6</v>
      </c>
      <c r="K782">
        <v>2</v>
      </c>
    </row>
    <row r="783" spans="1:11" x14ac:dyDescent="0.25">
      <c r="A783" t="s">
        <v>18</v>
      </c>
      <c r="B783" t="s">
        <v>19</v>
      </c>
      <c r="C783">
        <v>69461947</v>
      </c>
      <c r="D783" t="s">
        <v>43</v>
      </c>
      <c r="E783" t="s">
        <v>44</v>
      </c>
      <c r="F783" s="4">
        <v>41496</v>
      </c>
      <c r="G783" s="4">
        <v>41549</v>
      </c>
      <c r="H783" t="s">
        <v>49</v>
      </c>
      <c r="I783" t="s">
        <v>46</v>
      </c>
      <c r="J783" t="s">
        <v>7</v>
      </c>
      <c r="K783">
        <v>0</v>
      </c>
    </row>
    <row r="784" spans="1:11" x14ac:dyDescent="0.25">
      <c r="A784" t="s">
        <v>18</v>
      </c>
      <c r="B784" t="s">
        <v>19</v>
      </c>
      <c r="C784">
        <v>69461947</v>
      </c>
      <c r="D784" t="s">
        <v>43</v>
      </c>
      <c r="E784" t="s">
        <v>44</v>
      </c>
      <c r="F784" s="4">
        <v>41496</v>
      </c>
      <c r="G784" s="4">
        <v>41549</v>
      </c>
      <c r="H784" t="s">
        <v>49</v>
      </c>
      <c r="I784" t="s">
        <v>46</v>
      </c>
      <c r="J784" t="s">
        <v>8</v>
      </c>
      <c r="K784">
        <v>3</v>
      </c>
    </row>
    <row r="785" spans="1:11" x14ac:dyDescent="0.25">
      <c r="A785" t="s">
        <v>18</v>
      </c>
      <c r="B785" t="s">
        <v>19</v>
      </c>
      <c r="C785">
        <v>69461947</v>
      </c>
      <c r="D785" t="s">
        <v>43</v>
      </c>
      <c r="E785" t="s">
        <v>44</v>
      </c>
      <c r="F785" s="4">
        <v>41496</v>
      </c>
      <c r="G785" s="4">
        <v>41549</v>
      </c>
      <c r="H785" t="s">
        <v>49</v>
      </c>
      <c r="I785" t="s">
        <v>46</v>
      </c>
      <c r="J785" t="s">
        <v>9</v>
      </c>
      <c r="K785">
        <v>1</v>
      </c>
    </row>
    <row r="786" spans="1:11" x14ac:dyDescent="0.25">
      <c r="A786" t="s">
        <v>18</v>
      </c>
      <c r="B786" t="s">
        <v>19</v>
      </c>
      <c r="C786">
        <v>69461947</v>
      </c>
      <c r="D786" t="s">
        <v>43</v>
      </c>
      <c r="E786" t="s">
        <v>44</v>
      </c>
      <c r="F786" s="4">
        <v>41496</v>
      </c>
      <c r="G786" s="4">
        <v>41549</v>
      </c>
      <c r="H786" t="s">
        <v>49</v>
      </c>
      <c r="I786" t="s">
        <v>46</v>
      </c>
      <c r="J786" t="s">
        <v>10</v>
      </c>
      <c r="K786">
        <v>0</v>
      </c>
    </row>
    <row r="787" spans="1:11" x14ac:dyDescent="0.25">
      <c r="A787" t="s">
        <v>18</v>
      </c>
      <c r="B787" t="s">
        <v>19</v>
      </c>
      <c r="C787">
        <v>69461947</v>
      </c>
      <c r="D787" t="s">
        <v>43</v>
      </c>
      <c r="E787" t="s">
        <v>44</v>
      </c>
      <c r="F787" s="4">
        <v>41496</v>
      </c>
      <c r="G787" s="4">
        <v>41549</v>
      </c>
      <c r="H787" t="s">
        <v>49</v>
      </c>
      <c r="I787" t="s">
        <v>46</v>
      </c>
      <c r="J787" t="s">
        <v>11</v>
      </c>
      <c r="K787">
        <v>1</v>
      </c>
    </row>
    <row r="788" spans="1:11" x14ac:dyDescent="0.25">
      <c r="A788" t="s">
        <v>18</v>
      </c>
      <c r="B788" t="s">
        <v>19</v>
      </c>
      <c r="C788">
        <v>69461947</v>
      </c>
      <c r="D788" t="s">
        <v>43</v>
      </c>
      <c r="E788" t="s">
        <v>44</v>
      </c>
      <c r="F788" s="4">
        <v>41496</v>
      </c>
      <c r="G788" s="4">
        <v>41549</v>
      </c>
      <c r="H788" t="s">
        <v>49</v>
      </c>
      <c r="I788" t="s">
        <v>46</v>
      </c>
      <c r="J788" t="s">
        <v>12</v>
      </c>
      <c r="K788">
        <v>1</v>
      </c>
    </row>
    <row r="789" spans="1:11" x14ac:dyDescent="0.25">
      <c r="A789" t="s">
        <v>18</v>
      </c>
      <c r="B789" t="s">
        <v>19</v>
      </c>
      <c r="C789">
        <v>69461947</v>
      </c>
      <c r="D789" t="s">
        <v>43</v>
      </c>
      <c r="E789" t="s">
        <v>44</v>
      </c>
      <c r="F789" s="4">
        <v>41496</v>
      </c>
      <c r="G789" s="4">
        <v>41549</v>
      </c>
      <c r="H789" t="s">
        <v>49</v>
      </c>
      <c r="I789" t="s">
        <v>46</v>
      </c>
      <c r="J789" t="s">
        <v>13</v>
      </c>
      <c r="K789">
        <v>0</v>
      </c>
    </row>
    <row r="790" spans="1:11" x14ac:dyDescent="0.25">
      <c r="A790" t="s">
        <v>18</v>
      </c>
      <c r="B790" t="s">
        <v>19</v>
      </c>
      <c r="C790">
        <v>69461947</v>
      </c>
      <c r="D790" t="s">
        <v>43</v>
      </c>
      <c r="E790" t="s">
        <v>44</v>
      </c>
      <c r="F790" s="4">
        <v>41496</v>
      </c>
      <c r="G790" s="4">
        <v>41549</v>
      </c>
      <c r="H790" t="s">
        <v>49</v>
      </c>
      <c r="I790" t="s">
        <v>46</v>
      </c>
      <c r="J790" t="s">
        <v>14</v>
      </c>
      <c r="K790">
        <v>1</v>
      </c>
    </row>
    <row r="791" spans="1:11" x14ac:dyDescent="0.25">
      <c r="A791" t="s">
        <v>18</v>
      </c>
      <c r="B791" t="s">
        <v>19</v>
      </c>
      <c r="C791">
        <v>69461947</v>
      </c>
      <c r="D791" t="s">
        <v>43</v>
      </c>
      <c r="E791" t="s">
        <v>44</v>
      </c>
      <c r="F791" s="4">
        <v>41496</v>
      </c>
      <c r="G791" s="4">
        <v>41549</v>
      </c>
      <c r="H791" t="s">
        <v>49</v>
      </c>
      <c r="I791" t="s">
        <v>46</v>
      </c>
      <c r="J791" t="s">
        <v>15</v>
      </c>
      <c r="K791">
        <v>1</v>
      </c>
    </row>
    <row r="792" spans="1:11" x14ac:dyDescent="0.25">
      <c r="A792" t="s">
        <v>18</v>
      </c>
      <c r="B792" t="s">
        <v>20</v>
      </c>
      <c r="C792">
        <v>57062516</v>
      </c>
      <c r="D792" t="s">
        <v>48</v>
      </c>
      <c r="E792" t="s">
        <v>51</v>
      </c>
      <c r="F792" s="4">
        <v>41520</v>
      </c>
      <c r="G792" s="4">
        <v>41555</v>
      </c>
      <c r="H792" t="s">
        <v>45</v>
      </c>
      <c r="I792" t="s">
        <v>46</v>
      </c>
      <c r="J792" t="s">
        <v>6</v>
      </c>
      <c r="K792">
        <v>0</v>
      </c>
    </row>
    <row r="793" spans="1:11" x14ac:dyDescent="0.25">
      <c r="A793" t="s">
        <v>18</v>
      </c>
      <c r="B793" t="s">
        <v>20</v>
      </c>
      <c r="C793">
        <v>57062516</v>
      </c>
      <c r="D793" t="s">
        <v>48</v>
      </c>
      <c r="E793" t="s">
        <v>51</v>
      </c>
      <c r="F793" s="4">
        <v>41520</v>
      </c>
      <c r="G793" s="4">
        <v>41555</v>
      </c>
      <c r="H793" t="s">
        <v>45</v>
      </c>
      <c r="I793" t="s">
        <v>46</v>
      </c>
      <c r="J793" t="s">
        <v>7</v>
      </c>
      <c r="K793">
        <v>0</v>
      </c>
    </row>
    <row r="794" spans="1:11" x14ac:dyDescent="0.25">
      <c r="A794" t="s">
        <v>18</v>
      </c>
      <c r="B794" t="s">
        <v>20</v>
      </c>
      <c r="C794">
        <v>57062516</v>
      </c>
      <c r="D794" t="s">
        <v>48</v>
      </c>
      <c r="E794" t="s">
        <v>51</v>
      </c>
      <c r="F794" s="4">
        <v>41520</v>
      </c>
      <c r="G794" s="4">
        <v>41555</v>
      </c>
      <c r="H794" t="s">
        <v>45</v>
      </c>
      <c r="I794" t="s">
        <v>46</v>
      </c>
      <c r="J794" t="s">
        <v>8</v>
      </c>
      <c r="K794">
        <v>1</v>
      </c>
    </row>
    <row r="795" spans="1:11" x14ac:dyDescent="0.25">
      <c r="A795" t="s">
        <v>18</v>
      </c>
      <c r="B795" t="s">
        <v>20</v>
      </c>
      <c r="C795">
        <v>57062516</v>
      </c>
      <c r="D795" t="s">
        <v>48</v>
      </c>
      <c r="E795" t="s">
        <v>51</v>
      </c>
      <c r="F795" s="4">
        <v>41520</v>
      </c>
      <c r="G795" s="4">
        <v>41555</v>
      </c>
      <c r="H795" t="s">
        <v>45</v>
      </c>
      <c r="I795" t="s">
        <v>46</v>
      </c>
      <c r="J795" t="s">
        <v>9</v>
      </c>
      <c r="K795">
        <v>3</v>
      </c>
    </row>
    <row r="796" spans="1:11" x14ac:dyDescent="0.25">
      <c r="A796" t="s">
        <v>18</v>
      </c>
      <c r="B796" t="s">
        <v>20</v>
      </c>
      <c r="C796">
        <v>57062516</v>
      </c>
      <c r="D796" t="s">
        <v>48</v>
      </c>
      <c r="E796" t="s">
        <v>51</v>
      </c>
      <c r="F796" s="4">
        <v>41520</v>
      </c>
      <c r="G796" s="4">
        <v>41555</v>
      </c>
      <c r="H796" t="s">
        <v>45</v>
      </c>
      <c r="I796" t="s">
        <v>46</v>
      </c>
      <c r="J796" t="s">
        <v>10</v>
      </c>
      <c r="K796">
        <v>3</v>
      </c>
    </row>
    <row r="797" spans="1:11" x14ac:dyDescent="0.25">
      <c r="A797" t="s">
        <v>18</v>
      </c>
      <c r="B797" t="s">
        <v>20</v>
      </c>
      <c r="C797">
        <v>57062516</v>
      </c>
      <c r="D797" t="s">
        <v>48</v>
      </c>
      <c r="E797" t="s">
        <v>51</v>
      </c>
      <c r="F797" s="4">
        <v>41520</v>
      </c>
      <c r="G797" s="4">
        <v>41555</v>
      </c>
      <c r="H797" t="s">
        <v>45</v>
      </c>
      <c r="I797" t="s">
        <v>46</v>
      </c>
      <c r="J797" t="s">
        <v>11</v>
      </c>
      <c r="K797">
        <v>3</v>
      </c>
    </row>
    <row r="798" spans="1:11" x14ac:dyDescent="0.25">
      <c r="A798" t="s">
        <v>18</v>
      </c>
      <c r="B798" t="s">
        <v>20</v>
      </c>
      <c r="C798">
        <v>57062516</v>
      </c>
      <c r="D798" t="s">
        <v>48</v>
      </c>
      <c r="E798" t="s">
        <v>51</v>
      </c>
      <c r="F798" s="4">
        <v>41520</v>
      </c>
      <c r="G798" s="4">
        <v>41555</v>
      </c>
      <c r="H798" t="s">
        <v>45</v>
      </c>
      <c r="I798" t="s">
        <v>46</v>
      </c>
      <c r="J798" t="s">
        <v>12</v>
      </c>
      <c r="K798">
        <v>0</v>
      </c>
    </row>
    <row r="799" spans="1:11" x14ac:dyDescent="0.25">
      <c r="A799" t="s">
        <v>18</v>
      </c>
      <c r="B799" t="s">
        <v>20</v>
      </c>
      <c r="C799">
        <v>57062516</v>
      </c>
      <c r="D799" t="s">
        <v>48</v>
      </c>
      <c r="E799" t="s">
        <v>51</v>
      </c>
      <c r="F799" s="4">
        <v>41520</v>
      </c>
      <c r="G799" s="4">
        <v>41555</v>
      </c>
      <c r="H799" t="s">
        <v>45</v>
      </c>
      <c r="I799" t="s">
        <v>46</v>
      </c>
      <c r="J799" t="s">
        <v>13</v>
      </c>
      <c r="K799">
        <v>0</v>
      </c>
    </row>
    <row r="800" spans="1:11" x14ac:dyDescent="0.25">
      <c r="A800" t="s">
        <v>18</v>
      </c>
      <c r="B800" t="s">
        <v>20</v>
      </c>
      <c r="C800">
        <v>57062516</v>
      </c>
      <c r="D800" t="s">
        <v>48</v>
      </c>
      <c r="E800" t="s">
        <v>51</v>
      </c>
      <c r="F800" s="4">
        <v>41520</v>
      </c>
      <c r="G800" s="4">
        <v>41555</v>
      </c>
      <c r="H800" t="s">
        <v>45</v>
      </c>
      <c r="I800" t="s">
        <v>46</v>
      </c>
      <c r="J800" t="s">
        <v>14</v>
      </c>
      <c r="K800">
        <v>2</v>
      </c>
    </row>
    <row r="801" spans="1:11" x14ac:dyDescent="0.25">
      <c r="A801" t="s">
        <v>18</v>
      </c>
      <c r="B801" t="s">
        <v>20</v>
      </c>
      <c r="C801">
        <v>57062516</v>
      </c>
      <c r="D801" t="s">
        <v>48</v>
      </c>
      <c r="E801" t="s">
        <v>51</v>
      </c>
      <c r="F801" s="4">
        <v>41520</v>
      </c>
      <c r="G801" s="4">
        <v>41555</v>
      </c>
      <c r="H801" t="s">
        <v>45</v>
      </c>
      <c r="I801" t="s">
        <v>46</v>
      </c>
      <c r="J801" t="s">
        <v>15</v>
      </c>
      <c r="K801">
        <v>1</v>
      </c>
    </row>
    <row r="802" spans="1:11" x14ac:dyDescent="0.25">
      <c r="A802" t="s">
        <v>18</v>
      </c>
      <c r="B802" t="s">
        <v>21</v>
      </c>
      <c r="C802">
        <v>57062516</v>
      </c>
      <c r="D802" t="s">
        <v>48</v>
      </c>
      <c r="E802" t="s">
        <v>51</v>
      </c>
      <c r="F802" s="4">
        <v>41520</v>
      </c>
      <c r="G802" s="4">
        <v>41697</v>
      </c>
      <c r="H802" t="s">
        <v>45</v>
      </c>
      <c r="I802" t="s">
        <v>47</v>
      </c>
      <c r="J802" t="s">
        <v>6</v>
      </c>
      <c r="K802">
        <v>0</v>
      </c>
    </row>
    <row r="803" spans="1:11" x14ac:dyDescent="0.25">
      <c r="A803" t="s">
        <v>18</v>
      </c>
      <c r="B803" t="s">
        <v>21</v>
      </c>
      <c r="C803">
        <v>57062516</v>
      </c>
      <c r="D803" t="s">
        <v>48</v>
      </c>
      <c r="E803" t="s">
        <v>51</v>
      </c>
      <c r="F803" s="4">
        <v>41520</v>
      </c>
      <c r="G803" s="4">
        <v>41697</v>
      </c>
      <c r="H803" t="s">
        <v>45</v>
      </c>
      <c r="I803" t="s">
        <v>47</v>
      </c>
      <c r="J803" t="s">
        <v>7</v>
      </c>
      <c r="K803">
        <v>1</v>
      </c>
    </row>
    <row r="804" spans="1:11" x14ac:dyDescent="0.25">
      <c r="A804" t="s">
        <v>18</v>
      </c>
      <c r="B804" t="s">
        <v>21</v>
      </c>
      <c r="C804">
        <v>57062516</v>
      </c>
      <c r="D804" t="s">
        <v>48</v>
      </c>
      <c r="E804" t="s">
        <v>51</v>
      </c>
      <c r="F804" s="4">
        <v>41520</v>
      </c>
      <c r="G804" s="4">
        <v>41697</v>
      </c>
      <c r="H804" t="s">
        <v>45</v>
      </c>
      <c r="I804" t="s">
        <v>47</v>
      </c>
      <c r="J804" t="s">
        <v>8</v>
      </c>
      <c r="K804">
        <v>2</v>
      </c>
    </row>
    <row r="805" spans="1:11" x14ac:dyDescent="0.25">
      <c r="A805" t="s">
        <v>18</v>
      </c>
      <c r="B805" t="s">
        <v>21</v>
      </c>
      <c r="C805">
        <v>57062516</v>
      </c>
      <c r="D805" t="s">
        <v>48</v>
      </c>
      <c r="E805" t="s">
        <v>51</v>
      </c>
      <c r="F805" s="4">
        <v>41520</v>
      </c>
      <c r="G805" s="4">
        <v>41697</v>
      </c>
      <c r="H805" t="s">
        <v>45</v>
      </c>
      <c r="I805" t="s">
        <v>47</v>
      </c>
      <c r="J805" t="s">
        <v>9</v>
      </c>
      <c r="K805">
        <v>3</v>
      </c>
    </row>
    <row r="806" spans="1:11" x14ac:dyDescent="0.25">
      <c r="A806" t="s">
        <v>18</v>
      </c>
      <c r="B806" t="s">
        <v>21</v>
      </c>
      <c r="C806">
        <v>57062516</v>
      </c>
      <c r="D806" t="s">
        <v>48</v>
      </c>
      <c r="E806" t="s">
        <v>51</v>
      </c>
      <c r="F806" s="4">
        <v>41520</v>
      </c>
      <c r="G806" s="4">
        <v>41697</v>
      </c>
      <c r="H806" t="s">
        <v>45</v>
      </c>
      <c r="I806" t="s">
        <v>47</v>
      </c>
      <c r="J806" t="s">
        <v>10</v>
      </c>
      <c r="K806">
        <v>3</v>
      </c>
    </row>
    <row r="807" spans="1:11" x14ac:dyDescent="0.25">
      <c r="A807" t="s">
        <v>18</v>
      </c>
      <c r="B807" t="s">
        <v>21</v>
      </c>
      <c r="C807">
        <v>57062516</v>
      </c>
      <c r="D807" t="s">
        <v>48</v>
      </c>
      <c r="E807" t="s">
        <v>51</v>
      </c>
      <c r="F807" s="4">
        <v>41520</v>
      </c>
      <c r="G807" s="4">
        <v>41697</v>
      </c>
      <c r="H807" t="s">
        <v>45</v>
      </c>
      <c r="I807" t="s">
        <v>47</v>
      </c>
      <c r="J807" t="s">
        <v>11</v>
      </c>
      <c r="K807">
        <v>0</v>
      </c>
    </row>
    <row r="808" spans="1:11" x14ac:dyDescent="0.25">
      <c r="A808" t="s">
        <v>18</v>
      </c>
      <c r="B808" t="s">
        <v>21</v>
      </c>
      <c r="C808">
        <v>57062516</v>
      </c>
      <c r="D808" t="s">
        <v>48</v>
      </c>
      <c r="E808" t="s">
        <v>51</v>
      </c>
      <c r="F808" s="4">
        <v>41520</v>
      </c>
      <c r="G808" s="4">
        <v>41697</v>
      </c>
      <c r="H808" t="s">
        <v>45</v>
      </c>
      <c r="I808" t="s">
        <v>47</v>
      </c>
      <c r="J808" t="s">
        <v>12</v>
      </c>
      <c r="K808">
        <v>1</v>
      </c>
    </row>
    <row r="809" spans="1:11" x14ac:dyDescent="0.25">
      <c r="A809" t="s">
        <v>18</v>
      </c>
      <c r="B809" t="s">
        <v>21</v>
      </c>
      <c r="C809">
        <v>57062516</v>
      </c>
      <c r="D809" t="s">
        <v>48</v>
      </c>
      <c r="E809" t="s">
        <v>51</v>
      </c>
      <c r="F809" s="4">
        <v>41520</v>
      </c>
      <c r="G809" s="4">
        <v>41697</v>
      </c>
      <c r="H809" t="s">
        <v>45</v>
      </c>
      <c r="I809" t="s">
        <v>47</v>
      </c>
      <c r="J809" t="s">
        <v>13</v>
      </c>
      <c r="K809">
        <v>0</v>
      </c>
    </row>
    <row r="810" spans="1:11" x14ac:dyDescent="0.25">
      <c r="A810" t="s">
        <v>18</v>
      </c>
      <c r="B810" t="s">
        <v>21</v>
      </c>
      <c r="C810">
        <v>57062516</v>
      </c>
      <c r="D810" t="s">
        <v>48</v>
      </c>
      <c r="E810" t="s">
        <v>51</v>
      </c>
      <c r="F810" s="4">
        <v>41520</v>
      </c>
      <c r="G810" s="4">
        <v>41697</v>
      </c>
      <c r="H810" t="s">
        <v>45</v>
      </c>
      <c r="I810" t="s">
        <v>47</v>
      </c>
      <c r="J810" t="s">
        <v>14</v>
      </c>
      <c r="K810">
        <v>2</v>
      </c>
    </row>
    <row r="811" spans="1:11" x14ac:dyDescent="0.25">
      <c r="A811" t="s">
        <v>18</v>
      </c>
      <c r="B811" t="s">
        <v>21</v>
      </c>
      <c r="C811">
        <v>57062516</v>
      </c>
      <c r="D811" t="s">
        <v>48</v>
      </c>
      <c r="E811" t="s">
        <v>51</v>
      </c>
      <c r="F811" s="4">
        <v>41520</v>
      </c>
      <c r="G811" s="4">
        <v>41697</v>
      </c>
      <c r="H811" t="s">
        <v>45</v>
      </c>
      <c r="I811" t="s">
        <v>47</v>
      </c>
      <c r="J811" t="s">
        <v>15</v>
      </c>
      <c r="K811">
        <v>2</v>
      </c>
    </row>
    <row r="812" spans="1:11" x14ac:dyDescent="0.25">
      <c r="A812" t="s">
        <v>18</v>
      </c>
      <c r="B812" t="s">
        <v>19</v>
      </c>
      <c r="C812">
        <v>57062516</v>
      </c>
      <c r="D812" t="s">
        <v>48</v>
      </c>
      <c r="E812" t="s">
        <v>51</v>
      </c>
      <c r="F812" s="4">
        <v>41520</v>
      </c>
      <c r="G812" s="4">
        <v>41711</v>
      </c>
      <c r="H812" t="s">
        <v>45</v>
      </c>
      <c r="I812" t="s">
        <v>47</v>
      </c>
      <c r="J812" t="s">
        <v>6</v>
      </c>
      <c r="K812">
        <v>2</v>
      </c>
    </row>
    <row r="813" spans="1:11" x14ac:dyDescent="0.25">
      <c r="A813" t="s">
        <v>18</v>
      </c>
      <c r="B813" t="s">
        <v>19</v>
      </c>
      <c r="C813">
        <v>57062516</v>
      </c>
      <c r="D813" t="s">
        <v>48</v>
      </c>
      <c r="E813" t="s">
        <v>51</v>
      </c>
      <c r="F813" s="4">
        <v>41520</v>
      </c>
      <c r="G813" s="4">
        <v>41711</v>
      </c>
      <c r="H813" t="s">
        <v>45</v>
      </c>
      <c r="I813" t="s">
        <v>47</v>
      </c>
      <c r="J813" t="s">
        <v>7</v>
      </c>
      <c r="K813">
        <v>0</v>
      </c>
    </row>
    <row r="814" spans="1:11" x14ac:dyDescent="0.25">
      <c r="A814" t="s">
        <v>18</v>
      </c>
      <c r="B814" t="s">
        <v>19</v>
      </c>
      <c r="C814">
        <v>57062516</v>
      </c>
      <c r="D814" t="s">
        <v>48</v>
      </c>
      <c r="E814" t="s">
        <v>51</v>
      </c>
      <c r="F814" s="4">
        <v>41520</v>
      </c>
      <c r="G814" s="4">
        <v>41711</v>
      </c>
      <c r="H814" t="s">
        <v>45</v>
      </c>
      <c r="I814" t="s">
        <v>47</v>
      </c>
      <c r="J814" t="s">
        <v>8</v>
      </c>
      <c r="K814">
        <v>3</v>
      </c>
    </row>
    <row r="815" spans="1:11" x14ac:dyDescent="0.25">
      <c r="A815" t="s">
        <v>18</v>
      </c>
      <c r="B815" t="s">
        <v>19</v>
      </c>
      <c r="C815">
        <v>57062516</v>
      </c>
      <c r="D815" t="s">
        <v>48</v>
      </c>
      <c r="E815" t="s">
        <v>51</v>
      </c>
      <c r="F815" s="4">
        <v>41520</v>
      </c>
      <c r="G815" s="4">
        <v>41711</v>
      </c>
      <c r="H815" t="s">
        <v>45</v>
      </c>
      <c r="I815" t="s">
        <v>47</v>
      </c>
      <c r="J815" t="s">
        <v>9</v>
      </c>
      <c r="K815">
        <v>3</v>
      </c>
    </row>
    <row r="816" spans="1:11" x14ac:dyDescent="0.25">
      <c r="A816" t="s">
        <v>18</v>
      </c>
      <c r="B816" t="s">
        <v>19</v>
      </c>
      <c r="C816">
        <v>57062516</v>
      </c>
      <c r="D816" t="s">
        <v>48</v>
      </c>
      <c r="E816" t="s">
        <v>51</v>
      </c>
      <c r="F816" s="4">
        <v>41520</v>
      </c>
      <c r="G816" s="4">
        <v>41711</v>
      </c>
      <c r="H816" t="s">
        <v>45</v>
      </c>
      <c r="I816" t="s">
        <v>47</v>
      </c>
      <c r="J816" t="s">
        <v>10</v>
      </c>
      <c r="K816">
        <v>2</v>
      </c>
    </row>
    <row r="817" spans="1:11" x14ac:dyDescent="0.25">
      <c r="A817" t="s">
        <v>18</v>
      </c>
      <c r="B817" t="s">
        <v>19</v>
      </c>
      <c r="C817">
        <v>57062516</v>
      </c>
      <c r="D817" t="s">
        <v>48</v>
      </c>
      <c r="E817" t="s">
        <v>51</v>
      </c>
      <c r="F817" s="4">
        <v>41520</v>
      </c>
      <c r="G817" s="4">
        <v>41711</v>
      </c>
      <c r="H817" t="s">
        <v>45</v>
      </c>
      <c r="I817" t="s">
        <v>47</v>
      </c>
      <c r="J817" t="s">
        <v>11</v>
      </c>
      <c r="K817">
        <v>0</v>
      </c>
    </row>
    <row r="818" spans="1:11" x14ac:dyDescent="0.25">
      <c r="A818" t="s">
        <v>18</v>
      </c>
      <c r="B818" t="s">
        <v>19</v>
      </c>
      <c r="C818">
        <v>57062516</v>
      </c>
      <c r="D818" t="s">
        <v>48</v>
      </c>
      <c r="E818" t="s">
        <v>51</v>
      </c>
      <c r="F818" s="4">
        <v>41520</v>
      </c>
      <c r="G818" s="4">
        <v>41711</v>
      </c>
      <c r="H818" t="s">
        <v>45</v>
      </c>
      <c r="I818" t="s">
        <v>47</v>
      </c>
      <c r="J818" t="s">
        <v>12</v>
      </c>
      <c r="K818">
        <v>2</v>
      </c>
    </row>
    <row r="819" spans="1:11" x14ac:dyDescent="0.25">
      <c r="A819" t="s">
        <v>18</v>
      </c>
      <c r="B819" t="s">
        <v>19</v>
      </c>
      <c r="C819">
        <v>57062516</v>
      </c>
      <c r="D819" t="s">
        <v>48</v>
      </c>
      <c r="E819" t="s">
        <v>51</v>
      </c>
      <c r="F819" s="4">
        <v>41520</v>
      </c>
      <c r="G819" s="4">
        <v>41711</v>
      </c>
      <c r="H819" t="s">
        <v>45</v>
      </c>
      <c r="I819" t="s">
        <v>47</v>
      </c>
      <c r="J819" t="s">
        <v>13</v>
      </c>
      <c r="K819">
        <v>1</v>
      </c>
    </row>
    <row r="820" spans="1:11" x14ac:dyDescent="0.25">
      <c r="A820" t="s">
        <v>18</v>
      </c>
      <c r="B820" t="s">
        <v>19</v>
      </c>
      <c r="C820">
        <v>57062516</v>
      </c>
      <c r="D820" t="s">
        <v>48</v>
      </c>
      <c r="E820" t="s">
        <v>51</v>
      </c>
      <c r="F820" s="4">
        <v>41520</v>
      </c>
      <c r="G820" s="4">
        <v>41711</v>
      </c>
      <c r="H820" t="s">
        <v>45</v>
      </c>
      <c r="I820" t="s">
        <v>47</v>
      </c>
      <c r="J820" t="s">
        <v>14</v>
      </c>
      <c r="K820">
        <v>3</v>
      </c>
    </row>
    <row r="821" spans="1:11" x14ac:dyDescent="0.25">
      <c r="A821" t="s">
        <v>18</v>
      </c>
      <c r="B821" t="s">
        <v>19</v>
      </c>
      <c r="C821">
        <v>57062516</v>
      </c>
      <c r="D821" t="s">
        <v>48</v>
      </c>
      <c r="E821" t="s">
        <v>51</v>
      </c>
      <c r="F821" s="4">
        <v>41520</v>
      </c>
      <c r="G821" s="4">
        <v>41711</v>
      </c>
      <c r="H821" t="s">
        <v>45</v>
      </c>
      <c r="I821" t="s">
        <v>47</v>
      </c>
      <c r="J821" t="s">
        <v>15</v>
      </c>
      <c r="K821">
        <v>0</v>
      </c>
    </row>
    <row r="822" spans="1:11" x14ac:dyDescent="0.25">
      <c r="A822" t="s">
        <v>18</v>
      </c>
      <c r="B822" t="s">
        <v>20</v>
      </c>
      <c r="C822">
        <v>57062516</v>
      </c>
      <c r="D822" t="s">
        <v>48</v>
      </c>
      <c r="E822" t="s">
        <v>51</v>
      </c>
      <c r="F822" s="4">
        <v>41520</v>
      </c>
      <c r="G822" s="4">
        <v>41848</v>
      </c>
      <c r="H822" t="s">
        <v>45</v>
      </c>
      <c r="I822" t="s">
        <v>47</v>
      </c>
      <c r="J822" t="s">
        <v>6</v>
      </c>
      <c r="K822">
        <v>1</v>
      </c>
    </row>
    <row r="823" spans="1:11" x14ac:dyDescent="0.25">
      <c r="A823" t="s">
        <v>18</v>
      </c>
      <c r="B823" t="s">
        <v>20</v>
      </c>
      <c r="C823">
        <v>57062516</v>
      </c>
      <c r="D823" t="s">
        <v>48</v>
      </c>
      <c r="E823" t="s">
        <v>51</v>
      </c>
      <c r="F823" s="4">
        <v>41520</v>
      </c>
      <c r="G823" s="4">
        <v>41848</v>
      </c>
      <c r="H823" t="s">
        <v>45</v>
      </c>
      <c r="I823" t="s">
        <v>47</v>
      </c>
      <c r="J823" t="s">
        <v>7</v>
      </c>
      <c r="K823">
        <v>0</v>
      </c>
    </row>
    <row r="824" spans="1:11" x14ac:dyDescent="0.25">
      <c r="A824" t="s">
        <v>18</v>
      </c>
      <c r="B824" t="s">
        <v>20</v>
      </c>
      <c r="C824">
        <v>57062516</v>
      </c>
      <c r="D824" t="s">
        <v>48</v>
      </c>
      <c r="E824" t="s">
        <v>51</v>
      </c>
      <c r="F824" s="4">
        <v>41520</v>
      </c>
      <c r="G824" s="4">
        <v>41848</v>
      </c>
      <c r="H824" t="s">
        <v>45</v>
      </c>
      <c r="I824" t="s">
        <v>47</v>
      </c>
      <c r="J824" t="s">
        <v>8</v>
      </c>
      <c r="K824">
        <v>3</v>
      </c>
    </row>
    <row r="825" spans="1:11" x14ac:dyDescent="0.25">
      <c r="A825" t="s">
        <v>18</v>
      </c>
      <c r="B825" t="s">
        <v>20</v>
      </c>
      <c r="C825">
        <v>57062516</v>
      </c>
      <c r="D825" t="s">
        <v>48</v>
      </c>
      <c r="E825" t="s">
        <v>51</v>
      </c>
      <c r="F825" s="4">
        <v>41520</v>
      </c>
      <c r="G825" s="4">
        <v>41848</v>
      </c>
      <c r="H825" t="s">
        <v>45</v>
      </c>
      <c r="I825" t="s">
        <v>47</v>
      </c>
      <c r="J825" t="s">
        <v>9</v>
      </c>
      <c r="K825">
        <v>1</v>
      </c>
    </row>
    <row r="826" spans="1:11" x14ac:dyDescent="0.25">
      <c r="A826" t="s">
        <v>18</v>
      </c>
      <c r="B826" t="s">
        <v>20</v>
      </c>
      <c r="C826">
        <v>57062516</v>
      </c>
      <c r="D826" t="s">
        <v>48</v>
      </c>
      <c r="E826" t="s">
        <v>51</v>
      </c>
      <c r="F826" s="4">
        <v>41520</v>
      </c>
      <c r="G826" s="4">
        <v>41848</v>
      </c>
      <c r="H826" t="s">
        <v>45</v>
      </c>
      <c r="I826" t="s">
        <v>47</v>
      </c>
      <c r="J826" t="s">
        <v>10</v>
      </c>
      <c r="K826">
        <v>2</v>
      </c>
    </row>
    <row r="827" spans="1:11" x14ac:dyDescent="0.25">
      <c r="A827" t="s">
        <v>18</v>
      </c>
      <c r="B827" t="s">
        <v>20</v>
      </c>
      <c r="C827">
        <v>57062516</v>
      </c>
      <c r="D827" t="s">
        <v>48</v>
      </c>
      <c r="E827" t="s">
        <v>51</v>
      </c>
      <c r="F827" s="4">
        <v>41520</v>
      </c>
      <c r="G827" s="4">
        <v>41848</v>
      </c>
      <c r="H827" t="s">
        <v>45</v>
      </c>
      <c r="I827" t="s">
        <v>47</v>
      </c>
      <c r="J827" t="s">
        <v>11</v>
      </c>
      <c r="K827">
        <v>2</v>
      </c>
    </row>
    <row r="828" spans="1:11" x14ac:dyDescent="0.25">
      <c r="A828" t="s">
        <v>18</v>
      </c>
      <c r="B828" t="s">
        <v>20</v>
      </c>
      <c r="C828">
        <v>57062516</v>
      </c>
      <c r="D828" t="s">
        <v>48</v>
      </c>
      <c r="E828" t="s">
        <v>51</v>
      </c>
      <c r="F828" s="4">
        <v>41520</v>
      </c>
      <c r="G828" s="4">
        <v>41848</v>
      </c>
      <c r="H828" t="s">
        <v>45</v>
      </c>
      <c r="I828" t="s">
        <v>47</v>
      </c>
      <c r="J828" t="s">
        <v>12</v>
      </c>
      <c r="K828">
        <v>2</v>
      </c>
    </row>
    <row r="829" spans="1:11" x14ac:dyDescent="0.25">
      <c r="A829" t="s">
        <v>18</v>
      </c>
      <c r="B829" t="s">
        <v>20</v>
      </c>
      <c r="C829">
        <v>57062516</v>
      </c>
      <c r="D829" t="s">
        <v>48</v>
      </c>
      <c r="E829" t="s">
        <v>51</v>
      </c>
      <c r="F829" s="4">
        <v>41520</v>
      </c>
      <c r="G829" s="4">
        <v>41848</v>
      </c>
      <c r="H829" t="s">
        <v>45</v>
      </c>
      <c r="I829" t="s">
        <v>47</v>
      </c>
      <c r="J829" t="s">
        <v>13</v>
      </c>
      <c r="K829">
        <v>0</v>
      </c>
    </row>
    <row r="830" spans="1:11" x14ac:dyDescent="0.25">
      <c r="A830" t="s">
        <v>18</v>
      </c>
      <c r="B830" t="s">
        <v>20</v>
      </c>
      <c r="C830">
        <v>57062516</v>
      </c>
      <c r="D830" t="s">
        <v>48</v>
      </c>
      <c r="E830" t="s">
        <v>51</v>
      </c>
      <c r="F830" s="4">
        <v>41520</v>
      </c>
      <c r="G830" s="4">
        <v>41848</v>
      </c>
      <c r="H830" t="s">
        <v>45</v>
      </c>
      <c r="I830" t="s">
        <v>47</v>
      </c>
      <c r="J830" t="s">
        <v>14</v>
      </c>
      <c r="K830">
        <v>1</v>
      </c>
    </row>
    <row r="831" spans="1:11" x14ac:dyDescent="0.25">
      <c r="A831" t="s">
        <v>18</v>
      </c>
      <c r="B831" t="s">
        <v>20</v>
      </c>
      <c r="C831">
        <v>57062516</v>
      </c>
      <c r="D831" t="s">
        <v>48</v>
      </c>
      <c r="E831" t="s">
        <v>51</v>
      </c>
      <c r="F831" s="4">
        <v>41520</v>
      </c>
      <c r="G831" s="4">
        <v>41848</v>
      </c>
      <c r="H831" t="s">
        <v>45</v>
      </c>
      <c r="I831" t="s">
        <v>47</v>
      </c>
      <c r="J831" t="s">
        <v>15</v>
      </c>
      <c r="K831">
        <v>2</v>
      </c>
    </row>
    <row r="832" spans="1:11" x14ac:dyDescent="0.25">
      <c r="A832" t="s">
        <v>18</v>
      </c>
      <c r="B832" t="s">
        <v>21</v>
      </c>
      <c r="C832">
        <v>6022025</v>
      </c>
      <c r="D832" t="s">
        <v>43</v>
      </c>
      <c r="E832" t="s">
        <v>44</v>
      </c>
      <c r="F832" s="4">
        <v>41379</v>
      </c>
      <c r="G832" s="4">
        <v>41416</v>
      </c>
      <c r="H832" t="s">
        <v>49</v>
      </c>
      <c r="I832" t="s">
        <v>46</v>
      </c>
      <c r="J832" t="s">
        <v>6</v>
      </c>
      <c r="K832">
        <v>0</v>
      </c>
    </row>
    <row r="833" spans="1:11" x14ac:dyDescent="0.25">
      <c r="A833" t="s">
        <v>18</v>
      </c>
      <c r="B833" t="s">
        <v>21</v>
      </c>
      <c r="C833">
        <v>6022025</v>
      </c>
      <c r="D833" t="s">
        <v>43</v>
      </c>
      <c r="E833" t="s">
        <v>44</v>
      </c>
      <c r="F833" s="4">
        <v>41379</v>
      </c>
      <c r="G833" s="4">
        <v>41416</v>
      </c>
      <c r="H833" t="s">
        <v>49</v>
      </c>
      <c r="I833" t="s">
        <v>46</v>
      </c>
      <c r="J833" t="s">
        <v>7</v>
      </c>
      <c r="K833">
        <v>1</v>
      </c>
    </row>
    <row r="834" spans="1:11" x14ac:dyDescent="0.25">
      <c r="A834" t="s">
        <v>18</v>
      </c>
      <c r="B834" t="s">
        <v>21</v>
      </c>
      <c r="C834">
        <v>6022025</v>
      </c>
      <c r="D834" t="s">
        <v>43</v>
      </c>
      <c r="E834" t="s">
        <v>44</v>
      </c>
      <c r="F834" s="4">
        <v>41379</v>
      </c>
      <c r="G834" s="4">
        <v>41416</v>
      </c>
      <c r="H834" t="s">
        <v>49</v>
      </c>
      <c r="I834" t="s">
        <v>46</v>
      </c>
      <c r="J834" t="s">
        <v>8</v>
      </c>
      <c r="K834">
        <v>1</v>
      </c>
    </row>
    <row r="835" spans="1:11" x14ac:dyDescent="0.25">
      <c r="A835" t="s">
        <v>18</v>
      </c>
      <c r="B835" t="s">
        <v>21</v>
      </c>
      <c r="C835">
        <v>6022025</v>
      </c>
      <c r="D835" t="s">
        <v>43</v>
      </c>
      <c r="E835" t="s">
        <v>44</v>
      </c>
      <c r="F835" s="4">
        <v>41379</v>
      </c>
      <c r="G835" s="4">
        <v>41416</v>
      </c>
      <c r="H835" t="s">
        <v>49</v>
      </c>
      <c r="I835" t="s">
        <v>46</v>
      </c>
      <c r="J835" t="s">
        <v>9</v>
      </c>
      <c r="K835">
        <v>0</v>
      </c>
    </row>
    <row r="836" spans="1:11" x14ac:dyDescent="0.25">
      <c r="A836" t="s">
        <v>18</v>
      </c>
      <c r="B836" t="s">
        <v>21</v>
      </c>
      <c r="C836">
        <v>6022025</v>
      </c>
      <c r="D836" t="s">
        <v>43</v>
      </c>
      <c r="E836" t="s">
        <v>44</v>
      </c>
      <c r="F836" s="4">
        <v>41379</v>
      </c>
      <c r="G836" s="4">
        <v>41416</v>
      </c>
      <c r="H836" t="s">
        <v>49</v>
      </c>
      <c r="I836" t="s">
        <v>46</v>
      </c>
      <c r="J836" t="s">
        <v>10</v>
      </c>
      <c r="K836">
        <v>3</v>
      </c>
    </row>
    <row r="837" spans="1:11" x14ac:dyDescent="0.25">
      <c r="A837" t="s">
        <v>18</v>
      </c>
      <c r="B837" t="s">
        <v>21</v>
      </c>
      <c r="C837">
        <v>6022025</v>
      </c>
      <c r="D837" t="s">
        <v>43</v>
      </c>
      <c r="E837" t="s">
        <v>44</v>
      </c>
      <c r="F837" s="4">
        <v>41379</v>
      </c>
      <c r="G837" s="4">
        <v>41416</v>
      </c>
      <c r="H837" t="s">
        <v>49</v>
      </c>
      <c r="I837" t="s">
        <v>46</v>
      </c>
      <c r="J837" t="s">
        <v>11</v>
      </c>
      <c r="K837">
        <v>0</v>
      </c>
    </row>
    <row r="838" spans="1:11" x14ac:dyDescent="0.25">
      <c r="A838" t="s">
        <v>18</v>
      </c>
      <c r="B838" t="s">
        <v>21</v>
      </c>
      <c r="C838">
        <v>6022025</v>
      </c>
      <c r="D838" t="s">
        <v>43</v>
      </c>
      <c r="E838" t="s">
        <v>44</v>
      </c>
      <c r="F838" s="4">
        <v>41379</v>
      </c>
      <c r="G838" s="4">
        <v>41416</v>
      </c>
      <c r="H838" t="s">
        <v>49</v>
      </c>
      <c r="I838" t="s">
        <v>46</v>
      </c>
      <c r="J838" t="s">
        <v>12</v>
      </c>
      <c r="K838">
        <v>1</v>
      </c>
    </row>
    <row r="839" spans="1:11" x14ac:dyDescent="0.25">
      <c r="A839" t="s">
        <v>18</v>
      </c>
      <c r="B839" t="s">
        <v>21</v>
      </c>
      <c r="C839">
        <v>6022025</v>
      </c>
      <c r="D839" t="s">
        <v>43</v>
      </c>
      <c r="E839" t="s">
        <v>44</v>
      </c>
      <c r="F839" s="4">
        <v>41379</v>
      </c>
      <c r="G839" s="4">
        <v>41416</v>
      </c>
      <c r="H839" t="s">
        <v>49</v>
      </c>
      <c r="I839" t="s">
        <v>46</v>
      </c>
      <c r="J839" t="s">
        <v>13</v>
      </c>
      <c r="K839">
        <v>1</v>
      </c>
    </row>
    <row r="840" spans="1:11" x14ac:dyDescent="0.25">
      <c r="A840" t="s">
        <v>18</v>
      </c>
      <c r="B840" t="s">
        <v>21</v>
      </c>
      <c r="C840">
        <v>6022025</v>
      </c>
      <c r="D840" t="s">
        <v>43</v>
      </c>
      <c r="E840" t="s">
        <v>44</v>
      </c>
      <c r="F840" s="4">
        <v>41379</v>
      </c>
      <c r="G840" s="4">
        <v>41416</v>
      </c>
      <c r="H840" t="s">
        <v>49</v>
      </c>
      <c r="I840" t="s">
        <v>46</v>
      </c>
      <c r="J840" t="s">
        <v>14</v>
      </c>
      <c r="K840">
        <v>2</v>
      </c>
    </row>
    <row r="841" spans="1:11" x14ac:dyDescent="0.25">
      <c r="A841" t="s">
        <v>18</v>
      </c>
      <c r="B841" t="s">
        <v>21</v>
      </c>
      <c r="C841">
        <v>6022025</v>
      </c>
      <c r="D841" t="s">
        <v>43</v>
      </c>
      <c r="E841" t="s">
        <v>44</v>
      </c>
      <c r="F841" s="4">
        <v>41379</v>
      </c>
      <c r="G841" s="4">
        <v>41416</v>
      </c>
      <c r="H841" t="s">
        <v>49</v>
      </c>
      <c r="I841" t="s">
        <v>46</v>
      </c>
      <c r="J841" t="s">
        <v>15</v>
      </c>
      <c r="K841">
        <v>1</v>
      </c>
    </row>
    <row r="842" spans="1:11" x14ac:dyDescent="0.25">
      <c r="A842" t="s">
        <v>18</v>
      </c>
      <c r="B842" t="s">
        <v>19</v>
      </c>
      <c r="C842">
        <v>6022025</v>
      </c>
      <c r="D842" t="s">
        <v>43</v>
      </c>
      <c r="E842" t="s">
        <v>44</v>
      </c>
      <c r="F842" s="4">
        <v>41379</v>
      </c>
      <c r="G842" s="4">
        <v>41499</v>
      </c>
      <c r="H842" t="s">
        <v>49</v>
      </c>
      <c r="I842" t="s">
        <v>47</v>
      </c>
      <c r="J842" t="s">
        <v>6</v>
      </c>
      <c r="K842">
        <v>0</v>
      </c>
    </row>
    <row r="843" spans="1:11" x14ac:dyDescent="0.25">
      <c r="A843" t="s">
        <v>18</v>
      </c>
      <c r="B843" t="s">
        <v>19</v>
      </c>
      <c r="C843">
        <v>6022025</v>
      </c>
      <c r="D843" t="s">
        <v>43</v>
      </c>
      <c r="E843" t="s">
        <v>44</v>
      </c>
      <c r="F843" s="4">
        <v>41379</v>
      </c>
      <c r="G843" s="4">
        <v>41499</v>
      </c>
      <c r="H843" t="s">
        <v>49</v>
      </c>
      <c r="I843" t="s">
        <v>47</v>
      </c>
      <c r="J843" t="s">
        <v>7</v>
      </c>
      <c r="K843">
        <v>1</v>
      </c>
    </row>
    <row r="844" spans="1:11" x14ac:dyDescent="0.25">
      <c r="A844" t="s">
        <v>18</v>
      </c>
      <c r="B844" t="s">
        <v>19</v>
      </c>
      <c r="C844">
        <v>6022025</v>
      </c>
      <c r="D844" t="s">
        <v>43</v>
      </c>
      <c r="E844" t="s">
        <v>44</v>
      </c>
      <c r="F844" s="4">
        <v>41379</v>
      </c>
      <c r="G844" s="4">
        <v>41499</v>
      </c>
      <c r="H844" t="s">
        <v>49</v>
      </c>
      <c r="I844" t="s">
        <v>47</v>
      </c>
      <c r="J844" t="s">
        <v>8</v>
      </c>
      <c r="K844">
        <v>1</v>
      </c>
    </row>
    <row r="845" spans="1:11" x14ac:dyDescent="0.25">
      <c r="A845" t="s">
        <v>18</v>
      </c>
      <c r="B845" t="s">
        <v>19</v>
      </c>
      <c r="C845">
        <v>6022025</v>
      </c>
      <c r="D845" t="s">
        <v>43</v>
      </c>
      <c r="E845" t="s">
        <v>44</v>
      </c>
      <c r="F845" s="4">
        <v>41379</v>
      </c>
      <c r="G845" s="4">
        <v>41499</v>
      </c>
      <c r="H845" t="s">
        <v>49</v>
      </c>
      <c r="I845" t="s">
        <v>47</v>
      </c>
      <c r="J845" t="s">
        <v>9</v>
      </c>
      <c r="K845">
        <v>1</v>
      </c>
    </row>
    <row r="846" spans="1:11" x14ac:dyDescent="0.25">
      <c r="A846" t="s">
        <v>18</v>
      </c>
      <c r="B846" t="s">
        <v>19</v>
      </c>
      <c r="C846">
        <v>6022025</v>
      </c>
      <c r="D846" t="s">
        <v>43</v>
      </c>
      <c r="E846" t="s">
        <v>44</v>
      </c>
      <c r="F846" s="4">
        <v>41379</v>
      </c>
      <c r="G846" s="4">
        <v>41499</v>
      </c>
      <c r="H846" t="s">
        <v>49</v>
      </c>
      <c r="I846" t="s">
        <v>47</v>
      </c>
      <c r="J846" t="s">
        <v>10</v>
      </c>
      <c r="K846">
        <v>3</v>
      </c>
    </row>
    <row r="847" spans="1:11" x14ac:dyDescent="0.25">
      <c r="A847" t="s">
        <v>18</v>
      </c>
      <c r="B847" t="s">
        <v>19</v>
      </c>
      <c r="C847">
        <v>6022025</v>
      </c>
      <c r="D847" t="s">
        <v>43</v>
      </c>
      <c r="E847" t="s">
        <v>44</v>
      </c>
      <c r="F847" s="4">
        <v>41379</v>
      </c>
      <c r="G847" s="4">
        <v>41499</v>
      </c>
      <c r="H847" t="s">
        <v>49</v>
      </c>
      <c r="I847" t="s">
        <v>47</v>
      </c>
      <c r="J847" t="s">
        <v>11</v>
      </c>
      <c r="K847">
        <v>1</v>
      </c>
    </row>
    <row r="848" spans="1:11" x14ac:dyDescent="0.25">
      <c r="A848" t="s">
        <v>18</v>
      </c>
      <c r="B848" t="s">
        <v>19</v>
      </c>
      <c r="C848">
        <v>6022025</v>
      </c>
      <c r="D848" t="s">
        <v>43</v>
      </c>
      <c r="E848" t="s">
        <v>44</v>
      </c>
      <c r="F848" s="4">
        <v>41379</v>
      </c>
      <c r="G848" s="4">
        <v>41499</v>
      </c>
      <c r="H848" t="s">
        <v>49</v>
      </c>
      <c r="I848" t="s">
        <v>47</v>
      </c>
      <c r="J848" t="s">
        <v>12</v>
      </c>
      <c r="K848">
        <v>0</v>
      </c>
    </row>
    <row r="849" spans="1:11" x14ac:dyDescent="0.25">
      <c r="A849" t="s">
        <v>18</v>
      </c>
      <c r="B849" t="s">
        <v>19</v>
      </c>
      <c r="C849">
        <v>6022025</v>
      </c>
      <c r="D849" t="s">
        <v>43</v>
      </c>
      <c r="E849" t="s">
        <v>44</v>
      </c>
      <c r="F849" s="4">
        <v>41379</v>
      </c>
      <c r="G849" s="4">
        <v>41499</v>
      </c>
      <c r="H849" t="s">
        <v>49</v>
      </c>
      <c r="I849" t="s">
        <v>47</v>
      </c>
      <c r="J849" t="s">
        <v>13</v>
      </c>
      <c r="K849">
        <v>0</v>
      </c>
    </row>
    <row r="850" spans="1:11" x14ac:dyDescent="0.25">
      <c r="A850" t="s">
        <v>18</v>
      </c>
      <c r="B850" t="s">
        <v>19</v>
      </c>
      <c r="C850">
        <v>6022025</v>
      </c>
      <c r="D850" t="s">
        <v>43</v>
      </c>
      <c r="E850" t="s">
        <v>44</v>
      </c>
      <c r="F850" s="4">
        <v>41379</v>
      </c>
      <c r="G850" s="4">
        <v>41499</v>
      </c>
      <c r="H850" t="s">
        <v>49</v>
      </c>
      <c r="I850" t="s">
        <v>47</v>
      </c>
      <c r="J850" t="s">
        <v>14</v>
      </c>
      <c r="K850">
        <v>2</v>
      </c>
    </row>
    <row r="851" spans="1:11" x14ac:dyDescent="0.25">
      <c r="A851" t="s">
        <v>18</v>
      </c>
      <c r="B851" t="s">
        <v>19</v>
      </c>
      <c r="C851">
        <v>6022025</v>
      </c>
      <c r="D851" t="s">
        <v>43</v>
      </c>
      <c r="E851" t="s">
        <v>44</v>
      </c>
      <c r="F851" s="4">
        <v>41379</v>
      </c>
      <c r="G851" s="4">
        <v>41499</v>
      </c>
      <c r="H851" t="s">
        <v>49</v>
      </c>
      <c r="I851" t="s">
        <v>47</v>
      </c>
      <c r="J851" t="s">
        <v>15</v>
      </c>
      <c r="K851">
        <v>0</v>
      </c>
    </row>
    <row r="852" spans="1:11" x14ac:dyDescent="0.25">
      <c r="A852" t="s">
        <v>18</v>
      </c>
      <c r="B852" t="s">
        <v>20</v>
      </c>
      <c r="C852">
        <v>6022025</v>
      </c>
      <c r="D852" t="s">
        <v>43</v>
      </c>
      <c r="E852" t="s">
        <v>44</v>
      </c>
      <c r="F852" s="4">
        <v>41379</v>
      </c>
      <c r="G852" s="4">
        <v>41613</v>
      </c>
      <c r="H852" t="s">
        <v>49</v>
      </c>
      <c r="I852" t="s">
        <v>47</v>
      </c>
      <c r="J852" t="s">
        <v>6</v>
      </c>
      <c r="K852">
        <v>1</v>
      </c>
    </row>
    <row r="853" spans="1:11" x14ac:dyDescent="0.25">
      <c r="A853" t="s">
        <v>18</v>
      </c>
      <c r="B853" t="s">
        <v>20</v>
      </c>
      <c r="C853">
        <v>6022025</v>
      </c>
      <c r="D853" t="s">
        <v>43</v>
      </c>
      <c r="E853" t="s">
        <v>44</v>
      </c>
      <c r="F853" s="4">
        <v>41379</v>
      </c>
      <c r="G853" s="4">
        <v>41613</v>
      </c>
      <c r="H853" t="s">
        <v>49</v>
      </c>
      <c r="I853" t="s">
        <v>47</v>
      </c>
      <c r="J853" t="s">
        <v>7</v>
      </c>
      <c r="K853">
        <v>2</v>
      </c>
    </row>
    <row r="854" spans="1:11" x14ac:dyDescent="0.25">
      <c r="A854" t="s">
        <v>18</v>
      </c>
      <c r="B854" t="s">
        <v>20</v>
      </c>
      <c r="C854">
        <v>6022025</v>
      </c>
      <c r="D854" t="s">
        <v>43</v>
      </c>
      <c r="E854" t="s">
        <v>44</v>
      </c>
      <c r="F854" s="4">
        <v>41379</v>
      </c>
      <c r="G854" s="4">
        <v>41613</v>
      </c>
      <c r="H854" t="s">
        <v>49</v>
      </c>
      <c r="I854" t="s">
        <v>47</v>
      </c>
      <c r="J854" t="s">
        <v>8</v>
      </c>
      <c r="K854">
        <v>0</v>
      </c>
    </row>
    <row r="855" spans="1:11" x14ac:dyDescent="0.25">
      <c r="A855" t="s">
        <v>18</v>
      </c>
      <c r="B855" t="s">
        <v>20</v>
      </c>
      <c r="C855">
        <v>6022025</v>
      </c>
      <c r="D855" t="s">
        <v>43</v>
      </c>
      <c r="E855" t="s">
        <v>44</v>
      </c>
      <c r="F855" s="4">
        <v>41379</v>
      </c>
      <c r="G855" s="4">
        <v>41613</v>
      </c>
      <c r="H855" t="s">
        <v>49</v>
      </c>
      <c r="I855" t="s">
        <v>47</v>
      </c>
      <c r="J855" t="s">
        <v>9</v>
      </c>
      <c r="K855">
        <v>2</v>
      </c>
    </row>
    <row r="856" spans="1:11" x14ac:dyDescent="0.25">
      <c r="A856" t="s">
        <v>18</v>
      </c>
      <c r="B856" t="s">
        <v>20</v>
      </c>
      <c r="C856">
        <v>6022025</v>
      </c>
      <c r="D856" t="s">
        <v>43</v>
      </c>
      <c r="E856" t="s">
        <v>44</v>
      </c>
      <c r="F856" s="4">
        <v>41379</v>
      </c>
      <c r="G856" s="4">
        <v>41613</v>
      </c>
      <c r="H856" t="s">
        <v>49</v>
      </c>
      <c r="I856" t="s">
        <v>47</v>
      </c>
      <c r="J856" t="s">
        <v>10</v>
      </c>
      <c r="K856">
        <v>1</v>
      </c>
    </row>
    <row r="857" spans="1:11" x14ac:dyDescent="0.25">
      <c r="A857" t="s">
        <v>18</v>
      </c>
      <c r="B857" t="s">
        <v>20</v>
      </c>
      <c r="C857">
        <v>6022025</v>
      </c>
      <c r="D857" t="s">
        <v>43</v>
      </c>
      <c r="E857" t="s">
        <v>44</v>
      </c>
      <c r="F857" s="4">
        <v>41379</v>
      </c>
      <c r="G857" s="4">
        <v>41613</v>
      </c>
      <c r="H857" t="s">
        <v>49</v>
      </c>
      <c r="I857" t="s">
        <v>47</v>
      </c>
      <c r="J857" t="s">
        <v>11</v>
      </c>
      <c r="K857">
        <v>3</v>
      </c>
    </row>
    <row r="858" spans="1:11" x14ac:dyDescent="0.25">
      <c r="A858" t="s">
        <v>18</v>
      </c>
      <c r="B858" t="s">
        <v>20</v>
      </c>
      <c r="C858">
        <v>6022025</v>
      </c>
      <c r="D858" t="s">
        <v>43</v>
      </c>
      <c r="E858" t="s">
        <v>44</v>
      </c>
      <c r="F858" s="4">
        <v>41379</v>
      </c>
      <c r="G858" s="4">
        <v>41613</v>
      </c>
      <c r="H858" t="s">
        <v>49</v>
      </c>
      <c r="I858" t="s">
        <v>47</v>
      </c>
      <c r="J858" t="s">
        <v>12</v>
      </c>
      <c r="K858">
        <v>2</v>
      </c>
    </row>
    <row r="859" spans="1:11" x14ac:dyDescent="0.25">
      <c r="A859" t="s">
        <v>18</v>
      </c>
      <c r="B859" t="s">
        <v>20</v>
      </c>
      <c r="C859">
        <v>6022025</v>
      </c>
      <c r="D859" t="s">
        <v>43</v>
      </c>
      <c r="E859" t="s">
        <v>44</v>
      </c>
      <c r="F859" s="4">
        <v>41379</v>
      </c>
      <c r="G859" s="4">
        <v>41613</v>
      </c>
      <c r="H859" t="s">
        <v>49</v>
      </c>
      <c r="I859" t="s">
        <v>47</v>
      </c>
      <c r="J859" t="s">
        <v>13</v>
      </c>
      <c r="K859">
        <v>2</v>
      </c>
    </row>
    <row r="860" spans="1:11" x14ac:dyDescent="0.25">
      <c r="A860" t="s">
        <v>18</v>
      </c>
      <c r="B860" t="s">
        <v>20</v>
      </c>
      <c r="C860">
        <v>6022025</v>
      </c>
      <c r="D860" t="s">
        <v>43</v>
      </c>
      <c r="E860" t="s">
        <v>44</v>
      </c>
      <c r="F860" s="4">
        <v>41379</v>
      </c>
      <c r="G860" s="4">
        <v>41613</v>
      </c>
      <c r="H860" t="s">
        <v>49</v>
      </c>
      <c r="I860" t="s">
        <v>47</v>
      </c>
      <c r="J860" t="s">
        <v>14</v>
      </c>
      <c r="K860">
        <v>1</v>
      </c>
    </row>
    <row r="861" spans="1:11" x14ac:dyDescent="0.25">
      <c r="A861" t="s">
        <v>18</v>
      </c>
      <c r="B861" t="s">
        <v>20</v>
      </c>
      <c r="C861">
        <v>6022025</v>
      </c>
      <c r="D861" t="s">
        <v>43</v>
      </c>
      <c r="E861" t="s">
        <v>44</v>
      </c>
      <c r="F861" s="4">
        <v>41379</v>
      </c>
      <c r="G861" s="4">
        <v>41613</v>
      </c>
      <c r="H861" t="s">
        <v>49</v>
      </c>
      <c r="I861" t="s">
        <v>47</v>
      </c>
      <c r="J861" t="s">
        <v>15</v>
      </c>
      <c r="K861">
        <v>2</v>
      </c>
    </row>
    <row r="862" spans="1:11" x14ac:dyDescent="0.25">
      <c r="A862" t="s">
        <v>18</v>
      </c>
      <c r="B862" t="s">
        <v>21</v>
      </c>
      <c r="C862">
        <v>6022025</v>
      </c>
      <c r="D862" t="s">
        <v>43</v>
      </c>
      <c r="E862" t="s">
        <v>44</v>
      </c>
      <c r="F862" s="4">
        <v>41379</v>
      </c>
      <c r="G862" s="4">
        <v>41694</v>
      </c>
      <c r="H862" t="s">
        <v>49</v>
      </c>
      <c r="I862" t="s">
        <v>47</v>
      </c>
      <c r="J862" t="s">
        <v>6</v>
      </c>
      <c r="K862">
        <v>1</v>
      </c>
    </row>
    <row r="863" spans="1:11" x14ac:dyDescent="0.25">
      <c r="A863" t="s">
        <v>18</v>
      </c>
      <c r="B863" t="s">
        <v>21</v>
      </c>
      <c r="C863">
        <v>6022025</v>
      </c>
      <c r="D863" t="s">
        <v>43</v>
      </c>
      <c r="E863" t="s">
        <v>44</v>
      </c>
      <c r="F863" s="4">
        <v>41379</v>
      </c>
      <c r="G863" s="4">
        <v>41694</v>
      </c>
      <c r="H863" t="s">
        <v>49</v>
      </c>
      <c r="I863" t="s">
        <v>47</v>
      </c>
      <c r="J863" t="s">
        <v>7</v>
      </c>
      <c r="K863">
        <v>2</v>
      </c>
    </row>
    <row r="864" spans="1:11" x14ac:dyDescent="0.25">
      <c r="A864" t="s">
        <v>18</v>
      </c>
      <c r="B864" t="s">
        <v>21</v>
      </c>
      <c r="C864">
        <v>6022025</v>
      </c>
      <c r="D864" t="s">
        <v>43</v>
      </c>
      <c r="E864" t="s">
        <v>44</v>
      </c>
      <c r="F864" s="4">
        <v>41379</v>
      </c>
      <c r="G864" s="4">
        <v>41694</v>
      </c>
      <c r="H864" t="s">
        <v>49</v>
      </c>
      <c r="I864" t="s">
        <v>47</v>
      </c>
      <c r="J864" t="s">
        <v>8</v>
      </c>
      <c r="K864">
        <v>3</v>
      </c>
    </row>
    <row r="865" spans="1:11" x14ac:dyDescent="0.25">
      <c r="A865" t="s">
        <v>18</v>
      </c>
      <c r="B865" t="s">
        <v>21</v>
      </c>
      <c r="C865">
        <v>6022025</v>
      </c>
      <c r="D865" t="s">
        <v>43</v>
      </c>
      <c r="E865" t="s">
        <v>44</v>
      </c>
      <c r="F865" s="4">
        <v>41379</v>
      </c>
      <c r="G865" s="4">
        <v>41694</v>
      </c>
      <c r="H865" t="s">
        <v>49</v>
      </c>
      <c r="I865" t="s">
        <v>47</v>
      </c>
      <c r="J865" t="s">
        <v>9</v>
      </c>
      <c r="K865">
        <v>0</v>
      </c>
    </row>
    <row r="866" spans="1:11" x14ac:dyDescent="0.25">
      <c r="A866" t="s">
        <v>18</v>
      </c>
      <c r="B866" t="s">
        <v>21</v>
      </c>
      <c r="C866">
        <v>6022025</v>
      </c>
      <c r="D866" t="s">
        <v>43</v>
      </c>
      <c r="E866" t="s">
        <v>44</v>
      </c>
      <c r="F866" s="4">
        <v>41379</v>
      </c>
      <c r="G866" s="4">
        <v>41694</v>
      </c>
      <c r="H866" t="s">
        <v>49</v>
      </c>
      <c r="I866" t="s">
        <v>47</v>
      </c>
      <c r="J866" t="s">
        <v>10</v>
      </c>
      <c r="K866">
        <v>1</v>
      </c>
    </row>
    <row r="867" spans="1:11" x14ac:dyDescent="0.25">
      <c r="A867" t="s">
        <v>18</v>
      </c>
      <c r="B867" t="s">
        <v>21</v>
      </c>
      <c r="C867">
        <v>6022025</v>
      </c>
      <c r="D867" t="s">
        <v>43</v>
      </c>
      <c r="E867" t="s">
        <v>44</v>
      </c>
      <c r="F867" s="4">
        <v>41379</v>
      </c>
      <c r="G867" s="4">
        <v>41694</v>
      </c>
      <c r="H867" t="s">
        <v>49</v>
      </c>
      <c r="I867" t="s">
        <v>47</v>
      </c>
      <c r="J867" t="s">
        <v>11</v>
      </c>
      <c r="K867">
        <v>1</v>
      </c>
    </row>
    <row r="868" spans="1:11" x14ac:dyDescent="0.25">
      <c r="A868" t="s">
        <v>18</v>
      </c>
      <c r="B868" t="s">
        <v>21</v>
      </c>
      <c r="C868">
        <v>6022025</v>
      </c>
      <c r="D868" t="s">
        <v>43</v>
      </c>
      <c r="E868" t="s">
        <v>44</v>
      </c>
      <c r="F868" s="4">
        <v>41379</v>
      </c>
      <c r="G868" s="4">
        <v>41694</v>
      </c>
      <c r="H868" t="s">
        <v>49</v>
      </c>
      <c r="I868" t="s">
        <v>47</v>
      </c>
      <c r="J868" t="s">
        <v>12</v>
      </c>
      <c r="K868">
        <v>0</v>
      </c>
    </row>
    <row r="869" spans="1:11" x14ac:dyDescent="0.25">
      <c r="A869" t="s">
        <v>18</v>
      </c>
      <c r="B869" t="s">
        <v>21</v>
      </c>
      <c r="C869">
        <v>6022025</v>
      </c>
      <c r="D869" t="s">
        <v>43</v>
      </c>
      <c r="E869" t="s">
        <v>44</v>
      </c>
      <c r="F869" s="4">
        <v>41379</v>
      </c>
      <c r="G869" s="4">
        <v>41694</v>
      </c>
      <c r="H869" t="s">
        <v>49</v>
      </c>
      <c r="I869" t="s">
        <v>47</v>
      </c>
      <c r="J869" t="s">
        <v>13</v>
      </c>
      <c r="K869">
        <v>2</v>
      </c>
    </row>
    <row r="870" spans="1:11" x14ac:dyDescent="0.25">
      <c r="A870" t="s">
        <v>18</v>
      </c>
      <c r="B870" t="s">
        <v>21</v>
      </c>
      <c r="C870">
        <v>6022025</v>
      </c>
      <c r="D870" t="s">
        <v>43</v>
      </c>
      <c r="E870" t="s">
        <v>44</v>
      </c>
      <c r="F870" s="4">
        <v>41379</v>
      </c>
      <c r="G870" s="4">
        <v>41694</v>
      </c>
      <c r="H870" t="s">
        <v>49</v>
      </c>
      <c r="I870" t="s">
        <v>47</v>
      </c>
      <c r="J870" t="s">
        <v>14</v>
      </c>
      <c r="K870">
        <v>0</v>
      </c>
    </row>
    <row r="871" spans="1:11" x14ac:dyDescent="0.25">
      <c r="A871" t="s">
        <v>18</v>
      </c>
      <c r="B871" t="s">
        <v>21</v>
      </c>
      <c r="C871">
        <v>6022025</v>
      </c>
      <c r="D871" t="s">
        <v>43</v>
      </c>
      <c r="E871" t="s">
        <v>44</v>
      </c>
      <c r="F871" s="4">
        <v>41379</v>
      </c>
      <c r="G871" s="4">
        <v>41694</v>
      </c>
      <c r="H871" t="s">
        <v>49</v>
      </c>
      <c r="I871" t="s">
        <v>47</v>
      </c>
      <c r="J871" t="s">
        <v>15</v>
      </c>
      <c r="K871">
        <v>1</v>
      </c>
    </row>
    <row r="872" spans="1:11" x14ac:dyDescent="0.25">
      <c r="A872" t="s">
        <v>18</v>
      </c>
      <c r="B872" t="s">
        <v>19</v>
      </c>
      <c r="C872">
        <v>1071201</v>
      </c>
      <c r="D872" t="s">
        <v>48</v>
      </c>
      <c r="E872" t="s">
        <v>50</v>
      </c>
      <c r="F872" s="4">
        <v>41477</v>
      </c>
      <c r="G872" s="4">
        <v>41528</v>
      </c>
      <c r="H872" t="s">
        <v>45</v>
      </c>
      <c r="I872" t="s">
        <v>46</v>
      </c>
      <c r="J872" t="s">
        <v>6</v>
      </c>
      <c r="K872">
        <v>0</v>
      </c>
    </row>
    <row r="873" spans="1:11" x14ac:dyDescent="0.25">
      <c r="A873" t="s">
        <v>18</v>
      </c>
      <c r="B873" t="s">
        <v>19</v>
      </c>
      <c r="C873">
        <v>1071201</v>
      </c>
      <c r="D873" t="s">
        <v>48</v>
      </c>
      <c r="E873" t="s">
        <v>50</v>
      </c>
      <c r="F873" s="4">
        <v>41477</v>
      </c>
      <c r="G873" s="4">
        <v>41528</v>
      </c>
      <c r="H873" t="s">
        <v>45</v>
      </c>
      <c r="I873" t="s">
        <v>46</v>
      </c>
      <c r="J873" t="s">
        <v>7</v>
      </c>
      <c r="K873">
        <v>1</v>
      </c>
    </row>
    <row r="874" spans="1:11" x14ac:dyDescent="0.25">
      <c r="A874" t="s">
        <v>18</v>
      </c>
      <c r="B874" t="s">
        <v>19</v>
      </c>
      <c r="C874">
        <v>1071201</v>
      </c>
      <c r="D874" t="s">
        <v>48</v>
      </c>
      <c r="E874" t="s">
        <v>50</v>
      </c>
      <c r="F874" s="4">
        <v>41477</v>
      </c>
      <c r="G874" s="4">
        <v>41528</v>
      </c>
      <c r="H874" t="s">
        <v>45</v>
      </c>
      <c r="I874" t="s">
        <v>46</v>
      </c>
      <c r="J874" t="s">
        <v>8</v>
      </c>
      <c r="K874">
        <v>2</v>
      </c>
    </row>
    <row r="875" spans="1:11" x14ac:dyDescent="0.25">
      <c r="A875" t="s">
        <v>18</v>
      </c>
      <c r="B875" t="s">
        <v>19</v>
      </c>
      <c r="C875">
        <v>1071201</v>
      </c>
      <c r="D875" t="s">
        <v>48</v>
      </c>
      <c r="E875" t="s">
        <v>50</v>
      </c>
      <c r="F875" s="4">
        <v>41477</v>
      </c>
      <c r="G875" s="4">
        <v>41528</v>
      </c>
      <c r="H875" t="s">
        <v>45</v>
      </c>
      <c r="I875" t="s">
        <v>46</v>
      </c>
      <c r="J875" t="s">
        <v>9</v>
      </c>
      <c r="K875">
        <v>3</v>
      </c>
    </row>
    <row r="876" spans="1:11" x14ac:dyDescent="0.25">
      <c r="A876" t="s">
        <v>18</v>
      </c>
      <c r="B876" t="s">
        <v>19</v>
      </c>
      <c r="C876">
        <v>1071201</v>
      </c>
      <c r="D876" t="s">
        <v>48</v>
      </c>
      <c r="E876" t="s">
        <v>50</v>
      </c>
      <c r="F876" s="4">
        <v>41477</v>
      </c>
      <c r="G876" s="4">
        <v>41528</v>
      </c>
      <c r="H876" t="s">
        <v>45</v>
      </c>
      <c r="I876" t="s">
        <v>46</v>
      </c>
      <c r="J876" t="s">
        <v>10</v>
      </c>
      <c r="K876">
        <v>1</v>
      </c>
    </row>
    <row r="877" spans="1:11" x14ac:dyDescent="0.25">
      <c r="A877" t="s">
        <v>18</v>
      </c>
      <c r="B877" t="s">
        <v>19</v>
      </c>
      <c r="C877">
        <v>1071201</v>
      </c>
      <c r="D877" t="s">
        <v>48</v>
      </c>
      <c r="E877" t="s">
        <v>50</v>
      </c>
      <c r="F877" s="4">
        <v>41477</v>
      </c>
      <c r="G877" s="4">
        <v>41528</v>
      </c>
      <c r="H877" t="s">
        <v>45</v>
      </c>
      <c r="I877" t="s">
        <v>46</v>
      </c>
      <c r="J877" t="s">
        <v>11</v>
      </c>
      <c r="K877">
        <v>1</v>
      </c>
    </row>
    <row r="878" spans="1:11" x14ac:dyDescent="0.25">
      <c r="A878" t="s">
        <v>18</v>
      </c>
      <c r="B878" t="s">
        <v>19</v>
      </c>
      <c r="C878">
        <v>1071201</v>
      </c>
      <c r="D878" t="s">
        <v>48</v>
      </c>
      <c r="E878" t="s">
        <v>50</v>
      </c>
      <c r="F878" s="4">
        <v>41477</v>
      </c>
      <c r="G878" s="4">
        <v>41528</v>
      </c>
      <c r="H878" t="s">
        <v>45</v>
      </c>
      <c r="I878" t="s">
        <v>46</v>
      </c>
      <c r="J878" t="s">
        <v>12</v>
      </c>
      <c r="K878">
        <v>1</v>
      </c>
    </row>
    <row r="879" spans="1:11" x14ac:dyDescent="0.25">
      <c r="A879" t="s">
        <v>18</v>
      </c>
      <c r="B879" t="s">
        <v>19</v>
      </c>
      <c r="C879">
        <v>1071201</v>
      </c>
      <c r="D879" t="s">
        <v>48</v>
      </c>
      <c r="E879" t="s">
        <v>50</v>
      </c>
      <c r="F879" s="4">
        <v>41477</v>
      </c>
      <c r="G879" s="4">
        <v>41528</v>
      </c>
      <c r="H879" t="s">
        <v>45</v>
      </c>
      <c r="I879" t="s">
        <v>46</v>
      </c>
      <c r="J879" t="s">
        <v>13</v>
      </c>
      <c r="K879">
        <v>0</v>
      </c>
    </row>
    <row r="880" spans="1:11" x14ac:dyDescent="0.25">
      <c r="A880" t="s">
        <v>18</v>
      </c>
      <c r="B880" t="s">
        <v>19</v>
      </c>
      <c r="C880">
        <v>1071201</v>
      </c>
      <c r="D880" t="s">
        <v>48</v>
      </c>
      <c r="E880" t="s">
        <v>50</v>
      </c>
      <c r="F880" s="4">
        <v>41477</v>
      </c>
      <c r="G880" s="4">
        <v>41528</v>
      </c>
      <c r="H880" t="s">
        <v>45</v>
      </c>
      <c r="I880" t="s">
        <v>46</v>
      </c>
      <c r="J880" t="s">
        <v>14</v>
      </c>
      <c r="K880">
        <v>0</v>
      </c>
    </row>
    <row r="881" spans="1:11" x14ac:dyDescent="0.25">
      <c r="A881" t="s">
        <v>18</v>
      </c>
      <c r="B881" t="s">
        <v>19</v>
      </c>
      <c r="C881">
        <v>1071201</v>
      </c>
      <c r="D881" t="s">
        <v>48</v>
      </c>
      <c r="E881" t="s">
        <v>50</v>
      </c>
      <c r="F881" s="4">
        <v>41477</v>
      </c>
      <c r="G881" s="4">
        <v>41528</v>
      </c>
      <c r="H881" t="s">
        <v>45</v>
      </c>
      <c r="I881" t="s">
        <v>46</v>
      </c>
      <c r="J881" t="s">
        <v>15</v>
      </c>
      <c r="K881">
        <v>0</v>
      </c>
    </row>
    <row r="882" spans="1:11" x14ac:dyDescent="0.25">
      <c r="A882" t="s">
        <v>18</v>
      </c>
      <c r="B882" t="s">
        <v>20</v>
      </c>
      <c r="C882">
        <v>1071201</v>
      </c>
      <c r="D882" t="s">
        <v>48</v>
      </c>
      <c r="E882" t="s">
        <v>50</v>
      </c>
      <c r="F882" s="4">
        <v>41477</v>
      </c>
      <c r="G882" s="4">
        <v>41600</v>
      </c>
      <c r="H882" t="s">
        <v>45</v>
      </c>
      <c r="I882" t="s">
        <v>47</v>
      </c>
      <c r="J882" t="s">
        <v>6</v>
      </c>
      <c r="K882">
        <v>0</v>
      </c>
    </row>
    <row r="883" spans="1:11" x14ac:dyDescent="0.25">
      <c r="A883" t="s">
        <v>18</v>
      </c>
      <c r="B883" t="s">
        <v>20</v>
      </c>
      <c r="C883">
        <v>1071201</v>
      </c>
      <c r="D883" t="s">
        <v>48</v>
      </c>
      <c r="E883" t="s">
        <v>50</v>
      </c>
      <c r="F883" s="4">
        <v>41477</v>
      </c>
      <c r="G883" s="4">
        <v>41600</v>
      </c>
      <c r="H883" t="s">
        <v>45</v>
      </c>
      <c r="I883" t="s">
        <v>47</v>
      </c>
      <c r="J883" t="s">
        <v>7</v>
      </c>
      <c r="K883">
        <v>2</v>
      </c>
    </row>
    <row r="884" spans="1:11" x14ac:dyDescent="0.25">
      <c r="A884" t="s">
        <v>18</v>
      </c>
      <c r="B884" t="s">
        <v>20</v>
      </c>
      <c r="C884">
        <v>1071201</v>
      </c>
      <c r="D884" t="s">
        <v>48</v>
      </c>
      <c r="E884" t="s">
        <v>50</v>
      </c>
      <c r="F884" s="4">
        <v>41477</v>
      </c>
      <c r="G884" s="4">
        <v>41600</v>
      </c>
      <c r="H884" t="s">
        <v>45</v>
      </c>
      <c r="I884" t="s">
        <v>47</v>
      </c>
      <c r="J884" t="s">
        <v>8</v>
      </c>
      <c r="K884">
        <v>1</v>
      </c>
    </row>
    <row r="885" spans="1:11" x14ac:dyDescent="0.25">
      <c r="A885" t="s">
        <v>18</v>
      </c>
      <c r="B885" t="s">
        <v>20</v>
      </c>
      <c r="C885">
        <v>1071201</v>
      </c>
      <c r="D885" t="s">
        <v>48</v>
      </c>
      <c r="E885" t="s">
        <v>50</v>
      </c>
      <c r="F885" s="4">
        <v>41477</v>
      </c>
      <c r="G885" s="4">
        <v>41600</v>
      </c>
      <c r="H885" t="s">
        <v>45</v>
      </c>
      <c r="I885" t="s">
        <v>47</v>
      </c>
      <c r="J885" t="s">
        <v>9</v>
      </c>
      <c r="K885">
        <v>1</v>
      </c>
    </row>
    <row r="886" spans="1:11" x14ac:dyDescent="0.25">
      <c r="A886" t="s">
        <v>18</v>
      </c>
      <c r="B886" t="s">
        <v>20</v>
      </c>
      <c r="C886">
        <v>1071201</v>
      </c>
      <c r="D886" t="s">
        <v>48</v>
      </c>
      <c r="E886" t="s">
        <v>50</v>
      </c>
      <c r="F886" s="4">
        <v>41477</v>
      </c>
      <c r="G886" s="4">
        <v>41600</v>
      </c>
      <c r="H886" t="s">
        <v>45</v>
      </c>
      <c r="I886" t="s">
        <v>47</v>
      </c>
      <c r="J886" t="s">
        <v>10</v>
      </c>
      <c r="K886">
        <v>2</v>
      </c>
    </row>
    <row r="887" spans="1:11" x14ac:dyDescent="0.25">
      <c r="A887" t="s">
        <v>18</v>
      </c>
      <c r="B887" t="s">
        <v>20</v>
      </c>
      <c r="C887">
        <v>1071201</v>
      </c>
      <c r="D887" t="s">
        <v>48</v>
      </c>
      <c r="E887" t="s">
        <v>50</v>
      </c>
      <c r="F887" s="4">
        <v>41477</v>
      </c>
      <c r="G887" s="4">
        <v>41600</v>
      </c>
      <c r="H887" t="s">
        <v>45</v>
      </c>
      <c r="I887" t="s">
        <v>47</v>
      </c>
      <c r="J887" t="s">
        <v>11</v>
      </c>
      <c r="K887">
        <v>0</v>
      </c>
    </row>
    <row r="888" spans="1:11" x14ac:dyDescent="0.25">
      <c r="A888" t="s">
        <v>18</v>
      </c>
      <c r="B888" t="s">
        <v>20</v>
      </c>
      <c r="C888">
        <v>1071201</v>
      </c>
      <c r="D888" t="s">
        <v>48</v>
      </c>
      <c r="E888" t="s">
        <v>50</v>
      </c>
      <c r="F888" s="4">
        <v>41477</v>
      </c>
      <c r="G888" s="4">
        <v>41600</v>
      </c>
      <c r="H888" t="s">
        <v>45</v>
      </c>
      <c r="I888" t="s">
        <v>47</v>
      </c>
      <c r="J888" t="s">
        <v>12</v>
      </c>
      <c r="K888">
        <v>1</v>
      </c>
    </row>
    <row r="889" spans="1:11" x14ac:dyDescent="0.25">
      <c r="A889" t="s">
        <v>18</v>
      </c>
      <c r="B889" t="s">
        <v>20</v>
      </c>
      <c r="C889">
        <v>1071201</v>
      </c>
      <c r="D889" t="s">
        <v>48</v>
      </c>
      <c r="E889" t="s">
        <v>50</v>
      </c>
      <c r="F889" s="4">
        <v>41477</v>
      </c>
      <c r="G889" s="4">
        <v>41600</v>
      </c>
      <c r="H889" t="s">
        <v>45</v>
      </c>
      <c r="I889" t="s">
        <v>47</v>
      </c>
      <c r="J889" t="s">
        <v>13</v>
      </c>
      <c r="K889">
        <v>0</v>
      </c>
    </row>
    <row r="890" spans="1:11" x14ac:dyDescent="0.25">
      <c r="A890" t="s">
        <v>18</v>
      </c>
      <c r="B890" t="s">
        <v>20</v>
      </c>
      <c r="C890">
        <v>1071201</v>
      </c>
      <c r="D890" t="s">
        <v>48</v>
      </c>
      <c r="E890" t="s">
        <v>50</v>
      </c>
      <c r="F890" s="4">
        <v>41477</v>
      </c>
      <c r="G890" s="4">
        <v>41600</v>
      </c>
      <c r="H890" t="s">
        <v>45</v>
      </c>
      <c r="I890" t="s">
        <v>47</v>
      </c>
      <c r="J890" t="s">
        <v>14</v>
      </c>
      <c r="K890">
        <v>0</v>
      </c>
    </row>
    <row r="891" spans="1:11" x14ac:dyDescent="0.25">
      <c r="A891" t="s">
        <v>18</v>
      </c>
      <c r="B891" t="s">
        <v>20</v>
      </c>
      <c r="C891">
        <v>1071201</v>
      </c>
      <c r="D891" t="s">
        <v>48</v>
      </c>
      <c r="E891" t="s">
        <v>50</v>
      </c>
      <c r="F891" s="4">
        <v>41477</v>
      </c>
      <c r="G891" s="4">
        <v>41600</v>
      </c>
      <c r="H891" t="s">
        <v>45</v>
      </c>
      <c r="I891" t="s">
        <v>47</v>
      </c>
      <c r="J891" t="s">
        <v>15</v>
      </c>
      <c r="K891">
        <v>1</v>
      </c>
    </row>
    <row r="892" spans="1:11" x14ac:dyDescent="0.25">
      <c r="A892" t="s">
        <v>18</v>
      </c>
      <c r="B892" t="s">
        <v>21</v>
      </c>
      <c r="C892">
        <v>1071201</v>
      </c>
      <c r="D892" t="s">
        <v>48</v>
      </c>
      <c r="E892" t="s">
        <v>50</v>
      </c>
      <c r="F892" s="4">
        <v>41477</v>
      </c>
      <c r="G892" s="4">
        <v>41693</v>
      </c>
      <c r="H892" t="s">
        <v>45</v>
      </c>
      <c r="I892" t="s">
        <v>47</v>
      </c>
      <c r="J892" t="s">
        <v>6</v>
      </c>
      <c r="K892">
        <v>2</v>
      </c>
    </row>
    <row r="893" spans="1:11" x14ac:dyDescent="0.25">
      <c r="A893" t="s">
        <v>18</v>
      </c>
      <c r="B893" t="s">
        <v>21</v>
      </c>
      <c r="C893">
        <v>1071201</v>
      </c>
      <c r="D893" t="s">
        <v>48</v>
      </c>
      <c r="E893" t="s">
        <v>50</v>
      </c>
      <c r="F893" s="4">
        <v>41477</v>
      </c>
      <c r="G893" s="4">
        <v>41693</v>
      </c>
      <c r="H893" t="s">
        <v>45</v>
      </c>
      <c r="I893" t="s">
        <v>47</v>
      </c>
      <c r="J893" t="s">
        <v>7</v>
      </c>
      <c r="K893">
        <v>0</v>
      </c>
    </row>
    <row r="894" spans="1:11" x14ac:dyDescent="0.25">
      <c r="A894" t="s">
        <v>18</v>
      </c>
      <c r="B894" t="s">
        <v>21</v>
      </c>
      <c r="C894">
        <v>1071201</v>
      </c>
      <c r="D894" t="s">
        <v>48</v>
      </c>
      <c r="E894" t="s">
        <v>50</v>
      </c>
      <c r="F894" s="4">
        <v>41477</v>
      </c>
      <c r="G894" s="4">
        <v>41693</v>
      </c>
      <c r="H894" t="s">
        <v>45</v>
      </c>
      <c r="I894" t="s">
        <v>47</v>
      </c>
      <c r="J894" t="s">
        <v>8</v>
      </c>
      <c r="K894">
        <v>0</v>
      </c>
    </row>
    <row r="895" spans="1:11" x14ac:dyDescent="0.25">
      <c r="A895" t="s">
        <v>18</v>
      </c>
      <c r="B895" t="s">
        <v>21</v>
      </c>
      <c r="C895">
        <v>1071201</v>
      </c>
      <c r="D895" t="s">
        <v>48</v>
      </c>
      <c r="E895" t="s">
        <v>50</v>
      </c>
      <c r="F895" s="4">
        <v>41477</v>
      </c>
      <c r="G895" s="4">
        <v>41693</v>
      </c>
      <c r="H895" t="s">
        <v>45</v>
      </c>
      <c r="I895" t="s">
        <v>47</v>
      </c>
      <c r="J895" t="s">
        <v>9</v>
      </c>
      <c r="K895">
        <v>1</v>
      </c>
    </row>
    <row r="896" spans="1:11" x14ac:dyDescent="0.25">
      <c r="A896" t="s">
        <v>18</v>
      </c>
      <c r="B896" t="s">
        <v>21</v>
      </c>
      <c r="C896">
        <v>1071201</v>
      </c>
      <c r="D896" t="s">
        <v>48</v>
      </c>
      <c r="E896" t="s">
        <v>50</v>
      </c>
      <c r="F896" s="4">
        <v>41477</v>
      </c>
      <c r="G896" s="4">
        <v>41693</v>
      </c>
      <c r="H896" t="s">
        <v>45</v>
      </c>
      <c r="I896" t="s">
        <v>47</v>
      </c>
      <c r="J896" t="s">
        <v>10</v>
      </c>
      <c r="K896">
        <v>1</v>
      </c>
    </row>
    <row r="897" spans="1:11" x14ac:dyDescent="0.25">
      <c r="A897" t="s">
        <v>18</v>
      </c>
      <c r="B897" t="s">
        <v>21</v>
      </c>
      <c r="C897">
        <v>1071201</v>
      </c>
      <c r="D897" t="s">
        <v>48</v>
      </c>
      <c r="E897" t="s">
        <v>50</v>
      </c>
      <c r="F897" s="4">
        <v>41477</v>
      </c>
      <c r="G897" s="4">
        <v>41693</v>
      </c>
      <c r="H897" t="s">
        <v>45</v>
      </c>
      <c r="I897" t="s">
        <v>47</v>
      </c>
      <c r="J897" t="s">
        <v>11</v>
      </c>
      <c r="K897">
        <v>2</v>
      </c>
    </row>
    <row r="898" spans="1:11" x14ac:dyDescent="0.25">
      <c r="A898" t="s">
        <v>18</v>
      </c>
      <c r="B898" t="s">
        <v>21</v>
      </c>
      <c r="C898">
        <v>1071201</v>
      </c>
      <c r="D898" t="s">
        <v>48</v>
      </c>
      <c r="E898" t="s">
        <v>50</v>
      </c>
      <c r="F898" s="4">
        <v>41477</v>
      </c>
      <c r="G898" s="4">
        <v>41693</v>
      </c>
      <c r="H898" t="s">
        <v>45</v>
      </c>
      <c r="I898" t="s">
        <v>47</v>
      </c>
      <c r="J898" t="s">
        <v>12</v>
      </c>
      <c r="K898">
        <v>0</v>
      </c>
    </row>
    <row r="899" spans="1:11" x14ac:dyDescent="0.25">
      <c r="A899" t="s">
        <v>18</v>
      </c>
      <c r="B899" t="s">
        <v>21</v>
      </c>
      <c r="C899">
        <v>1071201</v>
      </c>
      <c r="D899" t="s">
        <v>48</v>
      </c>
      <c r="E899" t="s">
        <v>50</v>
      </c>
      <c r="F899" s="4">
        <v>41477</v>
      </c>
      <c r="G899" s="4">
        <v>41693</v>
      </c>
      <c r="H899" t="s">
        <v>45</v>
      </c>
      <c r="I899" t="s">
        <v>47</v>
      </c>
      <c r="J899" t="s">
        <v>13</v>
      </c>
      <c r="K899">
        <v>1</v>
      </c>
    </row>
    <row r="900" spans="1:11" x14ac:dyDescent="0.25">
      <c r="A900" t="s">
        <v>18</v>
      </c>
      <c r="B900" t="s">
        <v>21</v>
      </c>
      <c r="C900">
        <v>1071201</v>
      </c>
      <c r="D900" t="s">
        <v>48</v>
      </c>
      <c r="E900" t="s">
        <v>50</v>
      </c>
      <c r="F900" s="4">
        <v>41477</v>
      </c>
      <c r="G900" s="4">
        <v>41693</v>
      </c>
      <c r="H900" t="s">
        <v>45</v>
      </c>
      <c r="I900" t="s">
        <v>47</v>
      </c>
      <c r="J900" t="s">
        <v>14</v>
      </c>
      <c r="K900">
        <v>1</v>
      </c>
    </row>
    <row r="901" spans="1:11" x14ac:dyDescent="0.25">
      <c r="A901" t="s">
        <v>18</v>
      </c>
      <c r="B901" t="s">
        <v>21</v>
      </c>
      <c r="C901">
        <v>1071201</v>
      </c>
      <c r="D901" t="s">
        <v>48</v>
      </c>
      <c r="E901" t="s">
        <v>50</v>
      </c>
      <c r="F901" s="4">
        <v>41477</v>
      </c>
      <c r="G901" s="4">
        <v>41693</v>
      </c>
      <c r="H901" t="s">
        <v>45</v>
      </c>
      <c r="I901" t="s">
        <v>47</v>
      </c>
      <c r="J901" t="s">
        <v>15</v>
      </c>
      <c r="K901">
        <v>2</v>
      </c>
    </row>
    <row r="902" spans="1:11" x14ac:dyDescent="0.25">
      <c r="A902" t="s">
        <v>18</v>
      </c>
      <c r="B902" t="s">
        <v>19</v>
      </c>
      <c r="C902">
        <v>1071201</v>
      </c>
      <c r="D902" t="s">
        <v>48</v>
      </c>
      <c r="E902" t="s">
        <v>50</v>
      </c>
      <c r="F902" s="4">
        <v>41477</v>
      </c>
      <c r="G902" s="4">
        <v>41824</v>
      </c>
      <c r="H902" t="s">
        <v>45</v>
      </c>
      <c r="I902" t="s">
        <v>47</v>
      </c>
      <c r="J902" t="s">
        <v>6</v>
      </c>
      <c r="K902">
        <v>1</v>
      </c>
    </row>
    <row r="903" spans="1:11" x14ac:dyDescent="0.25">
      <c r="A903" t="s">
        <v>18</v>
      </c>
      <c r="B903" t="s">
        <v>19</v>
      </c>
      <c r="C903">
        <v>1071201</v>
      </c>
      <c r="D903" t="s">
        <v>48</v>
      </c>
      <c r="E903" t="s">
        <v>50</v>
      </c>
      <c r="F903" s="4">
        <v>41477</v>
      </c>
      <c r="G903" s="4">
        <v>41824</v>
      </c>
      <c r="H903" t="s">
        <v>45</v>
      </c>
      <c r="I903" t="s">
        <v>47</v>
      </c>
      <c r="J903" t="s">
        <v>7</v>
      </c>
      <c r="K903">
        <v>1</v>
      </c>
    </row>
    <row r="904" spans="1:11" x14ac:dyDescent="0.25">
      <c r="A904" t="s">
        <v>18</v>
      </c>
      <c r="B904" t="s">
        <v>19</v>
      </c>
      <c r="C904">
        <v>1071201</v>
      </c>
      <c r="D904" t="s">
        <v>48</v>
      </c>
      <c r="E904" t="s">
        <v>50</v>
      </c>
      <c r="F904" s="4">
        <v>41477</v>
      </c>
      <c r="G904" s="4">
        <v>41824</v>
      </c>
      <c r="H904" t="s">
        <v>45</v>
      </c>
      <c r="I904" t="s">
        <v>47</v>
      </c>
      <c r="J904" t="s">
        <v>8</v>
      </c>
      <c r="K904">
        <v>3</v>
      </c>
    </row>
    <row r="905" spans="1:11" x14ac:dyDescent="0.25">
      <c r="A905" t="s">
        <v>18</v>
      </c>
      <c r="B905" t="s">
        <v>19</v>
      </c>
      <c r="C905">
        <v>1071201</v>
      </c>
      <c r="D905" t="s">
        <v>48</v>
      </c>
      <c r="E905" t="s">
        <v>50</v>
      </c>
      <c r="F905" s="4">
        <v>41477</v>
      </c>
      <c r="G905" s="4">
        <v>41824</v>
      </c>
      <c r="H905" t="s">
        <v>45</v>
      </c>
      <c r="I905" t="s">
        <v>47</v>
      </c>
      <c r="J905" t="s">
        <v>9</v>
      </c>
      <c r="K905">
        <v>0</v>
      </c>
    </row>
    <row r="906" spans="1:11" x14ac:dyDescent="0.25">
      <c r="A906" t="s">
        <v>18</v>
      </c>
      <c r="B906" t="s">
        <v>19</v>
      </c>
      <c r="C906">
        <v>1071201</v>
      </c>
      <c r="D906" t="s">
        <v>48</v>
      </c>
      <c r="E906" t="s">
        <v>50</v>
      </c>
      <c r="F906" s="4">
        <v>41477</v>
      </c>
      <c r="G906" s="4">
        <v>41824</v>
      </c>
      <c r="H906" t="s">
        <v>45</v>
      </c>
      <c r="I906" t="s">
        <v>47</v>
      </c>
      <c r="J906" t="s">
        <v>10</v>
      </c>
      <c r="K906">
        <v>3</v>
      </c>
    </row>
    <row r="907" spans="1:11" x14ac:dyDescent="0.25">
      <c r="A907" t="s">
        <v>18</v>
      </c>
      <c r="B907" t="s">
        <v>19</v>
      </c>
      <c r="C907">
        <v>1071201</v>
      </c>
      <c r="D907" t="s">
        <v>48</v>
      </c>
      <c r="E907" t="s">
        <v>50</v>
      </c>
      <c r="F907" s="4">
        <v>41477</v>
      </c>
      <c r="G907" s="4">
        <v>41824</v>
      </c>
      <c r="H907" t="s">
        <v>45</v>
      </c>
      <c r="I907" t="s">
        <v>47</v>
      </c>
      <c r="J907" t="s">
        <v>11</v>
      </c>
      <c r="K907">
        <v>3</v>
      </c>
    </row>
    <row r="908" spans="1:11" x14ac:dyDescent="0.25">
      <c r="A908" t="s">
        <v>18</v>
      </c>
      <c r="B908" t="s">
        <v>19</v>
      </c>
      <c r="C908">
        <v>1071201</v>
      </c>
      <c r="D908" t="s">
        <v>48</v>
      </c>
      <c r="E908" t="s">
        <v>50</v>
      </c>
      <c r="F908" s="4">
        <v>41477</v>
      </c>
      <c r="G908" s="4">
        <v>41824</v>
      </c>
      <c r="H908" t="s">
        <v>45</v>
      </c>
      <c r="I908" t="s">
        <v>47</v>
      </c>
      <c r="J908" t="s">
        <v>12</v>
      </c>
      <c r="K908">
        <v>1</v>
      </c>
    </row>
    <row r="909" spans="1:11" x14ac:dyDescent="0.25">
      <c r="A909" t="s">
        <v>18</v>
      </c>
      <c r="B909" t="s">
        <v>19</v>
      </c>
      <c r="C909">
        <v>1071201</v>
      </c>
      <c r="D909" t="s">
        <v>48</v>
      </c>
      <c r="E909" t="s">
        <v>50</v>
      </c>
      <c r="F909" s="4">
        <v>41477</v>
      </c>
      <c r="G909" s="4">
        <v>41824</v>
      </c>
      <c r="H909" t="s">
        <v>45</v>
      </c>
      <c r="I909" t="s">
        <v>47</v>
      </c>
      <c r="J909" t="s">
        <v>13</v>
      </c>
      <c r="K909">
        <v>1</v>
      </c>
    </row>
    <row r="910" spans="1:11" x14ac:dyDescent="0.25">
      <c r="A910" t="s">
        <v>18</v>
      </c>
      <c r="B910" t="s">
        <v>19</v>
      </c>
      <c r="C910">
        <v>1071201</v>
      </c>
      <c r="D910" t="s">
        <v>48</v>
      </c>
      <c r="E910" t="s">
        <v>50</v>
      </c>
      <c r="F910" s="4">
        <v>41477</v>
      </c>
      <c r="G910" s="4">
        <v>41824</v>
      </c>
      <c r="H910" t="s">
        <v>45</v>
      </c>
      <c r="I910" t="s">
        <v>47</v>
      </c>
      <c r="J910" t="s">
        <v>14</v>
      </c>
      <c r="K910">
        <v>0</v>
      </c>
    </row>
    <row r="911" spans="1:11" x14ac:dyDescent="0.25">
      <c r="A911" t="s">
        <v>18</v>
      </c>
      <c r="B911" t="s">
        <v>19</v>
      </c>
      <c r="C911">
        <v>1071201</v>
      </c>
      <c r="D911" t="s">
        <v>48</v>
      </c>
      <c r="E911" t="s">
        <v>50</v>
      </c>
      <c r="F911" s="4">
        <v>41477</v>
      </c>
      <c r="G911" s="4">
        <v>41824</v>
      </c>
      <c r="H911" t="s">
        <v>45</v>
      </c>
      <c r="I911" t="s">
        <v>47</v>
      </c>
      <c r="J911" t="s">
        <v>15</v>
      </c>
      <c r="K911">
        <v>2</v>
      </c>
    </row>
    <row r="912" spans="1:11" x14ac:dyDescent="0.25">
      <c r="A912" t="s">
        <v>16</v>
      </c>
      <c r="B912" t="s">
        <v>20</v>
      </c>
      <c r="C912">
        <v>30307564</v>
      </c>
      <c r="D912" t="s">
        <v>43</v>
      </c>
      <c r="E912" t="s">
        <v>50</v>
      </c>
      <c r="F912" s="4">
        <v>41518</v>
      </c>
      <c r="G912" s="4">
        <v>41528</v>
      </c>
      <c r="H912" t="s">
        <v>45</v>
      </c>
      <c r="I912" t="s">
        <v>46</v>
      </c>
      <c r="J912" t="s">
        <v>6</v>
      </c>
      <c r="K912">
        <v>3</v>
      </c>
    </row>
    <row r="913" spans="1:11" x14ac:dyDescent="0.25">
      <c r="A913" t="s">
        <v>16</v>
      </c>
      <c r="B913" t="s">
        <v>20</v>
      </c>
      <c r="C913">
        <v>30307564</v>
      </c>
      <c r="D913" t="s">
        <v>43</v>
      </c>
      <c r="E913" t="s">
        <v>50</v>
      </c>
      <c r="F913" s="4">
        <v>41518</v>
      </c>
      <c r="G913" s="4">
        <v>41528</v>
      </c>
      <c r="H913" t="s">
        <v>45</v>
      </c>
      <c r="I913" t="s">
        <v>46</v>
      </c>
      <c r="J913" t="s">
        <v>7</v>
      </c>
      <c r="K913">
        <v>2</v>
      </c>
    </row>
    <row r="914" spans="1:11" x14ac:dyDescent="0.25">
      <c r="A914" t="s">
        <v>16</v>
      </c>
      <c r="B914" t="s">
        <v>20</v>
      </c>
      <c r="C914">
        <v>30307564</v>
      </c>
      <c r="D914" t="s">
        <v>43</v>
      </c>
      <c r="E914" t="s">
        <v>50</v>
      </c>
      <c r="F914" s="4">
        <v>41518</v>
      </c>
      <c r="G914" s="4">
        <v>41528</v>
      </c>
      <c r="H914" t="s">
        <v>45</v>
      </c>
      <c r="I914" t="s">
        <v>46</v>
      </c>
      <c r="J914" t="s">
        <v>8</v>
      </c>
      <c r="K914">
        <v>3</v>
      </c>
    </row>
    <row r="915" spans="1:11" x14ac:dyDescent="0.25">
      <c r="A915" t="s">
        <v>16</v>
      </c>
      <c r="B915" t="s">
        <v>20</v>
      </c>
      <c r="C915">
        <v>30307564</v>
      </c>
      <c r="D915" t="s">
        <v>43</v>
      </c>
      <c r="E915" t="s">
        <v>50</v>
      </c>
      <c r="F915" s="4">
        <v>41518</v>
      </c>
      <c r="G915" s="4">
        <v>41528</v>
      </c>
      <c r="H915" t="s">
        <v>45</v>
      </c>
      <c r="I915" t="s">
        <v>46</v>
      </c>
      <c r="J915" t="s">
        <v>9</v>
      </c>
      <c r="K915">
        <v>2</v>
      </c>
    </row>
    <row r="916" spans="1:11" x14ac:dyDescent="0.25">
      <c r="A916" t="s">
        <v>16</v>
      </c>
      <c r="B916" t="s">
        <v>20</v>
      </c>
      <c r="C916">
        <v>30307564</v>
      </c>
      <c r="D916" t="s">
        <v>43</v>
      </c>
      <c r="E916" t="s">
        <v>50</v>
      </c>
      <c r="F916" s="4">
        <v>41518</v>
      </c>
      <c r="G916" s="4">
        <v>41528</v>
      </c>
      <c r="H916" t="s">
        <v>45</v>
      </c>
      <c r="I916" t="s">
        <v>46</v>
      </c>
      <c r="J916" t="s">
        <v>10</v>
      </c>
      <c r="K916">
        <v>3</v>
      </c>
    </row>
    <row r="917" spans="1:11" x14ac:dyDescent="0.25">
      <c r="A917" t="s">
        <v>16</v>
      </c>
      <c r="B917" t="s">
        <v>20</v>
      </c>
      <c r="C917">
        <v>30307564</v>
      </c>
      <c r="D917" t="s">
        <v>43</v>
      </c>
      <c r="E917" t="s">
        <v>50</v>
      </c>
      <c r="F917" s="4">
        <v>41518</v>
      </c>
      <c r="G917" s="4">
        <v>41528</v>
      </c>
      <c r="H917" t="s">
        <v>45</v>
      </c>
      <c r="I917" t="s">
        <v>46</v>
      </c>
      <c r="J917" t="s">
        <v>11</v>
      </c>
      <c r="K917">
        <v>0</v>
      </c>
    </row>
    <row r="918" spans="1:11" x14ac:dyDescent="0.25">
      <c r="A918" t="s">
        <v>16</v>
      </c>
      <c r="B918" t="s">
        <v>20</v>
      </c>
      <c r="C918">
        <v>30307564</v>
      </c>
      <c r="D918" t="s">
        <v>43</v>
      </c>
      <c r="E918" t="s">
        <v>50</v>
      </c>
      <c r="F918" s="4">
        <v>41518</v>
      </c>
      <c r="G918" s="4">
        <v>41528</v>
      </c>
      <c r="H918" t="s">
        <v>45</v>
      </c>
      <c r="I918" t="s">
        <v>46</v>
      </c>
      <c r="J918" t="s">
        <v>12</v>
      </c>
      <c r="K918">
        <v>0</v>
      </c>
    </row>
    <row r="919" spans="1:11" x14ac:dyDescent="0.25">
      <c r="A919" t="s">
        <v>16</v>
      </c>
      <c r="B919" t="s">
        <v>20</v>
      </c>
      <c r="C919">
        <v>30307564</v>
      </c>
      <c r="D919" t="s">
        <v>43</v>
      </c>
      <c r="E919" t="s">
        <v>50</v>
      </c>
      <c r="F919" s="4">
        <v>41518</v>
      </c>
      <c r="G919" s="4">
        <v>41528</v>
      </c>
      <c r="H919" t="s">
        <v>45</v>
      </c>
      <c r="I919" t="s">
        <v>46</v>
      </c>
      <c r="J919" t="s">
        <v>13</v>
      </c>
      <c r="K919">
        <v>1</v>
      </c>
    </row>
    <row r="920" spans="1:11" x14ac:dyDescent="0.25">
      <c r="A920" t="s">
        <v>16</v>
      </c>
      <c r="B920" t="s">
        <v>20</v>
      </c>
      <c r="C920">
        <v>30307564</v>
      </c>
      <c r="D920" t="s">
        <v>43</v>
      </c>
      <c r="E920" t="s">
        <v>50</v>
      </c>
      <c r="F920" s="4">
        <v>41518</v>
      </c>
      <c r="G920" s="4">
        <v>41528</v>
      </c>
      <c r="H920" t="s">
        <v>45</v>
      </c>
      <c r="I920" t="s">
        <v>46</v>
      </c>
      <c r="J920" t="s">
        <v>14</v>
      </c>
      <c r="K920">
        <v>2</v>
      </c>
    </row>
    <row r="921" spans="1:11" x14ac:dyDescent="0.25">
      <c r="A921" t="s">
        <v>16</v>
      </c>
      <c r="B921" t="s">
        <v>20</v>
      </c>
      <c r="C921">
        <v>30307564</v>
      </c>
      <c r="D921" t="s">
        <v>43</v>
      </c>
      <c r="E921" t="s">
        <v>50</v>
      </c>
      <c r="F921" s="4">
        <v>41518</v>
      </c>
      <c r="G921" s="4">
        <v>41528</v>
      </c>
      <c r="H921" t="s">
        <v>45</v>
      </c>
      <c r="I921" t="s">
        <v>46</v>
      </c>
      <c r="J921" t="s">
        <v>15</v>
      </c>
      <c r="K921">
        <v>1</v>
      </c>
    </row>
    <row r="922" spans="1:11" x14ac:dyDescent="0.25">
      <c r="A922" t="s">
        <v>16</v>
      </c>
      <c r="B922" t="s">
        <v>21</v>
      </c>
      <c r="C922">
        <v>30307564</v>
      </c>
      <c r="D922" t="s">
        <v>43</v>
      </c>
      <c r="E922" t="s">
        <v>50</v>
      </c>
      <c r="F922" s="4">
        <v>41518</v>
      </c>
      <c r="G922" s="4">
        <v>41624</v>
      </c>
      <c r="H922" t="s">
        <v>45</v>
      </c>
      <c r="I922" t="s">
        <v>47</v>
      </c>
      <c r="J922" t="s">
        <v>6</v>
      </c>
      <c r="K922">
        <v>0</v>
      </c>
    </row>
    <row r="923" spans="1:11" x14ac:dyDescent="0.25">
      <c r="A923" t="s">
        <v>16</v>
      </c>
      <c r="B923" t="s">
        <v>21</v>
      </c>
      <c r="C923">
        <v>30307564</v>
      </c>
      <c r="D923" t="s">
        <v>43</v>
      </c>
      <c r="E923" t="s">
        <v>50</v>
      </c>
      <c r="F923" s="4">
        <v>41518</v>
      </c>
      <c r="G923" s="4">
        <v>41624</v>
      </c>
      <c r="H923" t="s">
        <v>45</v>
      </c>
      <c r="I923" t="s">
        <v>47</v>
      </c>
      <c r="J923" t="s">
        <v>7</v>
      </c>
      <c r="K923">
        <v>1</v>
      </c>
    </row>
    <row r="924" spans="1:11" x14ac:dyDescent="0.25">
      <c r="A924" t="s">
        <v>16</v>
      </c>
      <c r="B924" t="s">
        <v>21</v>
      </c>
      <c r="C924">
        <v>30307564</v>
      </c>
      <c r="D924" t="s">
        <v>43</v>
      </c>
      <c r="E924" t="s">
        <v>50</v>
      </c>
      <c r="F924" s="4">
        <v>41518</v>
      </c>
      <c r="G924" s="4">
        <v>41624</v>
      </c>
      <c r="H924" t="s">
        <v>45</v>
      </c>
      <c r="I924" t="s">
        <v>47</v>
      </c>
      <c r="J924" t="s">
        <v>8</v>
      </c>
      <c r="K924">
        <v>3</v>
      </c>
    </row>
    <row r="925" spans="1:11" x14ac:dyDescent="0.25">
      <c r="A925" t="s">
        <v>16</v>
      </c>
      <c r="B925" t="s">
        <v>21</v>
      </c>
      <c r="C925">
        <v>30307564</v>
      </c>
      <c r="D925" t="s">
        <v>43</v>
      </c>
      <c r="E925" t="s">
        <v>50</v>
      </c>
      <c r="F925" s="4">
        <v>41518</v>
      </c>
      <c r="G925" s="4">
        <v>41624</v>
      </c>
      <c r="H925" t="s">
        <v>45</v>
      </c>
      <c r="I925" t="s">
        <v>47</v>
      </c>
      <c r="J925" t="s">
        <v>9</v>
      </c>
      <c r="K925">
        <v>3</v>
      </c>
    </row>
    <row r="926" spans="1:11" x14ac:dyDescent="0.25">
      <c r="A926" t="s">
        <v>16</v>
      </c>
      <c r="B926" t="s">
        <v>21</v>
      </c>
      <c r="C926">
        <v>30307564</v>
      </c>
      <c r="D926" t="s">
        <v>43</v>
      </c>
      <c r="E926" t="s">
        <v>50</v>
      </c>
      <c r="F926" s="4">
        <v>41518</v>
      </c>
      <c r="G926" s="4">
        <v>41624</v>
      </c>
      <c r="H926" t="s">
        <v>45</v>
      </c>
      <c r="I926" t="s">
        <v>47</v>
      </c>
      <c r="J926" t="s">
        <v>10</v>
      </c>
      <c r="K926">
        <v>3</v>
      </c>
    </row>
    <row r="927" spans="1:11" x14ac:dyDescent="0.25">
      <c r="A927" t="s">
        <v>16</v>
      </c>
      <c r="B927" t="s">
        <v>21</v>
      </c>
      <c r="C927">
        <v>30307564</v>
      </c>
      <c r="D927" t="s">
        <v>43</v>
      </c>
      <c r="E927" t="s">
        <v>50</v>
      </c>
      <c r="F927" s="4">
        <v>41518</v>
      </c>
      <c r="G927" s="4">
        <v>41624</v>
      </c>
      <c r="H927" t="s">
        <v>45</v>
      </c>
      <c r="I927" t="s">
        <v>47</v>
      </c>
      <c r="J927" t="s">
        <v>11</v>
      </c>
      <c r="K927">
        <v>1</v>
      </c>
    </row>
    <row r="928" spans="1:11" x14ac:dyDescent="0.25">
      <c r="A928" t="s">
        <v>16</v>
      </c>
      <c r="B928" t="s">
        <v>21</v>
      </c>
      <c r="C928">
        <v>30307564</v>
      </c>
      <c r="D928" t="s">
        <v>43</v>
      </c>
      <c r="E928" t="s">
        <v>50</v>
      </c>
      <c r="F928" s="4">
        <v>41518</v>
      </c>
      <c r="G928" s="4">
        <v>41624</v>
      </c>
      <c r="H928" t="s">
        <v>45</v>
      </c>
      <c r="I928" t="s">
        <v>47</v>
      </c>
      <c r="J928" t="s">
        <v>12</v>
      </c>
      <c r="K928">
        <v>1</v>
      </c>
    </row>
    <row r="929" spans="1:11" x14ac:dyDescent="0.25">
      <c r="A929" t="s">
        <v>16</v>
      </c>
      <c r="B929" t="s">
        <v>21</v>
      </c>
      <c r="C929">
        <v>30307564</v>
      </c>
      <c r="D929" t="s">
        <v>43</v>
      </c>
      <c r="E929" t="s">
        <v>50</v>
      </c>
      <c r="F929" s="4">
        <v>41518</v>
      </c>
      <c r="G929" s="4">
        <v>41624</v>
      </c>
      <c r="H929" t="s">
        <v>45</v>
      </c>
      <c r="I929" t="s">
        <v>47</v>
      </c>
      <c r="J929" t="s">
        <v>13</v>
      </c>
      <c r="K929">
        <v>2</v>
      </c>
    </row>
    <row r="930" spans="1:11" x14ac:dyDescent="0.25">
      <c r="A930" t="s">
        <v>16</v>
      </c>
      <c r="B930" t="s">
        <v>21</v>
      </c>
      <c r="C930">
        <v>30307564</v>
      </c>
      <c r="D930" t="s">
        <v>43</v>
      </c>
      <c r="E930" t="s">
        <v>50</v>
      </c>
      <c r="F930" s="4">
        <v>41518</v>
      </c>
      <c r="G930" s="4">
        <v>41624</v>
      </c>
      <c r="H930" t="s">
        <v>45</v>
      </c>
      <c r="I930" t="s">
        <v>47</v>
      </c>
      <c r="J930" t="s">
        <v>14</v>
      </c>
      <c r="K930">
        <v>2</v>
      </c>
    </row>
    <row r="931" spans="1:11" x14ac:dyDescent="0.25">
      <c r="A931" t="s">
        <v>16</v>
      </c>
      <c r="B931" t="s">
        <v>21</v>
      </c>
      <c r="C931">
        <v>30307564</v>
      </c>
      <c r="D931" t="s">
        <v>43</v>
      </c>
      <c r="E931" t="s">
        <v>50</v>
      </c>
      <c r="F931" s="4">
        <v>41518</v>
      </c>
      <c r="G931" s="4">
        <v>41624</v>
      </c>
      <c r="H931" t="s">
        <v>45</v>
      </c>
      <c r="I931" t="s">
        <v>47</v>
      </c>
      <c r="J931" t="s">
        <v>15</v>
      </c>
      <c r="K931">
        <v>1</v>
      </c>
    </row>
    <row r="932" spans="1:11" x14ac:dyDescent="0.25">
      <c r="A932" t="s">
        <v>16</v>
      </c>
      <c r="B932" t="s">
        <v>19</v>
      </c>
      <c r="C932">
        <v>785248</v>
      </c>
      <c r="D932" t="s">
        <v>48</v>
      </c>
      <c r="E932" t="s">
        <v>51</v>
      </c>
      <c r="F932" s="4">
        <v>41488</v>
      </c>
      <c r="G932" s="4">
        <v>41508</v>
      </c>
      <c r="H932" t="s">
        <v>49</v>
      </c>
      <c r="I932" t="s">
        <v>46</v>
      </c>
      <c r="J932" t="s">
        <v>6</v>
      </c>
      <c r="K932">
        <v>0</v>
      </c>
    </row>
    <row r="933" spans="1:11" x14ac:dyDescent="0.25">
      <c r="A933" t="s">
        <v>16</v>
      </c>
      <c r="B933" t="s">
        <v>19</v>
      </c>
      <c r="C933">
        <v>785248</v>
      </c>
      <c r="D933" t="s">
        <v>48</v>
      </c>
      <c r="E933" t="s">
        <v>51</v>
      </c>
      <c r="F933" s="4">
        <v>41488</v>
      </c>
      <c r="G933" s="4">
        <v>41508</v>
      </c>
      <c r="H933" t="s">
        <v>49</v>
      </c>
      <c r="I933" t="s">
        <v>46</v>
      </c>
      <c r="J933" t="s">
        <v>7</v>
      </c>
      <c r="K933">
        <v>1</v>
      </c>
    </row>
    <row r="934" spans="1:11" x14ac:dyDescent="0.25">
      <c r="A934" t="s">
        <v>16</v>
      </c>
      <c r="B934" t="s">
        <v>19</v>
      </c>
      <c r="C934">
        <v>785248</v>
      </c>
      <c r="D934" t="s">
        <v>48</v>
      </c>
      <c r="E934" t="s">
        <v>51</v>
      </c>
      <c r="F934" s="4">
        <v>41488</v>
      </c>
      <c r="G934" s="4">
        <v>41508</v>
      </c>
      <c r="H934" t="s">
        <v>49</v>
      </c>
      <c r="I934" t="s">
        <v>46</v>
      </c>
      <c r="J934" t="s">
        <v>8</v>
      </c>
      <c r="K934">
        <v>3</v>
      </c>
    </row>
    <row r="935" spans="1:11" x14ac:dyDescent="0.25">
      <c r="A935" t="s">
        <v>16</v>
      </c>
      <c r="B935" t="s">
        <v>19</v>
      </c>
      <c r="C935">
        <v>785248</v>
      </c>
      <c r="D935" t="s">
        <v>48</v>
      </c>
      <c r="E935" t="s">
        <v>51</v>
      </c>
      <c r="F935" s="4">
        <v>41488</v>
      </c>
      <c r="G935" s="4">
        <v>41508</v>
      </c>
      <c r="H935" t="s">
        <v>49</v>
      </c>
      <c r="I935" t="s">
        <v>46</v>
      </c>
      <c r="J935" t="s">
        <v>9</v>
      </c>
      <c r="K935">
        <v>0</v>
      </c>
    </row>
    <row r="936" spans="1:11" x14ac:dyDescent="0.25">
      <c r="A936" t="s">
        <v>16</v>
      </c>
      <c r="B936" t="s">
        <v>19</v>
      </c>
      <c r="C936">
        <v>785248</v>
      </c>
      <c r="D936" t="s">
        <v>48</v>
      </c>
      <c r="E936" t="s">
        <v>51</v>
      </c>
      <c r="F936" s="4">
        <v>41488</v>
      </c>
      <c r="G936" s="4">
        <v>41508</v>
      </c>
      <c r="H936" t="s">
        <v>49</v>
      </c>
      <c r="I936" t="s">
        <v>46</v>
      </c>
      <c r="J936" t="s">
        <v>10</v>
      </c>
      <c r="K936">
        <v>0</v>
      </c>
    </row>
    <row r="937" spans="1:11" x14ac:dyDescent="0.25">
      <c r="A937" t="s">
        <v>16</v>
      </c>
      <c r="B937" t="s">
        <v>19</v>
      </c>
      <c r="C937">
        <v>785248</v>
      </c>
      <c r="D937" t="s">
        <v>48</v>
      </c>
      <c r="E937" t="s">
        <v>51</v>
      </c>
      <c r="F937" s="4">
        <v>41488</v>
      </c>
      <c r="G937" s="4">
        <v>41508</v>
      </c>
      <c r="H937" t="s">
        <v>49</v>
      </c>
      <c r="I937" t="s">
        <v>46</v>
      </c>
      <c r="J937" t="s">
        <v>11</v>
      </c>
      <c r="K937">
        <v>2</v>
      </c>
    </row>
    <row r="938" spans="1:11" x14ac:dyDescent="0.25">
      <c r="A938" t="s">
        <v>16</v>
      </c>
      <c r="B938" t="s">
        <v>19</v>
      </c>
      <c r="C938">
        <v>785248</v>
      </c>
      <c r="D938" t="s">
        <v>48</v>
      </c>
      <c r="E938" t="s">
        <v>51</v>
      </c>
      <c r="F938" s="4">
        <v>41488</v>
      </c>
      <c r="G938" s="4">
        <v>41508</v>
      </c>
      <c r="H938" t="s">
        <v>49</v>
      </c>
      <c r="I938" t="s">
        <v>46</v>
      </c>
      <c r="J938" t="s">
        <v>12</v>
      </c>
      <c r="K938">
        <v>2</v>
      </c>
    </row>
    <row r="939" spans="1:11" x14ac:dyDescent="0.25">
      <c r="A939" t="s">
        <v>16</v>
      </c>
      <c r="B939" t="s">
        <v>19</v>
      </c>
      <c r="C939">
        <v>785248</v>
      </c>
      <c r="D939" t="s">
        <v>48</v>
      </c>
      <c r="E939" t="s">
        <v>51</v>
      </c>
      <c r="F939" s="4">
        <v>41488</v>
      </c>
      <c r="G939" s="4">
        <v>41508</v>
      </c>
      <c r="H939" t="s">
        <v>49</v>
      </c>
      <c r="I939" t="s">
        <v>46</v>
      </c>
      <c r="J939" t="s">
        <v>13</v>
      </c>
      <c r="K939">
        <v>0</v>
      </c>
    </row>
    <row r="940" spans="1:11" x14ac:dyDescent="0.25">
      <c r="A940" t="s">
        <v>16</v>
      </c>
      <c r="B940" t="s">
        <v>19</v>
      </c>
      <c r="C940">
        <v>785248</v>
      </c>
      <c r="D940" t="s">
        <v>48</v>
      </c>
      <c r="E940" t="s">
        <v>51</v>
      </c>
      <c r="F940" s="4">
        <v>41488</v>
      </c>
      <c r="G940" s="4">
        <v>41508</v>
      </c>
      <c r="H940" t="s">
        <v>49</v>
      </c>
      <c r="I940" t="s">
        <v>46</v>
      </c>
      <c r="J940" t="s">
        <v>14</v>
      </c>
      <c r="K940">
        <v>0</v>
      </c>
    </row>
    <row r="941" spans="1:11" x14ac:dyDescent="0.25">
      <c r="A941" t="s">
        <v>16</v>
      </c>
      <c r="B941" t="s">
        <v>19</v>
      </c>
      <c r="C941">
        <v>785248</v>
      </c>
      <c r="D941" t="s">
        <v>48</v>
      </c>
      <c r="E941" t="s">
        <v>51</v>
      </c>
      <c r="F941" s="4">
        <v>41488</v>
      </c>
      <c r="G941" s="4">
        <v>41508</v>
      </c>
      <c r="H941" t="s">
        <v>49</v>
      </c>
      <c r="I941" t="s">
        <v>46</v>
      </c>
      <c r="J941" t="s">
        <v>15</v>
      </c>
      <c r="K941">
        <v>2</v>
      </c>
    </row>
    <row r="942" spans="1:11" x14ac:dyDescent="0.25">
      <c r="A942" t="s">
        <v>16</v>
      </c>
      <c r="B942" t="s">
        <v>20</v>
      </c>
      <c r="C942">
        <v>37140141</v>
      </c>
      <c r="D942" t="s">
        <v>43</v>
      </c>
      <c r="E942" t="s">
        <v>50</v>
      </c>
      <c r="F942" s="4">
        <v>41336</v>
      </c>
      <c r="G942" s="4">
        <v>41355</v>
      </c>
      <c r="H942" t="s">
        <v>49</v>
      </c>
      <c r="I942" t="s">
        <v>46</v>
      </c>
      <c r="J942" t="s">
        <v>6</v>
      </c>
      <c r="K942">
        <v>0</v>
      </c>
    </row>
    <row r="943" spans="1:11" x14ac:dyDescent="0.25">
      <c r="A943" t="s">
        <v>16</v>
      </c>
      <c r="B943" t="s">
        <v>20</v>
      </c>
      <c r="C943">
        <v>37140141</v>
      </c>
      <c r="D943" t="s">
        <v>43</v>
      </c>
      <c r="E943" t="s">
        <v>50</v>
      </c>
      <c r="F943" s="4">
        <v>41336</v>
      </c>
      <c r="G943" s="4">
        <v>41355</v>
      </c>
      <c r="H943" t="s">
        <v>49</v>
      </c>
      <c r="I943" t="s">
        <v>46</v>
      </c>
      <c r="J943" t="s">
        <v>7</v>
      </c>
      <c r="K943">
        <v>1</v>
      </c>
    </row>
    <row r="944" spans="1:11" x14ac:dyDescent="0.25">
      <c r="A944" t="s">
        <v>16</v>
      </c>
      <c r="B944" t="s">
        <v>20</v>
      </c>
      <c r="C944">
        <v>37140141</v>
      </c>
      <c r="D944" t="s">
        <v>43</v>
      </c>
      <c r="E944" t="s">
        <v>50</v>
      </c>
      <c r="F944" s="4">
        <v>41336</v>
      </c>
      <c r="G944" s="4">
        <v>41355</v>
      </c>
      <c r="H944" t="s">
        <v>49</v>
      </c>
      <c r="I944" t="s">
        <v>46</v>
      </c>
      <c r="J944" t="s">
        <v>8</v>
      </c>
      <c r="K944">
        <v>0</v>
      </c>
    </row>
    <row r="945" spans="1:11" x14ac:dyDescent="0.25">
      <c r="A945" t="s">
        <v>16</v>
      </c>
      <c r="B945" t="s">
        <v>20</v>
      </c>
      <c r="C945">
        <v>37140141</v>
      </c>
      <c r="D945" t="s">
        <v>43</v>
      </c>
      <c r="E945" t="s">
        <v>50</v>
      </c>
      <c r="F945" s="4">
        <v>41336</v>
      </c>
      <c r="G945" s="4">
        <v>41355</v>
      </c>
      <c r="H945" t="s">
        <v>49</v>
      </c>
      <c r="I945" t="s">
        <v>46</v>
      </c>
      <c r="J945" t="s">
        <v>9</v>
      </c>
      <c r="K945">
        <v>1</v>
      </c>
    </row>
    <row r="946" spans="1:11" x14ac:dyDescent="0.25">
      <c r="A946" t="s">
        <v>16</v>
      </c>
      <c r="B946" t="s">
        <v>20</v>
      </c>
      <c r="C946">
        <v>37140141</v>
      </c>
      <c r="D946" t="s">
        <v>43</v>
      </c>
      <c r="E946" t="s">
        <v>50</v>
      </c>
      <c r="F946" s="4">
        <v>41336</v>
      </c>
      <c r="G946" s="4">
        <v>41355</v>
      </c>
      <c r="H946" t="s">
        <v>49</v>
      </c>
      <c r="I946" t="s">
        <v>46</v>
      </c>
      <c r="J946" t="s">
        <v>10</v>
      </c>
      <c r="K946">
        <v>3</v>
      </c>
    </row>
    <row r="947" spans="1:11" x14ac:dyDescent="0.25">
      <c r="A947" t="s">
        <v>16</v>
      </c>
      <c r="B947" t="s">
        <v>20</v>
      </c>
      <c r="C947">
        <v>37140141</v>
      </c>
      <c r="D947" t="s">
        <v>43</v>
      </c>
      <c r="E947" t="s">
        <v>50</v>
      </c>
      <c r="F947" s="4">
        <v>41336</v>
      </c>
      <c r="G947" s="4">
        <v>41355</v>
      </c>
      <c r="H947" t="s">
        <v>49</v>
      </c>
      <c r="I947" t="s">
        <v>46</v>
      </c>
      <c r="J947" t="s">
        <v>11</v>
      </c>
      <c r="K947">
        <v>0</v>
      </c>
    </row>
    <row r="948" spans="1:11" x14ac:dyDescent="0.25">
      <c r="A948" t="s">
        <v>16</v>
      </c>
      <c r="B948" t="s">
        <v>20</v>
      </c>
      <c r="C948">
        <v>37140141</v>
      </c>
      <c r="D948" t="s">
        <v>43</v>
      </c>
      <c r="E948" t="s">
        <v>50</v>
      </c>
      <c r="F948" s="4">
        <v>41336</v>
      </c>
      <c r="G948" s="4">
        <v>41355</v>
      </c>
      <c r="H948" t="s">
        <v>49</v>
      </c>
      <c r="I948" t="s">
        <v>46</v>
      </c>
      <c r="J948" t="s">
        <v>12</v>
      </c>
      <c r="K948">
        <v>3</v>
      </c>
    </row>
    <row r="949" spans="1:11" x14ac:dyDescent="0.25">
      <c r="A949" t="s">
        <v>16</v>
      </c>
      <c r="B949" t="s">
        <v>20</v>
      </c>
      <c r="C949">
        <v>37140141</v>
      </c>
      <c r="D949" t="s">
        <v>43</v>
      </c>
      <c r="E949" t="s">
        <v>50</v>
      </c>
      <c r="F949" s="4">
        <v>41336</v>
      </c>
      <c r="G949" s="4">
        <v>41355</v>
      </c>
      <c r="H949" t="s">
        <v>49</v>
      </c>
      <c r="I949" t="s">
        <v>46</v>
      </c>
      <c r="J949" t="s">
        <v>13</v>
      </c>
      <c r="K949">
        <v>0</v>
      </c>
    </row>
    <row r="950" spans="1:11" x14ac:dyDescent="0.25">
      <c r="A950" t="s">
        <v>16</v>
      </c>
      <c r="B950" t="s">
        <v>20</v>
      </c>
      <c r="C950">
        <v>37140141</v>
      </c>
      <c r="D950" t="s">
        <v>43</v>
      </c>
      <c r="E950" t="s">
        <v>50</v>
      </c>
      <c r="F950" s="4">
        <v>41336</v>
      </c>
      <c r="G950" s="4">
        <v>41355</v>
      </c>
      <c r="H950" t="s">
        <v>49</v>
      </c>
      <c r="I950" t="s">
        <v>46</v>
      </c>
      <c r="J950" t="s">
        <v>14</v>
      </c>
      <c r="K950">
        <v>0</v>
      </c>
    </row>
    <row r="951" spans="1:11" x14ac:dyDescent="0.25">
      <c r="A951" t="s">
        <v>16</v>
      </c>
      <c r="B951" t="s">
        <v>20</v>
      </c>
      <c r="C951">
        <v>37140141</v>
      </c>
      <c r="D951" t="s">
        <v>43</v>
      </c>
      <c r="E951" t="s">
        <v>50</v>
      </c>
      <c r="F951" s="4">
        <v>41336</v>
      </c>
      <c r="G951" s="4">
        <v>41355</v>
      </c>
      <c r="H951" t="s">
        <v>49</v>
      </c>
      <c r="I951" t="s">
        <v>46</v>
      </c>
      <c r="J951" t="s">
        <v>15</v>
      </c>
      <c r="K951">
        <v>0</v>
      </c>
    </row>
    <row r="952" spans="1:11" x14ac:dyDescent="0.25">
      <c r="A952" t="s">
        <v>16</v>
      </c>
      <c r="B952" t="s">
        <v>21</v>
      </c>
      <c r="C952">
        <v>37140141</v>
      </c>
      <c r="D952" t="s">
        <v>43</v>
      </c>
      <c r="E952" t="s">
        <v>50</v>
      </c>
      <c r="F952" s="4">
        <v>41336</v>
      </c>
      <c r="G952" s="4">
        <v>41450</v>
      </c>
      <c r="H952" t="s">
        <v>49</v>
      </c>
      <c r="I952" t="s">
        <v>47</v>
      </c>
      <c r="J952" t="s">
        <v>6</v>
      </c>
      <c r="K952">
        <v>1</v>
      </c>
    </row>
    <row r="953" spans="1:11" x14ac:dyDescent="0.25">
      <c r="A953" t="s">
        <v>16</v>
      </c>
      <c r="B953" t="s">
        <v>21</v>
      </c>
      <c r="C953">
        <v>37140141</v>
      </c>
      <c r="D953" t="s">
        <v>43</v>
      </c>
      <c r="E953" t="s">
        <v>50</v>
      </c>
      <c r="F953" s="4">
        <v>41336</v>
      </c>
      <c r="G953" s="4">
        <v>41450</v>
      </c>
      <c r="H953" t="s">
        <v>49</v>
      </c>
      <c r="I953" t="s">
        <v>47</v>
      </c>
      <c r="J953" t="s">
        <v>7</v>
      </c>
      <c r="K953">
        <v>1</v>
      </c>
    </row>
    <row r="954" spans="1:11" x14ac:dyDescent="0.25">
      <c r="A954" t="s">
        <v>16</v>
      </c>
      <c r="B954" t="s">
        <v>21</v>
      </c>
      <c r="C954">
        <v>37140141</v>
      </c>
      <c r="D954" t="s">
        <v>43</v>
      </c>
      <c r="E954" t="s">
        <v>50</v>
      </c>
      <c r="F954" s="4">
        <v>41336</v>
      </c>
      <c r="G954" s="4">
        <v>41450</v>
      </c>
      <c r="H954" t="s">
        <v>49</v>
      </c>
      <c r="I954" t="s">
        <v>47</v>
      </c>
      <c r="J954" t="s">
        <v>8</v>
      </c>
      <c r="K954">
        <v>3</v>
      </c>
    </row>
    <row r="955" spans="1:11" x14ac:dyDescent="0.25">
      <c r="A955" t="s">
        <v>16</v>
      </c>
      <c r="B955" t="s">
        <v>21</v>
      </c>
      <c r="C955">
        <v>37140141</v>
      </c>
      <c r="D955" t="s">
        <v>43</v>
      </c>
      <c r="E955" t="s">
        <v>50</v>
      </c>
      <c r="F955" s="4">
        <v>41336</v>
      </c>
      <c r="G955" s="4">
        <v>41450</v>
      </c>
      <c r="H955" t="s">
        <v>49</v>
      </c>
      <c r="I955" t="s">
        <v>47</v>
      </c>
      <c r="J955" t="s">
        <v>9</v>
      </c>
      <c r="K955">
        <v>0</v>
      </c>
    </row>
    <row r="956" spans="1:11" x14ac:dyDescent="0.25">
      <c r="A956" t="s">
        <v>16</v>
      </c>
      <c r="B956" t="s">
        <v>21</v>
      </c>
      <c r="C956">
        <v>37140141</v>
      </c>
      <c r="D956" t="s">
        <v>43</v>
      </c>
      <c r="E956" t="s">
        <v>50</v>
      </c>
      <c r="F956" s="4">
        <v>41336</v>
      </c>
      <c r="G956" s="4">
        <v>41450</v>
      </c>
      <c r="H956" t="s">
        <v>49</v>
      </c>
      <c r="I956" t="s">
        <v>47</v>
      </c>
      <c r="J956" t="s">
        <v>10</v>
      </c>
      <c r="K956">
        <v>2</v>
      </c>
    </row>
    <row r="957" spans="1:11" x14ac:dyDescent="0.25">
      <c r="A957" t="s">
        <v>16</v>
      </c>
      <c r="B957" t="s">
        <v>21</v>
      </c>
      <c r="C957">
        <v>37140141</v>
      </c>
      <c r="D957" t="s">
        <v>43</v>
      </c>
      <c r="E957" t="s">
        <v>50</v>
      </c>
      <c r="F957" s="4">
        <v>41336</v>
      </c>
      <c r="G957" s="4">
        <v>41450</v>
      </c>
      <c r="H957" t="s">
        <v>49</v>
      </c>
      <c r="I957" t="s">
        <v>47</v>
      </c>
      <c r="J957" t="s">
        <v>11</v>
      </c>
      <c r="K957">
        <v>0</v>
      </c>
    </row>
    <row r="958" spans="1:11" x14ac:dyDescent="0.25">
      <c r="A958" t="s">
        <v>16</v>
      </c>
      <c r="B958" t="s">
        <v>21</v>
      </c>
      <c r="C958">
        <v>37140141</v>
      </c>
      <c r="D958" t="s">
        <v>43</v>
      </c>
      <c r="E958" t="s">
        <v>50</v>
      </c>
      <c r="F958" s="4">
        <v>41336</v>
      </c>
      <c r="G958" s="4">
        <v>41450</v>
      </c>
      <c r="H958" t="s">
        <v>49</v>
      </c>
      <c r="I958" t="s">
        <v>47</v>
      </c>
      <c r="J958" t="s">
        <v>12</v>
      </c>
      <c r="K958">
        <v>0</v>
      </c>
    </row>
    <row r="959" spans="1:11" x14ac:dyDescent="0.25">
      <c r="A959" t="s">
        <v>16</v>
      </c>
      <c r="B959" t="s">
        <v>21</v>
      </c>
      <c r="C959">
        <v>37140141</v>
      </c>
      <c r="D959" t="s">
        <v>43</v>
      </c>
      <c r="E959" t="s">
        <v>50</v>
      </c>
      <c r="F959" s="4">
        <v>41336</v>
      </c>
      <c r="G959" s="4">
        <v>41450</v>
      </c>
      <c r="H959" t="s">
        <v>49</v>
      </c>
      <c r="I959" t="s">
        <v>47</v>
      </c>
      <c r="J959" t="s">
        <v>13</v>
      </c>
      <c r="K959">
        <v>1</v>
      </c>
    </row>
    <row r="960" spans="1:11" x14ac:dyDescent="0.25">
      <c r="A960" t="s">
        <v>16</v>
      </c>
      <c r="B960" t="s">
        <v>21</v>
      </c>
      <c r="C960">
        <v>37140141</v>
      </c>
      <c r="D960" t="s">
        <v>43</v>
      </c>
      <c r="E960" t="s">
        <v>50</v>
      </c>
      <c r="F960" s="4">
        <v>41336</v>
      </c>
      <c r="G960" s="4">
        <v>41450</v>
      </c>
      <c r="H960" t="s">
        <v>49</v>
      </c>
      <c r="I960" t="s">
        <v>47</v>
      </c>
      <c r="J960" t="s">
        <v>14</v>
      </c>
      <c r="K960">
        <v>3</v>
      </c>
    </row>
    <row r="961" spans="1:11" x14ac:dyDescent="0.25">
      <c r="A961" t="s">
        <v>16</v>
      </c>
      <c r="B961" t="s">
        <v>21</v>
      </c>
      <c r="C961">
        <v>37140141</v>
      </c>
      <c r="D961" t="s">
        <v>43</v>
      </c>
      <c r="E961" t="s">
        <v>50</v>
      </c>
      <c r="F961" s="4">
        <v>41336</v>
      </c>
      <c r="G961" s="4">
        <v>41450</v>
      </c>
      <c r="H961" t="s">
        <v>49</v>
      </c>
      <c r="I961" t="s">
        <v>47</v>
      </c>
      <c r="J961" t="s">
        <v>15</v>
      </c>
      <c r="K961">
        <v>1</v>
      </c>
    </row>
    <row r="962" spans="1:11" x14ac:dyDescent="0.25">
      <c r="A962" t="s">
        <v>16</v>
      </c>
      <c r="B962" t="s">
        <v>19</v>
      </c>
      <c r="C962">
        <v>37140141</v>
      </c>
      <c r="D962" t="s">
        <v>43</v>
      </c>
      <c r="E962" t="s">
        <v>50</v>
      </c>
      <c r="F962" s="4">
        <v>41336</v>
      </c>
      <c r="G962" s="4">
        <v>41453</v>
      </c>
      <c r="H962" t="s">
        <v>49</v>
      </c>
      <c r="I962" t="s">
        <v>47</v>
      </c>
      <c r="J962" t="s">
        <v>6</v>
      </c>
      <c r="K962">
        <v>1</v>
      </c>
    </row>
    <row r="963" spans="1:11" x14ac:dyDescent="0.25">
      <c r="A963" t="s">
        <v>16</v>
      </c>
      <c r="B963" t="s">
        <v>19</v>
      </c>
      <c r="C963">
        <v>37140141</v>
      </c>
      <c r="D963" t="s">
        <v>43</v>
      </c>
      <c r="E963" t="s">
        <v>50</v>
      </c>
      <c r="F963" s="4">
        <v>41336</v>
      </c>
      <c r="G963" s="4">
        <v>41453</v>
      </c>
      <c r="H963" t="s">
        <v>49</v>
      </c>
      <c r="I963" t="s">
        <v>47</v>
      </c>
      <c r="J963" t="s">
        <v>7</v>
      </c>
      <c r="K963">
        <v>2</v>
      </c>
    </row>
    <row r="964" spans="1:11" x14ac:dyDescent="0.25">
      <c r="A964" t="s">
        <v>16</v>
      </c>
      <c r="B964" t="s">
        <v>19</v>
      </c>
      <c r="C964">
        <v>37140141</v>
      </c>
      <c r="D964" t="s">
        <v>43</v>
      </c>
      <c r="E964" t="s">
        <v>50</v>
      </c>
      <c r="F964" s="4">
        <v>41336</v>
      </c>
      <c r="G964" s="4">
        <v>41453</v>
      </c>
      <c r="H964" t="s">
        <v>49</v>
      </c>
      <c r="I964" t="s">
        <v>47</v>
      </c>
      <c r="J964" t="s">
        <v>8</v>
      </c>
      <c r="K964">
        <v>0</v>
      </c>
    </row>
    <row r="965" spans="1:11" x14ac:dyDescent="0.25">
      <c r="A965" t="s">
        <v>16</v>
      </c>
      <c r="B965" t="s">
        <v>19</v>
      </c>
      <c r="C965">
        <v>37140141</v>
      </c>
      <c r="D965" t="s">
        <v>43</v>
      </c>
      <c r="E965" t="s">
        <v>50</v>
      </c>
      <c r="F965" s="4">
        <v>41336</v>
      </c>
      <c r="G965" s="4">
        <v>41453</v>
      </c>
      <c r="H965" t="s">
        <v>49</v>
      </c>
      <c r="I965" t="s">
        <v>47</v>
      </c>
      <c r="J965" t="s">
        <v>9</v>
      </c>
      <c r="K965">
        <v>3</v>
      </c>
    </row>
    <row r="966" spans="1:11" x14ac:dyDescent="0.25">
      <c r="A966" t="s">
        <v>16</v>
      </c>
      <c r="B966" t="s">
        <v>19</v>
      </c>
      <c r="C966">
        <v>37140141</v>
      </c>
      <c r="D966" t="s">
        <v>43</v>
      </c>
      <c r="E966" t="s">
        <v>50</v>
      </c>
      <c r="F966" s="4">
        <v>41336</v>
      </c>
      <c r="G966" s="4">
        <v>41453</v>
      </c>
      <c r="H966" t="s">
        <v>49</v>
      </c>
      <c r="I966" t="s">
        <v>47</v>
      </c>
      <c r="J966" t="s">
        <v>10</v>
      </c>
      <c r="K966">
        <v>0</v>
      </c>
    </row>
    <row r="967" spans="1:11" x14ac:dyDescent="0.25">
      <c r="A967" t="s">
        <v>16</v>
      </c>
      <c r="B967" t="s">
        <v>19</v>
      </c>
      <c r="C967">
        <v>37140141</v>
      </c>
      <c r="D967" t="s">
        <v>43</v>
      </c>
      <c r="E967" t="s">
        <v>50</v>
      </c>
      <c r="F967" s="4">
        <v>41336</v>
      </c>
      <c r="G967" s="4">
        <v>41453</v>
      </c>
      <c r="H967" t="s">
        <v>49</v>
      </c>
      <c r="I967" t="s">
        <v>47</v>
      </c>
      <c r="J967" t="s">
        <v>11</v>
      </c>
      <c r="K967">
        <v>0</v>
      </c>
    </row>
    <row r="968" spans="1:11" x14ac:dyDescent="0.25">
      <c r="A968" t="s">
        <v>16</v>
      </c>
      <c r="B968" t="s">
        <v>19</v>
      </c>
      <c r="C968">
        <v>37140141</v>
      </c>
      <c r="D968" t="s">
        <v>43</v>
      </c>
      <c r="E968" t="s">
        <v>50</v>
      </c>
      <c r="F968" s="4">
        <v>41336</v>
      </c>
      <c r="G968" s="4">
        <v>41453</v>
      </c>
      <c r="H968" t="s">
        <v>49</v>
      </c>
      <c r="I968" t="s">
        <v>47</v>
      </c>
      <c r="J968" t="s">
        <v>12</v>
      </c>
      <c r="K968">
        <v>0</v>
      </c>
    </row>
    <row r="969" spans="1:11" x14ac:dyDescent="0.25">
      <c r="A969" t="s">
        <v>16</v>
      </c>
      <c r="B969" t="s">
        <v>19</v>
      </c>
      <c r="C969">
        <v>37140141</v>
      </c>
      <c r="D969" t="s">
        <v>43</v>
      </c>
      <c r="E969" t="s">
        <v>50</v>
      </c>
      <c r="F969" s="4">
        <v>41336</v>
      </c>
      <c r="G969" s="4">
        <v>41453</v>
      </c>
      <c r="H969" t="s">
        <v>49</v>
      </c>
      <c r="I969" t="s">
        <v>47</v>
      </c>
      <c r="J969" t="s">
        <v>13</v>
      </c>
      <c r="K969">
        <v>2</v>
      </c>
    </row>
    <row r="970" spans="1:11" x14ac:dyDescent="0.25">
      <c r="A970" t="s">
        <v>16</v>
      </c>
      <c r="B970" t="s">
        <v>19</v>
      </c>
      <c r="C970">
        <v>37140141</v>
      </c>
      <c r="D970" t="s">
        <v>43</v>
      </c>
      <c r="E970" t="s">
        <v>50</v>
      </c>
      <c r="F970" s="4">
        <v>41336</v>
      </c>
      <c r="G970" s="4">
        <v>41453</v>
      </c>
      <c r="H970" t="s">
        <v>49</v>
      </c>
      <c r="I970" t="s">
        <v>47</v>
      </c>
      <c r="J970" t="s">
        <v>14</v>
      </c>
      <c r="K970">
        <v>1</v>
      </c>
    </row>
    <row r="971" spans="1:11" x14ac:dyDescent="0.25">
      <c r="A971" t="s">
        <v>16</v>
      </c>
      <c r="B971" t="s">
        <v>19</v>
      </c>
      <c r="C971">
        <v>37140141</v>
      </c>
      <c r="D971" t="s">
        <v>43</v>
      </c>
      <c r="E971" t="s">
        <v>50</v>
      </c>
      <c r="F971" s="4">
        <v>41336</v>
      </c>
      <c r="G971" s="4">
        <v>41453</v>
      </c>
      <c r="H971" t="s">
        <v>49</v>
      </c>
      <c r="I971" t="s">
        <v>47</v>
      </c>
      <c r="J971" t="s">
        <v>15</v>
      </c>
      <c r="K971">
        <v>1</v>
      </c>
    </row>
    <row r="972" spans="1:11" x14ac:dyDescent="0.25">
      <c r="A972" t="s">
        <v>16</v>
      </c>
      <c r="B972" t="s">
        <v>20</v>
      </c>
      <c r="C972">
        <v>37140141</v>
      </c>
      <c r="D972" t="s">
        <v>43</v>
      </c>
      <c r="E972" t="s">
        <v>50</v>
      </c>
      <c r="F972" s="4">
        <v>41336</v>
      </c>
      <c r="G972" s="4">
        <v>41511</v>
      </c>
      <c r="H972" t="s">
        <v>49</v>
      </c>
      <c r="I972" t="s">
        <v>47</v>
      </c>
      <c r="J972" t="s">
        <v>6</v>
      </c>
      <c r="K972">
        <v>1</v>
      </c>
    </row>
    <row r="973" spans="1:11" x14ac:dyDescent="0.25">
      <c r="A973" t="s">
        <v>16</v>
      </c>
      <c r="B973" t="s">
        <v>20</v>
      </c>
      <c r="C973">
        <v>37140141</v>
      </c>
      <c r="D973" t="s">
        <v>43</v>
      </c>
      <c r="E973" t="s">
        <v>50</v>
      </c>
      <c r="F973" s="4">
        <v>41336</v>
      </c>
      <c r="G973" s="4">
        <v>41511</v>
      </c>
      <c r="H973" t="s">
        <v>49</v>
      </c>
      <c r="I973" t="s">
        <v>47</v>
      </c>
      <c r="J973" t="s">
        <v>7</v>
      </c>
      <c r="K973">
        <v>1</v>
      </c>
    </row>
    <row r="974" spans="1:11" x14ac:dyDescent="0.25">
      <c r="A974" t="s">
        <v>16</v>
      </c>
      <c r="B974" t="s">
        <v>20</v>
      </c>
      <c r="C974">
        <v>37140141</v>
      </c>
      <c r="D974" t="s">
        <v>43</v>
      </c>
      <c r="E974" t="s">
        <v>50</v>
      </c>
      <c r="F974" s="4">
        <v>41336</v>
      </c>
      <c r="G974" s="4">
        <v>41511</v>
      </c>
      <c r="H974" t="s">
        <v>49</v>
      </c>
      <c r="I974" t="s">
        <v>47</v>
      </c>
      <c r="J974" t="s">
        <v>8</v>
      </c>
      <c r="K974">
        <v>3</v>
      </c>
    </row>
    <row r="975" spans="1:11" x14ac:dyDescent="0.25">
      <c r="A975" t="s">
        <v>16</v>
      </c>
      <c r="B975" t="s">
        <v>20</v>
      </c>
      <c r="C975">
        <v>37140141</v>
      </c>
      <c r="D975" t="s">
        <v>43</v>
      </c>
      <c r="E975" t="s">
        <v>50</v>
      </c>
      <c r="F975" s="4">
        <v>41336</v>
      </c>
      <c r="G975" s="4">
        <v>41511</v>
      </c>
      <c r="H975" t="s">
        <v>49</v>
      </c>
      <c r="I975" t="s">
        <v>47</v>
      </c>
      <c r="J975" t="s">
        <v>9</v>
      </c>
      <c r="K975">
        <v>0</v>
      </c>
    </row>
    <row r="976" spans="1:11" x14ac:dyDescent="0.25">
      <c r="A976" t="s">
        <v>16</v>
      </c>
      <c r="B976" t="s">
        <v>20</v>
      </c>
      <c r="C976">
        <v>37140141</v>
      </c>
      <c r="D976" t="s">
        <v>43</v>
      </c>
      <c r="E976" t="s">
        <v>50</v>
      </c>
      <c r="F976" s="4">
        <v>41336</v>
      </c>
      <c r="G976" s="4">
        <v>41511</v>
      </c>
      <c r="H976" t="s">
        <v>49</v>
      </c>
      <c r="I976" t="s">
        <v>47</v>
      </c>
      <c r="J976" t="s">
        <v>10</v>
      </c>
      <c r="K976">
        <v>2</v>
      </c>
    </row>
    <row r="977" spans="1:11" x14ac:dyDescent="0.25">
      <c r="A977" t="s">
        <v>16</v>
      </c>
      <c r="B977" t="s">
        <v>20</v>
      </c>
      <c r="C977">
        <v>37140141</v>
      </c>
      <c r="D977" t="s">
        <v>43</v>
      </c>
      <c r="E977" t="s">
        <v>50</v>
      </c>
      <c r="F977" s="4">
        <v>41336</v>
      </c>
      <c r="G977" s="4">
        <v>41511</v>
      </c>
      <c r="H977" t="s">
        <v>49</v>
      </c>
      <c r="I977" t="s">
        <v>47</v>
      </c>
      <c r="J977" t="s">
        <v>11</v>
      </c>
      <c r="K977">
        <v>1</v>
      </c>
    </row>
    <row r="978" spans="1:11" x14ac:dyDescent="0.25">
      <c r="A978" t="s">
        <v>16</v>
      </c>
      <c r="B978" t="s">
        <v>20</v>
      </c>
      <c r="C978">
        <v>37140141</v>
      </c>
      <c r="D978" t="s">
        <v>43</v>
      </c>
      <c r="E978" t="s">
        <v>50</v>
      </c>
      <c r="F978" s="4">
        <v>41336</v>
      </c>
      <c r="G978" s="4">
        <v>41511</v>
      </c>
      <c r="H978" t="s">
        <v>49</v>
      </c>
      <c r="I978" t="s">
        <v>47</v>
      </c>
      <c r="J978" t="s">
        <v>12</v>
      </c>
      <c r="K978">
        <v>2</v>
      </c>
    </row>
    <row r="979" spans="1:11" x14ac:dyDescent="0.25">
      <c r="A979" t="s">
        <v>16</v>
      </c>
      <c r="B979" t="s">
        <v>20</v>
      </c>
      <c r="C979">
        <v>37140141</v>
      </c>
      <c r="D979" t="s">
        <v>43</v>
      </c>
      <c r="E979" t="s">
        <v>50</v>
      </c>
      <c r="F979" s="4">
        <v>41336</v>
      </c>
      <c r="G979" s="4">
        <v>41511</v>
      </c>
      <c r="H979" t="s">
        <v>49</v>
      </c>
      <c r="I979" t="s">
        <v>47</v>
      </c>
      <c r="J979" t="s">
        <v>13</v>
      </c>
      <c r="K979">
        <v>1</v>
      </c>
    </row>
    <row r="980" spans="1:11" x14ac:dyDescent="0.25">
      <c r="A980" t="s">
        <v>16</v>
      </c>
      <c r="B980" t="s">
        <v>20</v>
      </c>
      <c r="C980">
        <v>37140141</v>
      </c>
      <c r="D980" t="s">
        <v>43</v>
      </c>
      <c r="E980" t="s">
        <v>50</v>
      </c>
      <c r="F980" s="4">
        <v>41336</v>
      </c>
      <c r="G980" s="4">
        <v>41511</v>
      </c>
      <c r="H980" t="s">
        <v>49</v>
      </c>
      <c r="I980" t="s">
        <v>47</v>
      </c>
      <c r="J980" t="s">
        <v>14</v>
      </c>
      <c r="K980">
        <v>1</v>
      </c>
    </row>
    <row r="981" spans="1:11" x14ac:dyDescent="0.25">
      <c r="A981" t="s">
        <v>16</v>
      </c>
      <c r="B981" t="s">
        <v>20</v>
      </c>
      <c r="C981">
        <v>37140141</v>
      </c>
      <c r="D981" t="s">
        <v>43</v>
      </c>
      <c r="E981" t="s">
        <v>50</v>
      </c>
      <c r="F981" s="4">
        <v>41336</v>
      </c>
      <c r="G981" s="4">
        <v>41511</v>
      </c>
      <c r="H981" t="s">
        <v>49</v>
      </c>
      <c r="I981" t="s">
        <v>47</v>
      </c>
      <c r="J981" t="s">
        <v>15</v>
      </c>
      <c r="K981">
        <v>0</v>
      </c>
    </row>
    <row r="982" spans="1:11" x14ac:dyDescent="0.25">
      <c r="A982" t="s">
        <v>16</v>
      </c>
      <c r="B982" t="s">
        <v>21</v>
      </c>
      <c r="C982">
        <v>37140141</v>
      </c>
      <c r="D982" t="s">
        <v>43</v>
      </c>
      <c r="E982" t="s">
        <v>50</v>
      </c>
      <c r="F982" s="4">
        <v>41336</v>
      </c>
      <c r="G982" s="4">
        <v>41542</v>
      </c>
      <c r="H982" t="s">
        <v>49</v>
      </c>
      <c r="I982" t="s">
        <v>47</v>
      </c>
      <c r="J982" t="s">
        <v>6</v>
      </c>
      <c r="K982">
        <v>1</v>
      </c>
    </row>
    <row r="983" spans="1:11" x14ac:dyDescent="0.25">
      <c r="A983" t="s">
        <v>16</v>
      </c>
      <c r="B983" t="s">
        <v>21</v>
      </c>
      <c r="C983">
        <v>37140141</v>
      </c>
      <c r="D983" t="s">
        <v>43</v>
      </c>
      <c r="E983" t="s">
        <v>50</v>
      </c>
      <c r="F983" s="4">
        <v>41336</v>
      </c>
      <c r="G983" s="4">
        <v>41542</v>
      </c>
      <c r="H983" t="s">
        <v>49</v>
      </c>
      <c r="I983" t="s">
        <v>47</v>
      </c>
      <c r="J983" t="s">
        <v>7</v>
      </c>
      <c r="K983">
        <v>1</v>
      </c>
    </row>
    <row r="984" spans="1:11" x14ac:dyDescent="0.25">
      <c r="A984" t="s">
        <v>16</v>
      </c>
      <c r="B984" t="s">
        <v>21</v>
      </c>
      <c r="C984">
        <v>37140141</v>
      </c>
      <c r="D984" t="s">
        <v>43</v>
      </c>
      <c r="E984" t="s">
        <v>50</v>
      </c>
      <c r="F984" s="4">
        <v>41336</v>
      </c>
      <c r="G984" s="4">
        <v>41542</v>
      </c>
      <c r="H984" t="s">
        <v>49</v>
      </c>
      <c r="I984" t="s">
        <v>47</v>
      </c>
      <c r="J984" t="s">
        <v>8</v>
      </c>
      <c r="K984">
        <v>1</v>
      </c>
    </row>
    <row r="985" spans="1:11" x14ac:dyDescent="0.25">
      <c r="A985" t="s">
        <v>16</v>
      </c>
      <c r="B985" t="s">
        <v>21</v>
      </c>
      <c r="C985">
        <v>37140141</v>
      </c>
      <c r="D985" t="s">
        <v>43</v>
      </c>
      <c r="E985" t="s">
        <v>50</v>
      </c>
      <c r="F985" s="4">
        <v>41336</v>
      </c>
      <c r="G985" s="4">
        <v>41542</v>
      </c>
      <c r="H985" t="s">
        <v>49</v>
      </c>
      <c r="I985" t="s">
        <v>47</v>
      </c>
      <c r="J985" t="s">
        <v>9</v>
      </c>
      <c r="K985">
        <v>2</v>
      </c>
    </row>
    <row r="986" spans="1:11" x14ac:dyDescent="0.25">
      <c r="A986" t="s">
        <v>16</v>
      </c>
      <c r="B986" t="s">
        <v>21</v>
      </c>
      <c r="C986">
        <v>37140141</v>
      </c>
      <c r="D986" t="s">
        <v>43</v>
      </c>
      <c r="E986" t="s">
        <v>50</v>
      </c>
      <c r="F986" s="4">
        <v>41336</v>
      </c>
      <c r="G986" s="4">
        <v>41542</v>
      </c>
      <c r="H986" t="s">
        <v>49</v>
      </c>
      <c r="I986" t="s">
        <v>47</v>
      </c>
      <c r="J986" t="s">
        <v>10</v>
      </c>
      <c r="K986">
        <v>3</v>
      </c>
    </row>
    <row r="987" spans="1:11" x14ac:dyDescent="0.25">
      <c r="A987" t="s">
        <v>16</v>
      </c>
      <c r="B987" t="s">
        <v>21</v>
      </c>
      <c r="C987">
        <v>37140141</v>
      </c>
      <c r="D987" t="s">
        <v>43</v>
      </c>
      <c r="E987" t="s">
        <v>50</v>
      </c>
      <c r="F987" s="4">
        <v>41336</v>
      </c>
      <c r="G987" s="4">
        <v>41542</v>
      </c>
      <c r="H987" t="s">
        <v>49</v>
      </c>
      <c r="I987" t="s">
        <v>47</v>
      </c>
      <c r="J987" t="s">
        <v>11</v>
      </c>
      <c r="K987">
        <v>2</v>
      </c>
    </row>
    <row r="988" spans="1:11" x14ac:dyDescent="0.25">
      <c r="A988" t="s">
        <v>16</v>
      </c>
      <c r="B988" t="s">
        <v>21</v>
      </c>
      <c r="C988">
        <v>37140141</v>
      </c>
      <c r="D988" t="s">
        <v>43</v>
      </c>
      <c r="E988" t="s">
        <v>50</v>
      </c>
      <c r="F988" s="4">
        <v>41336</v>
      </c>
      <c r="G988" s="4">
        <v>41542</v>
      </c>
      <c r="H988" t="s">
        <v>49</v>
      </c>
      <c r="I988" t="s">
        <v>47</v>
      </c>
      <c r="J988" t="s">
        <v>12</v>
      </c>
      <c r="K988">
        <v>1</v>
      </c>
    </row>
    <row r="989" spans="1:11" x14ac:dyDescent="0.25">
      <c r="A989" t="s">
        <v>16</v>
      </c>
      <c r="B989" t="s">
        <v>21</v>
      </c>
      <c r="C989">
        <v>37140141</v>
      </c>
      <c r="D989" t="s">
        <v>43</v>
      </c>
      <c r="E989" t="s">
        <v>50</v>
      </c>
      <c r="F989" s="4">
        <v>41336</v>
      </c>
      <c r="G989" s="4">
        <v>41542</v>
      </c>
      <c r="H989" t="s">
        <v>49</v>
      </c>
      <c r="I989" t="s">
        <v>47</v>
      </c>
      <c r="J989" t="s">
        <v>13</v>
      </c>
      <c r="K989">
        <v>2</v>
      </c>
    </row>
    <row r="990" spans="1:11" x14ac:dyDescent="0.25">
      <c r="A990" t="s">
        <v>16</v>
      </c>
      <c r="B990" t="s">
        <v>21</v>
      </c>
      <c r="C990">
        <v>37140141</v>
      </c>
      <c r="D990" t="s">
        <v>43</v>
      </c>
      <c r="E990" t="s">
        <v>50</v>
      </c>
      <c r="F990" s="4">
        <v>41336</v>
      </c>
      <c r="G990" s="4">
        <v>41542</v>
      </c>
      <c r="H990" t="s">
        <v>49</v>
      </c>
      <c r="I990" t="s">
        <v>47</v>
      </c>
      <c r="J990" t="s">
        <v>14</v>
      </c>
      <c r="K990">
        <v>0</v>
      </c>
    </row>
    <row r="991" spans="1:11" x14ac:dyDescent="0.25">
      <c r="A991" t="s">
        <v>16</v>
      </c>
      <c r="B991" t="s">
        <v>21</v>
      </c>
      <c r="C991">
        <v>37140141</v>
      </c>
      <c r="D991" t="s">
        <v>43</v>
      </c>
      <c r="E991" t="s">
        <v>50</v>
      </c>
      <c r="F991" s="4">
        <v>41336</v>
      </c>
      <c r="G991" s="4">
        <v>41542</v>
      </c>
      <c r="H991" t="s">
        <v>49</v>
      </c>
      <c r="I991" t="s">
        <v>47</v>
      </c>
      <c r="J991" t="s">
        <v>15</v>
      </c>
      <c r="K991">
        <v>1</v>
      </c>
    </row>
    <row r="992" spans="1:11" x14ac:dyDescent="0.25">
      <c r="A992" t="s">
        <v>16</v>
      </c>
      <c r="B992" t="s">
        <v>19</v>
      </c>
      <c r="C992">
        <v>52256110</v>
      </c>
      <c r="D992" t="s">
        <v>48</v>
      </c>
      <c r="E992" t="s">
        <v>44</v>
      </c>
      <c r="F992" s="4">
        <v>41331</v>
      </c>
      <c r="G992" s="4">
        <v>41383</v>
      </c>
      <c r="H992" t="s">
        <v>45</v>
      </c>
      <c r="I992" t="s">
        <v>46</v>
      </c>
      <c r="J992" t="s">
        <v>6</v>
      </c>
      <c r="K992">
        <v>1</v>
      </c>
    </row>
    <row r="993" spans="1:11" x14ac:dyDescent="0.25">
      <c r="A993" t="s">
        <v>16</v>
      </c>
      <c r="B993" t="s">
        <v>19</v>
      </c>
      <c r="C993">
        <v>52256110</v>
      </c>
      <c r="D993" t="s">
        <v>48</v>
      </c>
      <c r="E993" t="s">
        <v>44</v>
      </c>
      <c r="F993" s="4">
        <v>41331</v>
      </c>
      <c r="G993" s="4">
        <v>41383</v>
      </c>
      <c r="H993" t="s">
        <v>45</v>
      </c>
      <c r="I993" t="s">
        <v>46</v>
      </c>
      <c r="J993" t="s">
        <v>7</v>
      </c>
      <c r="K993">
        <v>0</v>
      </c>
    </row>
    <row r="994" spans="1:11" x14ac:dyDescent="0.25">
      <c r="A994" t="s">
        <v>16</v>
      </c>
      <c r="B994" t="s">
        <v>19</v>
      </c>
      <c r="C994">
        <v>52256110</v>
      </c>
      <c r="D994" t="s">
        <v>48</v>
      </c>
      <c r="E994" t="s">
        <v>44</v>
      </c>
      <c r="F994" s="4">
        <v>41331</v>
      </c>
      <c r="G994" s="4">
        <v>41383</v>
      </c>
      <c r="H994" t="s">
        <v>45</v>
      </c>
      <c r="I994" t="s">
        <v>46</v>
      </c>
      <c r="J994" t="s">
        <v>8</v>
      </c>
      <c r="K994">
        <v>2</v>
      </c>
    </row>
    <row r="995" spans="1:11" x14ac:dyDescent="0.25">
      <c r="A995" t="s">
        <v>16</v>
      </c>
      <c r="B995" t="s">
        <v>19</v>
      </c>
      <c r="C995">
        <v>52256110</v>
      </c>
      <c r="D995" t="s">
        <v>48</v>
      </c>
      <c r="E995" t="s">
        <v>44</v>
      </c>
      <c r="F995" s="4">
        <v>41331</v>
      </c>
      <c r="G995" s="4">
        <v>41383</v>
      </c>
      <c r="H995" t="s">
        <v>45</v>
      </c>
      <c r="I995" t="s">
        <v>46</v>
      </c>
      <c r="J995" t="s">
        <v>9</v>
      </c>
      <c r="K995">
        <v>1</v>
      </c>
    </row>
    <row r="996" spans="1:11" x14ac:dyDescent="0.25">
      <c r="A996" t="s">
        <v>16</v>
      </c>
      <c r="B996" t="s">
        <v>19</v>
      </c>
      <c r="C996">
        <v>52256110</v>
      </c>
      <c r="D996" t="s">
        <v>48</v>
      </c>
      <c r="E996" t="s">
        <v>44</v>
      </c>
      <c r="F996" s="4">
        <v>41331</v>
      </c>
      <c r="G996" s="4">
        <v>41383</v>
      </c>
      <c r="H996" t="s">
        <v>45</v>
      </c>
      <c r="I996" t="s">
        <v>46</v>
      </c>
      <c r="J996" t="s">
        <v>10</v>
      </c>
      <c r="K996">
        <v>2</v>
      </c>
    </row>
    <row r="997" spans="1:11" x14ac:dyDescent="0.25">
      <c r="A997" t="s">
        <v>16</v>
      </c>
      <c r="B997" t="s">
        <v>19</v>
      </c>
      <c r="C997">
        <v>52256110</v>
      </c>
      <c r="D997" t="s">
        <v>48</v>
      </c>
      <c r="E997" t="s">
        <v>44</v>
      </c>
      <c r="F997" s="4">
        <v>41331</v>
      </c>
      <c r="G997" s="4">
        <v>41383</v>
      </c>
      <c r="H997" t="s">
        <v>45</v>
      </c>
      <c r="I997" t="s">
        <v>46</v>
      </c>
      <c r="J997" t="s">
        <v>11</v>
      </c>
      <c r="K997">
        <v>1</v>
      </c>
    </row>
    <row r="998" spans="1:11" x14ac:dyDescent="0.25">
      <c r="A998" t="s">
        <v>16</v>
      </c>
      <c r="B998" t="s">
        <v>19</v>
      </c>
      <c r="C998">
        <v>52256110</v>
      </c>
      <c r="D998" t="s">
        <v>48</v>
      </c>
      <c r="E998" t="s">
        <v>44</v>
      </c>
      <c r="F998" s="4">
        <v>41331</v>
      </c>
      <c r="G998" s="4">
        <v>41383</v>
      </c>
      <c r="H998" t="s">
        <v>45</v>
      </c>
      <c r="I998" t="s">
        <v>46</v>
      </c>
      <c r="J998" t="s">
        <v>12</v>
      </c>
      <c r="K998">
        <v>1</v>
      </c>
    </row>
    <row r="999" spans="1:11" x14ac:dyDescent="0.25">
      <c r="A999" t="s">
        <v>16</v>
      </c>
      <c r="B999" t="s">
        <v>19</v>
      </c>
      <c r="C999">
        <v>52256110</v>
      </c>
      <c r="D999" t="s">
        <v>48</v>
      </c>
      <c r="E999" t="s">
        <v>44</v>
      </c>
      <c r="F999" s="4">
        <v>41331</v>
      </c>
      <c r="G999" s="4">
        <v>41383</v>
      </c>
      <c r="H999" t="s">
        <v>45</v>
      </c>
      <c r="I999" t="s">
        <v>46</v>
      </c>
      <c r="J999" t="s">
        <v>13</v>
      </c>
      <c r="K999">
        <v>2</v>
      </c>
    </row>
    <row r="1000" spans="1:11" x14ac:dyDescent="0.25">
      <c r="A1000" t="s">
        <v>16</v>
      </c>
      <c r="B1000" t="s">
        <v>19</v>
      </c>
      <c r="C1000">
        <v>52256110</v>
      </c>
      <c r="D1000" t="s">
        <v>48</v>
      </c>
      <c r="E1000" t="s">
        <v>44</v>
      </c>
      <c r="F1000" s="4">
        <v>41331</v>
      </c>
      <c r="G1000" s="4">
        <v>41383</v>
      </c>
      <c r="H1000" t="s">
        <v>45</v>
      </c>
      <c r="I1000" t="s">
        <v>46</v>
      </c>
      <c r="J1000" t="s">
        <v>14</v>
      </c>
      <c r="K1000">
        <v>2</v>
      </c>
    </row>
    <row r="1001" spans="1:11" x14ac:dyDescent="0.25">
      <c r="A1001" t="s">
        <v>16</v>
      </c>
      <c r="B1001" t="s">
        <v>19</v>
      </c>
      <c r="C1001">
        <v>52256110</v>
      </c>
      <c r="D1001" t="s">
        <v>48</v>
      </c>
      <c r="E1001" t="s">
        <v>44</v>
      </c>
      <c r="F1001" s="4">
        <v>41331</v>
      </c>
      <c r="G1001" s="4">
        <v>41383</v>
      </c>
      <c r="H1001" t="s">
        <v>45</v>
      </c>
      <c r="I1001" t="s">
        <v>46</v>
      </c>
      <c r="J1001" t="s">
        <v>15</v>
      </c>
      <c r="K1001">
        <v>1</v>
      </c>
    </row>
    <row r="1002" spans="1:11" x14ac:dyDescent="0.25">
      <c r="A1002" t="s">
        <v>16</v>
      </c>
      <c r="B1002" t="s">
        <v>20</v>
      </c>
      <c r="C1002">
        <v>31244071</v>
      </c>
      <c r="D1002" t="s">
        <v>48</v>
      </c>
      <c r="E1002" t="s">
        <v>44</v>
      </c>
      <c r="F1002" s="4">
        <v>41520</v>
      </c>
      <c r="G1002" s="4">
        <v>41532</v>
      </c>
      <c r="H1002" t="s">
        <v>45</v>
      </c>
      <c r="I1002" t="s">
        <v>46</v>
      </c>
      <c r="J1002" t="s">
        <v>6</v>
      </c>
      <c r="K1002">
        <v>1</v>
      </c>
    </row>
    <row r="1003" spans="1:11" x14ac:dyDescent="0.25">
      <c r="A1003" t="s">
        <v>16</v>
      </c>
      <c r="B1003" t="s">
        <v>20</v>
      </c>
      <c r="C1003">
        <v>31244071</v>
      </c>
      <c r="D1003" t="s">
        <v>48</v>
      </c>
      <c r="E1003" t="s">
        <v>44</v>
      </c>
      <c r="F1003" s="4">
        <v>41520</v>
      </c>
      <c r="G1003" s="4">
        <v>41532</v>
      </c>
      <c r="H1003" t="s">
        <v>45</v>
      </c>
      <c r="I1003" t="s">
        <v>46</v>
      </c>
      <c r="J1003" t="s">
        <v>7</v>
      </c>
      <c r="K1003">
        <v>0</v>
      </c>
    </row>
    <row r="1004" spans="1:11" x14ac:dyDescent="0.25">
      <c r="A1004" t="s">
        <v>16</v>
      </c>
      <c r="B1004" t="s">
        <v>20</v>
      </c>
      <c r="C1004">
        <v>31244071</v>
      </c>
      <c r="D1004" t="s">
        <v>48</v>
      </c>
      <c r="E1004" t="s">
        <v>44</v>
      </c>
      <c r="F1004" s="4">
        <v>41520</v>
      </c>
      <c r="G1004" s="4">
        <v>41532</v>
      </c>
      <c r="H1004" t="s">
        <v>45</v>
      </c>
      <c r="I1004" t="s">
        <v>46</v>
      </c>
      <c r="J1004" t="s">
        <v>8</v>
      </c>
      <c r="K1004">
        <v>1</v>
      </c>
    </row>
    <row r="1005" spans="1:11" x14ac:dyDescent="0.25">
      <c r="A1005" t="s">
        <v>16</v>
      </c>
      <c r="B1005" t="s">
        <v>20</v>
      </c>
      <c r="C1005">
        <v>31244071</v>
      </c>
      <c r="D1005" t="s">
        <v>48</v>
      </c>
      <c r="E1005" t="s">
        <v>44</v>
      </c>
      <c r="F1005" s="4">
        <v>41520</v>
      </c>
      <c r="G1005" s="4">
        <v>41532</v>
      </c>
      <c r="H1005" t="s">
        <v>45</v>
      </c>
      <c r="I1005" t="s">
        <v>46</v>
      </c>
      <c r="J1005" t="s">
        <v>9</v>
      </c>
      <c r="K1005">
        <v>0</v>
      </c>
    </row>
    <row r="1006" spans="1:11" x14ac:dyDescent="0.25">
      <c r="A1006" t="s">
        <v>16</v>
      </c>
      <c r="B1006" t="s">
        <v>20</v>
      </c>
      <c r="C1006">
        <v>31244071</v>
      </c>
      <c r="D1006" t="s">
        <v>48</v>
      </c>
      <c r="E1006" t="s">
        <v>44</v>
      </c>
      <c r="F1006" s="4">
        <v>41520</v>
      </c>
      <c r="G1006" s="4">
        <v>41532</v>
      </c>
      <c r="H1006" t="s">
        <v>45</v>
      </c>
      <c r="I1006" t="s">
        <v>46</v>
      </c>
      <c r="J1006" t="s">
        <v>10</v>
      </c>
      <c r="K1006">
        <v>1</v>
      </c>
    </row>
    <row r="1007" spans="1:11" x14ac:dyDescent="0.25">
      <c r="A1007" t="s">
        <v>16</v>
      </c>
      <c r="B1007" t="s">
        <v>20</v>
      </c>
      <c r="C1007">
        <v>31244071</v>
      </c>
      <c r="D1007" t="s">
        <v>48</v>
      </c>
      <c r="E1007" t="s">
        <v>44</v>
      </c>
      <c r="F1007" s="4">
        <v>41520</v>
      </c>
      <c r="G1007" s="4">
        <v>41532</v>
      </c>
      <c r="H1007" t="s">
        <v>45</v>
      </c>
      <c r="I1007" t="s">
        <v>46</v>
      </c>
      <c r="J1007" t="s">
        <v>11</v>
      </c>
      <c r="K1007">
        <v>0</v>
      </c>
    </row>
    <row r="1008" spans="1:11" x14ac:dyDescent="0.25">
      <c r="A1008" t="s">
        <v>16</v>
      </c>
      <c r="B1008" t="s">
        <v>20</v>
      </c>
      <c r="C1008">
        <v>31244071</v>
      </c>
      <c r="D1008" t="s">
        <v>48</v>
      </c>
      <c r="E1008" t="s">
        <v>44</v>
      </c>
      <c r="F1008" s="4">
        <v>41520</v>
      </c>
      <c r="G1008" s="4">
        <v>41532</v>
      </c>
      <c r="H1008" t="s">
        <v>45</v>
      </c>
      <c r="I1008" t="s">
        <v>46</v>
      </c>
      <c r="J1008" t="s">
        <v>12</v>
      </c>
      <c r="K1008">
        <v>0</v>
      </c>
    </row>
    <row r="1009" spans="1:11" x14ac:dyDescent="0.25">
      <c r="A1009" t="s">
        <v>16</v>
      </c>
      <c r="B1009" t="s">
        <v>20</v>
      </c>
      <c r="C1009">
        <v>31244071</v>
      </c>
      <c r="D1009" t="s">
        <v>48</v>
      </c>
      <c r="E1009" t="s">
        <v>44</v>
      </c>
      <c r="F1009" s="4">
        <v>41520</v>
      </c>
      <c r="G1009" s="4">
        <v>41532</v>
      </c>
      <c r="H1009" t="s">
        <v>45</v>
      </c>
      <c r="I1009" t="s">
        <v>46</v>
      </c>
      <c r="J1009" t="s">
        <v>13</v>
      </c>
      <c r="K1009">
        <v>1</v>
      </c>
    </row>
    <row r="1010" spans="1:11" x14ac:dyDescent="0.25">
      <c r="A1010" t="s">
        <v>16</v>
      </c>
      <c r="B1010" t="s">
        <v>20</v>
      </c>
      <c r="C1010">
        <v>31244071</v>
      </c>
      <c r="D1010" t="s">
        <v>48</v>
      </c>
      <c r="E1010" t="s">
        <v>44</v>
      </c>
      <c r="F1010" s="4">
        <v>41520</v>
      </c>
      <c r="G1010" s="4">
        <v>41532</v>
      </c>
      <c r="H1010" t="s">
        <v>45</v>
      </c>
      <c r="I1010" t="s">
        <v>46</v>
      </c>
      <c r="J1010" t="s">
        <v>14</v>
      </c>
      <c r="K1010">
        <v>1</v>
      </c>
    </row>
    <row r="1011" spans="1:11" x14ac:dyDescent="0.25">
      <c r="A1011" t="s">
        <v>16</v>
      </c>
      <c r="B1011" t="s">
        <v>20</v>
      </c>
      <c r="C1011">
        <v>31244071</v>
      </c>
      <c r="D1011" t="s">
        <v>48</v>
      </c>
      <c r="E1011" t="s">
        <v>44</v>
      </c>
      <c r="F1011" s="4">
        <v>41520</v>
      </c>
      <c r="G1011" s="4">
        <v>41532</v>
      </c>
      <c r="H1011" t="s">
        <v>45</v>
      </c>
      <c r="I1011" t="s">
        <v>46</v>
      </c>
      <c r="J1011" t="s">
        <v>15</v>
      </c>
      <c r="K1011">
        <v>0</v>
      </c>
    </row>
    <row r="1012" spans="1:11" x14ac:dyDescent="0.25">
      <c r="A1012" t="s">
        <v>16</v>
      </c>
      <c r="B1012" t="s">
        <v>21</v>
      </c>
      <c r="C1012">
        <v>31244071</v>
      </c>
      <c r="D1012" t="s">
        <v>48</v>
      </c>
      <c r="E1012" t="s">
        <v>44</v>
      </c>
      <c r="F1012" s="4">
        <v>41520</v>
      </c>
      <c r="G1012" s="4">
        <v>41605</v>
      </c>
      <c r="H1012" t="s">
        <v>45</v>
      </c>
      <c r="I1012" t="s">
        <v>47</v>
      </c>
      <c r="J1012" t="s">
        <v>6</v>
      </c>
      <c r="K1012">
        <v>3</v>
      </c>
    </row>
    <row r="1013" spans="1:11" x14ac:dyDescent="0.25">
      <c r="A1013" t="s">
        <v>16</v>
      </c>
      <c r="B1013" t="s">
        <v>21</v>
      </c>
      <c r="C1013">
        <v>31244071</v>
      </c>
      <c r="D1013" t="s">
        <v>48</v>
      </c>
      <c r="E1013" t="s">
        <v>44</v>
      </c>
      <c r="F1013" s="4">
        <v>41520</v>
      </c>
      <c r="G1013" s="4">
        <v>41605</v>
      </c>
      <c r="H1013" t="s">
        <v>45</v>
      </c>
      <c r="I1013" t="s">
        <v>47</v>
      </c>
      <c r="J1013" t="s">
        <v>7</v>
      </c>
      <c r="K1013">
        <v>1</v>
      </c>
    </row>
    <row r="1014" spans="1:11" x14ac:dyDescent="0.25">
      <c r="A1014" t="s">
        <v>16</v>
      </c>
      <c r="B1014" t="s">
        <v>21</v>
      </c>
      <c r="C1014">
        <v>31244071</v>
      </c>
      <c r="D1014" t="s">
        <v>48</v>
      </c>
      <c r="E1014" t="s">
        <v>44</v>
      </c>
      <c r="F1014" s="4">
        <v>41520</v>
      </c>
      <c r="G1014" s="4">
        <v>41605</v>
      </c>
      <c r="H1014" t="s">
        <v>45</v>
      </c>
      <c r="I1014" t="s">
        <v>47</v>
      </c>
      <c r="J1014" t="s">
        <v>8</v>
      </c>
      <c r="K1014">
        <v>1</v>
      </c>
    </row>
    <row r="1015" spans="1:11" x14ac:dyDescent="0.25">
      <c r="A1015" t="s">
        <v>16</v>
      </c>
      <c r="B1015" t="s">
        <v>21</v>
      </c>
      <c r="C1015">
        <v>31244071</v>
      </c>
      <c r="D1015" t="s">
        <v>48</v>
      </c>
      <c r="E1015" t="s">
        <v>44</v>
      </c>
      <c r="F1015" s="4">
        <v>41520</v>
      </c>
      <c r="G1015" s="4">
        <v>41605</v>
      </c>
      <c r="H1015" t="s">
        <v>45</v>
      </c>
      <c r="I1015" t="s">
        <v>47</v>
      </c>
      <c r="J1015" t="s">
        <v>9</v>
      </c>
      <c r="K1015">
        <v>3</v>
      </c>
    </row>
    <row r="1016" spans="1:11" x14ac:dyDescent="0.25">
      <c r="A1016" t="s">
        <v>16</v>
      </c>
      <c r="B1016" t="s">
        <v>21</v>
      </c>
      <c r="C1016">
        <v>31244071</v>
      </c>
      <c r="D1016" t="s">
        <v>48</v>
      </c>
      <c r="E1016" t="s">
        <v>44</v>
      </c>
      <c r="F1016" s="4">
        <v>41520</v>
      </c>
      <c r="G1016" s="4">
        <v>41605</v>
      </c>
      <c r="H1016" t="s">
        <v>45</v>
      </c>
      <c r="I1016" t="s">
        <v>47</v>
      </c>
      <c r="J1016" t="s">
        <v>10</v>
      </c>
      <c r="K1016">
        <v>1</v>
      </c>
    </row>
    <row r="1017" spans="1:11" x14ac:dyDescent="0.25">
      <c r="A1017" t="s">
        <v>16</v>
      </c>
      <c r="B1017" t="s">
        <v>21</v>
      </c>
      <c r="C1017">
        <v>31244071</v>
      </c>
      <c r="D1017" t="s">
        <v>48</v>
      </c>
      <c r="E1017" t="s">
        <v>44</v>
      </c>
      <c r="F1017" s="4">
        <v>41520</v>
      </c>
      <c r="G1017" s="4">
        <v>41605</v>
      </c>
      <c r="H1017" t="s">
        <v>45</v>
      </c>
      <c r="I1017" t="s">
        <v>47</v>
      </c>
      <c r="J1017" t="s">
        <v>11</v>
      </c>
      <c r="K1017">
        <v>1</v>
      </c>
    </row>
    <row r="1018" spans="1:11" x14ac:dyDescent="0.25">
      <c r="A1018" t="s">
        <v>16</v>
      </c>
      <c r="B1018" t="s">
        <v>21</v>
      </c>
      <c r="C1018">
        <v>31244071</v>
      </c>
      <c r="D1018" t="s">
        <v>48</v>
      </c>
      <c r="E1018" t="s">
        <v>44</v>
      </c>
      <c r="F1018" s="4">
        <v>41520</v>
      </c>
      <c r="G1018" s="4">
        <v>41605</v>
      </c>
      <c r="H1018" t="s">
        <v>45</v>
      </c>
      <c r="I1018" t="s">
        <v>47</v>
      </c>
      <c r="J1018" t="s">
        <v>12</v>
      </c>
      <c r="K1018">
        <v>1</v>
      </c>
    </row>
    <row r="1019" spans="1:11" x14ac:dyDescent="0.25">
      <c r="A1019" t="s">
        <v>16</v>
      </c>
      <c r="B1019" t="s">
        <v>21</v>
      </c>
      <c r="C1019">
        <v>31244071</v>
      </c>
      <c r="D1019" t="s">
        <v>48</v>
      </c>
      <c r="E1019" t="s">
        <v>44</v>
      </c>
      <c r="F1019" s="4">
        <v>41520</v>
      </c>
      <c r="G1019" s="4">
        <v>41605</v>
      </c>
      <c r="H1019" t="s">
        <v>45</v>
      </c>
      <c r="I1019" t="s">
        <v>47</v>
      </c>
      <c r="J1019" t="s">
        <v>13</v>
      </c>
      <c r="K1019">
        <v>2</v>
      </c>
    </row>
    <row r="1020" spans="1:11" x14ac:dyDescent="0.25">
      <c r="A1020" t="s">
        <v>16</v>
      </c>
      <c r="B1020" t="s">
        <v>21</v>
      </c>
      <c r="C1020">
        <v>31244071</v>
      </c>
      <c r="D1020" t="s">
        <v>48</v>
      </c>
      <c r="E1020" t="s">
        <v>44</v>
      </c>
      <c r="F1020" s="4">
        <v>41520</v>
      </c>
      <c r="G1020" s="4">
        <v>41605</v>
      </c>
      <c r="H1020" t="s">
        <v>45</v>
      </c>
      <c r="I1020" t="s">
        <v>47</v>
      </c>
      <c r="J1020" t="s">
        <v>14</v>
      </c>
      <c r="K1020">
        <v>0</v>
      </c>
    </row>
    <row r="1021" spans="1:11" x14ac:dyDescent="0.25">
      <c r="A1021" t="s">
        <v>16</v>
      </c>
      <c r="B1021" t="s">
        <v>21</v>
      </c>
      <c r="C1021">
        <v>31244071</v>
      </c>
      <c r="D1021" t="s">
        <v>48</v>
      </c>
      <c r="E1021" t="s">
        <v>44</v>
      </c>
      <c r="F1021" s="4">
        <v>41520</v>
      </c>
      <c r="G1021" s="4">
        <v>41605</v>
      </c>
      <c r="H1021" t="s">
        <v>45</v>
      </c>
      <c r="I1021" t="s">
        <v>47</v>
      </c>
      <c r="J1021" t="s">
        <v>15</v>
      </c>
      <c r="K1021">
        <v>0</v>
      </c>
    </row>
    <row r="1022" spans="1:11" x14ac:dyDescent="0.25">
      <c r="A1022" t="s">
        <v>16</v>
      </c>
      <c r="B1022" t="s">
        <v>19</v>
      </c>
      <c r="C1022">
        <v>92985608</v>
      </c>
      <c r="D1022" t="s">
        <v>48</v>
      </c>
      <c r="E1022" t="s">
        <v>44</v>
      </c>
      <c r="F1022" s="4">
        <v>41433</v>
      </c>
      <c r="G1022" s="4">
        <v>41461</v>
      </c>
      <c r="H1022" t="s">
        <v>45</v>
      </c>
      <c r="I1022" t="s">
        <v>46</v>
      </c>
      <c r="J1022" t="s">
        <v>6</v>
      </c>
      <c r="K1022">
        <v>1</v>
      </c>
    </row>
    <row r="1023" spans="1:11" x14ac:dyDescent="0.25">
      <c r="A1023" t="s">
        <v>16</v>
      </c>
      <c r="B1023" t="s">
        <v>19</v>
      </c>
      <c r="C1023">
        <v>92985608</v>
      </c>
      <c r="D1023" t="s">
        <v>48</v>
      </c>
      <c r="E1023" t="s">
        <v>44</v>
      </c>
      <c r="F1023" s="4">
        <v>41433</v>
      </c>
      <c r="G1023" s="4">
        <v>41461</v>
      </c>
      <c r="H1023" t="s">
        <v>45</v>
      </c>
      <c r="I1023" t="s">
        <v>46</v>
      </c>
      <c r="J1023" t="s">
        <v>7</v>
      </c>
      <c r="K1023">
        <v>2</v>
      </c>
    </row>
    <row r="1024" spans="1:11" x14ac:dyDescent="0.25">
      <c r="A1024" t="s">
        <v>16</v>
      </c>
      <c r="B1024" t="s">
        <v>19</v>
      </c>
      <c r="C1024">
        <v>92985608</v>
      </c>
      <c r="D1024" t="s">
        <v>48</v>
      </c>
      <c r="E1024" t="s">
        <v>44</v>
      </c>
      <c r="F1024" s="4">
        <v>41433</v>
      </c>
      <c r="G1024" s="4">
        <v>41461</v>
      </c>
      <c r="H1024" t="s">
        <v>45</v>
      </c>
      <c r="I1024" t="s">
        <v>46</v>
      </c>
      <c r="J1024" t="s">
        <v>8</v>
      </c>
      <c r="K1024">
        <v>1</v>
      </c>
    </row>
    <row r="1025" spans="1:11" x14ac:dyDescent="0.25">
      <c r="A1025" t="s">
        <v>16</v>
      </c>
      <c r="B1025" t="s">
        <v>19</v>
      </c>
      <c r="C1025">
        <v>92985608</v>
      </c>
      <c r="D1025" t="s">
        <v>48</v>
      </c>
      <c r="E1025" t="s">
        <v>44</v>
      </c>
      <c r="F1025" s="4">
        <v>41433</v>
      </c>
      <c r="G1025" s="4">
        <v>41461</v>
      </c>
      <c r="H1025" t="s">
        <v>45</v>
      </c>
      <c r="I1025" t="s">
        <v>46</v>
      </c>
      <c r="J1025" t="s">
        <v>9</v>
      </c>
      <c r="K1025">
        <v>3</v>
      </c>
    </row>
    <row r="1026" spans="1:11" x14ac:dyDescent="0.25">
      <c r="A1026" t="s">
        <v>16</v>
      </c>
      <c r="B1026" t="s">
        <v>19</v>
      </c>
      <c r="C1026">
        <v>92985608</v>
      </c>
      <c r="D1026" t="s">
        <v>48</v>
      </c>
      <c r="E1026" t="s">
        <v>44</v>
      </c>
      <c r="F1026" s="4">
        <v>41433</v>
      </c>
      <c r="G1026" s="4">
        <v>41461</v>
      </c>
      <c r="H1026" t="s">
        <v>45</v>
      </c>
      <c r="I1026" t="s">
        <v>46</v>
      </c>
      <c r="J1026" t="s">
        <v>10</v>
      </c>
      <c r="K1026">
        <v>0</v>
      </c>
    </row>
    <row r="1027" spans="1:11" x14ac:dyDescent="0.25">
      <c r="A1027" t="s">
        <v>16</v>
      </c>
      <c r="B1027" t="s">
        <v>19</v>
      </c>
      <c r="C1027">
        <v>92985608</v>
      </c>
      <c r="D1027" t="s">
        <v>48</v>
      </c>
      <c r="E1027" t="s">
        <v>44</v>
      </c>
      <c r="F1027" s="4">
        <v>41433</v>
      </c>
      <c r="G1027" s="4">
        <v>41461</v>
      </c>
      <c r="H1027" t="s">
        <v>45</v>
      </c>
      <c r="I1027" t="s">
        <v>46</v>
      </c>
      <c r="J1027" t="s">
        <v>11</v>
      </c>
      <c r="K1027">
        <v>3</v>
      </c>
    </row>
    <row r="1028" spans="1:11" x14ac:dyDescent="0.25">
      <c r="A1028" t="s">
        <v>16</v>
      </c>
      <c r="B1028" t="s">
        <v>19</v>
      </c>
      <c r="C1028">
        <v>92985608</v>
      </c>
      <c r="D1028" t="s">
        <v>48</v>
      </c>
      <c r="E1028" t="s">
        <v>44</v>
      </c>
      <c r="F1028" s="4">
        <v>41433</v>
      </c>
      <c r="G1028" s="4">
        <v>41461</v>
      </c>
      <c r="H1028" t="s">
        <v>45</v>
      </c>
      <c r="I1028" t="s">
        <v>46</v>
      </c>
      <c r="J1028" t="s">
        <v>12</v>
      </c>
      <c r="K1028">
        <v>1</v>
      </c>
    </row>
    <row r="1029" spans="1:11" x14ac:dyDescent="0.25">
      <c r="A1029" t="s">
        <v>16</v>
      </c>
      <c r="B1029" t="s">
        <v>19</v>
      </c>
      <c r="C1029">
        <v>92985608</v>
      </c>
      <c r="D1029" t="s">
        <v>48</v>
      </c>
      <c r="E1029" t="s">
        <v>44</v>
      </c>
      <c r="F1029" s="4">
        <v>41433</v>
      </c>
      <c r="G1029" s="4">
        <v>41461</v>
      </c>
      <c r="H1029" t="s">
        <v>45</v>
      </c>
      <c r="I1029" t="s">
        <v>46</v>
      </c>
      <c r="J1029" t="s">
        <v>13</v>
      </c>
      <c r="K1029">
        <v>0</v>
      </c>
    </row>
    <row r="1030" spans="1:11" x14ac:dyDescent="0.25">
      <c r="A1030" t="s">
        <v>16</v>
      </c>
      <c r="B1030" t="s">
        <v>19</v>
      </c>
      <c r="C1030">
        <v>92985608</v>
      </c>
      <c r="D1030" t="s">
        <v>48</v>
      </c>
      <c r="E1030" t="s">
        <v>44</v>
      </c>
      <c r="F1030" s="4">
        <v>41433</v>
      </c>
      <c r="G1030" s="4">
        <v>41461</v>
      </c>
      <c r="H1030" t="s">
        <v>45</v>
      </c>
      <c r="I1030" t="s">
        <v>46</v>
      </c>
      <c r="J1030" t="s">
        <v>14</v>
      </c>
      <c r="K1030">
        <v>3</v>
      </c>
    </row>
    <row r="1031" spans="1:11" x14ac:dyDescent="0.25">
      <c r="A1031" t="s">
        <v>16</v>
      </c>
      <c r="B1031" t="s">
        <v>19</v>
      </c>
      <c r="C1031">
        <v>92985608</v>
      </c>
      <c r="D1031" t="s">
        <v>48</v>
      </c>
      <c r="E1031" t="s">
        <v>44</v>
      </c>
      <c r="F1031" s="4">
        <v>41433</v>
      </c>
      <c r="G1031" s="4">
        <v>41461</v>
      </c>
      <c r="H1031" t="s">
        <v>45</v>
      </c>
      <c r="I1031" t="s">
        <v>46</v>
      </c>
      <c r="J1031" t="s">
        <v>15</v>
      </c>
      <c r="K1031">
        <v>1</v>
      </c>
    </row>
    <row r="1032" spans="1:11" x14ac:dyDescent="0.25">
      <c r="A1032" t="s">
        <v>16</v>
      </c>
      <c r="B1032" t="s">
        <v>20</v>
      </c>
      <c r="C1032">
        <v>92985608</v>
      </c>
      <c r="D1032" t="s">
        <v>48</v>
      </c>
      <c r="E1032" t="s">
        <v>44</v>
      </c>
      <c r="F1032" s="4">
        <v>41433</v>
      </c>
      <c r="G1032" s="4">
        <v>41504</v>
      </c>
      <c r="H1032" t="s">
        <v>45</v>
      </c>
      <c r="I1032" t="s">
        <v>47</v>
      </c>
      <c r="J1032" t="s">
        <v>6</v>
      </c>
      <c r="K1032">
        <v>2</v>
      </c>
    </row>
    <row r="1033" spans="1:11" x14ac:dyDescent="0.25">
      <c r="A1033" t="s">
        <v>16</v>
      </c>
      <c r="B1033" t="s">
        <v>20</v>
      </c>
      <c r="C1033">
        <v>92985608</v>
      </c>
      <c r="D1033" t="s">
        <v>48</v>
      </c>
      <c r="E1033" t="s">
        <v>44</v>
      </c>
      <c r="F1033" s="4">
        <v>41433</v>
      </c>
      <c r="G1033" s="4">
        <v>41504</v>
      </c>
      <c r="H1033" t="s">
        <v>45</v>
      </c>
      <c r="I1033" t="s">
        <v>47</v>
      </c>
      <c r="J1033" t="s">
        <v>7</v>
      </c>
      <c r="K1033">
        <v>1</v>
      </c>
    </row>
    <row r="1034" spans="1:11" x14ac:dyDescent="0.25">
      <c r="A1034" t="s">
        <v>16</v>
      </c>
      <c r="B1034" t="s">
        <v>20</v>
      </c>
      <c r="C1034">
        <v>92985608</v>
      </c>
      <c r="D1034" t="s">
        <v>48</v>
      </c>
      <c r="E1034" t="s">
        <v>44</v>
      </c>
      <c r="F1034" s="4">
        <v>41433</v>
      </c>
      <c r="G1034" s="4">
        <v>41504</v>
      </c>
      <c r="H1034" t="s">
        <v>45</v>
      </c>
      <c r="I1034" t="s">
        <v>47</v>
      </c>
      <c r="J1034" t="s">
        <v>8</v>
      </c>
      <c r="K1034">
        <v>1</v>
      </c>
    </row>
    <row r="1035" spans="1:11" x14ac:dyDescent="0.25">
      <c r="A1035" t="s">
        <v>16</v>
      </c>
      <c r="B1035" t="s">
        <v>20</v>
      </c>
      <c r="C1035">
        <v>92985608</v>
      </c>
      <c r="D1035" t="s">
        <v>48</v>
      </c>
      <c r="E1035" t="s">
        <v>44</v>
      </c>
      <c r="F1035" s="4">
        <v>41433</v>
      </c>
      <c r="G1035" s="4">
        <v>41504</v>
      </c>
      <c r="H1035" t="s">
        <v>45</v>
      </c>
      <c r="I1035" t="s">
        <v>47</v>
      </c>
      <c r="J1035" t="s">
        <v>9</v>
      </c>
      <c r="K1035">
        <v>1</v>
      </c>
    </row>
    <row r="1036" spans="1:11" x14ac:dyDescent="0.25">
      <c r="A1036" t="s">
        <v>16</v>
      </c>
      <c r="B1036" t="s">
        <v>20</v>
      </c>
      <c r="C1036">
        <v>92985608</v>
      </c>
      <c r="D1036" t="s">
        <v>48</v>
      </c>
      <c r="E1036" t="s">
        <v>44</v>
      </c>
      <c r="F1036" s="4">
        <v>41433</v>
      </c>
      <c r="G1036" s="4">
        <v>41504</v>
      </c>
      <c r="H1036" t="s">
        <v>45</v>
      </c>
      <c r="I1036" t="s">
        <v>47</v>
      </c>
      <c r="J1036" t="s">
        <v>10</v>
      </c>
      <c r="K1036">
        <v>3</v>
      </c>
    </row>
    <row r="1037" spans="1:11" x14ac:dyDescent="0.25">
      <c r="A1037" t="s">
        <v>16</v>
      </c>
      <c r="B1037" t="s">
        <v>20</v>
      </c>
      <c r="C1037">
        <v>92985608</v>
      </c>
      <c r="D1037" t="s">
        <v>48</v>
      </c>
      <c r="E1037" t="s">
        <v>44</v>
      </c>
      <c r="F1037" s="4">
        <v>41433</v>
      </c>
      <c r="G1037" s="4">
        <v>41504</v>
      </c>
      <c r="H1037" t="s">
        <v>45</v>
      </c>
      <c r="I1037" t="s">
        <v>47</v>
      </c>
      <c r="J1037" t="s">
        <v>11</v>
      </c>
      <c r="K1037">
        <v>2</v>
      </c>
    </row>
    <row r="1038" spans="1:11" x14ac:dyDescent="0.25">
      <c r="A1038" t="s">
        <v>16</v>
      </c>
      <c r="B1038" t="s">
        <v>20</v>
      </c>
      <c r="C1038">
        <v>92985608</v>
      </c>
      <c r="D1038" t="s">
        <v>48</v>
      </c>
      <c r="E1038" t="s">
        <v>44</v>
      </c>
      <c r="F1038" s="4">
        <v>41433</v>
      </c>
      <c r="G1038" s="4">
        <v>41504</v>
      </c>
      <c r="H1038" t="s">
        <v>45</v>
      </c>
      <c r="I1038" t="s">
        <v>47</v>
      </c>
      <c r="J1038" t="s">
        <v>12</v>
      </c>
      <c r="K1038">
        <v>0</v>
      </c>
    </row>
    <row r="1039" spans="1:11" x14ac:dyDescent="0.25">
      <c r="A1039" t="s">
        <v>16</v>
      </c>
      <c r="B1039" t="s">
        <v>20</v>
      </c>
      <c r="C1039">
        <v>92985608</v>
      </c>
      <c r="D1039" t="s">
        <v>48</v>
      </c>
      <c r="E1039" t="s">
        <v>44</v>
      </c>
      <c r="F1039" s="4">
        <v>41433</v>
      </c>
      <c r="G1039" s="4">
        <v>41504</v>
      </c>
      <c r="H1039" t="s">
        <v>45</v>
      </c>
      <c r="I1039" t="s">
        <v>47</v>
      </c>
      <c r="J1039" t="s">
        <v>13</v>
      </c>
      <c r="K1039">
        <v>1</v>
      </c>
    </row>
    <row r="1040" spans="1:11" x14ac:dyDescent="0.25">
      <c r="A1040" t="s">
        <v>16</v>
      </c>
      <c r="B1040" t="s">
        <v>20</v>
      </c>
      <c r="C1040">
        <v>92985608</v>
      </c>
      <c r="D1040" t="s">
        <v>48</v>
      </c>
      <c r="E1040" t="s">
        <v>44</v>
      </c>
      <c r="F1040" s="4">
        <v>41433</v>
      </c>
      <c r="G1040" s="4">
        <v>41504</v>
      </c>
      <c r="H1040" t="s">
        <v>45</v>
      </c>
      <c r="I1040" t="s">
        <v>47</v>
      </c>
      <c r="J1040" t="s">
        <v>14</v>
      </c>
      <c r="K1040">
        <v>1</v>
      </c>
    </row>
    <row r="1041" spans="1:11" x14ac:dyDescent="0.25">
      <c r="A1041" t="s">
        <v>16</v>
      </c>
      <c r="B1041" t="s">
        <v>20</v>
      </c>
      <c r="C1041">
        <v>92985608</v>
      </c>
      <c r="D1041" t="s">
        <v>48</v>
      </c>
      <c r="E1041" t="s">
        <v>44</v>
      </c>
      <c r="F1041" s="4">
        <v>41433</v>
      </c>
      <c r="G1041" s="4">
        <v>41504</v>
      </c>
      <c r="H1041" t="s">
        <v>45</v>
      </c>
      <c r="I1041" t="s">
        <v>47</v>
      </c>
      <c r="J1041" t="s">
        <v>15</v>
      </c>
      <c r="K1041">
        <v>2</v>
      </c>
    </row>
    <row r="1042" spans="1:11" x14ac:dyDescent="0.25">
      <c r="A1042" t="s">
        <v>16</v>
      </c>
      <c r="B1042" t="s">
        <v>21</v>
      </c>
      <c r="C1042">
        <v>25901400</v>
      </c>
      <c r="D1042" t="s">
        <v>48</v>
      </c>
      <c r="E1042" t="s">
        <v>50</v>
      </c>
      <c r="F1042" s="4">
        <v>41753</v>
      </c>
      <c r="G1042" s="4">
        <v>41800</v>
      </c>
      <c r="H1042" t="s">
        <v>45</v>
      </c>
      <c r="I1042" t="s">
        <v>46</v>
      </c>
      <c r="J1042" t="s">
        <v>6</v>
      </c>
      <c r="K1042">
        <v>0</v>
      </c>
    </row>
    <row r="1043" spans="1:11" x14ac:dyDescent="0.25">
      <c r="A1043" t="s">
        <v>16</v>
      </c>
      <c r="B1043" t="s">
        <v>21</v>
      </c>
      <c r="C1043">
        <v>25901400</v>
      </c>
      <c r="D1043" t="s">
        <v>48</v>
      </c>
      <c r="E1043" t="s">
        <v>50</v>
      </c>
      <c r="F1043" s="4">
        <v>41753</v>
      </c>
      <c r="G1043" s="4">
        <v>41800</v>
      </c>
      <c r="H1043" t="s">
        <v>45</v>
      </c>
      <c r="I1043" t="s">
        <v>46</v>
      </c>
      <c r="J1043" t="s">
        <v>7</v>
      </c>
      <c r="K1043">
        <v>2</v>
      </c>
    </row>
    <row r="1044" spans="1:11" x14ac:dyDescent="0.25">
      <c r="A1044" t="s">
        <v>16</v>
      </c>
      <c r="B1044" t="s">
        <v>21</v>
      </c>
      <c r="C1044">
        <v>25901400</v>
      </c>
      <c r="D1044" t="s">
        <v>48</v>
      </c>
      <c r="E1044" t="s">
        <v>50</v>
      </c>
      <c r="F1044" s="4">
        <v>41753</v>
      </c>
      <c r="G1044" s="4">
        <v>41800</v>
      </c>
      <c r="H1044" t="s">
        <v>45</v>
      </c>
      <c r="I1044" t="s">
        <v>46</v>
      </c>
      <c r="J1044" t="s">
        <v>8</v>
      </c>
      <c r="K1044">
        <v>3</v>
      </c>
    </row>
    <row r="1045" spans="1:11" x14ac:dyDescent="0.25">
      <c r="A1045" t="s">
        <v>16</v>
      </c>
      <c r="B1045" t="s">
        <v>21</v>
      </c>
      <c r="C1045">
        <v>25901400</v>
      </c>
      <c r="D1045" t="s">
        <v>48</v>
      </c>
      <c r="E1045" t="s">
        <v>50</v>
      </c>
      <c r="F1045" s="4">
        <v>41753</v>
      </c>
      <c r="G1045" s="4">
        <v>41800</v>
      </c>
      <c r="H1045" t="s">
        <v>45</v>
      </c>
      <c r="I1045" t="s">
        <v>46</v>
      </c>
      <c r="J1045" t="s">
        <v>9</v>
      </c>
      <c r="K1045">
        <v>0</v>
      </c>
    </row>
    <row r="1046" spans="1:11" x14ac:dyDescent="0.25">
      <c r="A1046" t="s">
        <v>16</v>
      </c>
      <c r="B1046" t="s">
        <v>21</v>
      </c>
      <c r="C1046">
        <v>25901400</v>
      </c>
      <c r="D1046" t="s">
        <v>48</v>
      </c>
      <c r="E1046" t="s">
        <v>50</v>
      </c>
      <c r="F1046" s="4">
        <v>41753</v>
      </c>
      <c r="G1046" s="4">
        <v>41800</v>
      </c>
      <c r="H1046" t="s">
        <v>45</v>
      </c>
      <c r="I1046" t="s">
        <v>46</v>
      </c>
      <c r="J1046" t="s">
        <v>10</v>
      </c>
      <c r="K1046">
        <v>1</v>
      </c>
    </row>
    <row r="1047" spans="1:11" x14ac:dyDescent="0.25">
      <c r="A1047" t="s">
        <v>16</v>
      </c>
      <c r="B1047" t="s">
        <v>21</v>
      </c>
      <c r="C1047">
        <v>25901400</v>
      </c>
      <c r="D1047" t="s">
        <v>48</v>
      </c>
      <c r="E1047" t="s">
        <v>50</v>
      </c>
      <c r="F1047" s="4">
        <v>41753</v>
      </c>
      <c r="G1047" s="4">
        <v>41800</v>
      </c>
      <c r="H1047" t="s">
        <v>45</v>
      </c>
      <c r="I1047" t="s">
        <v>46</v>
      </c>
      <c r="J1047" t="s">
        <v>11</v>
      </c>
      <c r="K1047">
        <v>1</v>
      </c>
    </row>
    <row r="1048" spans="1:11" x14ac:dyDescent="0.25">
      <c r="A1048" t="s">
        <v>16</v>
      </c>
      <c r="B1048" t="s">
        <v>21</v>
      </c>
      <c r="C1048">
        <v>25901400</v>
      </c>
      <c r="D1048" t="s">
        <v>48</v>
      </c>
      <c r="E1048" t="s">
        <v>50</v>
      </c>
      <c r="F1048" s="4">
        <v>41753</v>
      </c>
      <c r="G1048" s="4">
        <v>41800</v>
      </c>
      <c r="H1048" t="s">
        <v>45</v>
      </c>
      <c r="I1048" t="s">
        <v>46</v>
      </c>
      <c r="J1048" t="s">
        <v>12</v>
      </c>
      <c r="K1048">
        <v>1</v>
      </c>
    </row>
    <row r="1049" spans="1:11" x14ac:dyDescent="0.25">
      <c r="A1049" t="s">
        <v>16</v>
      </c>
      <c r="B1049" t="s">
        <v>21</v>
      </c>
      <c r="C1049">
        <v>25901400</v>
      </c>
      <c r="D1049" t="s">
        <v>48</v>
      </c>
      <c r="E1049" t="s">
        <v>50</v>
      </c>
      <c r="F1049" s="4">
        <v>41753</v>
      </c>
      <c r="G1049" s="4">
        <v>41800</v>
      </c>
      <c r="H1049" t="s">
        <v>45</v>
      </c>
      <c r="I1049" t="s">
        <v>46</v>
      </c>
      <c r="J1049" t="s">
        <v>13</v>
      </c>
      <c r="K1049">
        <v>2</v>
      </c>
    </row>
    <row r="1050" spans="1:11" x14ac:dyDescent="0.25">
      <c r="A1050" t="s">
        <v>16</v>
      </c>
      <c r="B1050" t="s">
        <v>21</v>
      </c>
      <c r="C1050">
        <v>25901400</v>
      </c>
      <c r="D1050" t="s">
        <v>48</v>
      </c>
      <c r="E1050" t="s">
        <v>50</v>
      </c>
      <c r="F1050" s="4">
        <v>41753</v>
      </c>
      <c r="G1050" s="4">
        <v>41800</v>
      </c>
      <c r="H1050" t="s">
        <v>45</v>
      </c>
      <c r="I1050" t="s">
        <v>46</v>
      </c>
      <c r="J1050" t="s">
        <v>14</v>
      </c>
      <c r="K1050">
        <v>1</v>
      </c>
    </row>
    <row r="1051" spans="1:11" x14ac:dyDescent="0.25">
      <c r="A1051" t="s">
        <v>16</v>
      </c>
      <c r="B1051" t="s">
        <v>21</v>
      </c>
      <c r="C1051">
        <v>25901400</v>
      </c>
      <c r="D1051" t="s">
        <v>48</v>
      </c>
      <c r="E1051" t="s">
        <v>50</v>
      </c>
      <c r="F1051" s="4">
        <v>41753</v>
      </c>
      <c r="G1051" s="4">
        <v>41800</v>
      </c>
      <c r="H1051" t="s">
        <v>45</v>
      </c>
      <c r="I1051" t="s">
        <v>46</v>
      </c>
      <c r="J1051" t="s">
        <v>15</v>
      </c>
      <c r="K1051">
        <v>1</v>
      </c>
    </row>
    <row r="1052" spans="1:11" x14ac:dyDescent="0.25">
      <c r="A1052" t="s">
        <v>16</v>
      </c>
      <c r="B1052" t="s">
        <v>19</v>
      </c>
      <c r="C1052">
        <v>25901400</v>
      </c>
      <c r="D1052" t="s">
        <v>48</v>
      </c>
      <c r="E1052" t="s">
        <v>50</v>
      </c>
      <c r="F1052" s="4">
        <v>41753</v>
      </c>
      <c r="G1052" s="4">
        <v>41825</v>
      </c>
      <c r="H1052" t="s">
        <v>45</v>
      </c>
      <c r="I1052" t="s">
        <v>47</v>
      </c>
      <c r="J1052" t="s">
        <v>6</v>
      </c>
      <c r="K1052">
        <v>2</v>
      </c>
    </row>
    <row r="1053" spans="1:11" x14ac:dyDescent="0.25">
      <c r="A1053" t="s">
        <v>16</v>
      </c>
      <c r="B1053" t="s">
        <v>19</v>
      </c>
      <c r="C1053">
        <v>25901400</v>
      </c>
      <c r="D1053" t="s">
        <v>48</v>
      </c>
      <c r="E1053" t="s">
        <v>50</v>
      </c>
      <c r="F1053" s="4">
        <v>41753</v>
      </c>
      <c r="G1053" s="4">
        <v>41825</v>
      </c>
      <c r="H1053" t="s">
        <v>45</v>
      </c>
      <c r="I1053" t="s">
        <v>47</v>
      </c>
      <c r="J1053" t="s">
        <v>7</v>
      </c>
      <c r="K1053">
        <v>0</v>
      </c>
    </row>
    <row r="1054" spans="1:11" x14ac:dyDescent="0.25">
      <c r="A1054" t="s">
        <v>16</v>
      </c>
      <c r="B1054" t="s">
        <v>19</v>
      </c>
      <c r="C1054">
        <v>25901400</v>
      </c>
      <c r="D1054" t="s">
        <v>48</v>
      </c>
      <c r="E1054" t="s">
        <v>50</v>
      </c>
      <c r="F1054" s="4">
        <v>41753</v>
      </c>
      <c r="G1054" s="4">
        <v>41825</v>
      </c>
      <c r="H1054" t="s">
        <v>45</v>
      </c>
      <c r="I1054" t="s">
        <v>47</v>
      </c>
      <c r="J1054" t="s">
        <v>8</v>
      </c>
      <c r="K1054">
        <v>0</v>
      </c>
    </row>
    <row r="1055" spans="1:11" x14ac:dyDescent="0.25">
      <c r="A1055" t="s">
        <v>16</v>
      </c>
      <c r="B1055" t="s">
        <v>19</v>
      </c>
      <c r="C1055">
        <v>25901400</v>
      </c>
      <c r="D1055" t="s">
        <v>48</v>
      </c>
      <c r="E1055" t="s">
        <v>50</v>
      </c>
      <c r="F1055" s="4">
        <v>41753</v>
      </c>
      <c r="G1055" s="4">
        <v>41825</v>
      </c>
      <c r="H1055" t="s">
        <v>45</v>
      </c>
      <c r="I1055" t="s">
        <v>47</v>
      </c>
      <c r="J1055" t="s">
        <v>9</v>
      </c>
      <c r="K1055">
        <v>3</v>
      </c>
    </row>
    <row r="1056" spans="1:11" x14ac:dyDescent="0.25">
      <c r="A1056" t="s">
        <v>16</v>
      </c>
      <c r="B1056" t="s">
        <v>19</v>
      </c>
      <c r="C1056">
        <v>25901400</v>
      </c>
      <c r="D1056" t="s">
        <v>48</v>
      </c>
      <c r="E1056" t="s">
        <v>50</v>
      </c>
      <c r="F1056" s="4">
        <v>41753</v>
      </c>
      <c r="G1056" s="4">
        <v>41825</v>
      </c>
      <c r="H1056" t="s">
        <v>45</v>
      </c>
      <c r="I1056" t="s">
        <v>47</v>
      </c>
      <c r="J1056" t="s">
        <v>10</v>
      </c>
      <c r="K1056">
        <v>0</v>
      </c>
    </row>
    <row r="1057" spans="1:11" x14ac:dyDescent="0.25">
      <c r="A1057" t="s">
        <v>16</v>
      </c>
      <c r="B1057" t="s">
        <v>19</v>
      </c>
      <c r="C1057">
        <v>25901400</v>
      </c>
      <c r="D1057" t="s">
        <v>48</v>
      </c>
      <c r="E1057" t="s">
        <v>50</v>
      </c>
      <c r="F1057" s="4">
        <v>41753</v>
      </c>
      <c r="G1057" s="4">
        <v>41825</v>
      </c>
      <c r="H1057" t="s">
        <v>45</v>
      </c>
      <c r="I1057" t="s">
        <v>47</v>
      </c>
      <c r="J1057" t="s">
        <v>11</v>
      </c>
      <c r="K1057">
        <v>3</v>
      </c>
    </row>
    <row r="1058" spans="1:11" x14ac:dyDescent="0.25">
      <c r="A1058" t="s">
        <v>16</v>
      </c>
      <c r="B1058" t="s">
        <v>19</v>
      </c>
      <c r="C1058">
        <v>25901400</v>
      </c>
      <c r="D1058" t="s">
        <v>48</v>
      </c>
      <c r="E1058" t="s">
        <v>50</v>
      </c>
      <c r="F1058" s="4">
        <v>41753</v>
      </c>
      <c r="G1058" s="4">
        <v>41825</v>
      </c>
      <c r="H1058" t="s">
        <v>45</v>
      </c>
      <c r="I1058" t="s">
        <v>47</v>
      </c>
      <c r="J1058" t="s">
        <v>12</v>
      </c>
      <c r="K1058">
        <v>3</v>
      </c>
    </row>
    <row r="1059" spans="1:11" x14ac:dyDescent="0.25">
      <c r="A1059" t="s">
        <v>16</v>
      </c>
      <c r="B1059" t="s">
        <v>19</v>
      </c>
      <c r="C1059">
        <v>25901400</v>
      </c>
      <c r="D1059" t="s">
        <v>48</v>
      </c>
      <c r="E1059" t="s">
        <v>50</v>
      </c>
      <c r="F1059" s="4">
        <v>41753</v>
      </c>
      <c r="G1059" s="4">
        <v>41825</v>
      </c>
      <c r="H1059" t="s">
        <v>45</v>
      </c>
      <c r="I1059" t="s">
        <v>47</v>
      </c>
      <c r="J1059" t="s">
        <v>13</v>
      </c>
      <c r="K1059">
        <v>1</v>
      </c>
    </row>
    <row r="1060" spans="1:11" x14ac:dyDescent="0.25">
      <c r="A1060" t="s">
        <v>16</v>
      </c>
      <c r="B1060" t="s">
        <v>19</v>
      </c>
      <c r="C1060">
        <v>25901400</v>
      </c>
      <c r="D1060" t="s">
        <v>48</v>
      </c>
      <c r="E1060" t="s">
        <v>50</v>
      </c>
      <c r="F1060" s="4">
        <v>41753</v>
      </c>
      <c r="G1060" s="4">
        <v>41825</v>
      </c>
      <c r="H1060" t="s">
        <v>45</v>
      </c>
      <c r="I1060" t="s">
        <v>47</v>
      </c>
      <c r="J1060" t="s">
        <v>14</v>
      </c>
      <c r="K1060">
        <v>2</v>
      </c>
    </row>
    <row r="1061" spans="1:11" x14ac:dyDescent="0.25">
      <c r="A1061" t="s">
        <v>16</v>
      </c>
      <c r="B1061" t="s">
        <v>19</v>
      </c>
      <c r="C1061">
        <v>25901400</v>
      </c>
      <c r="D1061" t="s">
        <v>48</v>
      </c>
      <c r="E1061" t="s">
        <v>50</v>
      </c>
      <c r="F1061" s="4">
        <v>41753</v>
      </c>
      <c r="G1061" s="4">
        <v>41825</v>
      </c>
      <c r="H1061" t="s">
        <v>45</v>
      </c>
      <c r="I1061" t="s">
        <v>47</v>
      </c>
      <c r="J1061" t="s">
        <v>15</v>
      </c>
      <c r="K1061">
        <v>1</v>
      </c>
    </row>
    <row r="1062" spans="1:11" x14ac:dyDescent="0.25">
      <c r="A1062" t="s">
        <v>16</v>
      </c>
      <c r="B1062" t="s">
        <v>20</v>
      </c>
      <c r="C1062">
        <v>25901400</v>
      </c>
      <c r="D1062" t="s">
        <v>48</v>
      </c>
      <c r="E1062" t="s">
        <v>50</v>
      </c>
      <c r="F1062" s="4">
        <v>41753</v>
      </c>
      <c r="G1062" s="4">
        <v>41969</v>
      </c>
      <c r="H1062" t="s">
        <v>45</v>
      </c>
      <c r="I1062" t="s">
        <v>47</v>
      </c>
      <c r="J1062" t="s">
        <v>6</v>
      </c>
      <c r="K1062">
        <v>1</v>
      </c>
    </row>
    <row r="1063" spans="1:11" x14ac:dyDescent="0.25">
      <c r="A1063" t="s">
        <v>16</v>
      </c>
      <c r="B1063" t="s">
        <v>20</v>
      </c>
      <c r="C1063">
        <v>25901400</v>
      </c>
      <c r="D1063" t="s">
        <v>48</v>
      </c>
      <c r="E1063" t="s">
        <v>50</v>
      </c>
      <c r="F1063" s="4">
        <v>41753</v>
      </c>
      <c r="G1063" s="4">
        <v>41969</v>
      </c>
      <c r="H1063" t="s">
        <v>45</v>
      </c>
      <c r="I1063" t="s">
        <v>47</v>
      </c>
      <c r="J1063" t="s">
        <v>7</v>
      </c>
      <c r="K1063">
        <v>2</v>
      </c>
    </row>
    <row r="1064" spans="1:11" x14ac:dyDescent="0.25">
      <c r="A1064" t="s">
        <v>16</v>
      </c>
      <c r="B1064" t="s">
        <v>20</v>
      </c>
      <c r="C1064">
        <v>25901400</v>
      </c>
      <c r="D1064" t="s">
        <v>48</v>
      </c>
      <c r="E1064" t="s">
        <v>50</v>
      </c>
      <c r="F1064" s="4">
        <v>41753</v>
      </c>
      <c r="G1064" s="4">
        <v>41969</v>
      </c>
      <c r="H1064" t="s">
        <v>45</v>
      </c>
      <c r="I1064" t="s">
        <v>47</v>
      </c>
      <c r="J1064" t="s">
        <v>8</v>
      </c>
      <c r="K1064">
        <v>0</v>
      </c>
    </row>
    <row r="1065" spans="1:11" x14ac:dyDescent="0.25">
      <c r="A1065" t="s">
        <v>16</v>
      </c>
      <c r="B1065" t="s">
        <v>20</v>
      </c>
      <c r="C1065">
        <v>25901400</v>
      </c>
      <c r="D1065" t="s">
        <v>48</v>
      </c>
      <c r="E1065" t="s">
        <v>50</v>
      </c>
      <c r="F1065" s="4">
        <v>41753</v>
      </c>
      <c r="G1065" s="4">
        <v>41969</v>
      </c>
      <c r="H1065" t="s">
        <v>45</v>
      </c>
      <c r="I1065" t="s">
        <v>47</v>
      </c>
      <c r="J1065" t="s">
        <v>9</v>
      </c>
      <c r="K1065">
        <v>3</v>
      </c>
    </row>
    <row r="1066" spans="1:11" x14ac:dyDescent="0.25">
      <c r="A1066" t="s">
        <v>16</v>
      </c>
      <c r="B1066" t="s">
        <v>20</v>
      </c>
      <c r="C1066">
        <v>25901400</v>
      </c>
      <c r="D1066" t="s">
        <v>48</v>
      </c>
      <c r="E1066" t="s">
        <v>50</v>
      </c>
      <c r="F1066" s="4">
        <v>41753</v>
      </c>
      <c r="G1066" s="4">
        <v>41969</v>
      </c>
      <c r="H1066" t="s">
        <v>45</v>
      </c>
      <c r="I1066" t="s">
        <v>47</v>
      </c>
      <c r="J1066" t="s">
        <v>10</v>
      </c>
      <c r="K1066">
        <v>2</v>
      </c>
    </row>
    <row r="1067" spans="1:11" x14ac:dyDescent="0.25">
      <c r="A1067" t="s">
        <v>16</v>
      </c>
      <c r="B1067" t="s">
        <v>20</v>
      </c>
      <c r="C1067">
        <v>25901400</v>
      </c>
      <c r="D1067" t="s">
        <v>48</v>
      </c>
      <c r="E1067" t="s">
        <v>50</v>
      </c>
      <c r="F1067" s="4">
        <v>41753</v>
      </c>
      <c r="G1067" s="4">
        <v>41969</v>
      </c>
      <c r="H1067" t="s">
        <v>45</v>
      </c>
      <c r="I1067" t="s">
        <v>47</v>
      </c>
      <c r="J1067" t="s">
        <v>11</v>
      </c>
      <c r="K1067">
        <v>0</v>
      </c>
    </row>
    <row r="1068" spans="1:11" x14ac:dyDescent="0.25">
      <c r="A1068" t="s">
        <v>16</v>
      </c>
      <c r="B1068" t="s">
        <v>20</v>
      </c>
      <c r="C1068">
        <v>25901400</v>
      </c>
      <c r="D1068" t="s">
        <v>48</v>
      </c>
      <c r="E1068" t="s">
        <v>50</v>
      </c>
      <c r="F1068" s="4">
        <v>41753</v>
      </c>
      <c r="G1068" s="4">
        <v>41969</v>
      </c>
      <c r="H1068" t="s">
        <v>45</v>
      </c>
      <c r="I1068" t="s">
        <v>47</v>
      </c>
      <c r="J1068" t="s">
        <v>12</v>
      </c>
      <c r="K1068">
        <v>1</v>
      </c>
    </row>
    <row r="1069" spans="1:11" x14ac:dyDescent="0.25">
      <c r="A1069" t="s">
        <v>16</v>
      </c>
      <c r="B1069" t="s">
        <v>20</v>
      </c>
      <c r="C1069">
        <v>25901400</v>
      </c>
      <c r="D1069" t="s">
        <v>48</v>
      </c>
      <c r="E1069" t="s">
        <v>50</v>
      </c>
      <c r="F1069" s="4">
        <v>41753</v>
      </c>
      <c r="G1069" s="4">
        <v>41969</v>
      </c>
      <c r="H1069" t="s">
        <v>45</v>
      </c>
      <c r="I1069" t="s">
        <v>47</v>
      </c>
      <c r="J1069" t="s">
        <v>13</v>
      </c>
      <c r="K1069">
        <v>0</v>
      </c>
    </row>
    <row r="1070" spans="1:11" x14ac:dyDescent="0.25">
      <c r="A1070" t="s">
        <v>16</v>
      </c>
      <c r="B1070" t="s">
        <v>20</v>
      </c>
      <c r="C1070">
        <v>25901400</v>
      </c>
      <c r="D1070" t="s">
        <v>48</v>
      </c>
      <c r="E1070" t="s">
        <v>50</v>
      </c>
      <c r="F1070" s="4">
        <v>41753</v>
      </c>
      <c r="G1070" s="4">
        <v>41969</v>
      </c>
      <c r="H1070" t="s">
        <v>45</v>
      </c>
      <c r="I1070" t="s">
        <v>47</v>
      </c>
      <c r="J1070" t="s">
        <v>14</v>
      </c>
      <c r="K1070">
        <v>3</v>
      </c>
    </row>
    <row r="1071" spans="1:11" x14ac:dyDescent="0.25">
      <c r="A1071" t="s">
        <v>16</v>
      </c>
      <c r="B1071" t="s">
        <v>20</v>
      </c>
      <c r="C1071">
        <v>25901400</v>
      </c>
      <c r="D1071" t="s">
        <v>48</v>
      </c>
      <c r="E1071" t="s">
        <v>50</v>
      </c>
      <c r="F1071" s="4">
        <v>41753</v>
      </c>
      <c r="G1071" s="4">
        <v>41969</v>
      </c>
      <c r="H1071" t="s">
        <v>45</v>
      </c>
      <c r="I1071" t="s">
        <v>47</v>
      </c>
      <c r="J1071" t="s">
        <v>15</v>
      </c>
      <c r="K1071">
        <v>0</v>
      </c>
    </row>
    <row r="1072" spans="1:11" x14ac:dyDescent="0.25">
      <c r="A1072" t="s">
        <v>16</v>
      </c>
      <c r="B1072" t="s">
        <v>21</v>
      </c>
      <c r="C1072">
        <v>25901400</v>
      </c>
      <c r="D1072" t="s">
        <v>48</v>
      </c>
      <c r="E1072" t="s">
        <v>50</v>
      </c>
      <c r="F1072" s="4">
        <v>41753</v>
      </c>
      <c r="G1072" s="4">
        <v>42038</v>
      </c>
      <c r="H1072" t="s">
        <v>45</v>
      </c>
      <c r="I1072" t="s">
        <v>47</v>
      </c>
      <c r="J1072" t="s">
        <v>6</v>
      </c>
      <c r="K1072">
        <v>1</v>
      </c>
    </row>
    <row r="1073" spans="1:11" x14ac:dyDescent="0.25">
      <c r="A1073" t="s">
        <v>16</v>
      </c>
      <c r="B1073" t="s">
        <v>21</v>
      </c>
      <c r="C1073">
        <v>25901400</v>
      </c>
      <c r="D1073" t="s">
        <v>48</v>
      </c>
      <c r="E1073" t="s">
        <v>50</v>
      </c>
      <c r="F1073" s="4">
        <v>41753</v>
      </c>
      <c r="G1073" s="4">
        <v>42038</v>
      </c>
      <c r="H1073" t="s">
        <v>45</v>
      </c>
      <c r="I1073" t="s">
        <v>47</v>
      </c>
      <c r="J1073" t="s">
        <v>7</v>
      </c>
      <c r="K1073">
        <v>1</v>
      </c>
    </row>
    <row r="1074" spans="1:11" x14ac:dyDescent="0.25">
      <c r="A1074" t="s">
        <v>16</v>
      </c>
      <c r="B1074" t="s">
        <v>21</v>
      </c>
      <c r="C1074">
        <v>25901400</v>
      </c>
      <c r="D1074" t="s">
        <v>48</v>
      </c>
      <c r="E1074" t="s">
        <v>50</v>
      </c>
      <c r="F1074" s="4">
        <v>41753</v>
      </c>
      <c r="G1074" s="4">
        <v>42038</v>
      </c>
      <c r="H1074" t="s">
        <v>45</v>
      </c>
      <c r="I1074" t="s">
        <v>47</v>
      </c>
      <c r="J1074" t="s">
        <v>8</v>
      </c>
      <c r="K1074">
        <v>3</v>
      </c>
    </row>
    <row r="1075" spans="1:11" x14ac:dyDescent="0.25">
      <c r="A1075" t="s">
        <v>16</v>
      </c>
      <c r="B1075" t="s">
        <v>21</v>
      </c>
      <c r="C1075">
        <v>25901400</v>
      </c>
      <c r="D1075" t="s">
        <v>48</v>
      </c>
      <c r="E1075" t="s">
        <v>50</v>
      </c>
      <c r="F1075" s="4">
        <v>41753</v>
      </c>
      <c r="G1075" s="4">
        <v>42038</v>
      </c>
      <c r="H1075" t="s">
        <v>45</v>
      </c>
      <c r="I1075" t="s">
        <v>47</v>
      </c>
      <c r="J1075" t="s">
        <v>9</v>
      </c>
      <c r="K1075">
        <v>2</v>
      </c>
    </row>
    <row r="1076" spans="1:11" x14ac:dyDescent="0.25">
      <c r="A1076" t="s">
        <v>16</v>
      </c>
      <c r="B1076" t="s">
        <v>21</v>
      </c>
      <c r="C1076">
        <v>25901400</v>
      </c>
      <c r="D1076" t="s">
        <v>48</v>
      </c>
      <c r="E1076" t="s">
        <v>50</v>
      </c>
      <c r="F1076" s="4">
        <v>41753</v>
      </c>
      <c r="G1076" s="4">
        <v>42038</v>
      </c>
      <c r="H1076" t="s">
        <v>45</v>
      </c>
      <c r="I1076" t="s">
        <v>47</v>
      </c>
      <c r="J1076" t="s">
        <v>10</v>
      </c>
      <c r="K1076">
        <v>0</v>
      </c>
    </row>
    <row r="1077" spans="1:11" x14ac:dyDescent="0.25">
      <c r="A1077" t="s">
        <v>16</v>
      </c>
      <c r="B1077" t="s">
        <v>21</v>
      </c>
      <c r="C1077">
        <v>25901400</v>
      </c>
      <c r="D1077" t="s">
        <v>48</v>
      </c>
      <c r="E1077" t="s">
        <v>50</v>
      </c>
      <c r="F1077" s="4">
        <v>41753</v>
      </c>
      <c r="G1077" s="4">
        <v>42038</v>
      </c>
      <c r="H1077" t="s">
        <v>45</v>
      </c>
      <c r="I1077" t="s">
        <v>47</v>
      </c>
      <c r="J1077" t="s">
        <v>11</v>
      </c>
      <c r="K1077">
        <v>0</v>
      </c>
    </row>
    <row r="1078" spans="1:11" x14ac:dyDescent="0.25">
      <c r="A1078" t="s">
        <v>16</v>
      </c>
      <c r="B1078" t="s">
        <v>21</v>
      </c>
      <c r="C1078">
        <v>25901400</v>
      </c>
      <c r="D1078" t="s">
        <v>48</v>
      </c>
      <c r="E1078" t="s">
        <v>50</v>
      </c>
      <c r="F1078" s="4">
        <v>41753</v>
      </c>
      <c r="G1078" s="4">
        <v>42038</v>
      </c>
      <c r="H1078" t="s">
        <v>45</v>
      </c>
      <c r="I1078" t="s">
        <v>47</v>
      </c>
      <c r="J1078" t="s">
        <v>12</v>
      </c>
      <c r="K1078">
        <v>0</v>
      </c>
    </row>
    <row r="1079" spans="1:11" x14ac:dyDescent="0.25">
      <c r="A1079" t="s">
        <v>16</v>
      </c>
      <c r="B1079" t="s">
        <v>21</v>
      </c>
      <c r="C1079">
        <v>25901400</v>
      </c>
      <c r="D1079" t="s">
        <v>48</v>
      </c>
      <c r="E1079" t="s">
        <v>50</v>
      </c>
      <c r="F1079" s="4">
        <v>41753</v>
      </c>
      <c r="G1079" s="4">
        <v>42038</v>
      </c>
      <c r="H1079" t="s">
        <v>45</v>
      </c>
      <c r="I1079" t="s">
        <v>47</v>
      </c>
      <c r="J1079" t="s">
        <v>13</v>
      </c>
      <c r="K1079">
        <v>1</v>
      </c>
    </row>
    <row r="1080" spans="1:11" x14ac:dyDescent="0.25">
      <c r="A1080" t="s">
        <v>16</v>
      </c>
      <c r="B1080" t="s">
        <v>21</v>
      </c>
      <c r="C1080">
        <v>25901400</v>
      </c>
      <c r="D1080" t="s">
        <v>48</v>
      </c>
      <c r="E1080" t="s">
        <v>50</v>
      </c>
      <c r="F1080" s="4">
        <v>41753</v>
      </c>
      <c r="G1080" s="4">
        <v>42038</v>
      </c>
      <c r="H1080" t="s">
        <v>45</v>
      </c>
      <c r="I1080" t="s">
        <v>47</v>
      </c>
      <c r="J1080" t="s">
        <v>14</v>
      </c>
      <c r="K1080">
        <v>1</v>
      </c>
    </row>
    <row r="1081" spans="1:11" x14ac:dyDescent="0.25">
      <c r="A1081" t="s">
        <v>16</v>
      </c>
      <c r="B1081" t="s">
        <v>21</v>
      </c>
      <c r="C1081">
        <v>25901400</v>
      </c>
      <c r="D1081" t="s">
        <v>48</v>
      </c>
      <c r="E1081" t="s">
        <v>50</v>
      </c>
      <c r="F1081" s="4">
        <v>41753</v>
      </c>
      <c r="G1081" s="4">
        <v>42038</v>
      </c>
      <c r="H1081" t="s">
        <v>45</v>
      </c>
      <c r="I1081" t="s">
        <v>47</v>
      </c>
      <c r="J1081" t="s">
        <v>15</v>
      </c>
      <c r="K1081">
        <v>1</v>
      </c>
    </row>
    <row r="1082" spans="1:11" x14ac:dyDescent="0.25">
      <c r="A1082" t="s">
        <v>16</v>
      </c>
      <c r="B1082" t="s">
        <v>19</v>
      </c>
      <c r="C1082">
        <v>99317033</v>
      </c>
      <c r="D1082" t="s">
        <v>48</v>
      </c>
      <c r="E1082" t="s">
        <v>44</v>
      </c>
      <c r="F1082" s="4">
        <v>41343</v>
      </c>
      <c r="G1082" s="4">
        <v>41350</v>
      </c>
      <c r="H1082" t="s">
        <v>49</v>
      </c>
      <c r="I1082" t="s">
        <v>46</v>
      </c>
      <c r="J1082" t="s">
        <v>6</v>
      </c>
      <c r="K1082">
        <v>1</v>
      </c>
    </row>
    <row r="1083" spans="1:11" x14ac:dyDescent="0.25">
      <c r="A1083" t="s">
        <v>16</v>
      </c>
      <c r="B1083" t="s">
        <v>19</v>
      </c>
      <c r="C1083">
        <v>99317033</v>
      </c>
      <c r="D1083" t="s">
        <v>48</v>
      </c>
      <c r="E1083" t="s">
        <v>44</v>
      </c>
      <c r="F1083" s="4">
        <v>41343</v>
      </c>
      <c r="G1083" s="4">
        <v>41350</v>
      </c>
      <c r="H1083" t="s">
        <v>49</v>
      </c>
      <c r="I1083" t="s">
        <v>46</v>
      </c>
      <c r="J1083" t="s">
        <v>7</v>
      </c>
      <c r="K1083">
        <v>0</v>
      </c>
    </row>
    <row r="1084" spans="1:11" x14ac:dyDescent="0.25">
      <c r="A1084" t="s">
        <v>16</v>
      </c>
      <c r="B1084" t="s">
        <v>19</v>
      </c>
      <c r="C1084">
        <v>99317033</v>
      </c>
      <c r="D1084" t="s">
        <v>48</v>
      </c>
      <c r="E1084" t="s">
        <v>44</v>
      </c>
      <c r="F1084" s="4">
        <v>41343</v>
      </c>
      <c r="G1084" s="4">
        <v>41350</v>
      </c>
      <c r="H1084" t="s">
        <v>49</v>
      </c>
      <c r="I1084" t="s">
        <v>46</v>
      </c>
      <c r="J1084" t="s">
        <v>8</v>
      </c>
      <c r="K1084">
        <v>3</v>
      </c>
    </row>
    <row r="1085" spans="1:11" x14ac:dyDescent="0.25">
      <c r="A1085" t="s">
        <v>16</v>
      </c>
      <c r="B1085" t="s">
        <v>19</v>
      </c>
      <c r="C1085">
        <v>99317033</v>
      </c>
      <c r="D1085" t="s">
        <v>48</v>
      </c>
      <c r="E1085" t="s">
        <v>44</v>
      </c>
      <c r="F1085" s="4">
        <v>41343</v>
      </c>
      <c r="G1085" s="4">
        <v>41350</v>
      </c>
      <c r="H1085" t="s">
        <v>49</v>
      </c>
      <c r="I1085" t="s">
        <v>46</v>
      </c>
      <c r="J1085" t="s">
        <v>9</v>
      </c>
      <c r="K1085">
        <v>2</v>
      </c>
    </row>
    <row r="1086" spans="1:11" x14ac:dyDescent="0.25">
      <c r="A1086" t="s">
        <v>16</v>
      </c>
      <c r="B1086" t="s">
        <v>19</v>
      </c>
      <c r="C1086">
        <v>99317033</v>
      </c>
      <c r="D1086" t="s">
        <v>48</v>
      </c>
      <c r="E1086" t="s">
        <v>44</v>
      </c>
      <c r="F1086" s="4">
        <v>41343</v>
      </c>
      <c r="G1086" s="4">
        <v>41350</v>
      </c>
      <c r="H1086" t="s">
        <v>49</v>
      </c>
      <c r="I1086" t="s">
        <v>46</v>
      </c>
      <c r="J1086" t="s">
        <v>10</v>
      </c>
      <c r="K1086">
        <v>0</v>
      </c>
    </row>
    <row r="1087" spans="1:11" x14ac:dyDescent="0.25">
      <c r="A1087" t="s">
        <v>16</v>
      </c>
      <c r="B1087" t="s">
        <v>19</v>
      </c>
      <c r="C1087">
        <v>99317033</v>
      </c>
      <c r="D1087" t="s">
        <v>48</v>
      </c>
      <c r="E1087" t="s">
        <v>44</v>
      </c>
      <c r="F1087" s="4">
        <v>41343</v>
      </c>
      <c r="G1087" s="4">
        <v>41350</v>
      </c>
      <c r="H1087" t="s">
        <v>49</v>
      </c>
      <c r="I1087" t="s">
        <v>46</v>
      </c>
      <c r="J1087" t="s">
        <v>11</v>
      </c>
      <c r="K1087">
        <v>1</v>
      </c>
    </row>
    <row r="1088" spans="1:11" x14ac:dyDescent="0.25">
      <c r="A1088" t="s">
        <v>16</v>
      </c>
      <c r="B1088" t="s">
        <v>19</v>
      </c>
      <c r="C1088">
        <v>99317033</v>
      </c>
      <c r="D1088" t="s">
        <v>48</v>
      </c>
      <c r="E1088" t="s">
        <v>44</v>
      </c>
      <c r="F1088" s="4">
        <v>41343</v>
      </c>
      <c r="G1088" s="4">
        <v>41350</v>
      </c>
      <c r="H1088" t="s">
        <v>49</v>
      </c>
      <c r="I1088" t="s">
        <v>46</v>
      </c>
      <c r="J1088" t="s">
        <v>12</v>
      </c>
      <c r="K1088">
        <v>0</v>
      </c>
    </row>
    <row r="1089" spans="1:11" x14ac:dyDescent="0.25">
      <c r="A1089" t="s">
        <v>16</v>
      </c>
      <c r="B1089" t="s">
        <v>19</v>
      </c>
      <c r="C1089">
        <v>99317033</v>
      </c>
      <c r="D1089" t="s">
        <v>48</v>
      </c>
      <c r="E1089" t="s">
        <v>44</v>
      </c>
      <c r="F1089" s="4">
        <v>41343</v>
      </c>
      <c r="G1089" s="4">
        <v>41350</v>
      </c>
      <c r="H1089" t="s">
        <v>49</v>
      </c>
      <c r="I1089" t="s">
        <v>46</v>
      </c>
      <c r="J1089" t="s">
        <v>13</v>
      </c>
      <c r="K1089">
        <v>2</v>
      </c>
    </row>
    <row r="1090" spans="1:11" x14ac:dyDescent="0.25">
      <c r="A1090" t="s">
        <v>16</v>
      </c>
      <c r="B1090" t="s">
        <v>19</v>
      </c>
      <c r="C1090">
        <v>99317033</v>
      </c>
      <c r="D1090" t="s">
        <v>48</v>
      </c>
      <c r="E1090" t="s">
        <v>44</v>
      </c>
      <c r="F1090" s="4">
        <v>41343</v>
      </c>
      <c r="G1090" s="4">
        <v>41350</v>
      </c>
      <c r="H1090" t="s">
        <v>49</v>
      </c>
      <c r="I1090" t="s">
        <v>46</v>
      </c>
      <c r="J1090" t="s">
        <v>14</v>
      </c>
      <c r="K1090">
        <v>1</v>
      </c>
    </row>
    <row r="1091" spans="1:11" x14ac:dyDescent="0.25">
      <c r="A1091" t="s">
        <v>16</v>
      </c>
      <c r="B1091" t="s">
        <v>19</v>
      </c>
      <c r="C1091">
        <v>99317033</v>
      </c>
      <c r="D1091" t="s">
        <v>48</v>
      </c>
      <c r="E1091" t="s">
        <v>44</v>
      </c>
      <c r="F1091" s="4">
        <v>41343</v>
      </c>
      <c r="G1091" s="4">
        <v>41350</v>
      </c>
      <c r="H1091" t="s">
        <v>49</v>
      </c>
      <c r="I1091" t="s">
        <v>46</v>
      </c>
      <c r="J1091" t="s">
        <v>15</v>
      </c>
      <c r="K1091">
        <v>1</v>
      </c>
    </row>
    <row r="1092" spans="1:11" x14ac:dyDescent="0.25">
      <c r="A1092" t="s">
        <v>16</v>
      </c>
      <c r="B1092" t="s">
        <v>20</v>
      </c>
      <c r="C1092">
        <v>91247299</v>
      </c>
      <c r="D1092" t="s">
        <v>48</v>
      </c>
      <c r="E1092" t="s">
        <v>51</v>
      </c>
      <c r="F1092" s="4">
        <v>41548</v>
      </c>
      <c r="G1092" s="4">
        <v>41588</v>
      </c>
      <c r="H1092" t="s">
        <v>45</v>
      </c>
      <c r="I1092" t="s">
        <v>46</v>
      </c>
      <c r="J1092" t="s">
        <v>6</v>
      </c>
      <c r="K1092">
        <v>0</v>
      </c>
    </row>
    <row r="1093" spans="1:11" x14ac:dyDescent="0.25">
      <c r="A1093" t="s">
        <v>16</v>
      </c>
      <c r="B1093" t="s">
        <v>20</v>
      </c>
      <c r="C1093">
        <v>91247299</v>
      </c>
      <c r="D1093" t="s">
        <v>48</v>
      </c>
      <c r="E1093" t="s">
        <v>51</v>
      </c>
      <c r="F1093" s="4">
        <v>41548</v>
      </c>
      <c r="G1093" s="4">
        <v>41588</v>
      </c>
      <c r="H1093" t="s">
        <v>45</v>
      </c>
      <c r="I1093" t="s">
        <v>46</v>
      </c>
      <c r="J1093" t="s">
        <v>7</v>
      </c>
      <c r="K1093">
        <v>1</v>
      </c>
    </row>
    <row r="1094" spans="1:11" x14ac:dyDescent="0.25">
      <c r="A1094" t="s">
        <v>16</v>
      </c>
      <c r="B1094" t="s">
        <v>20</v>
      </c>
      <c r="C1094">
        <v>91247299</v>
      </c>
      <c r="D1094" t="s">
        <v>48</v>
      </c>
      <c r="E1094" t="s">
        <v>51</v>
      </c>
      <c r="F1094" s="4">
        <v>41548</v>
      </c>
      <c r="G1094" s="4">
        <v>41588</v>
      </c>
      <c r="H1094" t="s">
        <v>45</v>
      </c>
      <c r="I1094" t="s">
        <v>46</v>
      </c>
      <c r="J1094" t="s">
        <v>8</v>
      </c>
      <c r="K1094">
        <v>2</v>
      </c>
    </row>
    <row r="1095" spans="1:11" x14ac:dyDescent="0.25">
      <c r="A1095" t="s">
        <v>16</v>
      </c>
      <c r="B1095" t="s">
        <v>20</v>
      </c>
      <c r="C1095">
        <v>91247299</v>
      </c>
      <c r="D1095" t="s">
        <v>48</v>
      </c>
      <c r="E1095" t="s">
        <v>51</v>
      </c>
      <c r="F1095" s="4">
        <v>41548</v>
      </c>
      <c r="G1095" s="4">
        <v>41588</v>
      </c>
      <c r="H1095" t="s">
        <v>45</v>
      </c>
      <c r="I1095" t="s">
        <v>46</v>
      </c>
      <c r="J1095" t="s">
        <v>9</v>
      </c>
      <c r="K1095">
        <v>0</v>
      </c>
    </row>
    <row r="1096" spans="1:11" x14ac:dyDescent="0.25">
      <c r="A1096" t="s">
        <v>16</v>
      </c>
      <c r="B1096" t="s">
        <v>20</v>
      </c>
      <c r="C1096">
        <v>91247299</v>
      </c>
      <c r="D1096" t="s">
        <v>48</v>
      </c>
      <c r="E1096" t="s">
        <v>51</v>
      </c>
      <c r="F1096" s="4">
        <v>41548</v>
      </c>
      <c r="G1096" s="4">
        <v>41588</v>
      </c>
      <c r="H1096" t="s">
        <v>45</v>
      </c>
      <c r="I1096" t="s">
        <v>46</v>
      </c>
      <c r="J1096" t="s">
        <v>10</v>
      </c>
      <c r="K1096">
        <v>3</v>
      </c>
    </row>
    <row r="1097" spans="1:11" x14ac:dyDescent="0.25">
      <c r="A1097" t="s">
        <v>16</v>
      </c>
      <c r="B1097" t="s">
        <v>20</v>
      </c>
      <c r="C1097">
        <v>91247299</v>
      </c>
      <c r="D1097" t="s">
        <v>48</v>
      </c>
      <c r="E1097" t="s">
        <v>51</v>
      </c>
      <c r="F1097" s="4">
        <v>41548</v>
      </c>
      <c r="G1097" s="4">
        <v>41588</v>
      </c>
      <c r="H1097" t="s">
        <v>45</v>
      </c>
      <c r="I1097" t="s">
        <v>46</v>
      </c>
      <c r="J1097" t="s">
        <v>11</v>
      </c>
      <c r="K1097">
        <v>1</v>
      </c>
    </row>
    <row r="1098" spans="1:11" x14ac:dyDescent="0.25">
      <c r="A1098" t="s">
        <v>16</v>
      </c>
      <c r="B1098" t="s">
        <v>20</v>
      </c>
      <c r="C1098">
        <v>91247299</v>
      </c>
      <c r="D1098" t="s">
        <v>48</v>
      </c>
      <c r="E1098" t="s">
        <v>51</v>
      </c>
      <c r="F1098" s="4">
        <v>41548</v>
      </c>
      <c r="G1098" s="4">
        <v>41588</v>
      </c>
      <c r="H1098" t="s">
        <v>45</v>
      </c>
      <c r="I1098" t="s">
        <v>46</v>
      </c>
      <c r="J1098" t="s">
        <v>12</v>
      </c>
      <c r="K1098">
        <v>3</v>
      </c>
    </row>
    <row r="1099" spans="1:11" x14ac:dyDescent="0.25">
      <c r="A1099" t="s">
        <v>16</v>
      </c>
      <c r="B1099" t="s">
        <v>20</v>
      </c>
      <c r="C1099">
        <v>91247299</v>
      </c>
      <c r="D1099" t="s">
        <v>48</v>
      </c>
      <c r="E1099" t="s">
        <v>51</v>
      </c>
      <c r="F1099" s="4">
        <v>41548</v>
      </c>
      <c r="G1099" s="4">
        <v>41588</v>
      </c>
      <c r="H1099" t="s">
        <v>45</v>
      </c>
      <c r="I1099" t="s">
        <v>46</v>
      </c>
      <c r="J1099" t="s">
        <v>13</v>
      </c>
      <c r="K1099">
        <v>1</v>
      </c>
    </row>
    <row r="1100" spans="1:11" x14ac:dyDescent="0.25">
      <c r="A1100" t="s">
        <v>16</v>
      </c>
      <c r="B1100" t="s">
        <v>20</v>
      </c>
      <c r="C1100">
        <v>91247299</v>
      </c>
      <c r="D1100" t="s">
        <v>48</v>
      </c>
      <c r="E1100" t="s">
        <v>51</v>
      </c>
      <c r="F1100" s="4">
        <v>41548</v>
      </c>
      <c r="G1100" s="4">
        <v>41588</v>
      </c>
      <c r="H1100" t="s">
        <v>45</v>
      </c>
      <c r="I1100" t="s">
        <v>46</v>
      </c>
      <c r="J1100" t="s">
        <v>14</v>
      </c>
      <c r="K1100">
        <v>1</v>
      </c>
    </row>
    <row r="1101" spans="1:11" x14ac:dyDescent="0.25">
      <c r="A1101" t="s">
        <v>16</v>
      </c>
      <c r="B1101" t="s">
        <v>20</v>
      </c>
      <c r="C1101">
        <v>91247299</v>
      </c>
      <c r="D1101" t="s">
        <v>48</v>
      </c>
      <c r="E1101" t="s">
        <v>51</v>
      </c>
      <c r="F1101" s="4">
        <v>41548</v>
      </c>
      <c r="G1101" s="4">
        <v>41588</v>
      </c>
      <c r="H1101" t="s">
        <v>45</v>
      </c>
      <c r="I1101" t="s">
        <v>46</v>
      </c>
      <c r="J1101" t="s">
        <v>15</v>
      </c>
      <c r="K1101">
        <v>0</v>
      </c>
    </row>
    <row r="1102" spans="1:11" x14ac:dyDescent="0.25">
      <c r="A1102" t="s">
        <v>16</v>
      </c>
      <c r="B1102" t="s">
        <v>21</v>
      </c>
      <c r="C1102">
        <v>59307832</v>
      </c>
      <c r="D1102" t="s">
        <v>43</v>
      </c>
      <c r="E1102" t="s">
        <v>44</v>
      </c>
      <c r="F1102" s="4">
        <v>41379</v>
      </c>
      <c r="G1102" s="4">
        <v>41389</v>
      </c>
      <c r="H1102" t="s">
        <v>49</v>
      </c>
      <c r="I1102" t="s">
        <v>46</v>
      </c>
      <c r="J1102" t="s">
        <v>6</v>
      </c>
      <c r="K1102">
        <v>2</v>
      </c>
    </row>
    <row r="1103" spans="1:11" x14ac:dyDescent="0.25">
      <c r="A1103" t="s">
        <v>16</v>
      </c>
      <c r="B1103" t="s">
        <v>21</v>
      </c>
      <c r="C1103">
        <v>59307832</v>
      </c>
      <c r="D1103" t="s">
        <v>43</v>
      </c>
      <c r="E1103" t="s">
        <v>44</v>
      </c>
      <c r="F1103" s="4">
        <v>41379</v>
      </c>
      <c r="G1103" s="4">
        <v>41389</v>
      </c>
      <c r="H1103" t="s">
        <v>49</v>
      </c>
      <c r="I1103" t="s">
        <v>46</v>
      </c>
      <c r="J1103" t="s">
        <v>7</v>
      </c>
      <c r="K1103">
        <v>0</v>
      </c>
    </row>
    <row r="1104" spans="1:11" x14ac:dyDescent="0.25">
      <c r="A1104" t="s">
        <v>16</v>
      </c>
      <c r="B1104" t="s">
        <v>21</v>
      </c>
      <c r="C1104">
        <v>59307832</v>
      </c>
      <c r="D1104" t="s">
        <v>43</v>
      </c>
      <c r="E1104" t="s">
        <v>44</v>
      </c>
      <c r="F1104" s="4">
        <v>41379</v>
      </c>
      <c r="G1104" s="4">
        <v>41389</v>
      </c>
      <c r="H1104" t="s">
        <v>49</v>
      </c>
      <c r="I1104" t="s">
        <v>46</v>
      </c>
      <c r="J1104" t="s">
        <v>8</v>
      </c>
      <c r="K1104">
        <v>0</v>
      </c>
    </row>
    <row r="1105" spans="1:11" x14ac:dyDescent="0.25">
      <c r="A1105" t="s">
        <v>16</v>
      </c>
      <c r="B1105" t="s">
        <v>21</v>
      </c>
      <c r="C1105">
        <v>59307832</v>
      </c>
      <c r="D1105" t="s">
        <v>43</v>
      </c>
      <c r="E1105" t="s">
        <v>44</v>
      </c>
      <c r="F1105" s="4">
        <v>41379</v>
      </c>
      <c r="G1105" s="4">
        <v>41389</v>
      </c>
      <c r="H1105" t="s">
        <v>49</v>
      </c>
      <c r="I1105" t="s">
        <v>46</v>
      </c>
      <c r="J1105" t="s">
        <v>9</v>
      </c>
      <c r="K1105">
        <v>0</v>
      </c>
    </row>
    <row r="1106" spans="1:11" x14ac:dyDescent="0.25">
      <c r="A1106" t="s">
        <v>16</v>
      </c>
      <c r="B1106" t="s">
        <v>21</v>
      </c>
      <c r="C1106">
        <v>59307832</v>
      </c>
      <c r="D1106" t="s">
        <v>43</v>
      </c>
      <c r="E1106" t="s">
        <v>44</v>
      </c>
      <c r="F1106" s="4">
        <v>41379</v>
      </c>
      <c r="G1106" s="4">
        <v>41389</v>
      </c>
      <c r="H1106" t="s">
        <v>49</v>
      </c>
      <c r="I1106" t="s">
        <v>46</v>
      </c>
      <c r="J1106" t="s">
        <v>10</v>
      </c>
      <c r="K1106">
        <v>3</v>
      </c>
    </row>
    <row r="1107" spans="1:11" x14ac:dyDescent="0.25">
      <c r="A1107" t="s">
        <v>16</v>
      </c>
      <c r="B1107" t="s">
        <v>21</v>
      </c>
      <c r="C1107">
        <v>59307832</v>
      </c>
      <c r="D1107" t="s">
        <v>43</v>
      </c>
      <c r="E1107" t="s">
        <v>44</v>
      </c>
      <c r="F1107" s="4">
        <v>41379</v>
      </c>
      <c r="G1107" s="4">
        <v>41389</v>
      </c>
      <c r="H1107" t="s">
        <v>49</v>
      </c>
      <c r="I1107" t="s">
        <v>46</v>
      </c>
      <c r="J1107" t="s">
        <v>11</v>
      </c>
      <c r="K1107">
        <v>3</v>
      </c>
    </row>
    <row r="1108" spans="1:11" x14ac:dyDescent="0.25">
      <c r="A1108" t="s">
        <v>16</v>
      </c>
      <c r="B1108" t="s">
        <v>21</v>
      </c>
      <c r="C1108">
        <v>59307832</v>
      </c>
      <c r="D1108" t="s">
        <v>43</v>
      </c>
      <c r="E1108" t="s">
        <v>44</v>
      </c>
      <c r="F1108" s="4">
        <v>41379</v>
      </c>
      <c r="G1108" s="4">
        <v>41389</v>
      </c>
      <c r="H1108" t="s">
        <v>49</v>
      </c>
      <c r="I1108" t="s">
        <v>46</v>
      </c>
      <c r="J1108" t="s">
        <v>12</v>
      </c>
      <c r="K1108">
        <v>1</v>
      </c>
    </row>
    <row r="1109" spans="1:11" x14ac:dyDescent="0.25">
      <c r="A1109" t="s">
        <v>16</v>
      </c>
      <c r="B1109" t="s">
        <v>21</v>
      </c>
      <c r="C1109">
        <v>59307832</v>
      </c>
      <c r="D1109" t="s">
        <v>43</v>
      </c>
      <c r="E1109" t="s">
        <v>44</v>
      </c>
      <c r="F1109" s="4">
        <v>41379</v>
      </c>
      <c r="G1109" s="4">
        <v>41389</v>
      </c>
      <c r="H1109" t="s">
        <v>49</v>
      </c>
      <c r="I1109" t="s">
        <v>46</v>
      </c>
      <c r="J1109" t="s">
        <v>13</v>
      </c>
      <c r="K1109">
        <v>0</v>
      </c>
    </row>
    <row r="1110" spans="1:11" x14ac:dyDescent="0.25">
      <c r="A1110" t="s">
        <v>16</v>
      </c>
      <c r="B1110" t="s">
        <v>21</v>
      </c>
      <c r="C1110">
        <v>59307832</v>
      </c>
      <c r="D1110" t="s">
        <v>43</v>
      </c>
      <c r="E1110" t="s">
        <v>44</v>
      </c>
      <c r="F1110" s="4">
        <v>41379</v>
      </c>
      <c r="G1110" s="4">
        <v>41389</v>
      </c>
      <c r="H1110" t="s">
        <v>49</v>
      </c>
      <c r="I1110" t="s">
        <v>46</v>
      </c>
      <c r="J1110" t="s">
        <v>14</v>
      </c>
      <c r="K1110">
        <v>3</v>
      </c>
    </row>
    <row r="1111" spans="1:11" x14ac:dyDescent="0.25">
      <c r="A1111" t="s">
        <v>16</v>
      </c>
      <c r="B1111" t="s">
        <v>21</v>
      </c>
      <c r="C1111">
        <v>59307832</v>
      </c>
      <c r="D1111" t="s">
        <v>43</v>
      </c>
      <c r="E1111" t="s">
        <v>44</v>
      </c>
      <c r="F1111" s="4">
        <v>41379</v>
      </c>
      <c r="G1111" s="4">
        <v>41389</v>
      </c>
      <c r="H1111" t="s">
        <v>49</v>
      </c>
      <c r="I1111" t="s">
        <v>46</v>
      </c>
      <c r="J1111" t="s">
        <v>15</v>
      </c>
      <c r="K1111">
        <v>0</v>
      </c>
    </row>
    <row r="1112" spans="1:11" x14ac:dyDescent="0.25">
      <c r="A1112" t="s">
        <v>16</v>
      </c>
      <c r="B1112" t="s">
        <v>19</v>
      </c>
      <c r="C1112">
        <v>59307832</v>
      </c>
      <c r="D1112" t="s">
        <v>43</v>
      </c>
      <c r="E1112" t="s">
        <v>44</v>
      </c>
      <c r="F1112" s="4">
        <v>41379</v>
      </c>
      <c r="G1112" s="4">
        <v>41401</v>
      </c>
      <c r="H1112" t="s">
        <v>49</v>
      </c>
      <c r="I1112" t="s">
        <v>47</v>
      </c>
      <c r="J1112" t="s">
        <v>6</v>
      </c>
      <c r="K1112">
        <v>1</v>
      </c>
    </row>
    <row r="1113" spans="1:11" x14ac:dyDescent="0.25">
      <c r="A1113" t="s">
        <v>16</v>
      </c>
      <c r="B1113" t="s">
        <v>19</v>
      </c>
      <c r="C1113">
        <v>59307832</v>
      </c>
      <c r="D1113" t="s">
        <v>43</v>
      </c>
      <c r="E1113" t="s">
        <v>44</v>
      </c>
      <c r="F1113" s="4">
        <v>41379</v>
      </c>
      <c r="G1113" s="4">
        <v>41401</v>
      </c>
      <c r="H1113" t="s">
        <v>49</v>
      </c>
      <c r="I1113" t="s">
        <v>47</v>
      </c>
      <c r="J1113" t="s">
        <v>7</v>
      </c>
      <c r="K1113">
        <v>2</v>
      </c>
    </row>
    <row r="1114" spans="1:11" x14ac:dyDescent="0.25">
      <c r="A1114" t="s">
        <v>16</v>
      </c>
      <c r="B1114" t="s">
        <v>19</v>
      </c>
      <c r="C1114">
        <v>59307832</v>
      </c>
      <c r="D1114" t="s">
        <v>43</v>
      </c>
      <c r="E1114" t="s">
        <v>44</v>
      </c>
      <c r="F1114" s="4">
        <v>41379</v>
      </c>
      <c r="G1114" s="4">
        <v>41401</v>
      </c>
      <c r="H1114" t="s">
        <v>49</v>
      </c>
      <c r="I1114" t="s">
        <v>47</v>
      </c>
      <c r="J1114" t="s">
        <v>8</v>
      </c>
      <c r="K1114">
        <v>3</v>
      </c>
    </row>
    <row r="1115" spans="1:11" x14ac:dyDescent="0.25">
      <c r="A1115" t="s">
        <v>16</v>
      </c>
      <c r="B1115" t="s">
        <v>19</v>
      </c>
      <c r="C1115">
        <v>59307832</v>
      </c>
      <c r="D1115" t="s">
        <v>43</v>
      </c>
      <c r="E1115" t="s">
        <v>44</v>
      </c>
      <c r="F1115" s="4">
        <v>41379</v>
      </c>
      <c r="G1115" s="4">
        <v>41401</v>
      </c>
      <c r="H1115" t="s">
        <v>49</v>
      </c>
      <c r="I1115" t="s">
        <v>47</v>
      </c>
      <c r="J1115" t="s">
        <v>9</v>
      </c>
      <c r="K1115">
        <v>1</v>
      </c>
    </row>
    <row r="1116" spans="1:11" x14ac:dyDescent="0.25">
      <c r="A1116" t="s">
        <v>16</v>
      </c>
      <c r="B1116" t="s">
        <v>19</v>
      </c>
      <c r="C1116">
        <v>59307832</v>
      </c>
      <c r="D1116" t="s">
        <v>43</v>
      </c>
      <c r="E1116" t="s">
        <v>44</v>
      </c>
      <c r="F1116" s="4">
        <v>41379</v>
      </c>
      <c r="G1116" s="4">
        <v>41401</v>
      </c>
      <c r="H1116" t="s">
        <v>49</v>
      </c>
      <c r="I1116" t="s">
        <v>47</v>
      </c>
      <c r="J1116" t="s">
        <v>10</v>
      </c>
      <c r="K1116">
        <v>0</v>
      </c>
    </row>
    <row r="1117" spans="1:11" x14ac:dyDescent="0.25">
      <c r="A1117" t="s">
        <v>16</v>
      </c>
      <c r="B1117" t="s">
        <v>19</v>
      </c>
      <c r="C1117">
        <v>59307832</v>
      </c>
      <c r="D1117" t="s">
        <v>43</v>
      </c>
      <c r="E1117" t="s">
        <v>44</v>
      </c>
      <c r="F1117" s="4">
        <v>41379</v>
      </c>
      <c r="G1117" s="4">
        <v>41401</v>
      </c>
      <c r="H1117" t="s">
        <v>49</v>
      </c>
      <c r="I1117" t="s">
        <v>47</v>
      </c>
      <c r="J1117" t="s">
        <v>11</v>
      </c>
      <c r="K1117">
        <v>2</v>
      </c>
    </row>
    <row r="1118" spans="1:11" x14ac:dyDescent="0.25">
      <c r="A1118" t="s">
        <v>16</v>
      </c>
      <c r="B1118" t="s">
        <v>19</v>
      </c>
      <c r="C1118">
        <v>59307832</v>
      </c>
      <c r="D1118" t="s">
        <v>43</v>
      </c>
      <c r="E1118" t="s">
        <v>44</v>
      </c>
      <c r="F1118" s="4">
        <v>41379</v>
      </c>
      <c r="G1118" s="4">
        <v>41401</v>
      </c>
      <c r="H1118" t="s">
        <v>49</v>
      </c>
      <c r="I1118" t="s">
        <v>47</v>
      </c>
      <c r="J1118" t="s">
        <v>12</v>
      </c>
      <c r="K1118">
        <v>2</v>
      </c>
    </row>
    <row r="1119" spans="1:11" x14ac:dyDescent="0.25">
      <c r="A1119" t="s">
        <v>16</v>
      </c>
      <c r="B1119" t="s">
        <v>19</v>
      </c>
      <c r="C1119">
        <v>59307832</v>
      </c>
      <c r="D1119" t="s">
        <v>43</v>
      </c>
      <c r="E1119" t="s">
        <v>44</v>
      </c>
      <c r="F1119" s="4">
        <v>41379</v>
      </c>
      <c r="G1119" s="4">
        <v>41401</v>
      </c>
      <c r="H1119" t="s">
        <v>49</v>
      </c>
      <c r="I1119" t="s">
        <v>47</v>
      </c>
      <c r="J1119" t="s">
        <v>13</v>
      </c>
      <c r="K1119">
        <v>1</v>
      </c>
    </row>
    <row r="1120" spans="1:11" x14ac:dyDescent="0.25">
      <c r="A1120" t="s">
        <v>16</v>
      </c>
      <c r="B1120" t="s">
        <v>19</v>
      </c>
      <c r="C1120">
        <v>59307832</v>
      </c>
      <c r="D1120" t="s">
        <v>43</v>
      </c>
      <c r="E1120" t="s">
        <v>44</v>
      </c>
      <c r="F1120" s="4">
        <v>41379</v>
      </c>
      <c r="G1120" s="4">
        <v>41401</v>
      </c>
      <c r="H1120" t="s">
        <v>49</v>
      </c>
      <c r="I1120" t="s">
        <v>47</v>
      </c>
      <c r="J1120" t="s">
        <v>14</v>
      </c>
      <c r="K1120">
        <v>2</v>
      </c>
    </row>
    <row r="1121" spans="1:11" x14ac:dyDescent="0.25">
      <c r="A1121" t="s">
        <v>16</v>
      </c>
      <c r="B1121" t="s">
        <v>19</v>
      </c>
      <c r="C1121">
        <v>59307832</v>
      </c>
      <c r="D1121" t="s">
        <v>43</v>
      </c>
      <c r="E1121" t="s">
        <v>44</v>
      </c>
      <c r="F1121" s="4">
        <v>41379</v>
      </c>
      <c r="G1121" s="4">
        <v>41401</v>
      </c>
      <c r="H1121" t="s">
        <v>49</v>
      </c>
      <c r="I1121" t="s">
        <v>47</v>
      </c>
      <c r="J1121" t="s">
        <v>15</v>
      </c>
      <c r="K1121">
        <v>0</v>
      </c>
    </row>
    <row r="1122" spans="1:11" x14ac:dyDescent="0.25">
      <c r="A1122" t="s">
        <v>16</v>
      </c>
      <c r="B1122" t="s">
        <v>20</v>
      </c>
      <c r="C1122">
        <v>59307832</v>
      </c>
      <c r="D1122" t="s">
        <v>43</v>
      </c>
      <c r="E1122" t="s">
        <v>44</v>
      </c>
      <c r="F1122" s="4">
        <v>41379</v>
      </c>
      <c r="G1122" s="4">
        <v>41542</v>
      </c>
      <c r="H1122" t="s">
        <v>49</v>
      </c>
      <c r="I1122" t="s">
        <v>47</v>
      </c>
      <c r="J1122" t="s">
        <v>6</v>
      </c>
      <c r="K1122">
        <v>0</v>
      </c>
    </row>
    <row r="1123" spans="1:11" x14ac:dyDescent="0.25">
      <c r="A1123" t="s">
        <v>16</v>
      </c>
      <c r="B1123" t="s">
        <v>20</v>
      </c>
      <c r="C1123">
        <v>59307832</v>
      </c>
      <c r="D1123" t="s">
        <v>43</v>
      </c>
      <c r="E1123" t="s">
        <v>44</v>
      </c>
      <c r="F1123" s="4">
        <v>41379</v>
      </c>
      <c r="G1123" s="4">
        <v>41542</v>
      </c>
      <c r="H1123" t="s">
        <v>49</v>
      </c>
      <c r="I1123" t="s">
        <v>47</v>
      </c>
      <c r="J1123" t="s">
        <v>7</v>
      </c>
      <c r="K1123">
        <v>2</v>
      </c>
    </row>
    <row r="1124" spans="1:11" x14ac:dyDescent="0.25">
      <c r="A1124" t="s">
        <v>16</v>
      </c>
      <c r="B1124" t="s">
        <v>20</v>
      </c>
      <c r="C1124">
        <v>59307832</v>
      </c>
      <c r="D1124" t="s">
        <v>43</v>
      </c>
      <c r="E1124" t="s">
        <v>44</v>
      </c>
      <c r="F1124" s="4">
        <v>41379</v>
      </c>
      <c r="G1124" s="4">
        <v>41542</v>
      </c>
      <c r="H1124" t="s">
        <v>49</v>
      </c>
      <c r="I1124" t="s">
        <v>47</v>
      </c>
      <c r="J1124" t="s">
        <v>8</v>
      </c>
      <c r="K1124">
        <v>0</v>
      </c>
    </row>
    <row r="1125" spans="1:11" x14ac:dyDescent="0.25">
      <c r="A1125" t="s">
        <v>16</v>
      </c>
      <c r="B1125" t="s">
        <v>20</v>
      </c>
      <c r="C1125">
        <v>59307832</v>
      </c>
      <c r="D1125" t="s">
        <v>43</v>
      </c>
      <c r="E1125" t="s">
        <v>44</v>
      </c>
      <c r="F1125" s="4">
        <v>41379</v>
      </c>
      <c r="G1125" s="4">
        <v>41542</v>
      </c>
      <c r="H1125" t="s">
        <v>49</v>
      </c>
      <c r="I1125" t="s">
        <v>47</v>
      </c>
      <c r="J1125" t="s">
        <v>9</v>
      </c>
      <c r="K1125">
        <v>3</v>
      </c>
    </row>
    <row r="1126" spans="1:11" x14ac:dyDescent="0.25">
      <c r="A1126" t="s">
        <v>16</v>
      </c>
      <c r="B1126" t="s">
        <v>20</v>
      </c>
      <c r="C1126">
        <v>59307832</v>
      </c>
      <c r="D1126" t="s">
        <v>43</v>
      </c>
      <c r="E1126" t="s">
        <v>44</v>
      </c>
      <c r="F1126" s="4">
        <v>41379</v>
      </c>
      <c r="G1126" s="4">
        <v>41542</v>
      </c>
      <c r="H1126" t="s">
        <v>49</v>
      </c>
      <c r="I1126" t="s">
        <v>47</v>
      </c>
      <c r="J1126" t="s">
        <v>10</v>
      </c>
      <c r="K1126">
        <v>2</v>
      </c>
    </row>
    <row r="1127" spans="1:11" x14ac:dyDescent="0.25">
      <c r="A1127" t="s">
        <v>16</v>
      </c>
      <c r="B1127" t="s">
        <v>20</v>
      </c>
      <c r="C1127">
        <v>59307832</v>
      </c>
      <c r="D1127" t="s">
        <v>43</v>
      </c>
      <c r="E1127" t="s">
        <v>44</v>
      </c>
      <c r="F1127" s="4">
        <v>41379</v>
      </c>
      <c r="G1127" s="4">
        <v>41542</v>
      </c>
      <c r="H1127" t="s">
        <v>49</v>
      </c>
      <c r="I1127" t="s">
        <v>47</v>
      </c>
      <c r="J1127" t="s">
        <v>11</v>
      </c>
      <c r="K1127">
        <v>2</v>
      </c>
    </row>
    <row r="1128" spans="1:11" x14ac:dyDescent="0.25">
      <c r="A1128" t="s">
        <v>16</v>
      </c>
      <c r="B1128" t="s">
        <v>20</v>
      </c>
      <c r="C1128">
        <v>59307832</v>
      </c>
      <c r="D1128" t="s">
        <v>43</v>
      </c>
      <c r="E1128" t="s">
        <v>44</v>
      </c>
      <c r="F1128" s="4">
        <v>41379</v>
      </c>
      <c r="G1128" s="4">
        <v>41542</v>
      </c>
      <c r="H1128" t="s">
        <v>49</v>
      </c>
      <c r="I1128" t="s">
        <v>47</v>
      </c>
      <c r="J1128" t="s">
        <v>12</v>
      </c>
      <c r="K1128">
        <v>2</v>
      </c>
    </row>
    <row r="1129" spans="1:11" x14ac:dyDescent="0.25">
      <c r="A1129" t="s">
        <v>16</v>
      </c>
      <c r="B1129" t="s">
        <v>20</v>
      </c>
      <c r="C1129">
        <v>59307832</v>
      </c>
      <c r="D1129" t="s">
        <v>43</v>
      </c>
      <c r="E1129" t="s">
        <v>44</v>
      </c>
      <c r="F1129" s="4">
        <v>41379</v>
      </c>
      <c r="G1129" s="4">
        <v>41542</v>
      </c>
      <c r="H1129" t="s">
        <v>49</v>
      </c>
      <c r="I1129" t="s">
        <v>47</v>
      </c>
      <c r="J1129" t="s">
        <v>13</v>
      </c>
      <c r="K1129">
        <v>2</v>
      </c>
    </row>
    <row r="1130" spans="1:11" x14ac:dyDescent="0.25">
      <c r="A1130" t="s">
        <v>16</v>
      </c>
      <c r="B1130" t="s">
        <v>20</v>
      </c>
      <c r="C1130">
        <v>59307832</v>
      </c>
      <c r="D1130" t="s">
        <v>43</v>
      </c>
      <c r="E1130" t="s">
        <v>44</v>
      </c>
      <c r="F1130" s="4">
        <v>41379</v>
      </c>
      <c r="G1130" s="4">
        <v>41542</v>
      </c>
      <c r="H1130" t="s">
        <v>49</v>
      </c>
      <c r="I1130" t="s">
        <v>47</v>
      </c>
      <c r="J1130" t="s">
        <v>14</v>
      </c>
      <c r="K1130">
        <v>3</v>
      </c>
    </row>
    <row r="1131" spans="1:11" x14ac:dyDescent="0.25">
      <c r="A1131" t="s">
        <v>16</v>
      </c>
      <c r="B1131" t="s">
        <v>20</v>
      </c>
      <c r="C1131">
        <v>59307832</v>
      </c>
      <c r="D1131" t="s">
        <v>43</v>
      </c>
      <c r="E1131" t="s">
        <v>44</v>
      </c>
      <c r="F1131" s="4">
        <v>41379</v>
      </c>
      <c r="G1131" s="4">
        <v>41542</v>
      </c>
      <c r="H1131" t="s">
        <v>49</v>
      </c>
      <c r="I1131" t="s">
        <v>47</v>
      </c>
      <c r="J1131" t="s">
        <v>15</v>
      </c>
      <c r="K1131">
        <v>0</v>
      </c>
    </row>
    <row r="1132" spans="1:11" x14ac:dyDescent="0.25">
      <c r="A1132" t="s">
        <v>16</v>
      </c>
      <c r="B1132" t="s">
        <v>21</v>
      </c>
      <c r="C1132">
        <v>59307832</v>
      </c>
      <c r="D1132" t="s">
        <v>43</v>
      </c>
      <c r="E1132" t="s">
        <v>44</v>
      </c>
      <c r="F1132" s="4">
        <v>41379</v>
      </c>
      <c r="G1132" s="4">
        <v>41663</v>
      </c>
      <c r="H1132" t="s">
        <v>49</v>
      </c>
      <c r="I1132" t="s">
        <v>47</v>
      </c>
      <c r="J1132" t="s">
        <v>6</v>
      </c>
      <c r="K1132">
        <v>2</v>
      </c>
    </row>
    <row r="1133" spans="1:11" x14ac:dyDescent="0.25">
      <c r="A1133" t="s">
        <v>16</v>
      </c>
      <c r="B1133" t="s">
        <v>21</v>
      </c>
      <c r="C1133">
        <v>59307832</v>
      </c>
      <c r="D1133" t="s">
        <v>43</v>
      </c>
      <c r="E1133" t="s">
        <v>44</v>
      </c>
      <c r="F1133" s="4">
        <v>41379</v>
      </c>
      <c r="G1133" s="4">
        <v>41663</v>
      </c>
      <c r="H1133" t="s">
        <v>49</v>
      </c>
      <c r="I1133" t="s">
        <v>47</v>
      </c>
      <c r="J1133" t="s">
        <v>7</v>
      </c>
      <c r="K1133">
        <v>2</v>
      </c>
    </row>
    <row r="1134" spans="1:11" x14ac:dyDescent="0.25">
      <c r="A1134" t="s">
        <v>16</v>
      </c>
      <c r="B1134" t="s">
        <v>21</v>
      </c>
      <c r="C1134">
        <v>59307832</v>
      </c>
      <c r="D1134" t="s">
        <v>43</v>
      </c>
      <c r="E1134" t="s">
        <v>44</v>
      </c>
      <c r="F1134" s="4">
        <v>41379</v>
      </c>
      <c r="G1134" s="4">
        <v>41663</v>
      </c>
      <c r="H1134" t="s">
        <v>49</v>
      </c>
      <c r="I1134" t="s">
        <v>47</v>
      </c>
      <c r="J1134" t="s">
        <v>8</v>
      </c>
      <c r="K1134">
        <v>2</v>
      </c>
    </row>
    <row r="1135" spans="1:11" x14ac:dyDescent="0.25">
      <c r="A1135" t="s">
        <v>16</v>
      </c>
      <c r="B1135" t="s">
        <v>21</v>
      </c>
      <c r="C1135">
        <v>59307832</v>
      </c>
      <c r="D1135" t="s">
        <v>43</v>
      </c>
      <c r="E1135" t="s">
        <v>44</v>
      </c>
      <c r="F1135" s="4">
        <v>41379</v>
      </c>
      <c r="G1135" s="4">
        <v>41663</v>
      </c>
      <c r="H1135" t="s">
        <v>49</v>
      </c>
      <c r="I1135" t="s">
        <v>47</v>
      </c>
      <c r="J1135" t="s">
        <v>9</v>
      </c>
      <c r="K1135">
        <v>3</v>
      </c>
    </row>
    <row r="1136" spans="1:11" x14ac:dyDescent="0.25">
      <c r="A1136" t="s">
        <v>16</v>
      </c>
      <c r="B1136" t="s">
        <v>21</v>
      </c>
      <c r="C1136">
        <v>59307832</v>
      </c>
      <c r="D1136" t="s">
        <v>43</v>
      </c>
      <c r="E1136" t="s">
        <v>44</v>
      </c>
      <c r="F1136" s="4">
        <v>41379</v>
      </c>
      <c r="G1136" s="4">
        <v>41663</v>
      </c>
      <c r="H1136" t="s">
        <v>49</v>
      </c>
      <c r="I1136" t="s">
        <v>47</v>
      </c>
      <c r="J1136" t="s">
        <v>10</v>
      </c>
      <c r="K1136">
        <v>3</v>
      </c>
    </row>
    <row r="1137" spans="1:11" x14ac:dyDescent="0.25">
      <c r="A1137" t="s">
        <v>16</v>
      </c>
      <c r="B1137" t="s">
        <v>21</v>
      </c>
      <c r="C1137">
        <v>59307832</v>
      </c>
      <c r="D1137" t="s">
        <v>43</v>
      </c>
      <c r="E1137" t="s">
        <v>44</v>
      </c>
      <c r="F1137" s="4">
        <v>41379</v>
      </c>
      <c r="G1137" s="4">
        <v>41663</v>
      </c>
      <c r="H1137" t="s">
        <v>49</v>
      </c>
      <c r="I1137" t="s">
        <v>47</v>
      </c>
      <c r="J1137" t="s">
        <v>11</v>
      </c>
      <c r="K1137">
        <v>1</v>
      </c>
    </row>
    <row r="1138" spans="1:11" x14ac:dyDescent="0.25">
      <c r="A1138" t="s">
        <v>16</v>
      </c>
      <c r="B1138" t="s">
        <v>21</v>
      </c>
      <c r="C1138">
        <v>59307832</v>
      </c>
      <c r="D1138" t="s">
        <v>43</v>
      </c>
      <c r="E1138" t="s">
        <v>44</v>
      </c>
      <c r="F1138" s="4">
        <v>41379</v>
      </c>
      <c r="G1138" s="4">
        <v>41663</v>
      </c>
      <c r="H1138" t="s">
        <v>49</v>
      </c>
      <c r="I1138" t="s">
        <v>47</v>
      </c>
      <c r="J1138" t="s">
        <v>12</v>
      </c>
      <c r="K1138">
        <v>1</v>
      </c>
    </row>
    <row r="1139" spans="1:11" x14ac:dyDescent="0.25">
      <c r="A1139" t="s">
        <v>16</v>
      </c>
      <c r="B1139" t="s">
        <v>21</v>
      </c>
      <c r="C1139">
        <v>59307832</v>
      </c>
      <c r="D1139" t="s">
        <v>43</v>
      </c>
      <c r="E1139" t="s">
        <v>44</v>
      </c>
      <c r="F1139" s="4">
        <v>41379</v>
      </c>
      <c r="G1139" s="4">
        <v>41663</v>
      </c>
      <c r="H1139" t="s">
        <v>49</v>
      </c>
      <c r="I1139" t="s">
        <v>47</v>
      </c>
      <c r="J1139" t="s">
        <v>13</v>
      </c>
      <c r="K1139">
        <v>2</v>
      </c>
    </row>
    <row r="1140" spans="1:11" x14ac:dyDescent="0.25">
      <c r="A1140" t="s">
        <v>16</v>
      </c>
      <c r="B1140" t="s">
        <v>21</v>
      </c>
      <c r="C1140">
        <v>59307832</v>
      </c>
      <c r="D1140" t="s">
        <v>43</v>
      </c>
      <c r="E1140" t="s">
        <v>44</v>
      </c>
      <c r="F1140" s="4">
        <v>41379</v>
      </c>
      <c r="G1140" s="4">
        <v>41663</v>
      </c>
      <c r="H1140" t="s">
        <v>49</v>
      </c>
      <c r="I1140" t="s">
        <v>47</v>
      </c>
      <c r="J1140" t="s">
        <v>14</v>
      </c>
      <c r="K1140">
        <v>3</v>
      </c>
    </row>
    <row r="1141" spans="1:11" x14ac:dyDescent="0.25">
      <c r="A1141" t="s">
        <v>16</v>
      </c>
      <c r="B1141" t="s">
        <v>21</v>
      </c>
      <c r="C1141">
        <v>59307832</v>
      </c>
      <c r="D1141" t="s">
        <v>43</v>
      </c>
      <c r="E1141" t="s">
        <v>44</v>
      </c>
      <c r="F1141" s="4">
        <v>41379</v>
      </c>
      <c r="G1141" s="4">
        <v>41663</v>
      </c>
      <c r="H1141" t="s">
        <v>49</v>
      </c>
      <c r="I1141" t="s">
        <v>47</v>
      </c>
      <c r="J1141" t="s">
        <v>15</v>
      </c>
      <c r="K1141">
        <v>0</v>
      </c>
    </row>
    <row r="1142" spans="1:11" x14ac:dyDescent="0.25">
      <c r="A1142" t="s">
        <v>16</v>
      </c>
      <c r="B1142" t="s">
        <v>19</v>
      </c>
      <c r="C1142">
        <v>59307832</v>
      </c>
      <c r="D1142" t="s">
        <v>43</v>
      </c>
      <c r="E1142" t="s">
        <v>44</v>
      </c>
      <c r="F1142" s="4">
        <v>41379</v>
      </c>
      <c r="G1142" s="4">
        <v>41727</v>
      </c>
      <c r="H1142" t="s">
        <v>49</v>
      </c>
      <c r="I1142" t="s">
        <v>47</v>
      </c>
      <c r="J1142" t="s">
        <v>6</v>
      </c>
      <c r="K1142">
        <v>0</v>
      </c>
    </row>
    <row r="1143" spans="1:11" x14ac:dyDescent="0.25">
      <c r="A1143" t="s">
        <v>16</v>
      </c>
      <c r="B1143" t="s">
        <v>19</v>
      </c>
      <c r="C1143">
        <v>59307832</v>
      </c>
      <c r="D1143" t="s">
        <v>43</v>
      </c>
      <c r="E1143" t="s">
        <v>44</v>
      </c>
      <c r="F1143" s="4">
        <v>41379</v>
      </c>
      <c r="G1143" s="4">
        <v>41727</v>
      </c>
      <c r="H1143" t="s">
        <v>49</v>
      </c>
      <c r="I1143" t="s">
        <v>47</v>
      </c>
      <c r="J1143" t="s">
        <v>7</v>
      </c>
      <c r="K1143">
        <v>1</v>
      </c>
    </row>
    <row r="1144" spans="1:11" x14ac:dyDescent="0.25">
      <c r="A1144" t="s">
        <v>16</v>
      </c>
      <c r="B1144" t="s">
        <v>19</v>
      </c>
      <c r="C1144">
        <v>59307832</v>
      </c>
      <c r="D1144" t="s">
        <v>43</v>
      </c>
      <c r="E1144" t="s">
        <v>44</v>
      </c>
      <c r="F1144" s="4">
        <v>41379</v>
      </c>
      <c r="G1144" s="4">
        <v>41727</v>
      </c>
      <c r="H1144" t="s">
        <v>49</v>
      </c>
      <c r="I1144" t="s">
        <v>47</v>
      </c>
      <c r="J1144" t="s">
        <v>8</v>
      </c>
      <c r="K1144">
        <v>2</v>
      </c>
    </row>
    <row r="1145" spans="1:11" x14ac:dyDescent="0.25">
      <c r="A1145" t="s">
        <v>16</v>
      </c>
      <c r="B1145" t="s">
        <v>19</v>
      </c>
      <c r="C1145">
        <v>59307832</v>
      </c>
      <c r="D1145" t="s">
        <v>43</v>
      </c>
      <c r="E1145" t="s">
        <v>44</v>
      </c>
      <c r="F1145" s="4">
        <v>41379</v>
      </c>
      <c r="G1145" s="4">
        <v>41727</v>
      </c>
      <c r="H1145" t="s">
        <v>49</v>
      </c>
      <c r="I1145" t="s">
        <v>47</v>
      </c>
      <c r="J1145" t="s">
        <v>9</v>
      </c>
      <c r="K1145">
        <v>1</v>
      </c>
    </row>
    <row r="1146" spans="1:11" x14ac:dyDescent="0.25">
      <c r="A1146" t="s">
        <v>16</v>
      </c>
      <c r="B1146" t="s">
        <v>19</v>
      </c>
      <c r="C1146">
        <v>59307832</v>
      </c>
      <c r="D1146" t="s">
        <v>43</v>
      </c>
      <c r="E1146" t="s">
        <v>44</v>
      </c>
      <c r="F1146" s="4">
        <v>41379</v>
      </c>
      <c r="G1146" s="4">
        <v>41727</v>
      </c>
      <c r="H1146" t="s">
        <v>49</v>
      </c>
      <c r="I1146" t="s">
        <v>47</v>
      </c>
      <c r="J1146" t="s">
        <v>10</v>
      </c>
      <c r="K1146">
        <v>1</v>
      </c>
    </row>
    <row r="1147" spans="1:11" x14ac:dyDescent="0.25">
      <c r="A1147" t="s">
        <v>16</v>
      </c>
      <c r="B1147" t="s">
        <v>19</v>
      </c>
      <c r="C1147">
        <v>59307832</v>
      </c>
      <c r="D1147" t="s">
        <v>43</v>
      </c>
      <c r="E1147" t="s">
        <v>44</v>
      </c>
      <c r="F1147" s="4">
        <v>41379</v>
      </c>
      <c r="G1147" s="4">
        <v>41727</v>
      </c>
      <c r="H1147" t="s">
        <v>49</v>
      </c>
      <c r="I1147" t="s">
        <v>47</v>
      </c>
      <c r="J1147" t="s">
        <v>11</v>
      </c>
      <c r="K1147">
        <v>1</v>
      </c>
    </row>
    <row r="1148" spans="1:11" x14ac:dyDescent="0.25">
      <c r="A1148" t="s">
        <v>16</v>
      </c>
      <c r="B1148" t="s">
        <v>19</v>
      </c>
      <c r="C1148">
        <v>59307832</v>
      </c>
      <c r="D1148" t="s">
        <v>43</v>
      </c>
      <c r="E1148" t="s">
        <v>44</v>
      </c>
      <c r="F1148" s="4">
        <v>41379</v>
      </c>
      <c r="G1148" s="4">
        <v>41727</v>
      </c>
      <c r="H1148" t="s">
        <v>49</v>
      </c>
      <c r="I1148" t="s">
        <v>47</v>
      </c>
      <c r="J1148" t="s">
        <v>12</v>
      </c>
      <c r="K1148">
        <v>2</v>
      </c>
    </row>
    <row r="1149" spans="1:11" x14ac:dyDescent="0.25">
      <c r="A1149" t="s">
        <v>16</v>
      </c>
      <c r="B1149" t="s">
        <v>19</v>
      </c>
      <c r="C1149">
        <v>59307832</v>
      </c>
      <c r="D1149" t="s">
        <v>43</v>
      </c>
      <c r="E1149" t="s">
        <v>44</v>
      </c>
      <c r="F1149" s="4">
        <v>41379</v>
      </c>
      <c r="G1149" s="4">
        <v>41727</v>
      </c>
      <c r="H1149" t="s">
        <v>49</v>
      </c>
      <c r="I1149" t="s">
        <v>47</v>
      </c>
      <c r="J1149" t="s">
        <v>13</v>
      </c>
      <c r="K1149">
        <v>2</v>
      </c>
    </row>
    <row r="1150" spans="1:11" x14ac:dyDescent="0.25">
      <c r="A1150" t="s">
        <v>16</v>
      </c>
      <c r="B1150" t="s">
        <v>19</v>
      </c>
      <c r="C1150">
        <v>59307832</v>
      </c>
      <c r="D1150" t="s">
        <v>43</v>
      </c>
      <c r="E1150" t="s">
        <v>44</v>
      </c>
      <c r="F1150" s="4">
        <v>41379</v>
      </c>
      <c r="G1150" s="4">
        <v>41727</v>
      </c>
      <c r="H1150" t="s">
        <v>49</v>
      </c>
      <c r="I1150" t="s">
        <v>47</v>
      </c>
      <c r="J1150" t="s">
        <v>14</v>
      </c>
      <c r="K1150">
        <v>0</v>
      </c>
    </row>
    <row r="1151" spans="1:11" x14ac:dyDescent="0.25">
      <c r="A1151" t="s">
        <v>16</v>
      </c>
      <c r="B1151" t="s">
        <v>19</v>
      </c>
      <c r="C1151">
        <v>59307832</v>
      </c>
      <c r="D1151" t="s">
        <v>43</v>
      </c>
      <c r="E1151" t="s">
        <v>44</v>
      </c>
      <c r="F1151" s="4">
        <v>41379</v>
      </c>
      <c r="G1151" s="4">
        <v>41727</v>
      </c>
      <c r="H1151" t="s">
        <v>49</v>
      </c>
      <c r="I1151" t="s">
        <v>47</v>
      </c>
      <c r="J1151" t="s">
        <v>15</v>
      </c>
      <c r="K1151">
        <v>0</v>
      </c>
    </row>
    <row r="1152" spans="1:11" x14ac:dyDescent="0.25">
      <c r="A1152" t="s">
        <v>16</v>
      </c>
      <c r="B1152" t="s">
        <v>20</v>
      </c>
      <c r="C1152">
        <v>59307832</v>
      </c>
      <c r="D1152" t="s">
        <v>43</v>
      </c>
      <c r="E1152" t="s">
        <v>44</v>
      </c>
      <c r="F1152" s="4">
        <v>41379</v>
      </c>
      <c r="G1152" s="4">
        <v>41737</v>
      </c>
      <c r="H1152" t="s">
        <v>49</v>
      </c>
      <c r="I1152" t="s">
        <v>47</v>
      </c>
      <c r="J1152" t="s">
        <v>6</v>
      </c>
      <c r="K1152">
        <v>3</v>
      </c>
    </row>
    <row r="1153" spans="1:11" x14ac:dyDescent="0.25">
      <c r="A1153" t="s">
        <v>16</v>
      </c>
      <c r="B1153" t="s">
        <v>20</v>
      </c>
      <c r="C1153">
        <v>59307832</v>
      </c>
      <c r="D1153" t="s">
        <v>43</v>
      </c>
      <c r="E1153" t="s">
        <v>44</v>
      </c>
      <c r="F1153" s="4">
        <v>41379</v>
      </c>
      <c r="G1153" s="4">
        <v>41737</v>
      </c>
      <c r="H1153" t="s">
        <v>49</v>
      </c>
      <c r="I1153" t="s">
        <v>47</v>
      </c>
      <c r="J1153" t="s">
        <v>7</v>
      </c>
      <c r="K1153">
        <v>1</v>
      </c>
    </row>
    <row r="1154" spans="1:11" x14ac:dyDescent="0.25">
      <c r="A1154" t="s">
        <v>16</v>
      </c>
      <c r="B1154" t="s">
        <v>20</v>
      </c>
      <c r="C1154">
        <v>59307832</v>
      </c>
      <c r="D1154" t="s">
        <v>43</v>
      </c>
      <c r="E1154" t="s">
        <v>44</v>
      </c>
      <c r="F1154" s="4">
        <v>41379</v>
      </c>
      <c r="G1154" s="4">
        <v>41737</v>
      </c>
      <c r="H1154" t="s">
        <v>49</v>
      </c>
      <c r="I1154" t="s">
        <v>47</v>
      </c>
      <c r="J1154" t="s">
        <v>8</v>
      </c>
      <c r="K1154">
        <v>3</v>
      </c>
    </row>
    <row r="1155" spans="1:11" x14ac:dyDescent="0.25">
      <c r="A1155" t="s">
        <v>16</v>
      </c>
      <c r="B1155" t="s">
        <v>20</v>
      </c>
      <c r="C1155">
        <v>59307832</v>
      </c>
      <c r="D1155" t="s">
        <v>43</v>
      </c>
      <c r="E1155" t="s">
        <v>44</v>
      </c>
      <c r="F1155" s="4">
        <v>41379</v>
      </c>
      <c r="G1155" s="4">
        <v>41737</v>
      </c>
      <c r="H1155" t="s">
        <v>49</v>
      </c>
      <c r="I1155" t="s">
        <v>47</v>
      </c>
      <c r="J1155" t="s">
        <v>9</v>
      </c>
      <c r="K1155">
        <v>1</v>
      </c>
    </row>
    <row r="1156" spans="1:11" x14ac:dyDescent="0.25">
      <c r="A1156" t="s">
        <v>16</v>
      </c>
      <c r="B1156" t="s">
        <v>20</v>
      </c>
      <c r="C1156">
        <v>59307832</v>
      </c>
      <c r="D1156" t="s">
        <v>43</v>
      </c>
      <c r="E1156" t="s">
        <v>44</v>
      </c>
      <c r="F1156" s="4">
        <v>41379</v>
      </c>
      <c r="G1156" s="4">
        <v>41737</v>
      </c>
      <c r="H1156" t="s">
        <v>49</v>
      </c>
      <c r="I1156" t="s">
        <v>47</v>
      </c>
      <c r="J1156" t="s">
        <v>10</v>
      </c>
      <c r="K1156">
        <v>1</v>
      </c>
    </row>
    <row r="1157" spans="1:11" x14ac:dyDescent="0.25">
      <c r="A1157" t="s">
        <v>16</v>
      </c>
      <c r="B1157" t="s">
        <v>20</v>
      </c>
      <c r="C1157">
        <v>59307832</v>
      </c>
      <c r="D1157" t="s">
        <v>43</v>
      </c>
      <c r="E1157" t="s">
        <v>44</v>
      </c>
      <c r="F1157" s="4">
        <v>41379</v>
      </c>
      <c r="G1157" s="4">
        <v>41737</v>
      </c>
      <c r="H1157" t="s">
        <v>49</v>
      </c>
      <c r="I1157" t="s">
        <v>47</v>
      </c>
      <c r="J1157" t="s">
        <v>11</v>
      </c>
      <c r="K1157">
        <v>2</v>
      </c>
    </row>
    <row r="1158" spans="1:11" x14ac:dyDescent="0.25">
      <c r="A1158" t="s">
        <v>16</v>
      </c>
      <c r="B1158" t="s">
        <v>20</v>
      </c>
      <c r="C1158">
        <v>59307832</v>
      </c>
      <c r="D1158" t="s">
        <v>43</v>
      </c>
      <c r="E1158" t="s">
        <v>44</v>
      </c>
      <c r="F1158" s="4">
        <v>41379</v>
      </c>
      <c r="G1158" s="4">
        <v>41737</v>
      </c>
      <c r="H1158" t="s">
        <v>49</v>
      </c>
      <c r="I1158" t="s">
        <v>47</v>
      </c>
      <c r="J1158" t="s">
        <v>12</v>
      </c>
      <c r="K1158">
        <v>3</v>
      </c>
    </row>
    <row r="1159" spans="1:11" x14ac:dyDescent="0.25">
      <c r="A1159" t="s">
        <v>16</v>
      </c>
      <c r="B1159" t="s">
        <v>20</v>
      </c>
      <c r="C1159">
        <v>59307832</v>
      </c>
      <c r="D1159" t="s">
        <v>43</v>
      </c>
      <c r="E1159" t="s">
        <v>44</v>
      </c>
      <c r="F1159" s="4">
        <v>41379</v>
      </c>
      <c r="G1159" s="4">
        <v>41737</v>
      </c>
      <c r="H1159" t="s">
        <v>49</v>
      </c>
      <c r="I1159" t="s">
        <v>47</v>
      </c>
      <c r="J1159" t="s">
        <v>13</v>
      </c>
      <c r="K1159">
        <v>1</v>
      </c>
    </row>
    <row r="1160" spans="1:11" x14ac:dyDescent="0.25">
      <c r="A1160" t="s">
        <v>16</v>
      </c>
      <c r="B1160" t="s">
        <v>20</v>
      </c>
      <c r="C1160">
        <v>59307832</v>
      </c>
      <c r="D1160" t="s">
        <v>43</v>
      </c>
      <c r="E1160" t="s">
        <v>44</v>
      </c>
      <c r="F1160" s="4">
        <v>41379</v>
      </c>
      <c r="G1160" s="4">
        <v>41737</v>
      </c>
      <c r="H1160" t="s">
        <v>49</v>
      </c>
      <c r="I1160" t="s">
        <v>47</v>
      </c>
      <c r="J1160" t="s">
        <v>14</v>
      </c>
      <c r="K1160">
        <v>1</v>
      </c>
    </row>
    <row r="1161" spans="1:11" x14ac:dyDescent="0.25">
      <c r="A1161" t="s">
        <v>16</v>
      </c>
      <c r="B1161" t="s">
        <v>20</v>
      </c>
      <c r="C1161">
        <v>59307832</v>
      </c>
      <c r="D1161" t="s">
        <v>43</v>
      </c>
      <c r="E1161" t="s">
        <v>44</v>
      </c>
      <c r="F1161" s="4">
        <v>41379</v>
      </c>
      <c r="G1161" s="4">
        <v>41737</v>
      </c>
      <c r="H1161" t="s">
        <v>49</v>
      </c>
      <c r="I1161" t="s">
        <v>47</v>
      </c>
      <c r="J1161" t="s">
        <v>15</v>
      </c>
      <c r="K1161">
        <v>0</v>
      </c>
    </row>
    <row r="1162" spans="1:11" x14ac:dyDescent="0.25">
      <c r="A1162" t="s">
        <v>16</v>
      </c>
      <c r="B1162" t="s">
        <v>21</v>
      </c>
      <c r="C1162">
        <v>59307832</v>
      </c>
      <c r="D1162" t="s">
        <v>43</v>
      </c>
      <c r="E1162" t="s">
        <v>44</v>
      </c>
      <c r="F1162" s="4">
        <v>41379</v>
      </c>
      <c r="G1162" s="4">
        <v>41858</v>
      </c>
      <c r="H1162" t="s">
        <v>49</v>
      </c>
      <c r="I1162" t="s">
        <v>47</v>
      </c>
      <c r="J1162" t="s">
        <v>6</v>
      </c>
      <c r="K1162">
        <v>1</v>
      </c>
    </row>
    <row r="1163" spans="1:11" x14ac:dyDescent="0.25">
      <c r="A1163" t="s">
        <v>16</v>
      </c>
      <c r="B1163" t="s">
        <v>21</v>
      </c>
      <c r="C1163">
        <v>59307832</v>
      </c>
      <c r="D1163" t="s">
        <v>43</v>
      </c>
      <c r="E1163" t="s">
        <v>44</v>
      </c>
      <c r="F1163" s="4">
        <v>41379</v>
      </c>
      <c r="G1163" s="4">
        <v>41858</v>
      </c>
      <c r="H1163" t="s">
        <v>49</v>
      </c>
      <c r="I1163" t="s">
        <v>47</v>
      </c>
      <c r="J1163" t="s">
        <v>7</v>
      </c>
      <c r="K1163">
        <v>2</v>
      </c>
    </row>
    <row r="1164" spans="1:11" x14ac:dyDescent="0.25">
      <c r="A1164" t="s">
        <v>16</v>
      </c>
      <c r="B1164" t="s">
        <v>21</v>
      </c>
      <c r="C1164">
        <v>59307832</v>
      </c>
      <c r="D1164" t="s">
        <v>43</v>
      </c>
      <c r="E1164" t="s">
        <v>44</v>
      </c>
      <c r="F1164" s="4">
        <v>41379</v>
      </c>
      <c r="G1164" s="4">
        <v>41858</v>
      </c>
      <c r="H1164" t="s">
        <v>49</v>
      </c>
      <c r="I1164" t="s">
        <v>47</v>
      </c>
      <c r="J1164" t="s">
        <v>8</v>
      </c>
      <c r="K1164">
        <v>2</v>
      </c>
    </row>
    <row r="1165" spans="1:11" x14ac:dyDescent="0.25">
      <c r="A1165" t="s">
        <v>16</v>
      </c>
      <c r="B1165" t="s">
        <v>21</v>
      </c>
      <c r="C1165">
        <v>59307832</v>
      </c>
      <c r="D1165" t="s">
        <v>43</v>
      </c>
      <c r="E1165" t="s">
        <v>44</v>
      </c>
      <c r="F1165" s="4">
        <v>41379</v>
      </c>
      <c r="G1165" s="4">
        <v>41858</v>
      </c>
      <c r="H1165" t="s">
        <v>49</v>
      </c>
      <c r="I1165" t="s">
        <v>47</v>
      </c>
      <c r="J1165" t="s">
        <v>9</v>
      </c>
      <c r="K1165">
        <v>0</v>
      </c>
    </row>
    <row r="1166" spans="1:11" x14ac:dyDescent="0.25">
      <c r="A1166" t="s">
        <v>16</v>
      </c>
      <c r="B1166" t="s">
        <v>21</v>
      </c>
      <c r="C1166">
        <v>59307832</v>
      </c>
      <c r="D1166" t="s">
        <v>43</v>
      </c>
      <c r="E1166" t="s">
        <v>44</v>
      </c>
      <c r="F1166" s="4">
        <v>41379</v>
      </c>
      <c r="G1166" s="4">
        <v>41858</v>
      </c>
      <c r="H1166" t="s">
        <v>49</v>
      </c>
      <c r="I1166" t="s">
        <v>47</v>
      </c>
      <c r="J1166" t="s">
        <v>10</v>
      </c>
      <c r="K1166">
        <v>1</v>
      </c>
    </row>
    <row r="1167" spans="1:11" x14ac:dyDescent="0.25">
      <c r="A1167" t="s">
        <v>16</v>
      </c>
      <c r="B1167" t="s">
        <v>21</v>
      </c>
      <c r="C1167">
        <v>59307832</v>
      </c>
      <c r="D1167" t="s">
        <v>43</v>
      </c>
      <c r="E1167" t="s">
        <v>44</v>
      </c>
      <c r="F1167" s="4">
        <v>41379</v>
      </c>
      <c r="G1167" s="4">
        <v>41858</v>
      </c>
      <c r="H1167" t="s">
        <v>49</v>
      </c>
      <c r="I1167" t="s">
        <v>47</v>
      </c>
      <c r="J1167" t="s">
        <v>11</v>
      </c>
      <c r="K1167">
        <v>0</v>
      </c>
    </row>
    <row r="1168" spans="1:11" x14ac:dyDescent="0.25">
      <c r="A1168" t="s">
        <v>16</v>
      </c>
      <c r="B1168" t="s">
        <v>21</v>
      </c>
      <c r="C1168">
        <v>59307832</v>
      </c>
      <c r="D1168" t="s">
        <v>43</v>
      </c>
      <c r="E1168" t="s">
        <v>44</v>
      </c>
      <c r="F1168" s="4">
        <v>41379</v>
      </c>
      <c r="G1168" s="4">
        <v>41858</v>
      </c>
      <c r="H1168" t="s">
        <v>49</v>
      </c>
      <c r="I1168" t="s">
        <v>47</v>
      </c>
      <c r="J1168" t="s">
        <v>12</v>
      </c>
      <c r="K1168">
        <v>2</v>
      </c>
    </row>
    <row r="1169" spans="1:11" x14ac:dyDescent="0.25">
      <c r="A1169" t="s">
        <v>16</v>
      </c>
      <c r="B1169" t="s">
        <v>21</v>
      </c>
      <c r="C1169">
        <v>59307832</v>
      </c>
      <c r="D1169" t="s">
        <v>43</v>
      </c>
      <c r="E1169" t="s">
        <v>44</v>
      </c>
      <c r="F1169" s="4">
        <v>41379</v>
      </c>
      <c r="G1169" s="4">
        <v>41858</v>
      </c>
      <c r="H1169" t="s">
        <v>49</v>
      </c>
      <c r="I1169" t="s">
        <v>47</v>
      </c>
      <c r="J1169" t="s">
        <v>13</v>
      </c>
      <c r="K1169">
        <v>0</v>
      </c>
    </row>
    <row r="1170" spans="1:11" x14ac:dyDescent="0.25">
      <c r="A1170" t="s">
        <v>16</v>
      </c>
      <c r="B1170" t="s">
        <v>21</v>
      </c>
      <c r="C1170">
        <v>59307832</v>
      </c>
      <c r="D1170" t="s">
        <v>43</v>
      </c>
      <c r="E1170" t="s">
        <v>44</v>
      </c>
      <c r="F1170" s="4">
        <v>41379</v>
      </c>
      <c r="G1170" s="4">
        <v>41858</v>
      </c>
      <c r="H1170" t="s">
        <v>49</v>
      </c>
      <c r="I1170" t="s">
        <v>47</v>
      </c>
      <c r="J1170" t="s">
        <v>14</v>
      </c>
      <c r="K1170">
        <v>1</v>
      </c>
    </row>
    <row r="1171" spans="1:11" x14ac:dyDescent="0.25">
      <c r="A1171" t="s">
        <v>16</v>
      </c>
      <c r="B1171" t="s">
        <v>21</v>
      </c>
      <c r="C1171">
        <v>59307832</v>
      </c>
      <c r="D1171" t="s">
        <v>43</v>
      </c>
      <c r="E1171" t="s">
        <v>44</v>
      </c>
      <c r="F1171" s="4">
        <v>41379</v>
      </c>
      <c r="G1171" s="4">
        <v>41858</v>
      </c>
      <c r="H1171" t="s">
        <v>49</v>
      </c>
      <c r="I1171" t="s">
        <v>47</v>
      </c>
      <c r="J1171" t="s">
        <v>15</v>
      </c>
      <c r="K1171">
        <v>0</v>
      </c>
    </row>
    <row r="1172" spans="1:11" x14ac:dyDescent="0.25">
      <c r="A1172" t="s">
        <v>16</v>
      </c>
      <c r="B1172" t="s">
        <v>19</v>
      </c>
      <c r="C1172">
        <v>59307832</v>
      </c>
      <c r="D1172" t="s">
        <v>43</v>
      </c>
      <c r="E1172" t="s">
        <v>44</v>
      </c>
      <c r="F1172" s="4">
        <v>41379</v>
      </c>
      <c r="G1172" s="4">
        <v>41900</v>
      </c>
      <c r="H1172" t="s">
        <v>49</v>
      </c>
      <c r="I1172" t="s">
        <v>47</v>
      </c>
      <c r="J1172" t="s">
        <v>6</v>
      </c>
      <c r="K1172">
        <v>1</v>
      </c>
    </row>
    <row r="1173" spans="1:11" x14ac:dyDescent="0.25">
      <c r="A1173" t="s">
        <v>16</v>
      </c>
      <c r="B1173" t="s">
        <v>19</v>
      </c>
      <c r="C1173">
        <v>59307832</v>
      </c>
      <c r="D1173" t="s">
        <v>43</v>
      </c>
      <c r="E1173" t="s">
        <v>44</v>
      </c>
      <c r="F1173" s="4">
        <v>41379</v>
      </c>
      <c r="G1173" s="4">
        <v>41900</v>
      </c>
      <c r="H1173" t="s">
        <v>49</v>
      </c>
      <c r="I1173" t="s">
        <v>47</v>
      </c>
      <c r="J1173" t="s">
        <v>7</v>
      </c>
      <c r="K1173">
        <v>2</v>
      </c>
    </row>
    <row r="1174" spans="1:11" x14ac:dyDescent="0.25">
      <c r="A1174" t="s">
        <v>16</v>
      </c>
      <c r="B1174" t="s">
        <v>19</v>
      </c>
      <c r="C1174">
        <v>59307832</v>
      </c>
      <c r="D1174" t="s">
        <v>43</v>
      </c>
      <c r="E1174" t="s">
        <v>44</v>
      </c>
      <c r="F1174" s="4">
        <v>41379</v>
      </c>
      <c r="G1174" s="4">
        <v>41900</v>
      </c>
      <c r="H1174" t="s">
        <v>49</v>
      </c>
      <c r="I1174" t="s">
        <v>47</v>
      </c>
      <c r="J1174" t="s">
        <v>8</v>
      </c>
      <c r="K1174">
        <v>3</v>
      </c>
    </row>
    <row r="1175" spans="1:11" x14ac:dyDescent="0.25">
      <c r="A1175" t="s">
        <v>16</v>
      </c>
      <c r="B1175" t="s">
        <v>19</v>
      </c>
      <c r="C1175">
        <v>59307832</v>
      </c>
      <c r="D1175" t="s">
        <v>43</v>
      </c>
      <c r="E1175" t="s">
        <v>44</v>
      </c>
      <c r="F1175" s="4">
        <v>41379</v>
      </c>
      <c r="G1175" s="4">
        <v>41900</v>
      </c>
      <c r="H1175" t="s">
        <v>49</v>
      </c>
      <c r="I1175" t="s">
        <v>47</v>
      </c>
      <c r="J1175" t="s">
        <v>9</v>
      </c>
      <c r="K1175">
        <v>3</v>
      </c>
    </row>
    <row r="1176" spans="1:11" x14ac:dyDescent="0.25">
      <c r="A1176" t="s">
        <v>16</v>
      </c>
      <c r="B1176" t="s">
        <v>19</v>
      </c>
      <c r="C1176">
        <v>59307832</v>
      </c>
      <c r="D1176" t="s">
        <v>43</v>
      </c>
      <c r="E1176" t="s">
        <v>44</v>
      </c>
      <c r="F1176" s="4">
        <v>41379</v>
      </c>
      <c r="G1176" s="4">
        <v>41900</v>
      </c>
      <c r="H1176" t="s">
        <v>49</v>
      </c>
      <c r="I1176" t="s">
        <v>47</v>
      </c>
      <c r="J1176" t="s">
        <v>10</v>
      </c>
      <c r="K1176">
        <v>1</v>
      </c>
    </row>
    <row r="1177" spans="1:11" x14ac:dyDescent="0.25">
      <c r="A1177" t="s">
        <v>16</v>
      </c>
      <c r="B1177" t="s">
        <v>19</v>
      </c>
      <c r="C1177">
        <v>59307832</v>
      </c>
      <c r="D1177" t="s">
        <v>43</v>
      </c>
      <c r="E1177" t="s">
        <v>44</v>
      </c>
      <c r="F1177" s="4">
        <v>41379</v>
      </c>
      <c r="G1177" s="4">
        <v>41900</v>
      </c>
      <c r="H1177" t="s">
        <v>49</v>
      </c>
      <c r="I1177" t="s">
        <v>47</v>
      </c>
      <c r="J1177" t="s">
        <v>11</v>
      </c>
      <c r="K1177">
        <v>2</v>
      </c>
    </row>
    <row r="1178" spans="1:11" x14ac:dyDescent="0.25">
      <c r="A1178" t="s">
        <v>16</v>
      </c>
      <c r="B1178" t="s">
        <v>19</v>
      </c>
      <c r="C1178">
        <v>59307832</v>
      </c>
      <c r="D1178" t="s">
        <v>43</v>
      </c>
      <c r="E1178" t="s">
        <v>44</v>
      </c>
      <c r="F1178" s="4">
        <v>41379</v>
      </c>
      <c r="G1178" s="4">
        <v>41900</v>
      </c>
      <c r="H1178" t="s">
        <v>49</v>
      </c>
      <c r="I1178" t="s">
        <v>47</v>
      </c>
      <c r="J1178" t="s">
        <v>12</v>
      </c>
      <c r="K1178">
        <v>1</v>
      </c>
    </row>
    <row r="1179" spans="1:11" x14ac:dyDescent="0.25">
      <c r="A1179" t="s">
        <v>16</v>
      </c>
      <c r="B1179" t="s">
        <v>19</v>
      </c>
      <c r="C1179">
        <v>59307832</v>
      </c>
      <c r="D1179" t="s">
        <v>43</v>
      </c>
      <c r="E1179" t="s">
        <v>44</v>
      </c>
      <c r="F1179" s="4">
        <v>41379</v>
      </c>
      <c r="G1179" s="4">
        <v>41900</v>
      </c>
      <c r="H1179" t="s">
        <v>49</v>
      </c>
      <c r="I1179" t="s">
        <v>47</v>
      </c>
      <c r="J1179" t="s">
        <v>13</v>
      </c>
      <c r="K1179">
        <v>0</v>
      </c>
    </row>
    <row r="1180" spans="1:11" x14ac:dyDescent="0.25">
      <c r="A1180" t="s">
        <v>16</v>
      </c>
      <c r="B1180" t="s">
        <v>19</v>
      </c>
      <c r="C1180">
        <v>59307832</v>
      </c>
      <c r="D1180" t="s">
        <v>43</v>
      </c>
      <c r="E1180" t="s">
        <v>44</v>
      </c>
      <c r="F1180" s="4">
        <v>41379</v>
      </c>
      <c r="G1180" s="4">
        <v>41900</v>
      </c>
      <c r="H1180" t="s">
        <v>49</v>
      </c>
      <c r="I1180" t="s">
        <v>47</v>
      </c>
      <c r="J1180" t="s">
        <v>14</v>
      </c>
      <c r="K1180">
        <v>3</v>
      </c>
    </row>
    <row r="1181" spans="1:11" x14ac:dyDescent="0.25">
      <c r="A1181" t="s">
        <v>16</v>
      </c>
      <c r="B1181" t="s">
        <v>19</v>
      </c>
      <c r="C1181">
        <v>59307832</v>
      </c>
      <c r="D1181" t="s">
        <v>43</v>
      </c>
      <c r="E1181" t="s">
        <v>44</v>
      </c>
      <c r="F1181" s="4">
        <v>41379</v>
      </c>
      <c r="G1181" s="4">
        <v>41900</v>
      </c>
      <c r="H1181" t="s">
        <v>49</v>
      </c>
      <c r="I1181" t="s">
        <v>47</v>
      </c>
      <c r="J1181" t="s">
        <v>15</v>
      </c>
      <c r="K1181">
        <v>1</v>
      </c>
    </row>
    <row r="1182" spans="1:11" x14ac:dyDescent="0.25">
      <c r="A1182" t="s">
        <v>16</v>
      </c>
      <c r="B1182" t="s">
        <v>20</v>
      </c>
      <c r="C1182">
        <v>17983260</v>
      </c>
      <c r="D1182" t="s">
        <v>43</v>
      </c>
      <c r="E1182" t="s">
        <v>50</v>
      </c>
      <c r="F1182" s="4">
        <v>41373</v>
      </c>
      <c r="G1182" s="4">
        <v>41401</v>
      </c>
      <c r="H1182" t="s">
        <v>45</v>
      </c>
      <c r="I1182" t="s">
        <v>46</v>
      </c>
      <c r="J1182" t="s">
        <v>6</v>
      </c>
      <c r="K1182">
        <v>1</v>
      </c>
    </row>
    <row r="1183" spans="1:11" x14ac:dyDescent="0.25">
      <c r="A1183" t="s">
        <v>16</v>
      </c>
      <c r="B1183" t="s">
        <v>20</v>
      </c>
      <c r="C1183">
        <v>17983260</v>
      </c>
      <c r="D1183" t="s">
        <v>43</v>
      </c>
      <c r="E1183" t="s">
        <v>50</v>
      </c>
      <c r="F1183" s="4">
        <v>41373</v>
      </c>
      <c r="G1183" s="4">
        <v>41401</v>
      </c>
      <c r="H1183" t="s">
        <v>45</v>
      </c>
      <c r="I1183" t="s">
        <v>46</v>
      </c>
      <c r="J1183" t="s">
        <v>7</v>
      </c>
      <c r="K1183">
        <v>2</v>
      </c>
    </row>
    <row r="1184" spans="1:11" x14ac:dyDescent="0.25">
      <c r="A1184" t="s">
        <v>16</v>
      </c>
      <c r="B1184" t="s">
        <v>20</v>
      </c>
      <c r="C1184">
        <v>17983260</v>
      </c>
      <c r="D1184" t="s">
        <v>43</v>
      </c>
      <c r="E1184" t="s">
        <v>50</v>
      </c>
      <c r="F1184" s="4">
        <v>41373</v>
      </c>
      <c r="G1184" s="4">
        <v>41401</v>
      </c>
      <c r="H1184" t="s">
        <v>45</v>
      </c>
      <c r="I1184" t="s">
        <v>46</v>
      </c>
      <c r="J1184" t="s">
        <v>8</v>
      </c>
      <c r="K1184">
        <v>3</v>
      </c>
    </row>
    <row r="1185" spans="1:11" x14ac:dyDescent="0.25">
      <c r="A1185" t="s">
        <v>16</v>
      </c>
      <c r="B1185" t="s">
        <v>20</v>
      </c>
      <c r="C1185">
        <v>17983260</v>
      </c>
      <c r="D1185" t="s">
        <v>43</v>
      </c>
      <c r="E1185" t="s">
        <v>50</v>
      </c>
      <c r="F1185" s="4">
        <v>41373</v>
      </c>
      <c r="G1185" s="4">
        <v>41401</v>
      </c>
      <c r="H1185" t="s">
        <v>45</v>
      </c>
      <c r="I1185" t="s">
        <v>46</v>
      </c>
      <c r="J1185" t="s">
        <v>9</v>
      </c>
      <c r="K1185">
        <v>3</v>
      </c>
    </row>
    <row r="1186" spans="1:11" x14ac:dyDescent="0.25">
      <c r="A1186" t="s">
        <v>16</v>
      </c>
      <c r="B1186" t="s">
        <v>20</v>
      </c>
      <c r="C1186">
        <v>17983260</v>
      </c>
      <c r="D1186" t="s">
        <v>43</v>
      </c>
      <c r="E1186" t="s">
        <v>50</v>
      </c>
      <c r="F1186" s="4">
        <v>41373</v>
      </c>
      <c r="G1186" s="4">
        <v>41401</v>
      </c>
      <c r="H1186" t="s">
        <v>45</v>
      </c>
      <c r="I1186" t="s">
        <v>46</v>
      </c>
      <c r="J1186" t="s">
        <v>10</v>
      </c>
      <c r="K1186">
        <v>1</v>
      </c>
    </row>
    <row r="1187" spans="1:11" x14ac:dyDescent="0.25">
      <c r="A1187" t="s">
        <v>16</v>
      </c>
      <c r="B1187" t="s">
        <v>20</v>
      </c>
      <c r="C1187">
        <v>17983260</v>
      </c>
      <c r="D1187" t="s">
        <v>43</v>
      </c>
      <c r="E1187" t="s">
        <v>50</v>
      </c>
      <c r="F1187" s="4">
        <v>41373</v>
      </c>
      <c r="G1187" s="4">
        <v>41401</v>
      </c>
      <c r="H1187" t="s">
        <v>45</v>
      </c>
      <c r="I1187" t="s">
        <v>46</v>
      </c>
      <c r="J1187" t="s">
        <v>11</v>
      </c>
      <c r="K1187">
        <v>0</v>
      </c>
    </row>
    <row r="1188" spans="1:11" x14ac:dyDescent="0.25">
      <c r="A1188" t="s">
        <v>16</v>
      </c>
      <c r="B1188" t="s">
        <v>20</v>
      </c>
      <c r="C1188">
        <v>17983260</v>
      </c>
      <c r="D1188" t="s">
        <v>43</v>
      </c>
      <c r="E1188" t="s">
        <v>50</v>
      </c>
      <c r="F1188" s="4">
        <v>41373</v>
      </c>
      <c r="G1188" s="4">
        <v>41401</v>
      </c>
      <c r="H1188" t="s">
        <v>45</v>
      </c>
      <c r="I1188" t="s">
        <v>46</v>
      </c>
      <c r="J1188" t="s">
        <v>12</v>
      </c>
      <c r="K1188">
        <v>2</v>
      </c>
    </row>
    <row r="1189" spans="1:11" x14ac:dyDescent="0.25">
      <c r="A1189" t="s">
        <v>16</v>
      </c>
      <c r="B1189" t="s">
        <v>20</v>
      </c>
      <c r="C1189">
        <v>17983260</v>
      </c>
      <c r="D1189" t="s">
        <v>43</v>
      </c>
      <c r="E1189" t="s">
        <v>50</v>
      </c>
      <c r="F1189" s="4">
        <v>41373</v>
      </c>
      <c r="G1189" s="4">
        <v>41401</v>
      </c>
      <c r="H1189" t="s">
        <v>45</v>
      </c>
      <c r="I1189" t="s">
        <v>46</v>
      </c>
      <c r="J1189" t="s">
        <v>13</v>
      </c>
      <c r="K1189">
        <v>1</v>
      </c>
    </row>
    <row r="1190" spans="1:11" x14ac:dyDescent="0.25">
      <c r="A1190" t="s">
        <v>16</v>
      </c>
      <c r="B1190" t="s">
        <v>20</v>
      </c>
      <c r="C1190">
        <v>17983260</v>
      </c>
      <c r="D1190" t="s">
        <v>43</v>
      </c>
      <c r="E1190" t="s">
        <v>50</v>
      </c>
      <c r="F1190" s="4">
        <v>41373</v>
      </c>
      <c r="G1190" s="4">
        <v>41401</v>
      </c>
      <c r="H1190" t="s">
        <v>45</v>
      </c>
      <c r="I1190" t="s">
        <v>46</v>
      </c>
      <c r="J1190" t="s">
        <v>14</v>
      </c>
      <c r="K1190">
        <v>1</v>
      </c>
    </row>
    <row r="1191" spans="1:11" x14ac:dyDescent="0.25">
      <c r="A1191" t="s">
        <v>16</v>
      </c>
      <c r="B1191" t="s">
        <v>20</v>
      </c>
      <c r="C1191">
        <v>17983260</v>
      </c>
      <c r="D1191" t="s">
        <v>43</v>
      </c>
      <c r="E1191" t="s">
        <v>50</v>
      </c>
      <c r="F1191" s="4">
        <v>41373</v>
      </c>
      <c r="G1191" s="4">
        <v>41401</v>
      </c>
      <c r="H1191" t="s">
        <v>45</v>
      </c>
      <c r="I1191" t="s">
        <v>46</v>
      </c>
      <c r="J1191" t="s">
        <v>15</v>
      </c>
      <c r="K1191">
        <v>1</v>
      </c>
    </row>
    <row r="1192" spans="1:11" x14ac:dyDescent="0.25">
      <c r="A1192" t="s">
        <v>16</v>
      </c>
      <c r="B1192" t="s">
        <v>21</v>
      </c>
      <c r="C1192">
        <v>17983260</v>
      </c>
      <c r="D1192" t="s">
        <v>43</v>
      </c>
      <c r="E1192" t="s">
        <v>50</v>
      </c>
      <c r="F1192" s="4">
        <v>41373</v>
      </c>
      <c r="G1192" s="4">
        <v>41438</v>
      </c>
      <c r="H1192" t="s">
        <v>45</v>
      </c>
      <c r="I1192" t="s">
        <v>47</v>
      </c>
      <c r="J1192" t="s">
        <v>6</v>
      </c>
      <c r="K1192">
        <v>1</v>
      </c>
    </row>
    <row r="1193" spans="1:11" x14ac:dyDescent="0.25">
      <c r="A1193" t="s">
        <v>16</v>
      </c>
      <c r="B1193" t="s">
        <v>21</v>
      </c>
      <c r="C1193">
        <v>17983260</v>
      </c>
      <c r="D1193" t="s">
        <v>43</v>
      </c>
      <c r="E1193" t="s">
        <v>50</v>
      </c>
      <c r="F1193" s="4">
        <v>41373</v>
      </c>
      <c r="G1193" s="4">
        <v>41438</v>
      </c>
      <c r="H1193" t="s">
        <v>45</v>
      </c>
      <c r="I1193" t="s">
        <v>47</v>
      </c>
      <c r="J1193" t="s">
        <v>7</v>
      </c>
      <c r="K1193">
        <v>1</v>
      </c>
    </row>
    <row r="1194" spans="1:11" x14ac:dyDescent="0.25">
      <c r="A1194" t="s">
        <v>16</v>
      </c>
      <c r="B1194" t="s">
        <v>21</v>
      </c>
      <c r="C1194">
        <v>17983260</v>
      </c>
      <c r="D1194" t="s">
        <v>43</v>
      </c>
      <c r="E1194" t="s">
        <v>50</v>
      </c>
      <c r="F1194" s="4">
        <v>41373</v>
      </c>
      <c r="G1194" s="4">
        <v>41438</v>
      </c>
      <c r="H1194" t="s">
        <v>45</v>
      </c>
      <c r="I1194" t="s">
        <v>47</v>
      </c>
      <c r="J1194" t="s">
        <v>8</v>
      </c>
      <c r="K1194">
        <v>3</v>
      </c>
    </row>
    <row r="1195" spans="1:11" x14ac:dyDescent="0.25">
      <c r="A1195" t="s">
        <v>16</v>
      </c>
      <c r="B1195" t="s">
        <v>21</v>
      </c>
      <c r="C1195">
        <v>17983260</v>
      </c>
      <c r="D1195" t="s">
        <v>43</v>
      </c>
      <c r="E1195" t="s">
        <v>50</v>
      </c>
      <c r="F1195" s="4">
        <v>41373</v>
      </c>
      <c r="G1195" s="4">
        <v>41438</v>
      </c>
      <c r="H1195" t="s">
        <v>45</v>
      </c>
      <c r="I1195" t="s">
        <v>47</v>
      </c>
      <c r="J1195" t="s">
        <v>9</v>
      </c>
      <c r="K1195">
        <v>1</v>
      </c>
    </row>
    <row r="1196" spans="1:11" x14ac:dyDescent="0.25">
      <c r="A1196" t="s">
        <v>16</v>
      </c>
      <c r="B1196" t="s">
        <v>21</v>
      </c>
      <c r="C1196">
        <v>17983260</v>
      </c>
      <c r="D1196" t="s">
        <v>43</v>
      </c>
      <c r="E1196" t="s">
        <v>50</v>
      </c>
      <c r="F1196" s="4">
        <v>41373</v>
      </c>
      <c r="G1196" s="4">
        <v>41438</v>
      </c>
      <c r="H1196" t="s">
        <v>45</v>
      </c>
      <c r="I1196" t="s">
        <v>47</v>
      </c>
      <c r="J1196" t="s">
        <v>10</v>
      </c>
      <c r="K1196">
        <v>3</v>
      </c>
    </row>
    <row r="1197" spans="1:11" x14ac:dyDescent="0.25">
      <c r="A1197" t="s">
        <v>16</v>
      </c>
      <c r="B1197" t="s">
        <v>21</v>
      </c>
      <c r="C1197">
        <v>17983260</v>
      </c>
      <c r="D1197" t="s">
        <v>43</v>
      </c>
      <c r="E1197" t="s">
        <v>50</v>
      </c>
      <c r="F1197" s="4">
        <v>41373</v>
      </c>
      <c r="G1197" s="4">
        <v>41438</v>
      </c>
      <c r="H1197" t="s">
        <v>45</v>
      </c>
      <c r="I1197" t="s">
        <v>47</v>
      </c>
      <c r="J1197" t="s">
        <v>11</v>
      </c>
      <c r="K1197">
        <v>0</v>
      </c>
    </row>
    <row r="1198" spans="1:11" x14ac:dyDescent="0.25">
      <c r="A1198" t="s">
        <v>16</v>
      </c>
      <c r="B1198" t="s">
        <v>21</v>
      </c>
      <c r="C1198">
        <v>17983260</v>
      </c>
      <c r="D1198" t="s">
        <v>43</v>
      </c>
      <c r="E1198" t="s">
        <v>50</v>
      </c>
      <c r="F1198" s="4">
        <v>41373</v>
      </c>
      <c r="G1198" s="4">
        <v>41438</v>
      </c>
      <c r="H1198" t="s">
        <v>45</v>
      </c>
      <c r="I1198" t="s">
        <v>47</v>
      </c>
      <c r="J1198" t="s">
        <v>12</v>
      </c>
      <c r="K1198">
        <v>2</v>
      </c>
    </row>
    <row r="1199" spans="1:11" x14ac:dyDescent="0.25">
      <c r="A1199" t="s">
        <v>16</v>
      </c>
      <c r="B1199" t="s">
        <v>21</v>
      </c>
      <c r="C1199">
        <v>17983260</v>
      </c>
      <c r="D1199" t="s">
        <v>43</v>
      </c>
      <c r="E1199" t="s">
        <v>50</v>
      </c>
      <c r="F1199" s="4">
        <v>41373</v>
      </c>
      <c r="G1199" s="4">
        <v>41438</v>
      </c>
      <c r="H1199" t="s">
        <v>45</v>
      </c>
      <c r="I1199" t="s">
        <v>47</v>
      </c>
      <c r="J1199" t="s">
        <v>13</v>
      </c>
      <c r="K1199">
        <v>1</v>
      </c>
    </row>
    <row r="1200" spans="1:11" x14ac:dyDescent="0.25">
      <c r="A1200" t="s">
        <v>16</v>
      </c>
      <c r="B1200" t="s">
        <v>21</v>
      </c>
      <c r="C1200">
        <v>17983260</v>
      </c>
      <c r="D1200" t="s">
        <v>43</v>
      </c>
      <c r="E1200" t="s">
        <v>50</v>
      </c>
      <c r="F1200" s="4">
        <v>41373</v>
      </c>
      <c r="G1200" s="4">
        <v>41438</v>
      </c>
      <c r="H1200" t="s">
        <v>45</v>
      </c>
      <c r="I1200" t="s">
        <v>47</v>
      </c>
      <c r="J1200" t="s">
        <v>14</v>
      </c>
      <c r="K1200">
        <v>3</v>
      </c>
    </row>
    <row r="1201" spans="1:11" x14ac:dyDescent="0.25">
      <c r="A1201" t="s">
        <v>16</v>
      </c>
      <c r="B1201" t="s">
        <v>21</v>
      </c>
      <c r="C1201">
        <v>17983260</v>
      </c>
      <c r="D1201" t="s">
        <v>43</v>
      </c>
      <c r="E1201" t="s">
        <v>50</v>
      </c>
      <c r="F1201" s="4">
        <v>41373</v>
      </c>
      <c r="G1201" s="4">
        <v>41438</v>
      </c>
      <c r="H1201" t="s">
        <v>45</v>
      </c>
      <c r="I1201" t="s">
        <v>47</v>
      </c>
      <c r="J1201" t="s">
        <v>15</v>
      </c>
      <c r="K1201">
        <v>1</v>
      </c>
    </row>
    <row r="1202" spans="1:11" x14ac:dyDescent="0.25">
      <c r="A1202" t="s">
        <v>16</v>
      </c>
      <c r="B1202" t="s">
        <v>22</v>
      </c>
      <c r="C1202">
        <v>17983260</v>
      </c>
      <c r="D1202" t="s">
        <v>43</v>
      </c>
      <c r="E1202" t="s">
        <v>50</v>
      </c>
      <c r="F1202" s="4">
        <v>41373</v>
      </c>
      <c r="G1202" s="4">
        <v>41566</v>
      </c>
      <c r="H1202" t="s">
        <v>45</v>
      </c>
      <c r="I1202" t="s">
        <v>47</v>
      </c>
      <c r="J1202" t="s">
        <v>6</v>
      </c>
      <c r="K1202">
        <v>1</v>
      </c>
    </row>
    <row r="1203" spans="1:11" x14ac:dyDescent="0.25">
      <c r="A1203" t="s">
        <v>16</v>
      </c>
      <c r="B1203" t="s">
        <v>22</v>
      </c>
      <c r="C1203">
        <v>17983260</v>
      </c>
      <c r="D1203" t="s">
        <v>43</v>
      </c>
      <c r="E1203" t="s">
        <v>50</v>
      </c>
      <c r="F1203" s="4">
        <v>41373</v>
      </c>
      <c r="G1203" s="4">
        <v>41566</v>
      </c>
      <c r="H1203" t="s">
        <v>45</v>
      </c>
      <c r="I1203" t="s">
        <v>47</v>
      </c>
      <c r="J1203" t="s">
        <v>7</v>
      </c>
      <c r="K1203">
        <v>1</v>
      </c>
    </row>
    <row r="1204" spans="1:11" x14ac:dyDescent="0.25">
      <c r="A1204" t="s">
        <v>16</v>
      </c>
      <c r="B1204" t="s">
        <v>22</v>
      </c>
      <c r="C1204">
        <v>17983260</v>
      </c>
      <c r="D1204" t="s">
        <v>43</v>
      </c>
      <c r="E1204" t="s">
        <v>50</v>
      </c>
      <c r="F1204" s="4">
        <v>41373</v>
      </c>
      <c r="G1204" s="4">
        <v>41566</v>
      </c>
      <c r="H1204" t="s">
        <v>45</v>
      </c>
      <c r="I1204" t="s">
        <v>47</v>
      </c>
      <c r="J1204" t="s">
        <v>8</v>
      </c>
      <c r="K1204">
        <v>3</v>
      </c>
    </row>
    <row r="1205" spans="1:11" x14ac:dyDescent="0.25">
      <c r="A1205" t="s">
        <v>16</v>
      </c>
      <c r="B1205" t="s">
        <v>22</v>
      </c>
      <c r="C1205">
        <v>17983260</v>
      </c>
      <c r="D1205" t="s">
        <v>43</v>
      </c>
      <c r="E1205" t="s">
        <v>50</v>
      </c>
      <c r="F1205" s="4">
        <v>41373</v>
      </c>
      <c r="G1205" s="4">
        <v>41566</v>
      </c>
      <c r="H1205" t="s">
        <v>45</v>
      </c>
      <c r="I1205" t="s">
        <v>47</v>
      </c>
      <c r="J1205" t="s">
        <v>9</v>
      </c>
      <c r="K1205">
        <v>3</v>
      </c>
    </row>
    <row r="1206" spans="1:11" x14ac:dyDescent="0.25">
      <c r="A1206" t="s">
        <v>16</v>
      </c>
      <c r="B1206" t="s">
        <v>22</v>
      </c>
      <c r="C1206">
        <v>17983260</v>
      </c>
      <c r="D1206" t="s">
        <v>43</v>
      </c>
      <c r="E1206" t="s">
        <v>50</v>
      </c>
      <c r="F1206" s="4">
        <v>41373</v>
      </c>
      <c r="G1206" s="4">
        <v>41566</v>
      </c>
      <c r="H1206" t="s">
        <v>45</v>
      </c>
      <c r="I1206" t="s">
        <v>47</v>
      </c>
      <c r="J1206" t="s">
        <v>10</v>
      </c>
      <c r="K1206">
        <v>0</v>
      </c>
    </row>
    <row r="1207" spans="1:11" x14ac:dyDescent="0.25">
      <c r="A1207" t="s">
        <v>16</v>
      </c>
      <c r="B1207" t="s">
        <v>22</v>
      </c>
      <c r="C1207">
        <v>17983260</v>
      </c>
      <c r="D1207" t="s">
        <v>43</v>
      </c>
      <c r="E1207" t="s">
        <v>50</v>
      </c>
      <c r="F1207" s="4">
        <v>41373</v>
      </c>
      <c r="G1207" s="4">
        <v>41566</v>
      </c>
      <c r="H1207" t="s">
        <v>45</v>
      </c>
      <c r="I1207" t="s">
        <v>47</v>
      </c>
      <c r="J1207" t="s">
        <v>11</v>
      </c>
      <c r="K1207">
        <v>1</v>
      </c>
    </row>
    <row r="1208" spans="1:11" x14ac:dyDescent="0.25">
      <c r="A1208" t="s">
        <v>16</v>
      </c>
      <c r="B1208" t="s">
        <v>22</v>
      </c>
      <c r="C1208">
        <v>17983260</v>
      </c>
      <c r="D1208" t="s">
        <v>43</v>
      </c>
      <c r="E1208" t="s">
        <v>50</v>
      </c>
      <c r="F1208" s="4">
        <v>41373</v>
      </c>
      <c r="G1208" s="4">
        <v>41566</v>
      </c>
      <c r="H1208" t="s">
        <v>45</v>
      </c>
      <c r="I1208" t="s">
        <v>47</v>
      </c>
      <c r="J1208" t="s">
        <v>12</v>
      </c>
      <c r="K1208">
        <v>1</v>
      </c>
    </row>
    <row r="1209" spans="1:11" x14ac:dyDescent="0.25">
      <c r="A1209" t="s">
        <v>16</v>
      </c>
      <c r="B1209" t="s">
        <v>22</v>
      </c>
      <c r="C1209">
        <v>17983260</v>
      </c>
      <c r="D1209" t="s">
        <v>43</v>
      </c>
      <c r="E1209" t="s">
        <v>50</v>
      </c>
      <c r="F1209" s="4">
        <v>41373</v>
      </c>
      <c r="G1209" s="4">
        <v>41566</v>
      </c>
      <c r="H1209" t="s">
        <v>45</v>
      </c>
      <c r="I1209" t="s">
        <v>47</v>
      </c>
      <c r="J1209" t="s">
        <v>13</v>
      </c>
      <c r="K1209">
        <v>2</v>
      </c>
    </row>
    <row r="1210" spans="1:11" x14ac:dyDescent="0.25">
      <c r="A1210" t="s">
        <v>16</v>
      </c>
      <c r="B1210" t="s">
        <v>22</v>
      </c>
      <c r="C1210">
        <v>17983260</v>
      </c>
      <c r="D1210" t="s">
        <v>43</v>
      </c>
      <c r="E1210" t="s">
        <v>50</v>
      </c>
      <c r="F1210" s="4">
        <v>41373</v>
      </c>
      <c r="G1210" s="4">
        <v>41566</v>
      </c>
      <c r="H1210" t="s">
        <v>45</v>
      </c>
      <c r="I1210" t="s">
        <v>47</v>
      </c>
      <c r="J1210" t="s">
        <v>14</v>
      </c>
      <c r="K1210">
        <v>2</v>
      </c>
    </row>
    <row r="1211" spans="1:11" x14ac:dyDescent="0.25">
      <c r="A1211" t="s">
        <v>16</v>
      </c>
      <c r="B1211" t="s">
        <v>22</v>
      </c>
      <c r="C1211">
        <v>17983260</v>
      </c>
      <c r="D1211" t="s">
        <v>43</v>
      </c>
      <c r="E1211" t="s">
        <v>50</v>
      </c>
      <c r="F1211" s="4">
        <v>41373</v>
      </c>
      <c r="G1211" s="4">
        <v>41566</v>
      </c>
      <c r="H1211" t="s">
        <v>45</v>
      </c>
      <c r="I1211" t="s">
        <v>47</v>
      </c>
      <c r="J1211" t="s">
        <v>15</v>
      </c>
      <c r="K1211">
        <v>2</v>
      </c>
    </row>
    <row r="1212" spans="1:11" x14ac:dyDescent="0.25">
      <c r="A1212" t="s">
        <v>16</v>
      </c>
      <c r="B1212" t="s">
        <v>20</v>
      </c>
      <c r="C1212">
        <v>17983260</v>
      </c>
      <c r="D1212" t="s">
        <v>43</v>
      </c>
      <c r="E1212" t="s">
        <v>50</v>
      </c>
      <c r="F1212" s="4">
        <v>41373</v>
      </c>
      <c r="G1212" s="4">
        <v>41695</v>
      </c>
      <c r="H1212" t="s">
        <v>45</v>
      </c>
      <c r="I1212" t="s">
        <v>47</v>
      </c>
      <c r="J1212" t="s">
        <v>6</v>
      </c>
      <c r="K1212">
        <v>0</v>
      </c>
    </row>
    <row r="1213" spans="1:11" x14ac:dyDescent="0.25">
      <c r="A1213" t="s">
        <v>16</v>
      </c>
      <c r="B1213" t="s">
        <v>20</v>
      </c>
      <c r="C1213">
        <v>17983260</v>
      </c>
      <c r="D1213" t="s">
        <v>43</v>
      </c>
      <c r="E1213" t="s">
        <v>50</v>
      </c>
      <c r="F1213" s="4">
        <v>41373</v>
      </c>
      <c r="G1213" s="4">
        <v>41695</v>
      </c>
      <c r="H1213" t="s">
        <v>45</v>
      </c>
      <c r="I1213" t="s">
        <v>47</v>
      </c>
      <c r="J1213" t="s">
        <v>7</v>
      </c>
      <c r="K1213">
        <v>0</v>
      </c>
    </row>
    <row r="1214" spans="1:11" x14ac:dyDescent="0.25">
      <c r="A1214" t="s">
        <v>16</v>
      </c>
      <c r="B1214" t="s">
        <v>20</v>
      </c>
      <c r="C1214">
        <v>17983260</v>
      </c>
      <c r="D1214" t="s">
        <v>43</v>
      </c>
      <c r="E1214" t="s">
        <v>50</v>
      </c>
      <c r="F1214" s="4">
        <v>41373</v>
      </c>
      <c r="G1214" s="4">
        <v>41695</v>
      </c>
      <c r="H1214" t="s">
        <v>45</v>
      </c>
      <c r="I1214" t="s">
        <v>47</v>
      </c>
      <c r="J1214" t="s">
        <v>8</v>
      </c>
      <c r="K1214">
        <v>3</v>
      </c>
    </row>
    <row r="1215" spans="1:11" x14ac:dyDescent="0.25">
      <c r="A1215" t="s">
        <v>16</v>
      </c>
      <c r="B1215" t="s">
        <v>20</v>
      </c>
      <c r="C1215">
        <v>17983260</v>
      </c>
      <c r="D1215" t="s">
        <v>43</v>
      </c>
      <c r="E1215" t="s">
        <v>50</v>
      </c>
      <c r="F1215" s="4">
        <v>41373</v>
      </c>
      <c r="G1215" s="4">
        <v>41695</v>
      </c>
      <c r="H1215" t="s">
        <v>45</v>
      </c>
      <c r="I1215" t="s">
        <v>47</v>
      </c>
      <c r="J1215" t="s">
        <v>9</v>
      </c>
      <c r="K1215">
        <v>3</v>
      </c>
    </row>
    <row r="1216" spans="1:11" x14ac:dyDescent="0.25">
      <c r="A1216" t="s">
        <v>16</v>
      </c>
      <c r="B1216" t="s">
        <v>20</v>
      </c>
      <c r="C1216">
        <v>17983260</v>
      </c>
      <c r="D1216" t="s">
        <v>43</v>
      </c>
      <c r="E1216" t="s">
        <v>50</v>
      </c>
      <c r="F1216" s="4">
        <v>41373</v>
      </c>
      <c r="G1216" s="4">
        <v>41695</v>
      </c>
      <c r="H1216" t="s">
        <v>45</v>
      </c>
      <c r="I1216" t="s">
        <v>47</v>
      </c>
      <c r="J1216" t="s">
        <v>10</v>
      </c>
      <c r="K1216">
        <v>0</v>
      </c>
    </row>
    <row r="1217" spans="1:11" x14ac:dyDescent="0.25">
      <c r="A1217" t="s">
        <v>16</v>
      </c>
      <c r="B1217" t="s">
        <v>20</v>
      </c>
      <c r="C1217">
        <v>17983260</v>
      </c>
      <c r="D1217" t="s">
        <v>43</v>
      </c>
      <c r="E1217" t="s">
        <v>50</v>
      </c>
      <c r="F1217" s="4">
        <v>41373</v>
      </c>
      <c r="G1217" s="4">
        <v>41695</v>
      </c>
      <c r="H1217" t="s">
        <v>45</v>
      </c>
      <c r="I1217" t="s">
        <v>47</v>
      </c>
      <c r="J1217" t="s">
        <v>11</v>
      </c>
      <c r="K1217">
        <v>2</v>
      </c>
    </row>
    <row r="1218" spans="1:11" x14ac:dyDescent="0.25">
      <c r="A1218" t="s">
        <v>16</v>
      </c>
      <c r="B1218" t="s">
        <v>20</v>
      </c>
      <c r="C1218">
        <v>17983260</v>
      </c>
      <c r="D1218" t="s">
        <v>43</v>
      </c>
      <c r="E1218" t="s">
        <v>50</v>
      </c>
      <c r="F1218" s="4">
        <v>41373</v>
      </c>
      <c r="G1218" s="4">
        <v>41695</v>
      </c>
      <c r="H1218" t="s">
        <v>45</v>
      </c>
      <c r="I1218" t="s">
        <v>47</v>
      </c>
      <c r="J1218" t="s">
        <v>12</v>
      </c>
      <c r="K1218">
        <v>0</v>
      </c>
    </row>
    <row r="1219" spans="1:11" x14ac:dyDescent="0.25">
      <c r="A1219" t="s">
        <v>16</v>
      </c>
      <c r="B1219" t="s">
        <v>20</v>
      </c>
      <c r="C1219">
        <v>17983260</v>
      </c>
      <c r="D1219" t="s">
        <v>43</v>
      </c>
      <c r="E1219" t="s">
        <v>50</v>
      </c>
      <c r="F1219" s="4">
        <v>41373</v>
      </c>
      <c r="G1219" s="4">
        <v>41695</v>
      </c>
      <c r="H1219" t="s">
        <v>45</v>
      </c>
      <c r="I1219" t="s">
        <v>47</v>
      </c>
      <c r="J1219" t="s">
        <v>13</v>
      </c>
      <c r="K1219">
        <v>2</v>
      </c>
    </row>
    <row r="1220" spans="1:11" x14ac:dyDescent="0.25">
      <c r="A1220" t="s">
        <v>16</v>
      </c>
      <c r="B1220" t="s">
        <v>20</v>
      </c>
      <c r="C1220">
        <v>17983260</v>
      </c>
      <c r="D1220" t="s">
        <v>43</v>
      </c>
      <c r="E1220" t="s">
        <v>50</v>
      </c>
      <c r="F1220" s="4">
        <v>41373</v>
      </c>
      <c r="G1220" s="4">
        <v>41695</v>
      </c>
      <c r="H1220" t="s">
        <v>45</v>
      </c>
      <c r="I1220" t="s">
        <v>47</v>
      </c>
      <c r="J1220" t="s">
        <v>14</v>
      </c>
      <c r="K1220">
        <v>1</v>
      </c>
    </row>
    <row r="1221" spans="1:11" x14ac:dyDescent="0.25">
      <c r="A1221" t="s">
        <v>16</v>
      </c>
      <c r="B1221" t="s">
        <v>20</v>
      </c>
      <c r="C1221">
        <v>17983260</v>
      </c>
      <c r="D1221" t="s">
        <v>43</v>
      </c>
      <c r="E1221" t="s">
        <v>50</v>
      </c>
      <c r="F1221" s="4">
        <v>41373</v>
      </c>
      <c r="G1221" s="4">
        <v>41695</v>
      </c>
      <c r="H1221" t="s">
        <v>45</v>
      </c>
      <c r="I1221" t="s">
        <v>47</v>
      </c>
      <c r="J1221" t="s">
        <v>15</v>
      </c>
      <c r="K1221">
        <v>0</v>
      </c>
    </row>
    <row r="1222" spans="1:11" x14ac:dyDescent="0.25">
      <c r="A1222" t="s">
        <v>17</v>
      </c>
      <c r="B1222" t="s">
        <v>21</v>
      </c>
      <c r="C1222">
        <v>50670841</v>
      </c>
      <c r="D1222" t="s">
        <v>43</v>
      </c>
      <c r="E1222" t="s">
        <v>50</v>
      </c>
      <c r="F1222" s="4">
        <v>41652</v>
      </c>
      <c r="G1222" s="4">
        <v>41686</v>
      </c>
      <c r="H1222" t="s">
        <v>45</v>
      </c>
      <c r="I1222" t="s">
        <v>46</v>
      </c>
      <c r="J1222" t="s">
        <v>6</v>
      </c>
      <c r="K1222">
        <v>0</v>
      </c>
    </row>
    <row r="1223" spans="1:11" x14ac:dyDescent="0.25">
      <c r="A1223" t="s">
        <v>17</v>
      </c>
      <c r="B1223" t="s">
        <v>21</v>
      </c>
      <c r="C1223">
        <v>50670841</v>
      </c>
      <c r="D1223" t="s">
        <v>43</v>
      </c>
      <c r="E1223" t="s">
        <v>50</v>
      </c>
      <c r="F1223" s="4">
        <v>41652</v>
      </c>
      <c r="G1223" s="4">
        <v>41686</v>
      </c>
      <c r="H1223" t="s">
        <v>45</v>
      </c>
      <c r="I1223" t="s">
        <v>46</v>
      </c>
      <c r="J1223" t="s">
        <v>7</v>
      </c>
      <c r="K1223">
        <v>1</v>
      </c>
    </row>
    <row r="1224" spans="1:11" x14ac:dyDescent="0.25">
      <c r="A1224" t="s">
        <v>17</v>
      </c>
      <c r="B1224" t="s">
        <v>21</v>
      </c>
      <c r="C1224">
        <v>50670841</v>
      </c>
      <c r="D1224" t="s">
        <v>43</v>
      </c>
      <c r="E1224" t="s">
        <v>50</v>
      </c>
      <c r="F1224" s="4">
        <v>41652</v>
      </c>
      <c r="G1224" s="4">
        <v>41686</v>
      </c>
      <c r="H1224" t="s">
        <v>45</v>
      </c>
      <c r="I1224" t="s">
        <v>46</v>
      </c>
      <c r="J1224" t="s">
        <v>8</v>
      </c>
      <c r="K1224">
        <v>3</v>
      </c>
    </row>
    <row r="1225" spans="1:11" x14ac:dyDescent="0.25">
      <c r="A1225" t="s">
        <v>17</v>
      </c>
      <c r="B1225" t="s">
        <v>21</v>
      </c>
      <c r="C1225">
        <v>50670841</v>
      </c>
      <c r="D1225" t="s">
        <v>43</v>
      </c>
      <c r="E1225" t="s">
        <v>50</v>
      </c>
      <c r="F1225" s="4">
        <v>41652</v>
      </c>
      <c r="G1225" s="4">
        <v>41686</v>
      </c>
      <c r="H1225" t="s">
        <v>45</v>
      </c>
      <c r="I1225" t="s">
        <v>46</v>
      </c>
      <c r="J1225" t="s">
        <v>9</v>
      </c>
      <c r="K1225">
        <v>3</v>
      </c>
    </row>
    <row r="1226" spans="1:11" x14ac:dyDescent="0.25">
      <c r="A1226" t="s">
        <v>17</v>
      </c>
      <c r="B1226" t="s">
        <v>21</v>
      </c>
      <c r="C1226">
        <v>50670841</v>
      </c>
      <c r="D1226" t="s">
        <v>43</v>
      </c>
      <c r="E1226" t="s">
        <v>50</v>
      </c>
      <c r="F1226" s="4">
        <v>41652</v>
      </c>
      <c r="G1226" s="4">
        <v>41686</v>
      </c>
      <c r="H1226" t="s">
        <v>45</v>
      </c>
      <c r="I1226" t="s">
        <v>46</v>
      </c>
      <c r="J1226" t="s">
        <v>10</v>
      </c>
      <c r="K1226">
        <v>0</v>
      </c>
    </row>
    <row r="1227" spans="1:11" x14ac:dyDescent="0.25">
      <c r="A1227" t="s">
        <v>17</v>
      </c>
      <c r="B1227" t="s">
        <v>21</v>
      </c>
      <c r="C1227">
        <v>50670841</v>
      </c>
      <c r="D1227" t="s">
        <v>43</v>
      </c>
      <c r="E1227" t="s">
        <v>50</v>
      </c>
      <c r="F1227" s="4">
        <v>41652</v>
      </c>
      <c r="G1227" s="4">
        <v>41686</v>
      </c>
      <c r="H1227" t="s">
        <v>45</v>
      </c>
      <c r="I1227" t="s">
        <v>46</v>
      </c>
      <c r="J1227" t="s">
        <v>11</v>
      </c>
      <c r="K1227">
        <v>1</v>
      </c>
    </row>
    <row r="1228" spans="1:11" x14ac:dyDescent="0.25">
      <c r="A1228" t="s">
        <v>17</v>
      </c>
      <c r="B1228" t="s">
        <v>21</v>
      </c>
      <c r="C1228">
        <v>50670841</v>
      </c>
      <c r="D1228" t="s">
        <v>43</v>
      </c>
      <c r="E1228" t="s">
        <v>50</v>
      </c>
      <c r="F1228" s="4">
        <v>41652</v>
      </c>
      <c r="G1228" s="4">
        <v>41686</v>
      </c>
      <c r="H1228" t="s">
        <v>45</v>
      </c>
      <c r="I1228" t="s">
        <v>46</v>
      </c>
      <c r="J1228" t="s">
        <v>12</v>
      </c>
      <c r="K1228">
        <v>3</v>
      </c>
    </row>
    <row r="1229" spans="1:11" x14ac:dyDescent="0.25">
      <c r="A1229" t="s">
        <v>17</v>
      </c>
      <c r="B1229" t="s">
        <v>21</v>
      </c>
      <c r="C1229">
        <v>50670841</v>
      </c>
      <c r="D1229" t="s">
        <v>43</v>
      </c>
      <c r="E1229" t="s">
        <v>50</v>
      </c>
      <c r="F1229" s="4">
        <v>41652</v>
      </c>
      <c r="G1229" s="4">
        <v>41686</v>
      </c>
      <c r="H1229" t="s">
        <v>45</v>
      </c>
      <c r="I1229" t="s">
        <v>46</v>
      </c>
      <c r="J1229" t="s">
        <v>13</v>
      </c>
      <c r="K1229">
        <v>1</v>
      </c>
    </row>
    <row r="1230" spans="1:11" x14ac:dyDescent="0.25">
      <c r="A1230" t="s">
        <v>17</v>
      </c>
      <c r="B1230" t="s">
        <v>21</v>
      </c>
      <c r="C1230">
        <v>50670841</v>
      </c>
      <c r="D1230" t="s">
        <v>43</v>
      </c>
      <c r="E1230" t="s">
        <v>50</v>
      </c>
      <c r="F1230" s="4">
        <v>41652</v>
      </c>
      <c r="G1230" s="4">
        <v>41686</v>
      </c>
      <c r="H1230" t="s">
        <v>45</v>
      </c>
      <c r="I1230" t="s">
        <v>46</v>
      </c>
      <c r="J1230" t="s">
        <v>14</v>
      </c>
      <c r="K1230">
        <v>1</v>
      </c>
    </row>
    <row r="1231" spans="1:11" x14ac:dyDescent="0.25">
      <c r="A1231" t="s">
        <v>17</v>
      </c>
      <c r="B1231" t="s">
        <v>21</v>
      </c>
      <c r="C1231">
        <v>50670841</v>
      </c>
      <c r="D1231" t="s">
        <v>43</v>
      </c>
      <c r="E1231" t="s">
        <v>50</v>
      </c>
      <c r="F1231" s="4">
        <v>41652</v>
      </c>
      <c r="G1231" s="4">
        <v>41686</v>
      </c>
      <c r="H1231" t="s">
        <v>45</v>
      </c>
      <c r="I1231" t="s">
        <v>46</v>
      </c>
      <c r="J1231" t="s">
        <v>15</v>
      </c>
      <c r="K1231">
        <v>0</v>
      </c>
    </row>
    <row r="1232" spans="1:11" x14ac:dyDescent="0.25">
      <c r="A1232" t="s">
        <v>17</v>
      </c>
      <c r="B1232" t="s">
        <v>22</v>
      </c>
      <c r="C1232">
        <v>50670841</v>
      </c>
      <c r="D1232" t="s">
        <v>43</v>
      </c>
      <c r="E1232" t="s">
        <v>50</v>
      </c>
      <c r="F1232" s="4">
        <v>41652</v>
      </c>
      <c r="G1232" s="4">
        <v>41793</v>
      </c>
      <c r="H1232" t="s">
        <v>45</v>
      </c>
      <c r="I1232" t="s">
        <v>47</v>
      </c>
      <c r="J1232" t="s">
        <v>6</v>
      </c>
      <c r="K1232">
        <v>2</v>
      </c>
    </row>
    <row r="1233" spans="1:11" x14ac:dyDescent="0.25">
      <c r="A1233" t="s">
        <v>17</v>
      </c>
      <c r="B1233" t="s">
        <v>22</v>
      </c>
      <c r="C1233">
        <v>50670841</v>
      </c>
      <c r="D1233" t="s">
        <v>43</v>
      </c>
      <c r="E1233" t="s">
        <v>50</v>
      </c>
      <c r="F1233" s="4">
        <v>41652</v>
      </c>
      <c r="G1233" s="4">
        <v>41793</v>
      </c>
      <c r="H1233" t="s">
        <v>45</v>
      </c>
      <c r="I1233" t="s">
        <v>47</v>
      </c>
      <c r="J1233" t="s">
        <v>7</v>
      </c>
      <c r="K1233">
        <v>0</v>
      </c>
    </row>
    <row r="1234" spans="1:11" x14ac:dyDescent="0.25">
      <c r="A1234" t="s">
        <v>17</v>
      </c>
      <c r="B1234" t="s">
        <v>22</v>
      </c>
      <c r="C1234">
        <v>50670841</v>
      </c>
      <c r="D1234" t="s">
        <v>43</v>
      </c>
      <c r="E1234" t="s">
        <v>50</v>
      </c>
      <c r="F1234" s="4">
        <v>41652</v>
      </c>
      <c r="G1234" s="4">
        <v>41793</v>
      </c>
      <c r="H1234" t="s">
        <v>45</v>
      </c>
      <c r="I1234" t="s">
        <v>47</v>
      </c>
      <c r="J1234" t="s">
        <v>8</v>
      </c>
      <c r="K1234">
        <v>1</v>
      </c>
    </row>
    <row r="1235" spans="1:11" x14ac:dyDescent="0.25">
      <c r="A1235" t="s">
        <v>17</v>
      </c>
      <c r="B1235" t="s">
        <v>22</v>
      </c>
      <c r="C1235">
        <v>50670841</v>
      </c>
      <c r="D1235" t="s">
        <v>43</v>
      </c>
      <c r="E1235" t="s">
        <v>50</v>
      </c>
      <c r="F1235" s="4">
        <v>41652</v>
      </c>
      <c r="G1235" s="4">
        <v>41793</v>
      </c>
      <c r="H1235" t="s">
        <v>45</v>
      </c>
      <c r="I1235" t="s">
        <v>47</v>
      </c>
      <c r="J1235" t="s">
        <v>9</v>
      </c>
      <c r="K1235">
        <v>3</v>
      </c>
    </row>
    <row r="1236" spans="1:11" x14ac:dyDescent="0.25">
      <c r="A1236" t="s">
        <v>17</v>
      </c>
      <c r="B1236" t="s">
        <v>22</v>
      </c>
      <c r="C1236">
        <v>50670841</v>
      </c>
      <c r="D1236" t="s">
        <v>43</v>
      </c>
      <c r="E1236" t="s">
        <v>50</v>
      </c>
      <c r="F1236" s="4">
        <v>41652</v>
      </c>
      <c r="G1236" s="4">
        <v>41793</v>
      </c>
      <c r="H1236" t="s">
        <v>45</v>
      </c>
      <c r="I1236" t="s">
        <v>47</v>
      </c>
      <c r="J1236" t="s">
        <v>10</v>
      </c>
      <c r="K1236">
        <v>1</v>
      </c>
    </row>
    <row r="1237" spans="1:11" x14ac:dyDescent="0.25">
      <c r="A1237" t="s">
        <v>17</v>
      </c>
      <c r="B1237" t="s">
        <v>22</v>
      </c>
      <c r="C1237">
        <v>50670841</v>
      </c>
      <c r="D1237" t="s">
        <v>43</v>
      </c>
      <c r="E1237" t="s">
        <v>50</v>
      </c>
      <c r="F1237" s="4">
        <v>41652</v>
      </c>
      <c r="G1237" s="4">
        <v>41793</v>
      </c>
      <c r="H1237" t="s">
        <v>45</v>
      </c>
      <c r="I1237" t="s">
        <v>47</v>
      </c>
      <c r="J1237" t="s">
        <v>11</v>
      </c>
      <c r="K1237">
        <v>1</v>
      </c>
    </row>
    <row r="1238" spans="1:11" x14ac:dyDescent="0.25">
      <c r="A1238" t="s">
        <v>17</v>
      </c>
      <c r="B1238" t="s">
        <v>22</v>
      </c>
      <c r="C1238">
        <v>50670841</v>
      </c>
      <c r="D1238" t="s">
        <v>43</v>
      </c>
      <c r="E1238" t="s">
        <v>50</v>
      </c>
      <c r="F1238" s="4">
        <v>41652</v>
      </c>
      <c r="G1238" s="4">
        <v>41793</v>
      </c>
      <c r="H1238" t="s">
        <v>45</v>
      </c>
      <c r="I1238" t="s">
        <v>47</v>
      </c>
      <c r="J1238" t="s">
        <v>12</v>
      </c>
      <c r="K1238">
        <v>3</v>
      </c>
    </row>
    <row r="1239" spans="1:11" x14ac:dyDescent="0.25">
      <c r="A1239" t="s">
        <v>17</v>
      </c>
      <c r="B1239" t="s">
        <v>22</v>
      </c>
      <c r="C1239">
        <v>50670841</v>
      </c>
      <c r="D1239" t="s">
        <v>43</v>
      </c>
      <c r="E1239" t="s">
        <v>50</v>
      </c>
      <c r="F1239" s="4">
        <v>41652</v>
      </c>
      <c r="G1239" s="4">
        <v>41793</v>
      </c>
      <c r="H1239" t="s">
        <v>45</v>
      </c>
      <c r="I1239" t="s">
        <v>47</v>
      </c>
      <c r="J1239" t="s">
        <v>13</v>
      </c>
      <c r="K1239">
        <v>2</v>
      </c>
    </row>
    <row r="1240" spans="1:11" x14ac:dyDescent="0.25">
      <c r="A1240" t="s">
        <v>17</v>
      </c>
      <c r="B1240" t="s">
        <v>22</v>
      </c>
      <c r="C1240">
        <v>50670841</v>
      </c>
      <c r="D1240" t="s">
        <v>43</v>
      </c>
      <c r="E1240" t="s">
        <v>50</v>
      </c>
      <c r="F1240" s="4">
        <v>41652</v>
      </c>
      <c r="G1240" s="4">
        <v>41793</v>
      </c>
      <c r="H1240" t="s">
        <v>45</v>
      </c>
      <c r="I1240" t="s">
        <v>47</v>
      </c>
      <c r="J1240" t="s">
        <v>14</v>
      </c>
      <c r="K1240">
        <v>0</v>
      </c>
    </row>
    <row r="1241" spans="1:11" x14ac:dyDescent="0.25">
      <c r="A1241" t="s">
        <v>17</v>
      </c>
      <c r="B1241" t="s">
        <v>22</v>
      </c>
      <c r="C1241">
        <v>50670841</v>
      </c>
      <c r="D1241" t="s">
        <v>43</v>
      </c>
      <c r="E1241" t="s">
        <v>50</v>
      </c>
      <c r="F1241" s="4">
        <v>41652</v>
      </c>
      <c r="G1241" s="4">
        <v>41793</v>
      </c>
      <c r="H1241" t="s">
        <v>45</v>
      </c>
      <c r="I1241" t="s">
        <v>47</v>
      </c>
      <c r="J1241" t="s">
        <v>15</v>
      </c>
      <c r="K1241">
        <v>0</v>
      </c>
    </row>
    <row r="1242" spans="1:11" x14ac:dyDescent="0.25">
      <c r="A1242" t="s">
        <v>17</v>
      </c>
      <c r="B1242" t="s">
        <v>20</v>
      </c>
      <c r="C1242">
        <v>50670841</v>
      </c>
      <c r="D1242" t="s">
        <v>43</v>
      </c>
      <c r="E1242" t="s">
        <v>50</v>
      </c>
      <c r="F1242" s="4">
        <v>41652</v>
      </c>
      <c r="G1242" s="4">
        <v>41877</v>
      </c>
      <c r="H1242" t="s">
        <v>45</v>
      </c>
      <c r="I1242" t="s">
        <v>47</v>
      </c>
      <c r="J1242" t="s">
        <v>6</v>
      </c>
      <c r="K1242">
        <v>1</v>
      </c>
    </row>
    <row r="1243" spans="1:11" x14ac:dyDescent="0.25">
      <c r="A1243" t="s">
        <v>17</v>
      </c>
      <c r="B1243" t="s">
        <v>20</v>
      </c>
      <c r="C1243">
        <v>50670841</v>
      </c>
      <c r="D1243" t="s">
        <v>43</v>
      </c>
      <c r="E1243" t="s">
        <v>50</v>
      </c>
      <c r="F1243" s="4">
        <v>41652</v>
      </c>
      <c r="G1243" s="4">
        <v>41877</v>
      </c>
      <c r="H1243" t="s">
        <v>45</v>
      </c>
      <c r="I1243" t="s">
        <v>47</v>
      </c>
      <c r="J1243" t="s">
        <v>7</v>
      </c>
      <c r="K1243">
        <v>0</v>
      </c>
    </row>
    <row r="1244" spans="1:11" x14ac:dyDescent="0.25">
      <c r="A1244" t="s">
        <v>17</v>
      </c>
      <c r="B1244" t="s">
        <v>20</v>
      </c>
      <c r="C1244">
        <v>50670841</v>
      </c>
      <c r="D1244" t="s">
        <v>43</v>
      </c>
      <c r="E1244" t="s">
        <v>50</v>
      </c>
      <c r="F1244" s="4">
        <v>41652</v>
      </c>
      <c r="G1244" s="4">
        <v>41877</v>
      </c>
      <c r="H1244" t="s">
        <v>45</v>
      </c>
      <c r="I1244" t="s">
        <v>47</v>
      </c>
      <c r="J1244" t="s">
        <v>8</v>
      </c>
      <c r="K1244">
        <v>3</v>
      </c>
    </row>
    <row r="1245" spans="1:11" x14ac:dyDescent="0.25">
      <c r="A1245" t="s">
        <v>17</v>
      </c>
      <c r="B1245" t="s">
        <v>20</v>
      </c>
      <c r="C1245">
        <v>50670841</v>
      </c>
      <c r="D1245" t="s">
        <v>43</v>
      </c>
      <c r="E1245" t="s">
        <v>50</v>
      </c>
      <c r="F1245" s="4">
        <v>41652</v>
      </c>
      <c r="G1245" s="4">
        <v>41877</v>
      </c>
      <c r="H1245" t="s">
        <v>45</v>
      </c>
      <c r="I1245" t="s">
        <v>47</v>
      </c>
      <c r="J1245" t="s">
        <v>9</v>
      </c>
      <c r="K1245">
        <v>1</v>
      </c>
    </row>
    <row r="1246" spans="1:11" x14ac:dyDescent="0.25">
      <c r="A1246" t="s">
        <v>17</v>
      </c>
      <c r="B1246" t="s">
        <v>20</v>
      </c>
      <c r="C1246">
        <v>50670841</v>
      </c>
      <c r="D1246" t="s">
        <v>43</v>
      </c>
      <c r="E1246" t="s">
        <v>50</v>
      </c>
      <c r="F1246" s="4">
        <v>41652</v>
      </c>
      <c r="G1246" s="4">
        <v>41877</v>
      </c>
      <c r="H1246" t="s">
        <v>45</v>
      </c>
      <c r="I1246" t="s">
        <v>47</v>
      </c>
      <c r="J1246" t="s">
        <v>10</v>
      </c>
      <c r="K1246">
        <v>0</v>
      </c>
    </row>
    <row r="1247" spans="1:11" x14ac:dyDescent="0.25">
      <c r="A1247" t="s">
        <v>17</v>
      </c>
      <c r="B1247" t="s">
        <v>20</v>
      </c>
      <c r="C1247">
        <v>50670841</v>
      </c>
      <c r="D1247" t="s">
        <v>43</v>
      </c>
      <c r="E1247" t="s">
        <v>50</v>
      </c>
      <c r="F1247" s="4">
        <v>41652</v>
      </c>
      <c r="G1247" s="4">
        <v>41877</v>
      </c>
      <c r="H1247" t="s">
        <v>45</v>
      </c>
      <c r="I1247" t="s">
        <v>47</v>
      </c>
      <c r="J1247" t="s">
        <v>11</v>
      </c>
      <c r="K1247">
        <v>1</v>
      </c>
    </row>
    <row r="1248" spans="1:11" x14ac:dyDescent="0.25">
      <c r="A1248" t="s">
        <v>17</v>
      </c>
      <c r="B1248" t="s">
        <v>20</v>
      </c>
      <c r="C1248">
        <v>50670841</v>
      </c>
      <c r="D1248" t="s">
        <v>43</v>
      </c>
      <c r="E1248" t="s">
        <v>50</v>
      </c>
      <c r="F1248" s="4">
        <v>41652</v>
      </c>
      <c r="G1248" s="4">
        <v>41877</v>
      </c>
      <c r="H1248" t="s">
        <v>45</v>
      </c>
      <c r="I1248" t="s">
        <v>47</v>
      </c>
      <c r="J1248" t="s">
        <v>12</v>
      </c>
      <c r="K1248">
        <v>1</v>
      </c>
    </row>
    <row r="1249" spans="1:11" x14ac:dyDescent="0.25">
      <c r="A1249" t="s">
        <v>17</v>
      </c>
      <c r="B1249" t="s">
        <v>20</v>
      </c>
      <c r="C1249">
        <v>50670841</v>
      </c>
      <c r="D1249" t="s">
        <v>43</v>
      </c>
      <c r="E1249" t="s">
        <v>50</v>
      </c>
      <c r="F1249" s="4">
        <v>41652</v>
      </c>
      <c r="G1249" s="4">
        <v>41877</v>
      </c>
      <c r="H1249" t="s">
        <v>45</v>
      </c>
      <c r="I1249" t="s">
        <v>47</v>
      </c>
      <c r="J1249" t="s">
        <v>13</v>
      </c>
      <c r="K1249">
        <v>0</v>
      </c>
    </row>
    <row r="1250" spans="1:11" x14ac:dyDescent="0.25">
      <c r="A1250" t="s">
        <v>17</v>
      </c>
      <c r="B1250" t="s">
        <v>20</v>
      </c>
      <c r="C1250">
        <v>50670841</v>
      </c>
      <c r="D1250" t="s">
        <v>43</v>
      </c>
      <c r="E1250" t="s">
        <v>50</v>
      </c>
      <c r="F1250" s="4">
        <v>41652</v>
      </c>
      <c r="G1250" s="4">
        <v>41877</v>
      </c>
      <c r="H1250" t="s">
        <v>45</v>
      </c>
      <c r="I1250" t="s">
        <v>47</v>
      </c>
      <c r="J1250" t="s">
        <v>14</v>
      </c>
      <c r="K1250">
        <v>0</v>
      </c>
    </row>
    <row r="1251" spans="1:11" x14ac:dyDescent="0.25">
      <c r="A1251" t="s">
        <v>17</v>
      </c>
      <c r="B1251" t="s">
        <v>20</v>
      </c>
      <c r="C1251">
        <v>50670841</v>
      </c>
      <c r="D1251" t="s">
        <v>43</v>
      </c>
      <c r="E1251" t="s">
        <v>50</v>
      </c>
      <c r="F1251" s="4">
        <v>41652</v>
      </c>
      <c r="G1251" s="4">
        <v>41877</v>
      </c>
      <c r="H1251" t="s">
        <v>45</v>
      </c>
      <c r="I1251" t="s">
        <v>47</v>
      </c>
      <c r="J1251" t="s">
        <v>15</v>
      </c>
      <c r="K1251">
        <v>2</v>
      </c>
    </row>
    <row r="1252" spans="1:11" x14ac:dyDescent="0.25">
      <c r="A1252" t="s">
        <v>17</v>
      </c>
      <c r="B1252" t="s">
        <v>21</v>
      </c>
      <c r="C1252">
        <v>50670841</v>
      </c>
      <c r="D1252" t="s">
        <v>43</v>
      </c>
      <c r="E1252" t="s">
        <v>50</v>
      </c>
      <c r="F1252" s="4">
        <v>41652</v>
      </c>
      <c r="G1252" s="4">
        <v>41939</v>
      </c>
      <c r="H1252" t="s">
        <v>45</v>
      </c>
      <c r="I1252" t="s">
        <v>47</v>
      </c>
      <c r="J1252" t="s">
        <v>6</v>
      </c>
      <c r="K1252">
        <v>0</v>
      </c>
    </row>
    <row r="1253" spans="1:11" x14ac:dyDescent="0.25">
      <c r="A1253" t="s">
        <v>17</v>
      </c>
      <c r="B1253" t="s">
        <v>21</v>
      </c>
      <c r="C1253">
        <v>50670841</v>
      </c>
      <c r="D1253" t="s">
        <v>43</v>
      </c>
      <c r="E1253" t="s">
        <v>50</v>
      </c>
      <c r="F1253" s="4">
        <v>41652</v>
      </c>
      <c r="G1253" s="4">
        <v>41939</v>
      </c>
      <c r="H1253" t="s">
        <v>45</v>
      </c>
      <c r="I1253" t="s">
        <v>47</v>
      </c>
      <c r="J1253" t="s">
        <v>7</v>
      </c>
      <c r="K1253">
        <v>0</v>
      </c>
    </row>
    <row r="1254" spans="1:11" x14ac:dyDescent="0.25">
      <c r="A1254" t="s">
        <v>17</v>
      </c>
      <c r="B1254" t="s">
        <v>21</v>
      </c>
      <c r="C1254">
        <v>50670841</v>
      </c>
      <c r="D1254" t="s">
        <v>43</v>
      </c>
      <c r="E1254" t="s">
        <v>50</v>
      </c>
      <c r="F1254" s="4">
        <v>41652</v>
      </c>
      <c r="G1254" s="4">
        <v>41939</v>
      </c>
      <c r="H1254" t="s">
        <v>45</v>
      </c>
      <c r="I1254" t="s">
        <v>47</v>
      </c>
      <c r="J1254" t="s">
        <v>8</v>
      </c>
      <c r="K1254">
        <v>3</v>
      </c>
    </row>
    <row r="1255" spans="1:11" x14ac:dyDescent="0.25">
      <c r="A1255" t="s">
        <v>17</v>
      </c>
      <c r="B1255" t="s">
        <v>21</v>
      </c>
      <c r="C1255">
        <v>50670841</v>
      </c>
      <c r="D1255" t="s">
        <v>43</v>
      </c>
      <c r="E1255" t="s">
        <v>50</v>
      </c>
      <c r="F1255" s="4">
        <v>41652</v>
      </c>
      <c r="G1255" s="4">
        <v>41939</v>
      </c>
      <c r="H1255" t="s">
        <v>45</v>
      </c>
      <c r="I1255" t="s">
        <v>47</v>
      </c>
      <c r="J1255" t="s">
        <v>9</v>
      </c>
      <c r="K1255">
        <v>2</v>
      </c>
    </row>
    <row r="1256" spans="1:11" x14ac:dyDescent="0.25">
      <c r="A1256" t="s">
        <v>17</v>
      </c>
      <c r="B1256" t="s">
        <v>21</v>
      </c>
      <c r="C1256">
        <v>50670841</v>
      </c>
      <c r="D1256" t="s">
        <v>43</v>
      </c>
      <c r="E1256" t="s">
        <v>50</v>
      </c>
      <c r="F1256" s="4">
        <v>41652</v>
      </c>
      <c r="G1256" s="4">
        <v>41939</v>
      </c>
      <c r="H1256" t="s">
        <v>45</v>
      </c>
      <c r="I1256" t="s">
        <v>47</v>
      </c>
      <c r="J1256" t="s">
        <v>10</v>
      </c>
      <c r="K1256">
        <v>0</v>
      </c>
    </row>
    <row r="1257" spans="1:11" x14ac:dyDescent="0.25">
      <c r="A1257" t="s">
        <v>17</v>
      </c>
      <c r="B1257" t="s">
        <v>21</v>
      </c>
      <c r="C1257">
        <v>50670841</v>
      </c>
      <c r="D1257" t="s">
        <v>43</v>
      </c>
      <c r="E1257" t="s">
        <v>50</v>
      </c>
      <c r="F1257" s="4">
        <v>41652</v>
      </c>
      <c r="G1257" s="4">
        <v>41939</v>
      </c>
      <c r="H1257" t="s">
        <v>45</v>
      </c>
      <c r="I1257" t="s">
        <v>47</v>
      </c>
      <c r="J1257" t="s">
        <v>11</v>
      </c>
      <c r="K1257">
        <v>1</v>
      </c>
    </row>
    <row r="1258" spans="1:11" x14ac:dyDescent="0.25">
      <c r="A1258" t="s">
        <v>17</v>
      </c>
      <c r="B1258" t="s">
        <v>21</v>
      </c>
      <c r="C1258">
        <v>50670841</v>
      </c>
      <c r="D1258" t="s">
        <v>43</v>
      </c>
      <c r="E1258" t="s">
        <v>50</v>
      </c>
      <c r="F1258" s="4">
        <v>41652</v>
      </c>
      <c r="G1258" s="4">
        <v>41939</v>
      </c>
      <c r="H1258" t="s">
        <v>45</v>
      </c>
      <c r="I1258" t="s">
        <v>47</v>
      </c>
      <c r="J1258" t="s">
        <v>12</v>
      </c>
      <c r="K1258">
        <v>0</v>
      </c>
    </row>
    <row r="1259" spans="1:11" x14ac:dyDescent="0.25">
      <c r="A1259" t="s">
        <v>17</v>
      </c>
      <c r="B1259" t="s">
        <v>21</v>
      </c>
      <c r="C1259">
        <v>50670841</v>
      </c>
      <c r="D1259" t="s">
        <v>43</v>
      </c>
      <c r="E1259" t="s">
        <v>50</v>
      </c>
      <c r="F1259" s="4">
        <v>41652</v>
      </c>
      <c r="G1259" s="4">
        <v>41939</v>
      </c>
      <c r="H1259" t="s">
        <v>45</v>
      </c>
      <c r="I1259" t="s">
        <v>47</v>
      </c>
      <c r="J1259" t="s">
        <v>13</v>
      </c>
      <c r="K1259">
        <v>2</v>
      </c>
    </row>
    <row r="1260" spans="1:11" x14ac:dyDescent="0.25">
      <c r="A1260" t="s">
        <v>17</v>
      </c>
      <c r="B1260" t="s">
        <v>21</v>
      </c>
      <c r="C1260">
        <v>50670841</v>
      </c>
      <c r="D1260" t="s">
        <v>43</v>
      </c>
      <c r="E1260" t="s">
        <v>50</v>
      </c>
      <c r="F1260" s="4">
        <v>41652</v>
      </c>
      <c r="G1260" s="4">
        <v>41939</v>
      </c>
      <c r="H1260" t="s">
        <v>45</v>
      </c>
      <c r="I1260" t="s">
        <v>47</v>
      </c>
      <c r="J1260" t="s">
        <v>14</v>
      </c>
      <c r="K1260">
        <v>3</v>
      </c>
    </row>
    <row r="1261" spans="1:11" x14ac:dyDescent="0.25">
      <c r="A1261" t="s">
        <v>17</v>
      </c>
      <c r="B1261" t="s">
        <v>21</v>
      </c>
      <c r="C1261">
        <v>50670841</v>
      </c>
      <c r="D1261" t="s">
        <v>43</v>
      </c>
      <c r="E1261" t="s">
        <v>50</v>
      </c>
      <c r="F1261" s="4">
        <v>41652</v>
      </c>
      <c r="G1261" s="4">
        <v>41939</v>
      </c>
      <c r="H1261" t="s">
        <v>45</v>
      </c>
      <c r="I1261" t="s">
        <v>47</v>
      </c>
      <c r="J1261" t="s">
        <v>15</v>
      </c>
      <c r="K1261">
        <v>1</v>
      </c>
    </row>
    <row r="1262" spans="1:11" x14ac:dyDescent="0.25">
      <c r="A1262" t="s">
        <v>17</v>
      </c>
      <c r="B1262" t="s">
        <v>22</v>
      </c>
      <c r="C1262">
        <v>62613657</v>
      </c>
      <c r="D1262" t="s">
        <v>43</v>
      </c>
      <c r="E1262" t="s">
        <v>44</v>
      </c>
      <c r="F1262" s="4">
        <v>41591</v>
      </c>
      <c r="G1262" s="4">
        <v>41605</v>
      </c>
      <c r="H1262" t="s">
        <v>49</v>
      </c>
      <c r="I1262" t="s">
        <v>46</v>
      </c>
      <c r="J1262" t="s">
        <v>6</v>
      </c>
      <c r="K1262">
        <v>0</v>
      </c>
    </row>
    <row r="1263" spans="1:11" x14ac:dyDescent="0.25">
      <c r="A1263" t="s">
        <v>17</v>
      </c>
      <c r="B1263" t="s">
        <v>22</v>
      </c>
      <c r="C1263">
        <v>62613657</v>
      </c>
      <c r="D1263" t="s">
        <v>43</v>
      </c>
      <c r="E1263" t="s">
        <v>44</v>
      </c>
      <c r="F1263" s="4">
        <v>41591</v>
      </c>
      <c r="G1263" s="4">
        <v>41605</v>
      </c>
      <c r="H1263" t="s">
        <v>49</v>
      </c>
      <c r="I1263" t="s">
        <v>46</v>
      </c>
      <c r="J1263" t="s">
        <v>7</v>
      </c>
      <c r="K1263">
        <v>1</v>
      </c>
    </row>
    <row r="1264" spans="1:11" x14ac:dyDescent="0.25">
      <c r="A1264" t="s">
        <v>17</v>
      </c>
      <c r="B1264" t="s">
        <v>22</v>
      </c>
      <c r="C1264">
        <v>62613657</v>
      </c>
      <c r="D1264" t="s">
        <v>43</v>
      </c>
      <c r="E1264" t="s">
        <v>44</v>
      </c>
      <c r="F1264" s="4">
        <v>41591</v>
      </c>
      <c r="G1264" s="4">
        <v>41605</v>
      </c>
      <c r="H1264" t="s">
        <v>49</v>
      </c>
      <c r="I1264" t="s">
        <v>46</v>
      </c>
      <c r="J1264" t="s">
        <v>8</v>
      </c>
      <c r="K1264">
        <v>3</v>
      </c>
    </row>
    <row r="1265" spans="1:11" x14ac:dyDescent="0.25">
      <c r="A1265" t="s">
        <v>17</v>
      </c>
      <c r="B1265" t="s">
        <v>22</v>
      </c>
      <c r="C1265">
        <v>62613657</v>
      </c>
      <c r="D1265" t="s">
        <v>43</v>
      </c>
      <c r="E1265" t="s">
        <v>44</v>
      </c>
      <c r="F1265" s="4">
        <v>41591</v>
      </c>
      <c r="G1265" s="4">
        <v>41605</v>
      </c>
      <c r="H1265" t="s">
        <v>49</v>
      </c>
      <c r="I1265" t="s">
        <v>46</v>
      </c>
      <c r="J1265" t="s">
        <v>9</v>
      </c>
      <c r="K1265">
        <v>1</v>
      </c>
    </row>
    <row r="1266" spans="1:11" x14ac:dyDescent="0.25">
      <c r="A1266" t="s">
        <v>17</v>
      </c>
      <c r="B1266" t="s">
        <v>22</v>
      </c>
      <c r="C1266">
        <v>62613657</v>
      </c>
      <c r="D1266" t="s">
        <v>43</v>
      </c>
      <c r="E1266" t="s">
        <v>44</v>
      </c>
      <c r="F1266" s="4">
        <v>41591</v>
      </c>
      <c r="G1266" s="4">
        <v>41605</v>
      </c>
      <c r="H1266" t="s">
        <v>49</v>
      </c>
      <c r="I1266" t="s">
        <v>46</v>
      </c>
      <c r="J1266" t="s">
        <v>10</v>
      </c>
      <c r="K1266">
        <v>3</v>
      </c>
    </row>
    <row r="1267" spans="1:11" x14ac:dyDescent="0.25">
      <c r="A1267" t="s">
        <v>17</v>
      </c>
      <c r="B1267" t="s">
        <v>22</v>
      </c>
      <c r="C1267">
        <v>62613657</v>
      </c>
      <c r="D1267" t="s">
        <v>43</v>
      </c>
      <c r="E1267" t="s">
        <v>44</v>
      </c>
      <c r="F1267" s="4">
        <v>41591</v>
      </c>
      <c r="G1267" s="4">
        <v>41605</v>
      </c>
      <c r="H1267" t="s">
        <v>49</v>
      </c>
      <c r="I1267" t="s">
        <v>46</v>
      </c>
      <c r="J1267" t="s">
        <v>11</v>
      </c>
      <c r="K1267">
        <v>0</v>
      </c>
    </row>
    <row r="1268" spans="1:11" x14ac:dyDescent="0.25">
      <c r="A1268" t="s">
        <v>17</v>
      </c>
      <c r="B1268" t="s">
        <v>22</v>
      </c>
      <c r="C1268">
        <v>62613657</v>
      </c>
      <c r="D1268" t="s">
        <v>43</v>
      </c>
      <c r="E1268" t="s">
        <v>44</v>
      </c>
      <c r="F1268" s="4">
        <v>41591</v>
      </c>
      <c r="G1268" s="4">
        <v>41605</v>
      </c>
      <c r="H1268" t="s">
        <v>49</v>
      </c>
      <c r="I1268" t="s">
        <v>46</v>
      </c>
      <c r="J1268" t="s">
        <v>12</v>
      </c>
      <c r="K1268">
        <v>1</v>
      </c>
    </row>
    <row r="1269" spans="1:11" x14ac:dyDescent="0.25">
      <c r="A1269" t="s">
        <v>17</v>
      </c>
      <c r="B1269" t="s">
        <v>22</v>
      </c>
      <c r="C1269">
        <v>62613657</v>
      </c>
      <c r="D1269" t="s">
        <v>43</v>
      </c>
      <c r="E1269" t="s">
        <v>44</v>
      </c>
      <c r="F1269" s="4">
        <v>41591</v>
      </c>
      <c r="G1269" s="4">
        <v>41605</v>
      </c>
      <c r="H1269" t="s">
        <v>49</v>
      </c>
      <c r="I1269" t="s">
        <v>46</v>
      </c>
      <c r="J1269" t="s">
        <v>13</v>
      </c>
      <c r="K1269">
        <v>0</v>
      </c>
    </row>
    <row r="1270" spans="1:11" x14ac:dyDescent="0.25">
      <c r="A1270" t="s">
        <v>17</v>
      </c>
      <c r="B1270" t="s">
        <v>22</v>
      </c>
      <c r="C1270">
        <v>62613657</v>
      </c>
      <c r="D1270" t="s">
        <v>43</v>
      </c>
      <c r="E1270" t="s">
        <v>44</v>
      </c>
      <c r="F1270" s="4">
        <v>41591</v>
      </c>
      <c r="G1270" s="4">
        <v>41605</v>
      </c>
      <c r="H1270" t="s">
        <v>49</v>
      </c>
      <c r="I1270" t="s">
        <v>46</v>
      </c>
      <c r="J1270" t="s">
        <v>14</v>
      </c>
      <c r="K1270">
        <v>0</v>
      </c>
    </row>
    <row r="1271" spans="1:11" x14ac:dyDescent="0.25">
      <c r="A1271" t="s">
        <v>17</v>
      </c>
      <c r="B1271" t="s">
        <v>22</v>
      </c>
      <c r="C1271">
        <v>62613657</v>
      </c>
      <c r="D1271" t="s">
        <v>43</v>
      </c>
      <c r="E1271" t="s">
        <v>44</v>
      </c>
      <c r="F1271" s="4">
        <v>41591</v>
      </c>
      <c r="G1271" s="4">
        <v>41605</v>
      </c>
      <c r="H1271" t="s">
        <v>49</v>
      </c>
      <c r="I1271" t="s">
        <v>46</v>
      </c>
      <c r="J1271" t="s">
        <v>15</v>
      </c>
      <c r="K1271">
        <v>0</v>
      </c>
    </row>
    <row r="1272" spans="1:11" x14ac:dyDescent="0.25">
      <c r="A1272" t="s">
        <v>17</v>
      </c>
      <c r="B1272" t="s">
        <v>20</v>
      </c>
      <c r="C1272">
        <v>62613657</v>
      </c>
      <c r="D1272" t="s">
        <v>43</v>
      </c>
      <c r="E1272" t="s">
        <v>44</v>
      </c>
      <c r="F1272" s="4">
        <v>41591</v>
      </c>
      <c r="G1272" s="4">
        <v>41665</v>
      </c>
      <c r="H1272" t="s">
        <v>49</v>
      </c>
      <c r="I1272" t="s">
        <v>47</v>
      </c>
      <c r="J1272" t="s">
        <v>6</v>
      </c>
      <c r="K1272">
        <v>1</v>
      </c>
    </row>
    <row r="1273" spans="1:11" x14ac:dyDescent="0.25">
      <c r="A1273" t="s">
        <v>17</v>
      </c>
      <c r="B1273" t="s">
        <v>20</v>
      </c>
      <c r="C1273">
        <v>62613657</v>
      </c>
      <c r="D1273" t="s">
        <v>43</v>
      </c>
      <c r="E1273" t="s">
        <v>44</v>
      </c>
      <c r="F1273" s="4">
        <v>41591</v>
      </c>
      <c r="G1273" s="4">
        <v>41665</v>
      </c>
      <c r="H1273" t="s">
        <v>49</v>
      </c>
      <c r="I1273" t="s">
        <v>47</v>
      </c>
      <c r="J1273" t="s">
        <v>7</v>
      </c>
      <c r="K1273">
        <v>2</v>
      </c>
    </row>
    <row r="1274" spans="1:11" x14ac:dyDescent="0.25">
      <c r="A1274" t="s">
        <v>17</v>
      </c>
      <c r="B1274" t="s">
        <v>20</v>
      </c>
      <c r="C1274">
        <v>62613657</v>
      </c>
      <c r="D1274" t="s">
        <v>43</v>
      </c>
      <c r="E1274" t="s">
        <v>44</v>
      </c>
      <c r="F1274" s="4">
        <v>41591</v>
      </c>
      <c r="G1274" s="4">
        <v>41665</v>
      </c>
      <c r="H1274" t="s">
        <v>49</v>
      </c>
      <c r="I1274" t="s">
        <v>47</v>
      </c>
      <c r="J1274" t="s">
        <v>8</v>
      </c>
      <c r="K1274">
        <v>3</v>
      </c>
    </row>
    <row r="1275" spans="1:11" x14ac:dyDescent="0.25">
      <c r="A1275" t="s">
        <v>17</v>
      </c>
      <c r="B1275" t="s">
        <v>20</v>
      </c>
      <c r="C1275">
        <v>62613657</v>
      </c>
      <c r="D1275" t="s">
        <v>43</v>
      </c>
      <c r="E1275" t="s">
        <v>44</v>
      </c>
      <c r="F1275" s="4">
        <v>41591</v>
      </c>
      <c r="G1275" s="4">
        <v>41665</v>
      </c>
      <c r="H1275" t="s">
        <v>49</v>
      </c>
      <c r="I1275" t="s">
        <v>47</v>
      </c>
      <c r="J1275" t="s">
        <v>9</v>
      </c>
      <c r="K1275">
        <v>2</v>
      </c>
    </row>
    <row r="1276" spans="1:11" x14ac:dyDescent="0.25">
      <c r="A1276" t="s">
        <v>17</v>
      </c>
      <c r="B1276" t="s">
        <v>20</v>
      </c>
      <c r="C1276">
        <v>62613657</v>
      </c>
      <c r="D1276" t="s">
        <v>43</v>
      </c>
      <c r="E1276" t="s">
        <v>44</v>
      </c>
      <c r="F1276" s="4">
        <v>41591</v>
      </c>
      <c r="G1276" s="4">
        <v>41665</v>
      </c>
      <c r="H1276" t="s">
        <v>49</v>
      </c>
      <c r="I1276" t="s">
        <v>47</v>
      </c>
      <c r="J1276" t="s">
        <v>10</v>
      </c>
      <c r="K1276">
        <v>1</v>
      </c>
    </row>
    <row r="1277" spans="1:11" x14ac:dyDescent="0.25">
      <c r="A1277" t="s">
        <v>17</v>
      </c>
      <c r="B1277" t="s">
        <v>20</v>
      </c>
      <c r="C1277">
        <v>62613657</v>
      </c>
      <c r="D1277" t="s">
        <v>43</v>
      </c>
      <c r="E1277" t="s">
        <v>44</v>
      </c>
      <c r="F1277" s="4">
        <v>41591</v>
      </c>
      <c r="G1277" s="4">
        <v>41665</v>
      </c>
      <c r="H1277" t="s">
        <v>49</v>
      </c>
      <c r="I1277" t="s">
        <v>47</v>
      </c>
      <c r="J1277" t="s">
        <v>11</v>
      </c>
      <c r="K1277">
        <v>1</v>
      </c>
    </row>
    <row r="1278" spans="1:11" x14ac:dyDescent="0.25">
      <c r="A1278" t="s">
        <v>17</v>
      </c>
      <c r="B1278" t="s">
        <v>20</v>
      </c>
      <c r="C1278">
        <v>62613657</v>
      </c>
      <c r="D1278" t="s">
        <v>43</v>
      </c>
      <c r="E1278" t="s">
        <v>44</v>
      </c>
      <c r="F1278" s="4">
        <v>41591</v>
      </c>
      <c r="G1278" s="4">
        <v>41665</v>
      </c>
      <c r="H1278" t="s">
        <v>49</v>
      </c>
      <c r="I1278" t="s">
        <v>47</v>
      </c>
      <c r="J1278" t="s">
        <v>12</v>
      </c>
      <c r="K1278">
        <v>1</v>
      </c>
    </row>
    <row r="1279" spans="1:11" x14ac:dyDescent="0.25">
      <c r="A1279" t="s">
        <v>17</v>
      </c>
      <c r="B1279" t="s">
        <v>20</v>
      </c>
      <c r="C1279">
        <v>62613657</v>
      </c>
      <c r="D1279" t="s">
        <v>43</v>
      </c>
      <c r="E1279" t="s">
        <v>44</v>
      </c>
      <c r="F1279" s="4">
        <v>41591</v>
      </c>
      <c r="G1279" s="4">
        <v>41665</v>
      </c>
      <c r="H1279" t="s">
        <v>49</v>
      </c>
      <c r="I1279" t="s">
        <v>47</v>
      </c>
      <c r="J1279" t="s">
        <v>13</v>
      </c>
      <c r="K1279">
        <v>2</v>
      </c>
    </row>
    <row r="1280" spans="1:11" x14ac:dyDescent="0.25">
      <c r="A1280" t="s">
        <v>17</v>
      </c>
      <c r="B1280" t="s">
        <v>20</v>
      </c>
      <c r="C1280">
        <v>62613657</v>
      </c>
      <c r="D1280" t="s">
        <v>43</v>
      </c>
      <c r="E1280" t="s">
        <v>44</v>
      </c>
      <c r="F1280" s="4">
        <v>41591</v>
      </c>
      <c r="G1280" s="4">
        <v>41665</v>
      </c>
      <c r="H1280" t="s">
        <v>49</v>
      </c>
      <c r="I1280" t="s">
        <v>47</v>
      </c>
      <c r="J1280" t="s">
        <v>14</v>
      </c>
      <c r="K1280">
        <v>0</v>
      </c>
    </row>
    <row r="1281" spans="1:11" x14ac:dyDescent="0.25">
      <c r="A1281" t="s">
        <v>17</v>
      </c>
      <c r="B1281" t="s">
        <v>20</v>
      </c>
      <c r="C1281">
        <v>62613657</v>
      </c>
      <c r="D1281" t="s">
        <v>43</v>
      </c>
      <c r="E1281" t="s">
        <v>44</v>
      </c>
      <c r="F1281" s="4">
        <v>41591</v>
      </c>
      <c r="G1281" s="4">
        <v>41665</v>
      </c>
      <c r="H1281" t="s">
        <v>49</v>
      </c>
      <c r="I1281" t="s">
        <v>47</v>
      </c>
      <c r="J1281" t="s">
        <v>15</v>
      </c>
      <c r="K1281">
        <v>1</v>
      </c>
    </row>
    <row r="1282" spans="1:11" x14ac:dyDescent="0.25">
      <c r="A1282" t="s">
        <v>17</v>
      </c>
      <c r="B1282" t="s">
        <v>21</v>
      </c>
      <c r="C1282">
        <v>62613657</v>
      </c>
      <c r="D1282" t="s">
        <v>43</v>
      </c>
      <c r="E1282" t="s">
        <v>44</v>
      </c>
      <c r="F1282" s="4">
        <v>41591</v>
      </c>
      <c r="G1282" s="4">
        <v>41772</v>
      </c>
      <c r="H1282" t="s">
        <v>49</v>
      </c>
      <c r="I1282" t="s">
        <v>47</v>
      </c>
      <c r="J1282" t="s">
        <v>6</v>
      </c>
      <c r="K1282">
        <v>2</v>
      </c>
    </row>
    <row r="1283" spans="1:11" x14ac:dyDescent="0.25">
      <c r="A1283" t="s">
        <v>17</v>
      </c>
      <c r="B1283" t="s">
        <v>21</v>
      </c>
      <c r="C1283">
        <v>62613657</v>
      </c>
      <c r="D1283" t="s">
        <v>43</v>
      </c>
      <c r="E1283" t="s">
        <v>44</v>
      </c>
      <c r="F1283" s="4">
        <v>41591</v>
      </c>
      <c r="G1283" s="4">
        <v>41772</v>
      </c>
      <c r="H1283" t="s">
        <v>49</v>
      </c>
      <c r="I1283" t="s">
        <v>47</v>
      </c>
      <c r="J1283" t="s">
        <v>7</v>
      </c>
      <c r="K1283">
        <v>1</v>
      </c>
    </row>
    <row r="1284" spans="1:11" x14ac:dyDescent="0.25">
      <c r="A1284" t="s">
        <v>17</v>
      </c>
      <c r="B1284" t="s">
        <v>21</v>
      </c>
      <c r="C1284">
        <v>62613657</v>
      </c>
      <c r="D1284" t="s">
        <v>43</v>
      </c>
      <c r="E1284" t="s">
        <v>44</v>
      </c>
      <c r="F1284" s="4">
        <v>41591</v>
      </c>
      <c r="G1284" s="4">
        <v>41772</v>
      </c>
      <c r="H1284" t="s">
        <v>49</v>
      </c>
      <c r="I1284" t="s">
        <v>47</v>
      </c>
      <c r="J1284" t="s">
        <v>8</v>
      </c>
      <c r="K1284">
        <v>1</v>
      </c>
    </row>
    <row r="1285" spans="1:11" x14ac:dyDescent="0.25">
      <c r="A1285" t="s">
        <v>17</v>
      </c>
      <c r="B1285" t="s">
        <v>21</v>
      </c>
      <c r="C1285">
        <v>62613657</v>
      </c>
      <c r="D1285" t="s">
        <v>43</v>
      </c>
      <c r="E1285" t="s">
        <v>44</v>
      </c>
      <c r="F1285" s="4">
        <v>41591</v>
      </c>
      <c r="G1285" s="4">
        <v>41772</v>
      </c>
      <c r="H1285" t="s">
        <v>49</v>
      </c>
      <c r="I1285" t="s">
        <v>47</v>
      </c>
      <c r="J1285" t="s">
        <v>9</v>
      </c>
      <c r="K1285">
        <v>0</v>
      </c>
    </row>
    <row r="1286" spans="1:11" x14ac:dyDescent="0.25">
      <c r="A1286" t="s">
        <v>17</v>
      </c>
      <c r="B1286" t="s">
        <v>21</v>
      </c>
      <c r="C1286">
        <v>62613657</v>
      </c>
      <c r="D1286" t="s">
        <v>43</v>
      </c>
      <c r="E1286" t="s">
        <v>44</v>
      </c>
      <c r="F1286" s="4">
        <v>41591</v>
      </c>
      <c r="G1286" s="4">
        <v>41772</v>
      </c>
      <c r="H1286" t="s">
        <v>49</v>
      </c>
      <c r="I1286" t="s">
        <v>47</v>
      </c>
      <c r="J1286" t="s">
        <v>10</v>
      </c>
      <c r="K1286">
        <v>2</v>
      </c>
    </row>
    <row r="1287" spans="1:11" x14ac:dyDescent="0.25">
      <c r="A1287" t="s">
        <v>17</v>
      </c>
      <c r="B1287" t="s">
        <v>21</v>
      </c>
      <c r="C1287">
        <v>62613657</v>
      </c>
      <c r="D1287" t="s">
        <v>43</v>
      </c>
      <c r="E1287" t="s">
        <v>44</v>
      </c>
      <c r="F1287" s="4">
        <v>41591</v>
      </c>
      <c r="G1287" s="4">
        <v>41772</v>
      </c>
      <c r="H1287" t="s">
        <v>49</v>
      </c>
      <c r="I1287" t="s">
        <v>47</v>
      </c>
      <c r="J1287" t="s">
        <v>11</v>
      </c>
      <c r="K1287">
        <v>1</v>
      </c>
    </row>
    <row r="1288" spans="1:11" x14ac:dyDescent="0.25">
      <c r="A1288" t="s">
        <v>17</v>
      </c>
      <c r="B1288" t="s">
        <v>21</v>
      </c>
      <c r="C1288">
        <v>62613657</v>
      </c>
      <c r="D1288" t="s">
        <v>43</v>
      </c>
      <c r="E1288" t="s">
        <v>44</v>
      </c>
      <c r="F1288" s="4">
        <v>41591</v>
      </c>
      <c r="G1288" s="4">
        <v>41772</v>
      </c>
      <c r="H1288" t="s">
        <v>49</v>
      </c>
      <c r="I1288" t="s">
        <v>47</v>
      </c>
      <c r="J1288" t="s">
        <v>12</v>
      </c>
      <c r="K1288">
        <v>0</v>
      </c>
    </row>
    <row r="1289" spans="1:11" x14ac:dyDescent="0.25">
      <c r="A1289" t="s">
        <v>17</v>
      </c>
      <c r="B1289" t="s">
        <v>21</v>
      </c>
      <c r="C1289">
        <v>62613657</v>
      </c>
      <c r="D1289" t="s">
        <v>43</v>
      </c>
      <c r="E1289" t="s">
        <v>44</v>
      </c>
      <c r="F1289" s="4">
        <v>41591</v>
      </c>
      <c r="G1289" s="4">
        <v>41772</v>
      </c>
      <c r="H1289" t="s">
        <v>49</v>
      </c>
      <c r="I1289" t="s">
        <v>47</v>
      </c>
      <c r="J1289" t="s">
        <v>13</v>
      </c>
      <c r="K1289">
        <v>0</v>
      </c>
    </row>
    <row r="1290" spans="1:11" x14ac:dyDescent="0.25">
      <c r="A1290" t="s">
        <v>17</v>
      </c>
      <c r="B1290" t="s">
        <v>21</v>
      </c>
      <c r="C1290">
        <v>62613657</v>
      </c>
      <c r="D1290" t="s">
        <v>43</v>
      </c>
      <c r="E1290" t="s">
        <v>44</v>
      </c>
      <c r="F1290" s="4">
        <v>41591</v>
      </c>
      <c r="G1290" s="4">
        <v>41772</v>
      </c>
      <c r="H1290" t="s">
        <v>49</v>
      </c>
      <c r="I1290" t="s">
        <v>47</v>
      </c>
      <c r="J1290" t="s">
        <v>14</v>
      </c>
      <c r="K1290">
        <v>0</v>
      </c>
    </row>
    <row r="1291" spans="1:11" x14ac:dyDescent="0.25">
      <c r="A1291" t="s">
        <v>17</v>
      </c>
      <c r="B1291" t="s">
        <v>21</v>
      </c>
      <c r="C1291">
        <v>62613657</v>
      </c>
      <c r="D1291" t="s">
        <v>43</v>
      </c>
      <c r="E1291" t="s">
        <v>44</v>
      </c>
      <c r="F1291" s="4">
        <v>41591</v>
      </c>
      <c r="G1291" s="4">
        <v>41772</v>
      </c>
      <c r="H1291" t="s">
        <v>49</v>
      </c>
      <c r="I1291" t="s">
        <v>47</v>
      </c>
      <c r="J1291" t="s">
        <v>15</v>
      </c>
      <c r="K1291">
        <v>1</v>
      </c>
    </row>
    <row r="1292" spans="1:11" x14ac:dyDescent="0.25">
      <c r="A1292" t="s">
        <v>17</v>
      </c>
      <c r="B1292" t="s">
        <v>22</v>
      </c>
      <c r="C1292">
        <v>62613657</v>
      </c>
      <c r="D1292" t="s">
        <v>43</v>
      </c>
      <c r="E1292" t="s">
        <v>44</v>
      </c>
      <c r="F1292" s="4">
        <v>41591</v>
      </c>
      <c r="G1292" s="4">
        <v>41874</v>
      </c>
      <c r="H1292" t="s">
        <v>49</v>
      </c>
      <c r="I1292" t="s">
        <v>47</v>
      </c>
      <c r="J1292" t="s">
        <v>6</v>
      </c>
      <c r="K1292">
        <v>1</v>
      </c>
    </row>
    <row r="1293" spans="1:11" x14ac:dyDescent="0.25">
      <c r="A1293" t="s">
        <v>17</v>
      </c>
      <c r="B1293" t="s">
        <v>22</v>
      </c>
      <c r="C1293">
        <v>62613657</v>
      </c>
      <c r="D1293" t="s">
        <v>43</v>
      </c>
      <c r="E1293" t="s">
        <v>44</v>
      </c>
      <c r="F1293" s="4">
        <v>41591</v>
      </c>
      <c r="G1293" s="4">
        <v>41874</v>
      </c>
      <c r="H1293" t="s">
        <v>49</v>
      </c>
      <c r="I1293" t="s">
        <v>47</v>
      </c>
      <c r="J1293" t="s">
        <v>7</v>
      </c>
      <c r="K1293">
        <v>2</v>
      </c>
    </row>
    <row r="1294" spans="1:11" x14ac:dyDescent="0.25">
      <c r="A1294" t="s">
        <v>17</v>
      </c>
      <c r="B1294" t="s">
        <v>22</v>
      </c>
      <c r="C1294">
        <v>62613657</v>
      </c>
      <c r="D1294" t="s">
        <v>43</v>
      </c>
      <c r="E1294" t="s">
        <v>44</v>
      </c>
      <c r="F1294" s="4">
        <v>41591</v>
      </c>
      <c r="G1294" s="4">
        <v>41874</v>
      </c>
      <c r="H1294" t="s">
        <v>49</v>
      </c>
      <c r="I1294" t="s">
        <v>47</v>
      </c>
      <c r="J1294" t="s">
        <v>8</v>
      </c>
      <c r="K1294">
        <v>1</v>
      </c>
    </row>
    <row r="1295" spans="1:11" x14ac:dyDescent="0.25">
      <c r="A1295" t="s">
        <v>17</v>
      </c>
      <c r="B1295" t="s">
        <v>22</v>
      </c>
      <c r="C1295">
        <v>62613657</v>
      </c>
      <c r="D1295" t="s">
        <v>43</v>
      </c>
      <c r="E1295" t="s">
        <v>44</v>
      </c>
      <c r="F1295" s="4">
        <v>41591</v>
      </c>
      <c r="G1295" s="4">
        <v>41874</v>
      </c>
      <c r="H1295" t="s">
        <v>49</v>
      </c>
      <c r="I1295" t="s">
        <v>47</v>
      </c>
      <c r="J1295" t="s">
        <v>9</v>
      </c>
      <c r="K1295">
        <v>2</v>
      </c>
    </row>
    <row r="1296" spans="1:11" x14ac:dyDescent="0.25">
      <c r="A1296" t="s">
        <v>17</v>
      </c>
      <c r="B1296" t="s">
        <v>22</v>
      </c>
      <c r="C1296">
        <v>62613657</v>
      </c>
      <c r="D1296" t="s">
        <v>43</v>
      </c>
      <c r="E1296" t="s">
        <v>44</v>
      </c>
      <c r="F1296" s="4">
        <v>41591</v>
      </c>
      <c r="G1296" s="4">
        <v>41874</v>
      </c>
      <c r="H1296" t="s">
        <v>49</v>
      </c>
      <c r="I1296" t="s">
        <v>47</v>
      </c>
      <c r="J1296" t="s">
        <v>10</v>
      </c>
      <c r="K1296">
        <v>0</v>
      </c>
    </row>
    <row r="1297" spans="1:11" x14ac:dyDescent="0.25">
      <c r="A1297" t="s">
        <v>17</v>
      </c>
      <c r="B1297" t="s">
        <v>22</v>
      </c>
      <c r="C1297">
        <v>62613657</v>
      </c>
      <c r="D1297" t="s">
        <v>43</v>
      </c>
      <c r="E1297" t="s">
        <v>44</v>
      </c>
      <c r="F1297" s="4">
        <v>41591</v>
      </c>
      <c r="G1297" s="4">
        <v>41874</v>
      </c>
      <c r="H1297" t="s">
        <v>49</v>
      </c>
      <c r="I1297" t="s">
        <v>47</v>
      </c>
      <c r="J1297" t="s">
        <v>11</v>
      </c>
      <c r="K1297">
        <v>2</v>
      </c>
    </row>
    <row r="1298" spans="1:11" x14ac:dyDescent="0.25">
      <c r="A1298" t="s">
        <v>17</v>
      </c>
      <c r="B1298" t="s">
        <v>22</v>
      </c>
      <c r="C1298">
        <v>62613657</v>
      </c>
      <c r="D1298" t="s">
        <v>43</v>
      </c>
      <c r="E1298" t="s">
        <v>44</v>
      </c>
      <c r="F1298" s="4">
        <v>41591</v>
      </c>
      <c r="G1298" s="4">
        <v>41874</v>
      </c>
      <c r="H1298" t="s">
        <v>49</v>
      </c>
      <c r="I1298" t="s">
        <v>47</v>
      </c>
      <c r="J1298" t="s">
        <v>12</v>
      </c>
      <c r="K1298">
        <v>0</v>
      </c>
    </row>
    <row r="1299" spans="1:11" x14ac:dyDescent="0.25">
      <c r="A1299" t="s">
        <v>17</v>
      </c>
      <c r="B1299" t="s">
        <v>22</v>
      </c>
      <c r="C1299">
        <v>62613657</v>
      </c>
      <c r="D1299" t="s">
        <v>43</v>
      </c>
      <c r="E1299" t="s">
        <v>44</v>
      </c>
      <c r="F1299" s="4">
        <v>41591</v>
      </c>
      <c r="G1299" s="4">
        <v>41874</v>
      </c>
      <c r="H1299" t="s">
        <v>49</v>
      </c>
      <c r="I1299" t="s">
        <v>47</v>
      </c>
      <c r="J1299" t="s">
        <v>13</v>
      </c>
      <c r="K1299">
        <v>2</v>
      </c>
    </row>
    <row r="1300" spans="1:11" x14ac:dyDescent="0.25">
      <c r="A1300" t="s">
        <v>17</v>
      </c>
      <c r="B1300" t="s">
        <v>22</v>
      </c>
      <c r="C1300">
        <v>62613657</v>
      </c>
      <c r="D1300" t="s">
        <v>43</v>
      </c>
      <c r="E1300" t="s">
        <v>44</v>
      </c>
      <c r="F1300" s="4">
        <v>41591</v>
      </c>
      <c r="G1300" s="4">
        <v>41874</v>
      </c>
      <c r="H1300" t="s">
        <v>49</v>
      </c>
      <c r="I1300" t="s">
        <v>47</v>
      </c>
      <c r="J1300" t="s">
        <v>14</v>
      </c>
      <c r="K1300">
        <v>2</v>
      </c>
    </row>
    <row r="1301" spans="1:11" x14ac:dyDescent="0.25">
      <c r="A1301" t="s">
        <v>17</v>
      </c>
      <c r="B1301" t="s">
        <v>22</v>
      </c>
      <c r="C1301">
        <v>62613657</v>
      </c>
      <c r="D1301" t="s">
        <v>43</v>
      </c>
      <c r="E1301" t="s">
        <v>44</v>
      </c>
      <c r="F1301" s="4">
        <v>41591</v>
      </c>
      <c r="G1301" s="4">
        <v>41874</v>
      </c>
      <c r="H1301" t="s">
        <v>49</v>
      </c>
      <c r="I1301" t="s">
        <v>47</v>
      </c>
      <c r="J1301" t="s">
        <v>15</v>
      </c>
      <c r="K1301">
        <v>2</v>
      </c>
    </row>
    <row r="1302" spans="1:11" x14ac:dyDescent="0.25">
      <c r="A1302" t="s">
        <v>17</v>
      </c>
      <c r="B1302" t="s">
        <v>20</v>
      </c>
      <c r="C1302">
        <v>62613657</v>
      </c>
      <c r="D1302" t="s">
        <v>43</v>
      </c>
      <c r="E1302" t="s">
        <v>44</v>
      </c>
      <c r="F1302" s="4">
        <v>41591</v>
      </c>
      <c r="G1302" s="4">
        <v>41966</v>
      </c>
      <c r="H1302" t="s">
        <v>49</v>
      </c>
      <c r="I1302" t="s">
        <v>47</v>
      </c>
      <c r="J1302" t="s">
        <v>6</v>
      </c>
      <c r="K1302">
        <v>1</v>
      </c>
    </row>
    <row r="1303" spans="1:11" x14ac:dyDescent="0.25">
      <c r="A1303" t="s">
        <v>17</v>
      </c>
      <c r="B1303" t="s">
        <v>20</v>
      </c>
      <c r="C1303">
        <v>62613657</v>
      </c>
      <c r="D1303" t="s">
        <v>43</v>
      </c>
      <c r="E1303" t="s">
        <v>44</v>
      </c>
      <c r="F1303" s="4">
        <v>41591</v>
      </c>
      <c r="G1303" s="4">
        <v>41966</v>
      </c>
      <c r="H1303" t="s">
        <v>49</v>
      </c>
      <c r="I1303" t="s">
        <v>47</v>
      </c>
      <c r="J1303" t="s">
        <v>7</v>
      </c>
      <c r="K1303">
        <v>0</v>
      </c>
    </row>
    <row r="1304" spans="1:11" x14ac:dyDescent="0.25">
      <c r="A1304" t="s">
        <v>17</v>
      </c>
      <c r="B1304" t="s">
        <v>20</v>
      </c>
      <c r="C1304">
        <v>62613657</v>
      </c>
      <c r="D1304" t="s">
        <v>43</v>
      </c>
      <c r="E1304" t="s">
        <v>44</v>
      </c>
      <c r="F1304" s="4">
        <v>41591</v>
      </c>
      <c r="G1304" s="4">
        <v>41966</v>
      </c>
      <c r="H1304" t="s">
        <v>49</v>
      </c>
      <c r="I1304" t="s">
        <v>47</v>
      </c>
      <c r="J1304" t="s">
        <v>8</v>
      </c>
      <c r="K1304">
        <v>1</v>
      </c>
    </row>
    <row r="1305" spans="1:11" x14ac:dyDescent="0.25">
      <c r="A1305" t="s">
        <v>17</v>
      </c>
      <c r="B1305" t="s">
        <v>20</v>
      </c>
      <c r="C1305">
        <v>62613657</v>
      </c>
      <c r="D1305" t="s">
        <v>43</v>
      </c>
      <c r="E1305" t="s">
        <v>44</v>
      </c>
      <c r="F1305" s="4">
        <v>41591</v>
      </c>
      <c r="G1305" s="4">
        <v>41966</v>
      </c>
      <c r="H1305" t="s">
        <v>49</v>
      </c>
      <c r="I1305" t="s">
        <v>47</v>
      </c>
      <c r="J1305" t="s">
        <v>9</v>
      </c>
      <c r="K1305">
        <v>3</v>
      </c>
    </row>
    <row r="1306" spans="1:11" x14ac:dyDescent="0.25">
      <c r="A1306" t="s">
        <v>17</v>
      </c>
      <c r="B1306" t="s">
        <v>20</v>
      </c>
      <c r="C1306">
        <v>62613657</v>
      </c>
      <c r="D1306" t="s">
        <v>43</v>
      </c>
      <c r="E1306" t="s">
        <v>44</v>
      </c>
      <c r="F1306" s="4">
        <v>41591</v>
      </c>
      <c r="G1306" s="4">
        <v>41966</v>
      </c>
      <c r="H1306" t="s">
        <v>49</v>
      </c>
      <c r="I1306" t="s">
        <v>47</v>
      </c>
      <c r="J1306" t="s">
        <v>10</v>
      </c>
      <c r="K1306">
        <v>1</v>
      </c>
    </row>
    <row r="1307" spans="1:11" x14ac:dyDescent="0.25">
      <c r="A1307" t="s">
        <v>17</v>
      </c>
      <c r="B1307" t="s">
        <v>20</v>
      </c>
      <c r="C1307">
        <v>62613657</v>
      </c>
      <c r="D1307" t="s">
        <v>43</v>
      </c>
      <c r="E1307" t="s">
        <v>44</v>
      </c>
      <c r="F1307" s="4">
        <v>41591</v>
      </c>
      <c r="G1307" s="4">
        <v>41966</v>
      </c>
      <c r="H1307" t="s">
        <v>49</v>
      </c>
      <c r="I1307" t="s">
        <v>47</v>
      </c>
      <c r="J1307" t="s">
        <v>11</v>
      </c>
      <c r="K1307">
        <v>2</v>
      </c>
    </row>
    <row r="1308" spans="1:11" x14ac:dyDescent="0.25">
      <c r="A1308" t="s">
        <v>17</v>
      </c>
      <c r="B1308" t="s">
        <v>20</v>
      </c>
      <c r="C1308">
        <v>62613657</v>
      </c>
      <c r="D1308" t="s">
        <v>43</v>
      </c>
      <c r="E1308" t="s">
        <v>44</v>
      </c>
      <c r="F1308" s="4">
        <v>41591</v>
      </c>
      <c r="G1308" s="4">
        <v>41966</v>
      </c>
      <c r="H1308" t="s">
        <v>49</v>
      </c>
      <c r="I1308" t="s">
        <v>47</v>
      </c>
      <c r="J1308" t="s">
        <v>12</v>
      </c>
      <c r="K1308">
        <v>1</v>
      </c>
    </row>
    <row r="1309" spans="1:11" x14ac:dyDescent="0.25">
      <c r="A1309" t="s">
        <v>17</v>
      </c>
      <c r="B1309" t="s">
        <v>20</v>
      </c>
      <c r="C1309">
        <v>62613657</v>
      </c>
      <c r="D1309" t="s">
        <v>43</v>
      </c>
      <c r="E1309" t="s">
        <v>44</v>
      </c>
      <c r="F1309" s="4">
        <v>41591</v>
      </c>
      <c r="G1309" s="4">
        <v>41966</v>
      </c>
      <c r="H1309" t="s">
        <v>49</v>
      </c>
      <c r="I1309" t="s">
        <v>47</v>
      </c>
      <c r="J1309" t="s">
        <v>13</v>
      </c>
      <c r="K1309">
        <v>1</v>
      </c>
    </row>
    <row r="1310" spans="1:11" x14ac:dyDescent="0.25">
      <c r="A1310" t="s">
        <v>17</v>
      </c>
      <c r="B1310" t="s">
        <v>20</v>
      </c>
      <c r="C1310">
        <v>62613657</v>
      </c>
      <c r="D1310" t="s">
        <v>43</v>
      </c>
      <c r="E1310" t="s">
        <v>44</v>
      </c>
      <c r="F1310" s="4">
        <v>41591</v>
      </c>
      <c r="G1310" s="4">
        <v>41966</v>
      </c>
      <c r="H1310" t="s">
        <v>49</v>
      </c>
      <c r="I1310" t="s">
        <v>47</v>
      </c>
      <c r="J1310" t="s">
        <v>14</v>
      </c>
      <c r="K1310">
        <v>3</v>
      </c>
    </row>
    <row r="1311" spans="1:11" x14ac:dyDescent="0.25">
      <c r="A1311" t="s">
        <v>17</v>
      </c>
      <c r="B1311" t="s">
        <v>20</v>
      </c>
      <c r="C1311">
        <v>62613657</v>
      </c>
      <c r="D1311" t="s">
        <v>43</v>
      </c>
      <c r="E1311" t="s">
        <v>44</v>
      </c>
      <c r="F1311" s="4">
        <v>41591</v>
      </c>
      <c r="G1311" s="4">
        <v>41966</v>
      </c>
      <c r="H1311" t="s">
        <v>49</v>
      </c>
      <c r="I1311" t="s">
        <v>47</v>
      </c>
      <c r="J1311" t="s">
        <v>15</v>
      </c>
      <c r="K1311">
        <v>2</v>
      </c>
    </row>
    <row r="1312" spans="1:11" x14ac:dyDescent="0.25">
      <c r="A1312" t="s">
        <v>17</v>
      </c>
      <c r="B1312" t="s">
        <v>21</v>
      </c>
      <c r="C1312">
        <v>62613657</v>
      </c>
      <c r="D1312" t="s">
        <v>43</v>
      </c>
      <c r="E1312" t="s">
        <v>44</v>
      </c>
      <c r="F1312" s="4">
        <v>41591</v>
      </c>
      <c r="G1312" s="4">
        <v>42035</v>
      </c>
      <c r="H1312" t="s">
        <v>49</v>
      </c>
      <c r="I1312" t="s">
        <v>47</v>
      </c>
      <c r="J1312" t="s">
        <v>6</v>
      </c>
      <c r="K1312">
        <v>2</v>
      </c>
    </row>
    <row r="1313" spans="1:11" x14ac:dyDescent="0.25">
      <c r="A1313" t="s">
        <v>17</v>
      </c>
      <c r="B1313" t="s">
        <v>21</v>
      </c>
      <c r="C1313">
        <v>62613657</v>
      </c>
      <c r="D1313" t="s">
        <v>43</v>
      </c>
      <c r="E1313" t="s">
        <v>44</v>
      </c>
      <c r="F1313" s="4">
        <v>41591</v>
      </c>
      <c r="G1313" s="4">
        <v>42035</v>
      </c>
      <c r="H1313" t="s">
        <v>49</v>
      </c>
      <c r="I1313" t="s">
        <v>47</v>
      </c>
      <c r="J1313" t="s">
        <v>7</v>
      </c>
      <c r="K1313">
        <v>1</v>
      </c>
    </row>
    <row r="1314" spans="1:11" x14ac:dyDescent="0.25">
      <c r="A1314" t="s">
        <v>17</v>
      </c>
      <c r="B1314" t="s">
        <v>21</v>
      </c>
      <c r="C1314">
        <v>62613657</v>
      </c>
      <c r="D1314" t="s">
        <v>43</v>
      </c>
      <c r="E1314" t="s">
        <v>44</v>
      </c>
      <c r="F1314" s="4">
        <v>41591</v>
      </c>
      <c r="G1314" s="4">
        <v>42035</v>
      </c>
      <c r="H1314" t="s">
        <v>49</v>
      </c>
      <c r="I1314" t="s">
        <v>47</v>
      </c>
      <c r="J1314" t="s">
        <v>8</v>
      </c>
      <c r="K1314">
        <v>3</v>
      </c>
    </row>
    <row r="1315" spans="1:11" x14ac:dyDescent="0.25">
      <c r="A1315" t="s">
        <v>17</v>
      </c>
      <c r="B1315" t="s">
        <v>21</v>
      </c>
      <c r="C1315">
        <v>62613657</v>
      </c>
      <c r="D1315" t="s">
        <v>43</v>
      </c>
      <c r="E1315" t="s">
        <v>44</v>
      </c>
      <c r="F1315" s="4">
        <v>41591</v>
      </c>
      <c r="G1315" s="4">
        <v>42035</v>
      </c>
      <c r="H1315" t="s">
        <v>49</v>
      </c>
      <c r="I1315" t="s">
        <v>47</v>
      </c>
      <c r="J1315" t="s">
        <v>9</v>
      </c>
      <c r="K1315">
        <v>1</v>
      </c>
    </row>
    <row r="1316" spans="1:11" x14ac:dyDescent="0.25">
      <c r="A1316" t="s">
        <v>17</v>
      </c>
      <c r="B1316" t="s">
        <v>21</v>
      </c>
      <c r="C1316">
        <v>62613657</v>
      </c>
      <c r="D1316" t="s">
        <v>43</v>
      </c>
      <c r="E1316" t="s">
        <v>44</v>
      </c>
      <c r="F1316" s="4">
        <v>41591</v>
      </c>
      <c r="G1316" s="4">
        <v>42035</v>
      </c>
      <c r="H1316" t="s">
        <v>49</v>
      </c>
      <c r="I1316" t="s">
        <v>47</v>
      </c>
      <c r="J1316" t="s">
        <v>10</v>
      </c>
      <c r="K1316">
        <v>2</v>
      </c>
    </row>
    <row r="1317" spans="1:11" x14ac:dyDescent="0.25">
      <c r="A1317" t="s">
        <v>17</v>
      </c>
      <c r="B1317" t="s">
        <v>21</v>
      </c>
      <c r="C1317">
        <v>62613657</v>
      </c>
      <c r="D1317" t="s">
        <v>43</v>
      </c>
      <c r="E1317" t="s">
        <v>44</v>
      </c>
      <c r="F1317" s="4">
        <v>41591</v>
      </c>
      <c r="G1317" s="4">
        <v>42035</v>
      </c>
      <c r="H1317" t="s">
        <v>49</v>
      </c>
      <c r="I1317" t="s">
        <v>47</v>
      </c>
      <c r="J1317" t="s">
        <v>11</v>
      </c>
      <c r="K1317">
        <v>0</v>
      </c>
    </row>
    <row r="1318" spans="1:11" x14ac:dyDescent="0.25">
      <c r="A1318" t="s">
        <v>17</v>
      </c>
      <c r="B1318" t="s">
        <v>21</v>
      </c>
      <c r="C1318">
        <v>62613657</v>
      </c>
      <c r="D1318" t="s">
        <v>43</v>
      </c>
      <c r="E1318" t="s">
        <v>44</v>
      </c>
      <c r="F1318" s="4">
        <v>41591</v>
      </c>
      <c r="G1318" s="4">
        <v>42035</v>
      </c>
      <c r="H1318" t="s">
        <v>49</v>
      </c>
      <c r="I1318" t="s">
        <v>47</v>
      </c>
      <c r="J1318" t="s">
        <v>12</v>
      </c>
      <c r="K1318">
        <v>1</v>
      </c>
    </row>
    <row r="1319" spans="1:11" x14ac:dyDescent="0.25">
      <c r="A1319" t="s">
        <v>17</v>
      </c>
      <c r="B1319" t="s">
        <v>21</v>
      </c>
      <c r="C1319">
        <v>62613657</v>
      </c>
      <c r="D1319" t="s">
        <v>43</v>
      </c>
      <c r="E1319" t="s">
        <v>44</v>
      </c>
      <c r="F1319" s="4">
        <v>41591</v>
      </c>
      <c r="G1319" s="4">
        <v>42035</v>
      </c>
      <c r="H1319" t="s">
        <v>49</v>
      </c>
      <c r="I1319" t="s">
        <v>47</v>
      </c>
      <c r="J1319" t="s">
        <v>13</v>
      </c>
      <c r="K1319">
        <v>0</v>
      </c>
    </row>
    <row r="1320" spans="1:11" x14ac:dyDescent="0.25">
      <c r="A1320" t="s">
        <v>17</v>
      </c>
      <c r="B1320" t="s">
        <v>21</v>
      </c>
      <c r="C1320">
        <v>62613657</v>
      </c>
      <c r="D1320" t="s">
        <v>43</v>
      </c>
      <c r="E1320" t="s">
        <v>44</v>
      </c>
      <c r="F1320" s="4">
        <v>41591</v>
      </c>
      <c r="G1320" s="4">
        <v>42035</v>
      </c>
      <c r="H1320" t="s">
        <v>49</v>
      </c>
      <c r="I1320" t="s">
        <v>47</v>
      </c>
      <c r="J1320" t="s">
        <v>14</v>
      </c>
      <c r="K1320">
        <v>3</v>
      </c>
    </row>
    <row r="1321" spans="1:11" x14ac:dyDescent="0.25">
      <c r="A1321" t="s">
        <v>17</v>
      </c>
      <c r="B1321" t="s">
        <v>21</v>
      </c>
      <c r="C1321">
        <v>62613657</v>
      </c>
      <c r="D1321" t="s">
        <v>43</v>
      </c>
      <c r="E1321" t="s">
        <v>44</v>
      </c>
      <c r="F1321" s="4">
        <v>41591</v>
      </c>
      <c r="G1321" s="4">
        <v>42035</v>
      </c>
      <c r="H1321" t="s">
        <v>49</v>
      </c>
      <c r="I1321" t="s">
        <v>47</v>
      </c>
      <c r="J1321" t="s">
        <v>15</v>
      </c>
      <c r="K1321">
        <v>1</v>
      </c>
    </row>
    <row r="1322" spans="1:11" x14ac:dyDescent="0.25">
      <c r="A1322" t="s">
        <v>17</v>
      </c>
      <c r="B1322" t="s">
        <v>22</v>
      </c>
      <c r="C1322">
        <v>20226377</v>
      </c>
      <c r="D1322" t="s">
        <v>48</v>
      </c>
      <c r="E1322" t="s">
        <v>44</v>
      </c>
      <c r="F1322" s="4">
        <v>41342</v>
      </c>
      <c r="G1322" s="4">
        <v>41369</v>
      </c>
      <c r="H1322" t="s">
        <v>45</v>
      </c>
      <c r="I1322" t="s">
        <v>46</v>
      </c>
      <c r="J1322" t="s">
        <v>6</v>
      </c>
      <c r="K1322">
        <v>1</v>
      </c>
    </row>
    <row r="1323" spans="1:11" x14ac:dyDescent="0.25">
      <c r="A1323" t="s">
        <v>17</v>
      </c>
      <c r="B1323" t="s">
        <v>22</v>
      </c>
      <c r="C1323">
        <v>20226377</v>
      </c>
      <c r="D1323" t="s">
        <v>48</v>
      </c>
      <c r="E1323" t="s">
        <v>44</v>
      </c>
      <c r="F1323" s="4">
        <v>41342</v>
      </c>
      <c r="G1323" s="4">
        <v>41369</v>
      </c>
      <c r="H1323" t="s">
        <v>45</v>
      </c>
      <c r="I1323" t="s">
        <v>46</v>
      </c>
      <c r="J1323" t="s">
        <v>7</v>
      </c>
      <c r="K1323">
        <v>1</v>
      </c>
    </row>
    <row r="1324" spans="1:11" x14ac:dyDescent="0.25">
      <c r="A1324" t="s">
        <v>17</v>
      </c>
      <c r="B1324" t="s">
        <v>22</v>
      </c>
      <c r="C1324">
        <v>20226377</v>
      </c>
      <c r="D1324" t="s">
        <v>48</v>
      </c>
      <c r="E1324" t="s">
        <v>44</v>
      </c>
      <c r="F1324" s="4">
        <v>41342</v>
      </c>
      <c r="G1324" s="4">
        <v>41369</v>
      </c>
      <c r="H1324" t="s">
        <v>45</v>
      </c>
      <c r="I1324" t="s">
        <v>46</v>
      </c>
      <c r="J1324" t="s">
        <v>8</v>
      </c>
      <c r="K1324">
        <v>1</v>
      </c>
    </row>
    <row r="1325" spans="1:11" x14ac:dyDescent="0.25">
      <c r="A1325" t="s">
        <v>17</v>
      </c>
      <c r="B1325" t="s">
        <v>22</v>
      </c>
      <c r="C1325">
        <v>20226377</v>
      </c>
      <c r="D1325" t="s">
        <v>48</v>
      </c>
      <c r="E1325" t="s">
        <v>44</v>
      </c>
      <c r="F1325" s="4">
        <v>41342</v>
      </c>
      <c r="G1325" s="4">
        <v>41369</v>
      </c>
      <c r="H1325" t="s">
        <v>45</v>
      </c>
      <c r="I1325" t="s">
        <v>46</v>
      </c>
      <c r="J1325" t="s">
        <v>9</v>
      </c>
      <c r="K1325">
        <v>0</v>
      </c>
    </row>
    <row r="1326" spans="1:11" x14ac:dyDescent="0.25">
      <c r="A1326" t="s">
        <v>17</v>
      </c>
      <c r="B1326" t="s">
        <v>22</v>
      </c>
      <c r="C1326">
        <v>20226377</v>
      </c>
      <c r="D1326" t="s">
        <v>48</v>
      </c>
      <c r="E1326" t="s">
        <v>44</v>
      </c>
      <c r="F1326" s="4">
        <v>41342</v>
      </c>
      <c r="G1326" s="4">
        <v>41369</v>
      </c>
      <c r="H1326" t="s">
        <v>45</v>
      </c>
      <c r="I1326" t="s">
        <v>46</v>
      </c>
      <c r="J1326" t="s">
        <v>10</v>
      </c>
      <c r="K1326">
        <v>0</v>
      </c>
    </row>
    <row r="1327" spans="1:11" x14ac:dyDescent="0.25">
      <c r="A1327" t="s">
        <v>17</v>
      </c>
      <c r="B1327" t="s">
        <v>22</v>
      </c>
      <c r="C1327">
        <v>20226377</v>
      </c>
      <c r="D1327" t="s">
        <v>48</v>
      </c>
      <c r="E1327" t="s">
        <v>44</v>
      </c>
      <c r="F1327" s="4">
        <v>41342</v>
      </c>
      <c r="G1327" s="4">
        <v>41369</v>
      </c>
      <c r="H1327" t="s">
        <v>45</v>
      </c>
      <c r="I1327" t="s">
        <v>46</v>
      </c>
      <c r="J1327" t="s">
        <v>11</v>
      </c>
      <c r="K1327">
        <v>1</v>
      </c>
    </row>
    <row r="1328" spans="1:11" x14ac:dyDescent="0.25">
      <c r="A1328" t="s">
        <v>17</v>
      </c>
      <c r="B1328" t="s">
        <v>22</v>
      </c>
      <c r="C1328">
        <v>20226377</v>
      </c>
      <c r="D1328" t="s">
        <v>48</v>
      </c>
      <c r="E1328" t="s">
        <v>44</v>
      </c>
      <c r="F1328" s="4">
        <v>41342</v>
      </c>
      <c r="G1328" s="4">
        <v>41369</v>
      </c>
      <c r="H1328" t="s">
        <v>45</v>
      </c>
      <c r="I1328" t="s">
        <v>46</v>
      </c>
      <c r="J1328" t="s">
        <v>12</v>
      </c>
      <c r="K1328">
        <v>0</v>
      </c>
    </row>
    <row r="1329" spans="1:11" x14ac:dyDescent="0.25">
      <c r="A1329" t="s">
        <v>17</v>
      </c>
      <c r="B1329" t="s">
        <v>22</v>
      </c>
      <c r="C1329">
        <v>20226377</v>
      </c>
      <c r="D1329" t="s">
        <v>48</v>
      </c>
      <c r="E1329" t="s">
        <v>44</v>
      </c>
      <c r="F1329" s="4">
        <v>41342</v>
      </c>
      <c r="G1329" s="4">
        <v>41369</v>
      </c>
      <c r="H1329" t="s">
        <v>45</v>
      </c>
      <c r="I1329" t="s">
        <v>46</v>
      </c>
      <c r="J1329" t="s">
        <v>13</v>
      </c>
      <c r="K1329">
        <v>0</v>
      </c>
    </row>
    <row r="1330" spans="1:11" x14ac:dyDescent="0.25">
      <c r="A1330" t="s">
        <v>17</v>
      </c>
      <c r="B1330" t="s">
        <v>22</v>
      </c>
      <c r="C1330">
        <v>20226377</v>
      </c>
      <c r="D1330" t="s">
        <v>48</v>
      </c>
      <c r="E1330" t="s">
        <v>44</v>
      </c>
      <c r="F1330" s="4">
        <v>41342</v>
      </c>
      <c r="G1330" s="4">
        <v>41369</v>
      </c>
      <c r="H1330" t="s">
        <v>45</v>
      </c>
      <c r="I1330" t="s">
        <v>46</v>
      </c>
      <c r="J1330" t="s">
        <v>14</v>
      </c>
      <c r="K1330">
        <v>1</v>
      </c>
    </row>
    <row r="1331" spans="1:11" x14ac:dyDescent="0.25">
      <c r="A1331" t="s">
        <v>17</v>
      </c>
      <c r="B1331" t="s">
        <v>22</v>
      </c>
      <c r="C1331">
        <v>20226377</v>
      </c>
      <c r="D1331" t="s">
        <v>48</v>
      </c>
      <c r="E1331" t="s">
        <v>44</v>
      </c>
      <c r="F1331" s="4">
        <v>41342</v>
      </c>
      <c r="G1331" s="4">
        <v>41369</v>
      </c>
      <c r="H1331" t="s">
        <v>45</v>
      </c>
      <c r="I1331" t="s">
        <v>46</v>
      </c>
      <c r="J1331" t="s">
        <v>15</v>
      </c>
      <c r="K1331">
        <v>1</v>
      </c>
    </row>
    <row r="1332" spans="1:11" x14ac:dyDescent="0.25">
      <c r="A1332" t="s">
        <v>17</v>
      </c>
      <c r="B1332" t="s">
        <v>20</v>
      </c>
      <c r="C1332">
        <v>20226377</v>
      </c>
      <c r="D1332" t="s">
        <v>48</v>
      </c>
      <c r="E1332" t="s">
        <v>44</v>
      </c>
      <c r="F1332" s="4">
        <v>41342</v>
      </c>
      <c r="G1332" s="4">
        <v>41486</v>
      </c>
      <c r="H1332" t="s">
        <v>45</v>
      </c>
      <c r="I1332" t="s">
        <v>47</v>
      </c>
      <c r="J1332" t="s">
        <v>6</v>
      </c>
      <c r="K1332">
        <v>2</v>
      </c>
    </row>
    <row r="1333" spans="1:11" x14ac:dyDescent="0.25">
      <c r="A1333" t="s">
        <v>17</v>
      </c>
      <c r="B1333" t="s">
        <v>20</v>
      </c>
      <c r="C1333">
        <v>20226377</v>
      </c>
      <c r="D1333" t="s">
        <v>48</v>
      </c>
      <c r="E1333" t="s">
        <v>44</v>
      </c>
      <c r="F1333" s="4">
        <v>41342</v>
      </c>
      <c r="G1333" s="4">
        <v>41486</v>
      </c>
      <c r="H1333" t="s">
        <v>45</v>
      </c>
      <c r="I1333" t="s">
        <v>47</v>
      </c>
      <c r="J1333" t="s">
        <v>7</v>
      </c>
      <c r="K1333">
        <v>1</v>
      </c>
    </row>
    <row r="1334" spans="1:11" x14ac:dyDescent="0.25">
      <c r="A1334" t="s">
        <v>17</v>
      </c>
      <c r="B1334" t="s">
        <v>20</v>
      </c>
      <c r="C1334">
        <v>20226377</v>
      </c>
      <c r="D1334" t="s">
        <v>48</v>
      </c>
      <c r="E1334" t="s">
        <v>44</v>
      </c>
      <c r="F1334" s="4">
        <v>41342</v>
      </c>
      <c r="G1334" s="4">
        <v>41486</v>
      </c>
      <c r="H1334" t="s">
        <v>45</v>
      </c>
      <c r="I1334" t="s">
        <v>47</v>
      </c>
      <c r="J1334" t="s">
        <v>8</v>
      </c>
      <c r="K1334">
        <v>3</v>
      </c>
    </row>
    <row r="1335" spans="1:11" x14ac:dyDescent="0.25">
      <c r="A1335" t="s">
        <v>17</v>
      </c>
      <c r="B1335" t="s">
        <v>20</v>
      </c>
      <c r="C1335">
        <v>20226377</v>
      </c>
      <c r="D1335" t="s">
        <v>48</v>
      </c>
      <c r="E1335" t="s">
        <v>44</v>
      </c>
      <c r="F1335" s="4">
        <v>41342</v>
      </c>
      <c r="G1335" s="4">
        <v>41486</v>
      </c>
      <c r="H1335" t="s">
        <v>45</v>
      </c>
      <c r="I1335" t="s">
        <v>47</v>
      </c>
      <c r="J1335" t="s">
        <v>9</v>
      </c>
      <c r="K1335">
        <v>2</v>
      </c>
    </row>
    <row r="1336" spans="1:11" x14ac:dyDescent="0.25">
      <c r="A1336" t="s">
        <v>17</v>
      </c>
      <c r="B1336" t="s">
        <v>20</v>
      </c>
      <c r="C1336">
        <v>20226377</v>
      </c>
      <c r="D1336" t="s">
        <v>48</v>
      </c>
      <c r="E1336" t="s">
        <v>44</v>
      </c>
      <c r="F1336" s="4">
        <v>41342</v>
      </c>
      <c r="G1336" s="4">
        <v>41486</v>
      </c>
      <c r="H1336" t="s">
        <v>45</v>
      </c>
      <c r="I1336" t="s">
        <v>47</v>
      </c>
      <c r="J1336" t="s">
        <v>10</v>
      </c>
      <c r="K1336">
        <v>1</v>
      </c>
    </row>
    <row r="1337" spans="1:11" x14ac:dyDescent="0.25">
      <c r="A1337" t="s">
        <v>17</v>
      </c>
      <c r="B1337" t="s">
        <v>20</v>
      </c>
      <c r="C1337">
        <v>20226377</v>
      </c>
      <c r="D1337" t="s">
        <v>48</v>
      </c>
      <c r="E1337" t="s">
        <v>44</v>
      </c>
      <c r="F1337" s="4">
        <v>41342</v>
      </c>
      <c r="G1337" s="4">
        <v>41486</v>
      </c>
      <c r="H1337" t="s">
        <v>45</v>
      </c>
      <c r="I1337" t="s">
        <v>47</v>
      </c>
      <c r="J1337" t="s">
        <v>11</v>
      </c>
      <c r="K1337">
        <v>0</v>
      </c>
    </row>
    <row r="1338" spans="1:11" x14ac:dyDescent="0.25">
      <c r="A1338" t="s">
        <v>17</v>
      </c>
      <c r="B1338" t="s">
        <v>20</v>
      </c>
      <c r="C1338">
        <v>20226377</v>
      </c>
      <c r="D1338" t="s">
        <v>48</v>
      </c>
      <c r="E1338" t="s">
        <v>44</v>
      </c>
      <c r="F1338" s="4">
        <v>41342</v>
      </c>
      <c r="G1338" s="4">
        <v>41486</v>
      </c>
      <c r="H1338" t="s">
        <v>45</v>
      </c>
      <c r="I1338" t="s">
        <v>47</v>
      </c>
      <c r="J1338" t="s">
        <v>12</v>
      </c>
      <c r="K1338">
        <v>1</v>
      </c>
    </row>
    <row r="1339" spans="1:11" x14ac:dyDescent="0.25">
      <c r="A1339" t="s">
        <v>17</v>
      </c>
      <c r="B1339" t="s">
        <v>20</v>
      </c>
      <c r="C1339">
        <v>20226377</v>
      </c>
      <c r="D1339" t="s">
        <v>48</v>
      </c>
      <c r="E1339" t="s">
        <v>44</v>
      </c>
      <c r="F1339" s="4">
        <v>41342</v>
      </c>
      <c r="G1339" s="4">
        <v>41486</v>
      </c>
      <c r="H1339" t="s">
        <v>45</v>
      </c>
      <c r="I1339" t="s">
        <v>47</v>
      </c>
      <c r="J1339" t="s">
        <v>13</v>
      </c>
      <c r="K1339">
        <v>1</v>
      </c>
    </row>
    <row r="1340" spans="1:11" x14ac:dyDescent="0.25">
      <c r="A1340" t="s">
        <v>17</v>
      </c>
      <c r="B1340" t="s">
        <v>20</v>
      </c>
      <c r="C1340">
        <v>20226377</v>
      </c>
      <c r="D1340" t="s">
        <v>48</v>
      </c>
      <c r="E1340" t="s">
        <v>44</v>
      </c>
      <c r="F1340" s="4">
        <v>41342</v>
      </c>
      <c r="G1340" s="4">
        <v>41486</v>
      </c>
      <c r="H1340" t="s">
        <v>45</v>
      </c>
      <c r="I1340" t="s">
        <v>47</v>
      </c>
      <c r="J1340" t="s">
        <v>14</v>
      </c>
      <c r="K1340">
        <v>2</v>
      </c>
    </row>
    <row r="1341" spans="1:11" x14ac:dyDescent="0.25">
      <c r="A1341" t="s">
        <v>17</v>
      </c>
      <c r="B1341" t="s">
        <v>20</v>
      </c>
      <c r="C1341">
        <v>20226377</v>
      </c>
      <c r="D1341" t="s">
        <v>48</v>
      </c>
      <c r="E1341" t="s">
        <v>44</v>
      </c>
      <c r="F1341" s="4">
        <v>41342</v>
      </c>
      <c r="G1341" s="4">
        <v>41486</v>
      </c>
      <c r="H1341" t="s">
        <v>45</v>
      </c>
      <c r="I1341" t="s">
        <v>47</v>
      </c>
      <c r="J1341" t="s">
        <v>15</v>
      </c>
      <c r="K1341">
        <v>1</v>
      </c>
    </row>
    <row r="1342" spans="1:11" x14ac:dyDescent="0.25">
      <c r="A1342" t="s">
        <v>17</v>
      </c>
      <c r="B1342" t="s">
        <v>21</v>
      </c>
      <c r="C1342">
        <v>20226377</v>
      </c>
      <c r="D1342" t="s">
        <v>48</v>
      </c>
      <c r="E1342" t="s">
        <v>44</v>
      </c>
      <c r="F1342" s="4">
        <v>41342</v>
      </c>
      <c r="G1342" s="4">
        <v>41506</v>
      </c>
      <c r="H1342" t="s">
        <v>45</v>
      </c>
      <c r="I1342" t="s">
        <v>47</v>
      </c>
      <c r="J1342" t="s">
        <v>6</v>
      </c>
      <c r="K1342">
        <v>1</v>
      </c>
    </row>
    <row r="1343" spans="1:11" x14ac:dyDescent="0.25">
      <c r="A1343" t="s">
        <v>17</v>
      </c>
      <c r="B1343" t="s">
        <v>21</v>
      </c>
      <c r="C1343">
        <v>20226377</v>
      </c>
      <c r="D1343" t="s">
        <v>48</v>
      </c>
      <c r="E1343" t="s">
        <v>44</v>
      </c>
      <c r="F1343" s="4">
        <v>41342</v>
      </c>
      <c r="G1343" s="4">
        <v>41506</v>
      </c>
      <c r="H1343" t="s">
        <v>45</v>
      </c>
      <c r="I1343" t="s">
        <v>47</v>
      </c>
      <c r="J1343" t="s">
        <v>7</v>
      </c>
      <c r="K1343">
        <v>0</v>
      </c>
    </row>
    <row r="1344" spans="1:11" x14ac:dyDescent="0.25">
      <c r="A1344" t="s">
        <v>17</v>
      </c>
      <c r="B1344" t="s">
        <v>21</v>
      </c>
      <c r="C1344">
        <v>20226377</v>
      </c>
      <c r="D1344" t="s">
        <v>48</v>
      </c>
      <c r="E1344" t="s">
        <v>44</v>
      </c>
      <c r="F1344" s="4">
        <v>41342</v>
      </c>
      <c r="G1344" s="4">
        <v>41506</v>
      </c>
      <c r="H1344" t="s">
        <v>45</v>
      </c>
      <c r="I1344" t="s">
        <v>47</v>
      </c>
      <c r="J1344" t="s">
        <v>8</v>
      </c>
      <c r="K1344">
        <v>3</v>
      </c>
    </row>
    <row r="1345" spans="1:11" x14ac:dyDescent="0.25">
      <c r="A1345" t="s">
        <v>17</v>
      </c>
      <c r="B1345" t="s">
        <v>21</v>
      </c>
      <c r="C1345">
        <v>20226377</v>
      </c>
      <c r="D1345" t="s">
        <v>48</v>
      </c>
      <c r="E1345" t="s">
        <v>44</v>
      </c>
      <c r="F1345" s="4">
        <v>41342</v>
      </c>
      <c r="G1345" s="4">
        <v>41506</v>
      </c>
      <c r="H1345" t="s">
        <v>45</v>
      </c>
      <c r="I1345" t="s">
        <v>47</v>
      </c>
      <c r="J1345" t="s">
        <v>9</v>
      </c>
      <c r="K1345">
        <v>0</v>
      </c>
    </row>
    <row r="1346" spans="1:11" x14ac:dyDescent="0.25">
      <c r="A1346" t="s">
        <v>17</v>
      </c>
      <c r="B1346" t="s">
        <v>21</v>
      </c>
      <c r="C1346">
        <v>20226377</v>
      </c>
      <c r="D1346" t="s">
        <v>48</v>
      </c>
      <c r="E1346" t="s">
        <v>44</v>
      </c>
      <c r="F1346" s="4">
        <v>41342</v>
      </c>
      <c r="G1346" s="4">
        <v>41506</v>
      </c>
      <c r="H1346" t="s">
        <v>45</v>
      </c>
      <c r="I1346" t="s">
        <v>47</v>
      </c>
      <c r="J1346" t="s">
        <v>10</v>
      </c>
      <c r="K1346">
        <v>3</v>
      </c>
    </row>
    <row r="1347" spans="1:11" x14ac:dyDescent="0.25">
      <c r="A1347" t="s">
        <v>17</v>
      </c>
      <c r="B1347" t="s">
        <v>21</v>
      </c>
      <c r="C1347">
        <v>20226377</v>
      </c>
      <c r="D1347" t="s">
        <v>48</v>
      </c>
      <c r="E1347" t="s">
        <v>44</v>
      </c>
      <c r="F1347" s="4">
        <v>41342</v>
      </c>
      <c r="G1347" s="4">
        <v>41506</v>
      </c>
      <c r="H1347" t="s">
        <v>45</v>
      </c>
      <c r="I1347" t="s">
        <v>47</v>
      </c>
      <c r="J1347" t="s">
        <v>11</v>
      </c>
      <c r="K1347">
        <v>1</v>
      </c>
    </row>
    <row r="1348" spans="1:11" x14ac:dyDescent="0.25">
      <c r="A1348" t="s">
        <v>17</v>
      </c>
      <c r="B1348" t="s">
        <v>21</v>
      </c>
      <c r="C1348">
        <v>20226377</v>
      </c>
      <c r="D1348" t="s">
        <v>48</v>
      </c>
      <c r="E1348" t="s">
        <v>44</v>
      </c>
      <c r="F1348" s="4">
        <v>41342</v>
      </c>
      <c r="G1348" s="4">
        <v>41506</v>
      </c>
      <c r="H1348" t="s">
        <v>45</v>
      </c>
      <c r="I1348" t="s">
        <v>47</v>
      </c>
      <c r="J1348" t="s">
        <v>12</v>
      </c>
      <c r="K1348">
        <v>0</v>
      </c>
    </row>
    <row r="1349" spans="1:11" x14ac:dyDescent="0.25">
      <c r="A1349" t="s">
        <v>17</v>
      </c>
      <c r="B1349" t="s">
        <v>21</v>
      </c>
      <c r="C1349">
        <v>20226377</v>
      </c>
      <c r="D1349" t="s">
        <v>48</v>
      </c>
      <c r="E1349" t="s">
        <v>44</v>
      </c>
      <c r="F1349" s="4">
        <v>41342</v>
      </c>
      <c r="G1349" s="4">
        <v>41506</v>
      </c>
      <c r="H1349" t="s">
        <v>45</v>
      </c>
      <c r="I1349" t="s">
        <v>47</v>
      </c>
      <c r="J1349" t="s">
        <v>13</v>
      </c>
      <c r="K1349">
        <v>0</v>
      </c>
    </row>
    <row r="1350" spans="1:11" x14ac:dyDescent="0.25">
      <c r="A1350" t="s">
        <v>17</v>
      </c>
      <c r="B1350" t="s">
        <v>21</v>
      </c>
      <c r="C1350">
        <v>20226377</v>
      </c>
      <c r="D1350" t="s">
        <v>48</v>
      </c>
      <c r="E1350" t="s">
        <v>44</v>
      </c>
      <c r="F1350" s="4">
        <v>41342</v>
      </c>
      <c r="G1350" s="4">
        <v>41506</v>
      </c>
      <c r="H1350" t="s">
        <v>45</v>
      </c>
      <c r="I1350" t="s">
        <v>47</v>
      </c>
      <c r="J1350" t="s">
        <v>14</v>
      </c>
      <c r="K1350">
        <v>1</v>
      </c>
    </row>
    <row r="1351" spans="1:11" x14ac:dyDescent="0.25">
      <c r="A1351" t="s">
        <v>17</v>
      </c>
      <c r="B1351" t="s">
        <v>21</v>
      </c>
      <c r="C1351">
        <v>20226377</v>
      </c>
      <c r="D1351" t="s">
        <v>48</v>
      </c>
      <c r="E1351" t="s">
        <v>44</v>
      </c>
      <c r="F1351" s="4">
        <v>41342</v>
      </c>
      <c r="G1351" s="4">
        <v>41506</v>
      </c>
      <c r="H1351" t="s">
        <v>45</v>
      </c>
      <c r="I1351" t="s">
        <v>47</v>
      </c>
      <c r="J1351" t="s">
        <v>15</v>
      </c>
      <c r="K1351">
        <v>0</v>
      </c>
    </row>
    <row r="1352" spans="1:11" x14ac:dyDescent="0.25">
      <c r="A1352" t="s">
        <v>17</v>
      </c>
      <c r="B1352" t="s">
        <v>22</v>
      </c>
      <c r="C1352">
        <v>76773416</v>
      </c>
      <c r="D1352" t="s">
        <v>48</v>
      </c>
      <c r="E1352" t="s">
        <v>44</v>
      </c>
      <c r="F1352" s="4">
        <v>41302</v>
      </c>
      <c r="G1352" s="4">
        <v>41319</v>
      </c>
      <c r="H1352" t="s">
        <v>45</v>
      </c>
      <c r="I1352" t="s">
        <v>46</v>
      </c>
      <c r="J1352" t="s">
        <v>6</v>
      </c>
      <c r="K1352">
        <v>0</v>
      </c>
    </row>
    <row r="1353" spans="1:11" x14ac:dyDescent="0.25">
      <c r="A1353" t="s">
        <v>17</v>
      </c>
      <c r="B1353" t="s">
        <v>22</v>
      </c>
      <c r="C1353">
        <v>76773416</v>
      </c>
      <c r="D1353" t="s">
        <v>48</v>
      </c>
      <c r="E1353" t="s">
        <v>44</v>
      </c>
      <c r="F1353" s="4">
        <v>41302</v>
      </c>
      <c r="G1353" s="4">
        <v>41319</v>
      </c>
      <c r="H1353" t="s">
        <v>45</v>
      </c>
      <c r="I1353" t="s">
        <v>46</v>
      </c>
      <c r="J1353" t="s">
        <v>7</v>
      </c>
      <c r="K1353">
        <v>0</v>
      </c>
    </row>
    <row r="1354" spans="1:11" x14ac:dyDescent="0.25">
      <c r="A1354" t="s">
        <v>17</v>
      </c>
      <c r="B1354" t="s">
        <v>22</v>
      </c>
      <c r="C1354">
        <v>76773416</v>
      </c>
      <c r="D1354" t="s">
        <v>48</v>
      </c>
      <c r="E1354" t="s">
        <v>44</v>
      </c>
      <c r="F1354" s="4">
        <v>41302</v>
      </c>
      <c r="G1354" s="4">
        <v>41319</v>
      </c>
      <c r="H1354" t="s">
        <v>45</v>
      </c>
      <c r="I1354" t="s">
        <v>46</v>
      </c>
      <c r="J1354" t="s">
        <v>8</v>
      </c>
      <c r="K1354">
        <v>0</v>
      </c>
    </row>
    <row r="1355" spans="1:11" x14ac:dyDescent="0.25">
      <c r="A1355" t="s">
        <v>17</v>
      </c>
      <c r="B1355" t="s">
        <v>22</v>
      </c>
      <c r="C1355">
        <v>76773416</v>
      </c>
      <c r="D1355" t="s">
        <v>48</v>
      </c>
      <c r="E1355" t="s">
        <v>44</v>
      </c>
      <c r="F1355" s="4">
        <v>41302</v>
      </c>
      <c r="G1355" s="4">
        <v>41319</v>
      </c>
      <c r="H1355" t="s">
        <v>45</v>
      </c>
      <c r="I1355" t="s">
        <v>46</v>
      </c>
      <c r="J1355" t="s">
        <v>9</v>
      </c>
      <c r="K1355">
        <v>3</v>
      </c>
    </row>
    <row r="1356" spans="1:11" x14ac:dyDescent="0.25">
      <c r="A1356" t="s">
        <v>17</v>
      </c>
      <c r="B1356" t="s">
        <v>22</v>
      </c>
      <c r="C1356">
        <v>76773416</v>
      </c>
      <c r="D1356" t="s">
        <v>48</v>
      </c>
      <c r="E1356" t="s">
        <v>44</v>
      </c>
      <c r="F1356" s="4">
        <v>41302</v>
      </c>
      <c r="G1356" s="4">
        <v>41319</v>
      </c>
      <c r="H1356" t="s">
        <v>45</v>
      </c>
      <c r="I1356" t="s">
        <v>46</v>
      </c>
      <c r="J1356" t="s">
        <v>10</v>
      </c>
      <c r="K1356">
        <v>0</v>
      </c>
    </row>
    <row r="1357" spans="1:11" x14ac:dyDescent="0.25">
      <c r="A1357" t="s">
        <v>17</v>
      </c>
      <c r="B1357" t="s">
        <v>22</v>
      </c>
      <c r="C1357">
        <v>76773416</v>
      </c>
      <c r="D1357" t="s">
        <v>48</v>
      </c>
      <c r="E1357" t="s">
        <v>44</v>
      </c>
      <c r="F1357" s="4">
        <v>41302</v>
      </c>
      <c r="G1357" s="4">
        <v>41319</v>
      </c>
      <c r="H1357" t="s">
        <v>45</v>
      </c>
      <c r="I1357" t="s">
        <v>46</v>
      </c>
      <c r="J1357" t="s">
        <v>11</v>
      </c>
      <c r="K1357">
        <v>3</v>
      </c>
    </row>
    <row r="1358" spans="1:11" x14ac:dyDescent="0.25">
      <c r="A1358" t="s">
        <v>17</v>
      </c>
      <c r="B1358" t="s">
        <v>22</v>
      </c>
      <c r="C1358">
        <v>76773416</v>
      </c>
      <c r="D1358" t="s">
        <v>48</v>
      </c>
      <c r="E1358" t="s">
        <v>44</v>
      </c>
      <c r="F1358" s="4">
        <v>41302</v>
      </c>
      <c r="G1358" s="4">
        <v>41319</v>
      </c>
      <c r="H1358" t="s">
        <v>45</v>
      </c>
      <c r="I1358" t="s">
        <v>46</v>
      </c>
      <c r="J1358" t="s">
        <v>12</v>
      </c>
      <c r="K1358">
        <v>2</v>
      </c>
    </row>
    <row r="1359" spans="1:11" x14ac:dyDescent="0.25">
      <c r="A1359" t="s">
        <v>17</v>
      </c>
      <c r="B1359" t="s">
        <v>22</v>
      </c>
      <c r="C1359">
        <v>76773416</v>
      </c>
      <c r="D1359" t="s">
        <v>48</v>
      </c>
      <c r="E1359" t="s">
        <v>44</v>
      </c>
      <c r="F1359" s="4">
        <v>41302</v>
      </c>
      <c r="G1359" s="4">
        <v>41319</v>
      </c>
      <c r="H1359" t="s">
        <v>45</v>
      </c>
      <c r="I1359" t="s">
        <v>46</v>
      </c>
      <c r="J1359" t="s">
        <v>13</v>
      </c>
      <c r="K1359">
        <v>0</v>
      </c>
    </row>
    <row r="1360" spans="1:11" x14ac:dyDescent="0.25">
      <c r="A1360" t="s">
        <v>17</v>
      </c>
      <c r="B1360" t="s">
        <v>22</v>
      </c>
      <c r="C1360">
        <v>76773416</v>
      </c>
      <c r="D1360" t="s">
        <v>48</v>
      </c>
      <c r="E1360" t="s">
        <v>44</v>
      </c>
      <c r="F1360" s="4">
        <v>41302</v>
      </c>
      <c r="G1360" s="4">
        <v>41319</v>
      </c>
      <c r="H1360" t="s">
        <v>45</v>
      </c>
      <c r="I1360" t="s">
        <v>46</v>
      </c>
      <c r="J1360" t="s">
        <v>14</v>
      </c>
      <c r="K1360">
        <v>0</v>
      </c>
    </row>
    <row r="1361" spans="1:11" x14ac:dyDescent="0.25">
      <c r="A1361" t="s">
        <v>17</v>
      </c>
      <c r="B1361" t="s">
        <v>22</v>
      </c>
      <c r="C1361">
        <v>76773416</v>
      </c>
      <c r="D1361" t="s">
        <v>48</v>
      </c>
      <c r="E1361" t="s">
        <v>44</v>
      </c>
      <c r="F1361" s="4">
        <v>41302</v>
      </c>
      <c r="G1361" s="4">
        <v>41319</v>
      </c>
      <c r="H1361" t="s">
        <v>45</v>
      </c>
      <c r="I1361" t="s">
        <v>46</v>
      </c>
      <c r="J1361" t="s">
        <v>15</v>
      </c>
      <c r="K1361">
        <v>1</v>
      </c>
    </row>
    <row r="1362" spans="1:11" x14ac:dyDescent="0.25">
      <c r="A1362" t="s">
        <v>17</v>
      </c>
      <c r="B1362" t="s">
        <v>20</v>
      </c>
      <c r="C1362">
        <v>76773416</v>
      </c>
      <c r="D1362" t="s">
        <v>48</v>
      </c>
      <c r="E1362" t="s">
        <v>44</v>
      </c>
      <c r="F1362" s="4">
        <v>41302</v>
      </c>
      <c r="G1362" s="4">
        <v>41418</v>
      </c>
      <c r="H1362" t="s">
        <v>45</v>
      </c>
      <c r="I1362" t="s">
        <v>47</v>
      </c>
      <c r="J1362" t="s">
        <v>6</v>
      </c>
      <c r="K1362">
        <v>0</v>
      </c>
    </row>
    <row r="1363" spans="1:11" x14ac:dyDescent="0.25">
      <c r="A1363" t="s">
        <v>17</v>
      </c>
      <c r="B1363" t="s">
        <v>20</v>
      </c>
      <c r="C1363">
        <v>76773416</v>
      </c>
      <c r="D1363" t="s">
        <v>48</v>
      </c>
      <c r="E1363" t="s">
        <v>44</v>
      </c>
      <c r="F1363" s="4">
        <v>41302</v>
      </c>
      <c r="G1363" s="4">
        <v>41418</v>
      </c>
      <c r="H1363" t="s">
        <v>45</v>
      </c>
      <c r="I1363" t="s">
        <v>47</v>
      </c>
      <c r="J1363" t="s">
        <v>7</v>
      </c>
      <c r="K1363">
        <v>2</v>
      </c>
    </row>
    <row r="1364" spans="1:11" x14ac:dyDescent="0.25">
      <c r="A1364" t="s">
        <v>17</v>
      </c>
      <c r="B1364" t="s">
        <v>20</v>
      </c>
      <c r="C1364">
        <v>76773416</v>
      </c>
      <c r="D1364" t="s">
        <v>48</v>
      </c>
      <c r="E1364" t="s">
        <v>44</v>
      </c>
      <c r="F1364" s="4">
        <v>41302</v>
      </c>
      <c r="G1364" s="4">
        <v>41418</v>
      </c>
      <c r="H1364" t="s">
        <v>45</v>
      </c>
      <c r="I1364" t="s">
        <v>47</v>
      </c>
      <c r="J1364" t="s">
        <v>8</v>
      </c>
      <c r="K1364">
        <v>3</v>
      </c>
    </row>
    <row r="1365" spans="1:11" x14ac:dyDescent="0.25">
      <c r="A1365" t="s">
        <v>17</v>
      </c>
      <c r="B1365" t="s">
        <v>20</v>
      </c>
      <c r="C1365">
        <v>76773416</v>
      </c>
      <c r="D1365" t="s">
        <v>48</v>
      </c>
      <c r="E1365" t="s">
        <v>44</v>
      </c>
      <c r="F1365" s="4">
        <v>41302</v>
      </c>
      <c r="G1365" s="4">
        <v>41418</v>
      </c>
      <c r="H1365" t="s">
        <v>45</v>
      </c>
      <c r="I1365" t="s">
        <v>47</v>
      </c>
      <c r="J1365" t="s">
        <v>9</v>
      </c>
      <c r="K1365">
        <v>3</v>
      </c>
    </row>
    <row r="1366" spans="1:11" x14ac:dyDescent="0.25">
      <c r="A1366" t="s">
        <v>17</v>
      </c>
      <c r="B1366" t="s">
        <v>20</v>
      </c>
      <c r="C1366">
        <v>76773416</v>
      </c>
      <c r="D1366" t="s">
        <v>48</v>
      </c>
      <c r="E1366" t="s">
        <v>44</v>
      </c>
      <c r="F1366" s="4">
        <v>41302</v>
      </c>
      <c r="G1366" s="4">
        <v>41418</v>
      </c>
      <c r="H1366" t="s">
        <v>45</v>
      </c>
      <c r="I1366" t="s">
        <v>47</v>
      </c>
      <c r="J1366" t="s">
        <v>10</v>
      </c>
      <c r="K1366">
        <v>3</v>
      </c>
    </row>
    <row r="1367" spans="1:11" x14ac:dyDescent="0.25">
      <c r="A1367" t="s">
        <v>17</v>
      </c>
      <c r="B1367" t="s">
        <v>20</v>
      </c>
      <c r="C1367">
        <v>76773416</v>
      </c>
      <c r="D1367" t="s">
        <v>48</v>
      </c>
      <c r="E1367" t="s">
        <v>44</v>
      </c>
      <c r="F1367" s="4">
        <v>41302</v>
      </c>
      <c r="G1367" s="4">
        <v>41418</v>
      </c>
      <c r="H1367" t="s">
        <v>45</v>
      </c>
      <c r="I1367" t="s">
        <v>47</v>
      </c>
      <c r="J1367" t="s">
        <v>11</v>
      </c>
      <c r="K1367">
        <v>0</v>
      </c>
    </row>
    <row r="1368" spans="1:11" x14ac:dyDescent="0.25">
      <c r="A1368" t="s">
        <v>17</v>
      </c>
      <c r="B1368" t="s">
        <v>20</v>
      </c>
      <c r="C1368">
        <v>76773416</v>
      </c>
      <c r="D1368" t="s">
        <v>48</v>
      </c>
      <c r="E1368" t="s">
        <v>44</v>
      </c>
      <c r="F1368" s="4">
        <v>41302</v>
      </c>
      <c r="G1368" s="4">
        <v>41418</v>
      </c>
      <c r="H1368" t="s">
        <v>45</v>
      </c>
      <c r="I1368" t="s">
        <v>47</v>
      </c>
      <c r="J1368" t="s">
        <v>12</v>
      </c>
      <c r="K1368">
        <v>0</v>
      </c>
    </row>
    <row r="1369" spans="1:11" x14ac:dyDescent="0.25">
      <c r="A1369" t="s">
        <v>17</v>
      </c>
      <c r="B1369" t="s">
        <v>20</v>
      </c>
      <c r="C1369">
        <v>76773416</v>
      </c>
      <c r="D1369" t="s">
        <v>48</v>
      </c>
      <c r="E1369" t="s">
        <v>44</v>
      </c>
      <c r="F1369" s="4">
        <v>41302</v>
      </c>
      <c r="G1369" s="4">
        <v>41418</v>
      </c>
      <c r="H1369" t="s">
        <v>45</v>
      </c>
      <c r="I1369" t="s">
        <v>47</v>
      </c>
      <c r="J1369" t="s">
        <v>13</v>
      </c>
      <c r="K1369">
        <v>0</v>
      </c>
    </row>
    <row r="1370" spans="1:11" x14ac:dyDescent="0.25">
      <c r="A1370" t="s">
        <v>17</v>
      </c>
      <c r="B1370" t="s">
        <v>20</v>
      </c>
      <c r="C1370">
        <v>76773416</v>
      </c>
      <c r="D1370" t="s">
        <v>48</v>
      </c>
      <c r="E1370" t="s">
        <v>44</v>
      </c>
      <c r="F1370" s="4">
        <v>41302</v>
      </c>
      <c r="G1370" s="4">
        <v>41418</v>
      </c>
      <c r="H1370" t="s">
        <v>45</v>
      </c>
      <c r="I1370" t="s">
        <v>47</v>
      </c>
      <c r="J1370" t="s">
        <v>14</v>
      </c>
      <c r="K1370">
        <v>3</v>
      </c>
    </row>
    <row r="1371" spans="1:11" x14ac:dyDescent="0.25">
      <c r="A1371" t="s">
        <v>17</v>
      </c>
      <c r="B1371" t="s">
        <v>20</v>
      </c>
      <c r="C1371">
        <v>76773416</v>
      </c>
      <c r="D1371" t="s">
        <v>48</v>
      </c>
      <c r="E1371" t="s">
        <v>44</v>
      </c>
      <c r="F1371" s="4">
        <v>41302</v>
      </c>
      <c r="G1371" s="4">
        <v>41418</v>
      </c>
      <c r="H1371" t="s">
        <v>45</v>
      </c>
      <c r="I1371" t="s">
        <v>47</v>
      </c>
      <c r="J1371" t="s">
        <v>15</v>
      </c>
      <c r="K1371">
        <v>1</v>
      </c>
    </row>
    <row r="1372" spans="1:11" x14ac:dyDescent="0.25">
      <c r="A1372" t="s">
        <v>17</v>
      </c>
      <c r="B1372" t="s">
        <v>21</v>
      </c>
      <c r="C1372">
        <v>76773416</v>
      </c>
      <c r="D1372" t="s">
        <v>48</v>
      </c>
      <c r="E1372" t="s">
        <v>44</v>
      </c>
      <c r="F1372" s="4">
        <v>41302</v>
      </c>
      <c r="G1372" s="4">
        <v>41515</v>
      </c>
      <c r="H1372" t="s">
        <v>45</v>
      </c>
      <c r="I1372" t="s">
        <v>47</v>
      </c>
      <c r="J1372" t="s">
        <v>6</v>
      </c>
      <c r="K1372">
        <v>0</v>
      </c>
    </row>
    <row r="1373" spans="1:11" x14ac:dyDescent="0.25">
      <c r="A1373" t="s">
        <v>17</v>
      </c>
      <c r="B1373" t="s">
        <v>21</v>
      </c>
      <c r="C1373">
        <v>76773416</v>
      </c>
      <c r="D1373" t="s">
        <v>48</v>
      </c>
      <c r="E1373" t="s">
        <v>44</v>
      </c>
      <c r="F1373" s="4">
        <v>41302</v>
      </c>
      <c r="G1373" s="4">
        <v>41515</v>
      </c>
      <c r="H1373" t="s">
        <v>45</v>
      </c>
      <c r="I1373" t="s">
        <v>47</v>
      </c>
      <c r="J1373" t="s">
        <v>7</v>
      </c>
      <c r="K1373">
        <v>2</v>
      </c>
    </row>
    <row r="1374" spans="1:11" x14ac:dyDescent="0.25">
      <c r="A1374" t="s">
        <v>17</v>
      </c>
      <c r="B1374" t="s">
        <v>21</v>
      </c>
      <c r="C1374">
        <v>76773416</v>
      </c>
      <c r="D1374" t="s">
        <v>48</v>
      </c>
      <c r="E1374" t="s">
        <v>44</v>
      </c>
      <c r="F1374" s="4">
        <v>41302</v>
      </c>
      <c r="G1374" s="4">
        <v>41515</v>
      </c>
      <c r="H1374" t="s">
        <v>45</v>
      </c>
      <c r="I1374" t="s">
        <v>47</v>
      </c>
      <c r="J1374" t="s">
        <v>8</v>
      </c>
      <c r="K1374">
        <v>2</v>
      </c>
    </row>
    <row r="1375" spans="1:11" x14ac:dyDescent="0.25">
      <c r="A1375" t="s">
        <v>17</v>
      </c>
      <c r="B1375" t="s">
        <v>21</v>
      </c>
      <c r="C1375">
        <v>76773416</v>
      </c>
      <c r="D1375" t="s">
        <v>48</v>
      </c>
      <c r="E1375" t="s">
        <v>44</v>
      </c>
      <c r="F1375" s="4">
        <v>41302</v>
      </c>
      <c r="G1375" s="4">
        <v>41515</v>
      </c>
      <c r="H1375" t="s">
        <v>45</v>
      </c>
      <c r="I1375" t="s">
        <v>47</v>
      </c>
      <c r="J1375" t="s">
        <v>9</v>
      </c>
      <c r="K1375">
        <v>3</v>
      </c>
    </row>
    <row r="1376" spans="1:11" x14ac:dyDescent="0.25">
      <c r="A1376" t="s">
        <v>17</v>
      </c>
      <c r="B1376" t="s">
        <v>21</v>
      </c>
      <c r="C1376">
        <v>76773416</v>
      </c>
      <c r="D1376" t="s">
        <v>48</v>
      </c>
      <c r="E1376" t="s">
        <v>44</v>
      </c>
      <c r="F1376" s="4">
        <v>41302</v>
      </c>
      <c r="G1376" s="4">
        <v>41515</v>
      </c>
      <c r="H1376" t="s">
        <v>45</v>
      </c>
      <c r="I1376" t="s">
        <v>47</v>
      </c>
      <c r="J1376" t="s">
        <v>10</v>
      </c>
      <c r="K1376">
        <v>1</v>
      </c>
    </row>
    <row r="1377" spans="1:11" x14ac:dyDescent="0.25">
      <c r="A1377" t="s">
        <v>17</v>
      </c>
      <c r="B1377" t="s">
        <v>21</v>
      </c>
      <c r="C1377">
        <v>76773416</v>
      </c>
      <c r="D1377" t="s">
        <v>48</v>
      </c>
      <c r="E1377" t="s">
        <v>44</v>
      </c>
      <c r="F1377" s="4">
        <v>41302</v>
      </c>
      <c r="G1377" s="4">
        <v>41515</v>
      </c>
      <c r="H1377" t="s">
        <v>45</v>
      </c>
      <c r="I1377" t="s">
        <v>47</v>
      </c>
      <c r="J1377" t="s">
        <v>11</v>
      </c>
      <c r="K1377">
        <v>2</v>
      </c>
    </row>
    <row r="1378" spans="1:11" x14ac:dyDescent="0.25">
      <c r="A1378" t="s">
        <v>17</v>
      </c>
      <c r="B1378" t="s">
        <v>21</v>
      </c>
      <c r="C1378">
        <v>76773416</v>
      </c>
      <c r="D1378" t="s">
        <v>48</v>
      </c>
      <c r="E1378" t="s">
        <v>44</v>
      </c>
      <c r="F1378" s="4">
        <v>41302</v>
      </c>
      <c r="G1378" s="4">
        <v>41515</v>
      </c>
      <c r="H1378" t="s">
        <v>45</v>
      </c>
      <c r="I1378" t="s">
        <v>47</v>
      </c>
      <c r="J1378" t="s">
        <v>12</v>
      </c>
      <c r="K1378">
        <v>1</v>
      </c>
    </row>
    <row r="1379" spans="1:11" x14ac:dyDescent="0.25">
      <c r="A1379" t="s">
        <v>17</v>
      </c>
      <c r="B1379" t="s">
        <v>21</v>
      </c>
      <c r="C1379">
        <v>76773416</v>
      </c>
      <c r="D1379" t="s">
        <v>48</v>
      </c>
      <c r="E1379" t="s">
        <v>44</v>
      </c>
      <c r="F1379" s="4">
        <v>41302</v>
      </c>
      <c r="G1379" s="4">
        <v>41515</v>
      </c>
      <c r="H1379" t="s">
        <v>45</v>
      </c>
      <c r="I1379" t="s">
        <v>47</v>
      </c>
      <c r="J1379" t="s">
        <v>13</v>
      </c>
      <c r="K1379">
        <v>1</v>
      </c>
    </row>
    <row r="1380" spans="1:11" x14ac:dyDescent="0.25">
      <c r="A1380" t="s">
        <v>17</v>
      </c>
      <c r="B1380" t="s">
        <v>21</v>
      </c>
      <c r="C1380">
        <v>76773416</v>
      </c>
      <c r="D1380" t="s">
        <v>48</v>
      </c>
      <c r="E1380" t="s">
        <v>44</v>
      </c>
      <c r="F1380" s="4">
        <v>41302</v>
      </c>
      <c r="G1380" s="4">
        <v>41515</v>
      </c>
      <c r="H1380" t="s">
        <v>45</v>
      </c>
      <c r="I1380" t="s">
        <v>47</v>
      </c>
      <c r="J1380" t="s">
        <v>14</v>
      </c>
      <c r="K1380">
        <v>1</v>
      </c>
    </row>
    <row r="1381" spans="1:11" x14ac:dyDescent="0.25">
      <c r="A1381" t="s">
        <v>17</v>
      </c>
      <c r="B1381" t="s">
        <v>21</v>
      </c>
      <c r="C1381">
        <v>76773416</v>
      </c>
      <c r="D1381" t="s">
        <v>48</v>
      </c>
      <c r="E1381" t="s">
        <v>44</v>
      </c>
      <c r="F1381" s="4">
        <v>41302</v>
      </c>
      <c r="G1381" s="4">
        <v>41515</v>
      </c>
      <c r="H1381" t="s">
        <v>45</v>
      </c>
      <c r="I1381" t="s">
        <v>47</v>
      </c>
      <c r="J1381" t="s">
        <v>15</v>
      </c>
      <c r="K1381">
        <v>2</v>
      </c>
    </row>
    <row r="1382" spans="1:11" x14ac:dyDescent="0.25">
      <c r="A1382" t="s">
        <v>17</v>
      </c>
      <c r="B1382" t="s">
        <v>22</v>
      </c>
      <c r="C1382">
        <v>76773416</v>
      </c>
      <c r="D1382" t="s">
        <v>48</v>
      </c>
      <c r="E1382" t="s">
        <v>44</v>
      </c>
      <c r="F1382" s="4">
        <v>41302</v>
      </c>
      <c r="G1382" s="4">
        <v>41598</v>
      </c>
      <c r="H1382" t="s">
        <v>45</v>
      </c>
      <c r="I1382" t="s">
        <v>47</v>
      </c>
      <c r="J1382" t="s">
        <v>6</v>
      </c>
      <c r="K1382">
        <v>0</v>
      </c>
    </row>
    <row r="1383" spans="1:11" x14ac:dyDescent="0.25">
      <c r="A1383" t="s">
        <v>17</v>
      </c>
      <c r="B1383" t="s">
        <v>22</v>
      </c>
      <c r="C1383">
        <v>76773416</v>
      </c>
      <c r="D1383" t="s">
        <v>48</v>
      </c>
      <c r="E1383" t="s">
        <v>44</v>
      </c>
      <c r="F1383" s="4">
        <v>41302</v>
      </c>
      <c r="G1383" s="4">
        <v>41598</v>
      </c>
      <c r="H1383" t="s">
        <v>45</v>
      </c>
      <c r="I1383" t="s">
        <v>47</v>
      </c>
      <c r="J1383" t="s">
        <v>7</v>
      </c>
      <c r="K1383">
        <v>0</v>
      </c>
    </row>
    <row r="1384" spans="1:11" x14ac:dyDescent="0.25">
      <c r="A1384" t="s">
        <v>17</v>
      </c>
      <c r="B1384" t="s">
        <v>22</v>
      </c>
      <c r="C1384">
        <v>76773416</v>
      </c>
      <c r="D1384" t="s">
        <v>48</v>
      </c>
      <c r="E1384" t="s">
        <v>44</v>
      </c>
      <c r="F1384" s="4">
        <v>41302</v>
      </c>
      <c r="G1384" s="4">
        <v>41598</v>
      </c>
      <c r="H1384" t="s">
        <v>45</v>
      </c>
      <c r="I1384" t="s">
        <v>47</v>
      </c>
      <c r="J1384" t="s">
        <v>8</v>
      </c>
      <c r="K1384">
        <v>1</v>
      </c>
    </row>
    <row r="1385" spans="1:11" x14ac:dyDescent="0.25">
      <c r="A1385" t="s">
        <v>17</v>
      </c>
      <c r="B1385" t="s">
        <v>22</v>
      </c>
      <c r="C1385">
        <v>76773416</v>
      </c>
      <c r="D1385" t="s">
        <v>48</v>
      </c>
      <c r="E1385" t="s">
        <v>44</v>
      </c>
      <c r="F1385" s="4">
        <v>41302</v>
      </c>
      <c r="G1385" s="4">
        <v>41598</v>
      </c>
      <c r="H1385" t="s">
        <v>45</v>
      </c>
      <c r="I1385" t="s">
        <v>47</v>
      </c>
      <c r="J1385" t="s">
        <v>9</v>
      </c>
      <c r="K1385">
        <v>1</v>
      </c>
    </row>
    <row r="1386" spans="1:11" x14ac:dyDescent="0.25">
      <c r="A1386" t="s">
        <v>17</v>
      </c>
      <c r="B1386" t="s">
        <v>22</v>
      </c>
      <c r="C1386">
        <v>76773416</v>
      </c>
      <c r="D1386" t="s">
        <v>48</v>
      </c>
      <c r="E1386" t="s">
        <v>44</v>
      </c>
      <c r="F1386" s="4">
        <v>41302</v>
      </c>
      <c r="G1386" s="4">
        <v>41598</v>
      </c>
      <c r="H1386" t="s">
        <v>45</v>
      </c>
      <c r="I1386" t="s">
        <v>47</v>
      </c>
      <c r="J1386" t="s">
        <v>10</v>
      </c>
      <c r="K1386">
        <v>2</v>
      </c>
    </row>
    <row r="1387" spans="1:11" x14ac:dyDescent="0.25">
      <c r="A1387" t="s">
        <v>17</v>
      </c>
      <c r="B1387" t="s">
        <v>22</v>
      </c>
      <c r="C1387">
        <v>76773416</v>
      </c>
      <c r="D1387" t="s">
        <v>48</v>
      </c>
      <c r="E1387" t="s">
        <v>44</v>
      </c>
      <c r="F1387" s="4">
        <v>41302</v>
      </c>
      <c r="G1387" s="4">
        <v>41598</v>
      </c>
      <c r="H1387" t="s">
        <v>45</v>
      </c>
      <c r="I1387" t="s">
        <v>47</v>
      </c>
      <c r="J1387" t="s">
        <v>11</v>
      </c>
      <c r="K1387">
        <v>0</v>
      </c>
    </row>
    <row r="1388" spans="1:11" x14ac:dyDescent="0.25">
      <c r="A1388" t="s">
        <v>17</v>
      </c>
      <c r="B1388" t="s">
        <v>22</v>
      </c>
      <c r="C1388">
        <v>76773416</v>
      </c>
      <c r="D1388" t="s">
        <v>48</v>
      </c>
      <c r="E1388" t="s">
        <v>44</v>
      </c>
      <c r="F1388" s="4">
        <v>41302</v>
      </c>
      <c r="G1388" s="4">
        <v>41598</v>
      </c>
      <c r="H1388" t="s">
        <v>45</v>
      </c>
      <c r="I1388" t="s">
        <v>47</v>
      </c>
      <c r="J1388" t="s">
        <v>12</v>
      </c>
      <c r="K1388">
        <v>0</v>
      </c>
    </row>
    <row r="1389" spans="1:11" x14ac:dyDescent="0.25">
      <c r="A1389" t="s">
        <v>17</v>
      </c>
      <c r="B1389" t="s">
        <v>22</v>
      </c>
      <c r="C1389">
        <v>76773416</v>
      </c>
      <c r="D1389" t="s">
        <v>48</v>
      </c>
      <c r="E1389" t="s">
        <v>44</v>
      </c>
      <c r="F1389" s="4">
        <v>41302</v>
      </c>
      <c r="G1389" s="4">
        <v>41598</v>
      </c>
      <c r="H1389" t="s">
        <v>45</v>
      </c>
      <c r="I1389" t="s">
        <v>47</v>
      </c>
      <c r="J1389" t="s">
        <v>13</v>
      </c>
      <c r="K1389">
        <v>0</v>
      </c>
    </row>
    <row r="1390" spans="1:11" x14ac:dyDescent="0.25">
      <c r="A1390" t="s">
        <v>17</v>
      </c>
      <c r="B1390" t="s">
        <v>22</v>
      </c>
      <c r="C1390">
        <v>76773416</v>
      </c>
      <c r="D1390" t="s">
        <v>48</v>
      </c>
      <c r="E1390" t="s">
        <v>44</v>
      </c>
      <c r="F1390" s="4">
        <v>41302</v>
      </c>
      <c r="G1390" s="4">
        <v>41598</v>
      </c>
      <c r="H1390" t="s">
        <v>45</v>
      </c>
      <c r="I1390" t="s">
        <v>47</v>
      </c>
      <c r="J1390" t="s">
        <v>14</v>
      </c>
      <c r="K1390">
        <v>1</v>
      </c>
    </row>
    <row r="1391" spans="1:11" x14ac:dyDescent="0.25">
      <c r="A1391" t="s">
        <v>17</v>
      </c>
      <c r="B1391" t="s">
        <v>22</v>
      </c>
      <c r="C1391">
        <v>76773416</v>
      </c>
      <c r="D1391" t="s">
        <v>48</v>
      </c>
      <c r="E1391" t="s">
        <v>44</v>
      </c>
      <c r="F1391" s="4">
        <v>41302</v>
      </c>
      <c r="G1391" s="4">
        <v>41598</v>
      </c>
      <c r="H1391" t="s">
        <v>45</v>
      </c>
      <c r="I1391" t="s">
        <v>47</v>
      </c>
      <c r="J1391" t="s">
        <v>15</v>
      </c>
      <c r="K1391">
        <v>0</v>
      </c>
    </row>
    <row r="1392" spans="1:11" x14ac:dyDescent="0.25">
      <c r="A1392" t="s">
        <v>17</v>
      </c>
      <c r="B1392" t="s">
        <v>20</v>
      </c>
      <c r="C1392">
        <v>76773416</v>
      </c>
      <c r="D1392" t="s">
        <v>48</v>
      </c>
      <c r="E1392" t="s">
        <v>44</v>
      </c>
      <c r="F1392" s="4">
        <v>41302</v>
      </c>
      <c r="G1392" s="4">
        <v>41675</v>
      </c>
      <c r="H1392" t="s">
        <v>45</v>
      </c>
      <c r="I1392" t="s">
        <v>47</v>
      </c>
      <c r="J1392" t="s">
        <v>6</v>
      </c>
      <c r="K1392">
        <v>3</v>
      </c>
    </row>
    <row r="1393" spans="1:11" x14ac:dyDescent="0.25">
      <c r="A1393" t="s">
        <v>17</v>
      </c>
      <c r="B1393" t="s">
        <v>20</v>
      </c>
      <c r="C1393">
        <v>76773416</v>
      </c>
      <c r="D1393" t="s">
        <v>48</v>
      </c>
      <c r="E1393" t="s">
        <v>44</v>
      </c>
      <c r="F1393" s="4">
        <v>41302</v>
      </c>
      <c r="G1393" s="4">
        <v>41675</v>
      </c>
      <c r="H1393" t="s">
        <v>45</v>
      </c>
      <c r="I1393" t="s">
        <v>47</v>
      </c>
      <c r="J1393" t="s">
        <v>7</v>
      </c>
      <c r="K1393">
        <v>1</v>
      </c>
    </row>
    <row r="1394" spans="1:11" x14ac:dyDescent="0.25">
      <c r="A1394" t="s">
        <v>17</v>
      </c>
      <c r="B1394" t="s">
        <v>20</v>
      </c>
      <c r="C1394">
        <v>76773416</v>
      </c>
      <c r="D1394" t="s">
        <v>48</v>
      </c>
      <c r="E1394" t="s">
        <v>44</v>
      </c>
      <c r="F1394" s="4">
        <v>41302</v>
      </c>
      <c r="G1394" s="4">
        <v>41675</v>
      </c>
      <c r="H1394" t="s">
        <v>45</v>
      </c>
      <c r="I1394" t="s">
        <v>47</v>
      </c>
      <c r="J1394" t="s">
        <v>8</v>
      </c>
      <c r="K1394">
        <v>2</v>
      </c>
    </row>
    <row r="1395" spans="1:11" x14ac:dyDescent="0.25">
      <c r="A1395" t="s">
        <v>17</v>
      </c>
      <c r="B1395" t="s">
        <v>20</v>
      </c>
      <c r="C1395">
        <v>76773416</v>
      </c>
      <c r="D1395" t="s">
        <v>48</v>
      </c>
      <c r="E1395" t="s">
        <v>44</v>
      </c>
      <c r="F1395" s="4">
        <v>41302</v>
      </c>
      <c r="G1395" s="4">
        <v>41675</v>
      </c>
      <c r="H1395" t="s">
        <v>45</v>
      </c>
      <c r="I1395" t="s">
        <v>47</v>
      </c>
      <c r="J1395" t="s">
        <v>9</v>
      </c>
      <c r="K1395">
        <v>0</v>
      </c>
    </row>
    <row r="1396" spans="1:11" x14ac:dyDescent="0.25">
      <c r="A1396" t="s">
        <v>17</v>
      </c>
      <c r="B1396" t="s">
        <v>20</v>
      </c>
      <c r="C1396">
        <v>76773416</v>
      </c>
      <c r="D1396" t="s">
        <v>48</v>
      </c>
      <c r="E1396" t="s">
        <v>44</v>
      </c>
      <c r="F1396" s="4">
        <v>41302</v>
      </c>
      <c r="G1396" s="4">
        <v>41675</v>
      </c>
      <c r="H1396" t="s">
        <v>45</v>
      </c>
      <c r="I1396" t="s">
        <v>47</v>
      </c>
      <c r="J1396" t="s">
        <v>10</v>
      </c>
      <c r="K1396">
        <v>2</v>
      </c>
    </row>
    <row r="1397" spans="1:11" x14ac:dyDescent="0.25">
      <c r="A1397" t="s">
        <v>17</v>
      </c>
      <c r="B1397" t="s">
        <v>20</v>
      </c>
      <c r="C1397">
        <v>76773416</v>
      </c>
      <c r="D1397" t="s">
        <v>48</v>
      </c>
      <c r="E1397" t="s">
        <v>44</v>
      </c>
      <c r="F1397" s="4">
        <v>41302</v>
      </c>
      <c r="G1397" s="4">
        <v>41675</v>
      </c>
      <c r="H1397" t="s">
        <v>45</v>
      </c>
      <c r="I1397" t="s">
        <v>47</v>
      </c>
      <c r="J1397" t="s">
        <v>11</v>
      </c>
      <c r="K1397">
        <v>2</v>
      </c>
    </row>
    <row r="1398" spans="1:11" x14ac:dyDescent="0.25">
      <c r="A1398" t="s">
        <v>17</v>
      </c>
      <c r="B1398" t="s">
        <v>20</v>
      </c>
      <c r="C1398">
        <v>76773416</v>
      </c>
      <c r="D1398" t="s">
        <v>48</v>
      </c>
      <c r="E1398" t="s">
        <v>44</v>
      </c>
      <c r="F1398" s="4">
        <v>41302</v>
      </c>
      <c r="G1398" s="4">
        <v>41675</v>
      </c>
      <c r="H1398" t="s">
        <v>45</v>
      </c>
      <c r="I1398" t="s">
        <v>47</v>
      </c>
      <c r="J1398" t="s">
        <v>12</v>
      </c>
      <c r="K1398">
        <v>2</v>
      </c>
    </row>
    <row r="1399" spans="1:11" x14ac:dyDescent="0.25">
      <c r="A1399" t="s">
        <v>17</v>
      </c>
      <c r="B1399" t="s">
        <v>20</v>
      </c>
      <c r="C1399">
        <v>76773416</v>
      </c>
      <c r="D1399" t="s">
        <v>48</v>
      </c>
      <c r="E1399" t="s">
        <v>44</v>
      </c>
      <c r="F1399" s="4">
        <v>41302</v>
      </c>
      <c r="G1399" s="4">
        <v>41675</v>
      </c>
      <c r="H1399" t="s">
        <v>45</v>
      </c>
      <c r="I1399" t="s">
        <v>47</v>
      </c>
      <c r="J1399" t="s">
        <v>13</v>
      </c>
      <c r="K1399">
        <v>0</v>
      </c>
    </row>
    <row r="1400" spans="1:11" x14ac:dyDescent="0.25">
      <c r="A1400" t="s">
        <v>17</v>
      </c>
      <c r="B1400" t="s">
        <v>20</v>
      </c>
      <c r="C1400">
        <v>76773416</v>
      </c>
      <c r="D1400" t="s">
        <v>48</v>
      </c>
      <c r="E1400" t="s">
        <v>44</v>
      </c>
      <c r="F1400" s="4">
        <v>41302</v>
      </c>
      <c r="G1400" s="4">
        <v>41675</v>
      </c>
      <c r="H1400" t="s">
        <v>45</v>
      </c>
      <c r="I1400" t="s">
        <v>47</v>
      </c>
      <c r="J1400" t="s">
        <v>14</v>
      </c>
      <c r="K1400">
        <v>3</v>
      </c>
    </row>
    <row r="1401" spans="1:11" x14ac:dyDescent="0.25">
      <c r="A1401" t="s">
        <v>17</v>
      </c>
      <c r="B1401" t="s">
        <v>20</v>
      </c>
      <c r="C1401">
        <v>76773416</v>
      </c>
      <c r="D1401" t="s">
        <v>48</v>
      </c>
      <c r="E1401" t="s">
        <v>44</v>
      </c>
      <c r="F1401" s="4">
        <v>41302</v>
      </c>
      <c r="G1401" s="4">
        <v>41675</v>
      </c>
      <c r="H1401" t="s">
        <v>45</v>
      </c>
      <c r="I1401" t="s">
        <v>47</v>
      </c>
      <c r="J1401" t="s">
        <v>15</v>
      </c>
      <c r="K1401">
        <v>0</v>
      </c>
    </row>
    <row r="1402" spans="1:11" x14ac:dyDescent="0.25">
      <c r="A1402" t="s">
        <v>17</v>
      </c>
      <c r="B1402" t="s">
        <v>21</v>
      </c>
      <c r="C1402">
        <v>76773416</v>
      </c>
      <c r="D1402" t="s">
        <v>48</v>
      </c>
      <c r="E1402" t="s">
        <v>44</v>
      </c>
      <c r="F1402" s="4">
        <v>41302</v>
      </c>
      <c r="G1402" s="4">
        <v>41750</v>
      </c>
      <c r="H1402" t="s">
        <v>45</v>
      </c>
      <c r="I1402" t="s">
        <v>47</v>
      </c>
      <c r="J1402" t="s">
        <v>6</v>
      </c>
      <c r="K1402">
        <v>0</v>
      </c>
    </row>
    <row r="1403" spans="1:11" x14ac:dyDescent="0.25">
      <c r="A1403" t="s">
        <v>17</v>
      </c>
      <c r="B1403" t="s">
        <v>21</v>
      </c>
      <c r="C1403">
        <v>76773416</v>
      </c>
      <c r="D1403" t="s">
        <v>48</v>
      </c>
      <c r="E1403" t="s">
        <v>44</v>
      </c>
      <c r="F1403" s="4">
        <v>41302</v>
      </c>
      <c r="G1403" s="4">
        <v>41750</v>
      </c>
      <c r="H1403" t="s">
        <v>45</v>
      </c>
      <c r="I1403" t="s">
        <v>47</v>
      </c>
      <c r="J1403" t="s">
        <v>7</v>
      </c>
      <c r="K1403">
        <v>1</v>
      </c>
    </row>
    <row r="1404" spans="1:11" x14ac:dyDescent="0.25">
      <c r="A1404" t="s">
        <v>17</v>
      </c>
      <c r="B1404" t="s">
        <v>21</v>
      </c>
      <c r="C1404">
        <v>76773416</v>
      </c>
      <c r="D1404" t="s">
        <v>48</v>
      </c>
      <c r="E1404" t="s">
        <v>44</v>
      </c>
      <c r="F1404" s="4">
        <v>41302</v>
      </c>
      <c r="G1404" s="4">
        <v>41750</v>
      </c>
      <c r="H1404" t="s">
        <v>45</v>
      </c>
      <c r="I1404" t="s">
        <v>47</v>
      </c>
      <c r="J1404" t="s">
        <v>8</v>
      </c>
      <c r="K1404">
        <v>1</v>
      </c>
    </row>
    <row r="1405" spans="1:11" x14ac:dyDescent="0.25">
      <c r="A1405" t="s">
        <v>17</v>
      </c>
      <c r="B1405" t="s">
        <v>21</v>
      </c>
      <c r="C1405">
        <v>76773416</v>
      </c>
      <c r="D1405" t="s">
        <v>48</v>
      </c>
      <c r="E1405" t="s">
        <v>44</v>
      </c>
      <c r="F1405" s="4">
        <v>41302</v>
      </c>
      <c r="G1405" s="4">
        <v>41750</v>
      </c>
      <c r="H1405" t="s">
        <v>45</v>
      </c>
      <c r="I1405" t="s">
        <v>47</v>
      </c>
      <c r="J1405" t="s">
        <v>9</v>
      </c>
      <c r="K1405">
        <v>2</v>
      </c>
    </row>
    <row r="1406" spans="1:11" x14ac:dyDescent="0.25">
      <c r="A1406" t="s">
        <v>17</v>
      </c>
      <c r="B1406" t="s">
        <v>21</v>
      </c>
      <c r="C1406">
        <v>76773416</v>
      </c>
      <c r="D1406" t="s">
        <v>48</v>
      </c>
      <c r="E1406" t="s">
        <v>44</v>
      </c>
      <c r="F1406" s="4">
        <v>41302</v>
      </c>
      <c r="G1406" s="4">
        <v>41750</v>
      </c>
      <c r="H1406" t="s">
        <v>45</v>
      </c>
      <c r="I1406" t="s">
        <v>47</v>
      </c>
      <c r="J1406" t="s">
        <v>10</v>
      </c>
      <c r="K1406">
        <v>3</v>
      </c>
    </row>
    <row r="1407" spans="1:11" x14ac:dyDescent="0.25">
      <c r="A1407" t="s">
        <v>17</v>
      </c>
      <c r="B1407" t="s">
        <v>21</v>
      </c>
      <c r="C1407">
        <v>76773416</v>
      </c>
      <c r="D1407" t="s">
        <v>48</v>
      </c>
      <c r="E1407" t="s">
        <v>44</v>
      </c>
      <c r="F1407" s="4">
        <v>41302</v>
      </c>
      <c r="G1407" s="4">
        <v>41750</v>
      </c>
      <c r="H1407" t="s">
        <v>45</v>
      </c>
      <c r="I1407" t="s">
        <v>47</v>
      </c>
      <c r="J1407" t="s">
        <v>11</v>
      </c>
      <c r="K1407">
        <v>2</v>
      </c>
    </row>
    <row r="1408" spans="1:11" x14ac:dyDescent="0.25">
      <c r="A1408" t="s">
        <v>17</v>
      </c>
      <c r="B1408" t="s">
        <v>21</v>
      </c>
      <c r="C1408">
        <v>76773416</v>
      </c>
      <c r="D1408" t="s">
        <v>48</v>
      </c>
      <c r="E1408" t="s">
        <v>44</v>
      </c>
      <c r="F1408" s="4">
        <v>41302</v>
      </c>
      <c r="G1408" s="4">
        <v>41750</v>
      </c>
      <c r="H1408" t="s">
        <v>45</v>
      </c>
      <c r="I1408" t="s">
        <v>47</v>
      </c>
      <c r="J1408" t="s">
        <v>12</v>
      </c>
      <c r="K1408">
        <v>2</v>
      </c>
    </row>
    <row r="1409" spans="1:11" x14ac:dyDescent="0.25">
      <c r="A1409" t="s">
        <v>17</v>
      </c>
      <c r="B1409" t="s">
        <v>21</v>
      </c>
      <c r="C1409">
        <v>76773416</v>
      </c>
      <c r="D1409" t="s">
        <v>48</v>
      </c>
      <c r="E1409" t="s">
        <v>44</v>
      </c>
      <c r="F1409" s="4">
        <v>41302</v>
      </c>
      <c r="G1409" s="4">
        <v>41750</v>
      </c>
      <c r="H1409" t="s">
        <v>45</v>
      </c>
      <c r="I1409" t="s">
        <v>47</v>
      </c>
      <c r="J1409" t="s">
        <v>13</v>
      </c>
      <c r="K1409">
        <v>1</v>
      </c>
    </row>
    <row r="1410" spans="1:11" x14ac:dyDescent="0.25">
      <c r="A1410" t="s">
        <v>17</v>
      </c>
      <c r="B1410" t="s">
        <v>21</v>
      </c>
      <c r="C1410">
        <v>76773416</v>
      </c>
      <c r="D1410" t="s">
        <v>48</v>
      </c>
      <c r="E1410" t="s">
        <v>44</v>
      </c>
      <c r="F1410" s="4">
        <v>41302</v>
      </c>
      <c r="G1410" s="4">
        <v>41750</v>
      </c>
      <c r="H1410" t="s">
        <v>45</v>
      </c>
      <c r="I1410" t="s">
        <v>47</v>
      </c>
      <c r="J1410" t="s">
        <v>14</v>
      </c>
      <c r="K1410">
        <v>1</v>
      </c>
    </row>
    <row r="1411" spans="1:11" x14ac:dyDescent="0.25">
      <c r="A1411" t="s">
        <v>17</v>
      </c>
      <c r="B1411" t="s">
        <v>21</v>
      </c>
      <c r="C1411">
        <v>76773416</v>
      </c>
      <c r="D1411" t="s">
        <v>48</v>
      </c>
      <c r="E1411" t="s">
        <v>44</v>
      </c>
      <c r="F1411" s="4">
        <v>41302</v>
      </c>
      <c r="G1411" s="4">
        <v>41750</v>
      </c>
      <c r="H1411" t="s">
        <v>45</v>
      </c>
      <c r="I1411" t="s">
        <v>47</v>
      </c>
      <c r="J1411" t="s">
        <v>15</v>
      </c>
      <c r="K1411">
        <v>1</v>
      </c>
    </row>
    <row r="1412" spans="1:11" x14ac:dyDescent="0.25">
      <c r="A1412" t="s">
        <v>17</v>
      </c>
      <c r="B1412" t="s">
        <v>22</v>
      </c>
      <c r="C1412">
        <v>76773416</v>
      </c>
      <c r="D1412" t="s">
        <v>48</v>
      </c>
      <c r="E1412" t="s">
        <v>44</v>
      </c>
      <c r="F1412" s="4">
        <v>41302</v>
      </c>
      <c r="G1412" s="4">
        <v>41853</v>
      </c>
      <c r="H1412" t="s">
        <v>45</v>
      </c>
      <c r="I1412" t="s">
        <v>47</v>
      </c>
      <c r="J1412" t="s">
        <v>6</v>
      </c>
      <c r="K1412">
        <v>1</v>
      </c>
    </row>
    <row r="1413" spans="1:11" x14ac:dyDescent="0.25">
      <c r="A1413" t="s">
        <v>17</v>
      </c>
      <c r="B1413" t="s">
        <v>22</v>
      </c>
      <c r="C1413">
        <v>76773416</v>
      </c>
      <c r="D1413" t="s">
        <v>48</v>
      </c>
      <c r="E1413" t="s">
        <v>44</v>
      </c>
      <c r="F1413" s="4">
        <v>41302</v>
      </c>
      <c r="G1413" s="4">
        <v>41853</v>
      </c>
      <c r="H1413" t="s">
        <v>45</v>
      </c>
      <c r="I1413" t="s">
        <v>47</v>
      </c>
      <c r="J1413" t="s">
        <v>7</v>
      </c>
      <c r="K1413">
        <v>0</v>
      </c>
    </row>
    <row r="1414" spans="1:11" x14ac:dyDescent="0.25">
      <c r="A1414" t="s">
        <v>17</v>
      </c>
      <c r="B1414" t="s">
        <v>22</v>
      </c>
      <c r="C1414">
        <v>76773416</v>
      </c>
      <c r="D1414" t="s">
        <v>48</v>
      </c>
      <c r="E1414" t="s">
        <v>44</v>
      </c>
      <c r="F1414" s="4">
        <v>41302</v>
      </c>
      <c r="G1414" s="4">
        <v>41853</v>
      </c>
      <c r="H1414" t="s">
        <v>45</v>
      </c>
      <c r="I1414" t="s">
        <v>47</v>
      </c>
      <c r="J1414" t="s">
        <v>8</v>
      </c>
      <c r="K1414">
        <v>1</v>
      </c>
    </row>
    <row r="1415" spans="1:11" x14ac:dyDescent="0.25">
      <c r="A1415" t="s">
        <v>17</v>
      </c>
      <c r="B1415" t="s">
        <v>22</v>
      </c>
      <c r="C1415">
        <v>76773416</v>
      </c>
      <c r="D1415" t="s">
        <v>48</v>
      </c>
      <c r="E1415" t="s">
        <v>44</v>
      </c>
      <c r="F1415" s="4">
        <v>41302</v>
      </c>
      <c r="G1415" s="4">
        <v>41853</v>
      </c>
      <c r="H1415" t="s">
        <v>45</v>
      </c>
      <c r="I1415" t="s">
        <v>47</v>
      </c>
      <c r="J1415" t="s">
        <v>9</v>
      </c>
      <c r="K1415">
        <v>3</v>
      </c>
    </row>
    <row r="1416" spans="1:11" x14ac:dyDescent="0.25">
      <c r="A1416" t="s">
        <v>17</v>
      </c>
      <c r="B1416" t="s">
        <v>22</v>
      </c>
      <c r="C1416">
        <v>76773416</v>
      </c>
      <c r="D1416" t="s">
        <v>48</v>
      </c>
      <c r="E1416" t="s">
        <v>44</v>
      </c>
      <c r="F1416" s="4">
        <v>41302</v>
      </c>
      <c r="G1416" s="4">
        <v>41853</v>
      </c>
      <c r="H1416" t="s">
        <v>45</v>
      </c>
      <c r="I1416" t="s">
        <v>47</v>
      </c>
      <c r="J1416" t="s">
        <v>10</v>
      </c>
      <c r="K1416">
        <v>2</v>
      </c>
    </row>
    <row r="1417" spans="1:11" x14ac:dyDescent="0.25">
      <c r="A1417" t="s">
        <v>17</v>
      </c>
      <c r="B1417" t="s">
        <v>22</v>
      </c>
      <c r="C1417">
        <v>76773416</v>
      </c>
      <c r="D1417" t="s">
        <v>48</v>
      </c>
      <c r="E1417" t="s">
        <v>44</v>
      </c>
      <c r="F1417" s="4">
        <v>41302</v>
      </c>
      <c r="G1417" s="4">
        <v>41853</v>
      </c>
      <c r="H1417" t="s">
        <v>45</v>
      </c>
      <c r="I1417" t="s">
        <v>47</v>
      </c>
      <c r="J1417" t="s">
        <v>11</v>
      </c>
      <c r="K1417">
        <v>0</v>
      </c>
    </row>
    <row r="1418" spans="1:11" x14ac:dyDescent="0.25">
      <c r="A1418" t="s">
        <v>17</v>
      </c>
      <c r="B1418" t="s">
        <v>22</v>
      </c>
      <c r="C1418">
        <v>76773416</v>
      </c>
      <c r="D1418" t="s">
        <v>48</v>
      </c>
      <c r="E1418" t="s">
        <v>44</v>
      </c>
      <c r="F1418" s="4">
        <v>41302</v>
      </c>
      <c r="G1418" s="4">
        <v>41853</v>
      </c>
      <c r="H1418" t="s">
        <v>45</v>
      </c>
      <c r="I1418" t="s">
        <v>47</v>
      </c>
      <c r="J1418" t="s">
        <v>12</v>
      </c>
      <c r="K1418">
        <v>0</v>
      </c>
    </row>
    <row r="1419" spans="1:11" x14ac:dyDescent="0.25">
      <c r="A1419" t="s">
        <v>17</v>
      </c>
      <c r="B1419" t="s">
        <v>22</v>
      </c>
      <c r="C1419">
        <v>76773416</v>
      </c>
      <c r="D1419" t="s">
        <v>48</v>
      </c>
      <c r="E1419" t="s">
        <v>44</v>
      </c>
      <c r="F1419" s="4">
        <v>41302</v>
      </c>
      <c r="G1419" s="4">
        <v>41853</v>
      </c>
      <c r="H1419" t="s">
        <v>45</v>
      </c>
      <c r="I1419" t="s">
        <v>47</v>
      </c>
      <c r="J1419" t="s">
        <v>13</v>
      </c>
      <c r="K1419">
        <v>2</v>
      </c>
    </row>
    <row r="1420" spans="1:11" x14ac:dyDescent="0.25">
      <c r="A1420" t="s">
        <v>17</v>
      </c>
      <c r="B1420" t="s">
        <v>22</v>
      </c>
      <c r="C1420">
        <v>76773416</v>
      </c>
      <c r="D1420" t="s">
        <v>48</v>
      </c>
      <c r="E1420" t="s">
        <v>44</v>
      </c>
      <c r="F1420" s="4">
        <v>41302</v>
      </c>
      <c r="G1420" s="4">
        <v>41853</v>
      </c>
      <c r="H1420" t="s">
        <v>45</v>
      </c>
      <c r="I1420" t="s">
        <v>47</v>
      </c>
      <c r="J1420" t="s">
        <v>14</v>
      </c>
      <c r="K1420">
        <v>2</v>
      </c>
    </row>
    <row r="1421" spans="1:11" x14ac:dyDescent="0.25">
      <c r="A1421" t="s">
        <v>17</v>
      </c>
      <c r="B1421" t="s">
        <v>22</v>
      </c>
      <c r="C1421">
        <v>76773416</v>
      </c>
      <c r="D1421" t="s">
        <v>48</v>
      </c>
      <c r="E1421" t="s">
        <v>44</v>
      </c>
      <c r="F1421" s="4">
        <v>41302</v>
      </c>
      <c r="G1421" s="4">
        <v>41853</v>
      </c>
      <c r="H1421" t="s">
        <v>45</v>
      </c>
      <c r="I1421" t="s">
        <v>47</v>
      </c>
      <c r="J1421" t="s">
        <v>15</v>
      </c>
      <c r="K1421">
        <v>1</v>
      </c>
    </row>
    <row r="1422" spans="1:11" x14ac:dyDescent="0.25">
      <c r="A1422" t="s">
        <v>17</v>
      </c>
      <c r="B1422" t="s">
        <v>20</v>
      </c>
      <c r="C1422">
        <v>57806389</v>
      </c>
      <c r="D1422" t="s">
        <v>48</v>
      </c>
      <c r="E1422" t="s">
        <v>44</v>
      </c>
      <c r="F1422" s="4">
        <v>41333</v>
      </c>
      <c r="G1422" s="4">
        <v>41363</v>
      </c>
      <c r="H1422" t="s">
        <v>49</v>
      </c>
      <c r="I1422" t="s">
        <v>46</v>
      </c>
      <c r="J1422" t="s">
        <v>6</v>
      </c>
      <c r="K1422">
        <v>1</v>
      </c>
    </row>
    <row r="1423" spans="1:11" x14ac:dyDescent="0.25">
      <c r="A1423" t="s">
        <v>17</v>
      </c>
      <c r="B1423" t="s">
        <v>20</v>
      </c>
      <c r="C1423">
        <v>57806389</v>
      </c>
      <c r="D1423" t="s">
        <v>48</v>
      </c>
      <c r="E1423" t="s">
        <v>44</v>
      </c>
      <c r="F1423" s="4">
        <v>41333</v>
      </c>
      <c r="G1423" s="4">
        <v>41363</v>
      </c>
      <c r="H1423" t="s">
        <v>49</v>
      </c>
      <c r="I1423" t="s">
        <v>46</v>
      </c>
      <c r="J1423" t="s">
        <v>7</v>
      </c>
      <c r="K1423">
        <v>2</v>
      </c>
    </row>
    <row r="1424" spans="1:11" x14ac:dyDescent="0.25">
      <c r="A1424" t="s">
        <v>17</v>
      </c>
      <c r="B1424" t="s">
        <v>20</v>
      </c>
      <c r="C1424">
        <v>57806389</v>
      </c>
      <c r="D1424" t="s">
        <v>48</v>
      </c>
      <c r="E1424" t="s">
        <v>44</v>
      </c>
      <c r="F1424" s="4">
        <v>41333</v>
      </c>
      <c r="G1424" s="4">
        <v>41363</v>
      </c>
      <c r="H1424" t="s">
        <v>49</v>
      </c>
      <c r="I1424" t="s">
        <v>46</v>
      </c>
      <c r="J1424" t="s">
        <v>8</v>
      </c>
      <c r="K1424">
        <v>3</v>
      </c>
    </row>
    <row r="1425" spans="1:11" x14ac:dyDescent="0.25">
      <c r="A1425" t="s">
        <v>17</v>
      </c>
      <c r="B1425" t="s">
        <v>20</v>
      </c>
      <c r="C1425">
        <v>57806389</v>
      </c>
      <c r="D1425" t="s">
        <v>48</v>
      </c>
      <c r="E1425" t="s">
        <v>44</v>
      </c>
      <c r="F1425" s="4">
        <v>41333</v>
      </c>
      <c r="G1425" s="4">
        <v>41363</v>
      </c>
      <c r="H1425" t="s">
        <v>49</v>
      </c>
      <c r="I1425" t="s">
        <v>46</v>
      </c>
      <c r="J1425" t="s">
        <v>9</v>
      </c>
      <c r="K1425">
        <v>0</v>
      </c>
    </row>
    <row r="1426" spans="1:11" x14ac:dyDescent="0.25">
      <c r="A1426" t="s">
        <v>17</v>
      </c>
      <c r="B1426" t="s">
        <v>20</v>
      </c>
      <c r="C1426">
        <v>57806389</v>
      </c>
      <c r="D1426" t="s">
        <v>48</v>
      </c>
      <c r="E1426" t="s">
        <v>44</v>
      </c>
      <c r="F1426" s="4">
        <v>41333</v>
      </c>
      <c r="G1426" s="4">
        <v>41363</v>
      </c>
      <c r="H1426" t="s">
        <v>49</v>
      </c>
      <c r="I1426" t="s">
        <v>46</v>
      </c>
      <c r="J1426" t="s">
        <v>10</v>
      </c>
      <c r="K1426">
        <v>2</v>
      </c>
    </row>
    <row r="1427" spans="1:11" x14ac:dyDescent="0.25">
      <c r="A1427" t="s">
        <v>17</v>
      </c>
      <c r="B1427" t="s">
        <v>20</v>
      </c>
      <c r="C1427">
        <v>57806389</v>
      </c>
      <c r="D1427" t="s">
        <v>48</v>
      </c>
      <c r="E1427" t="s">
        <v>44</v>
      </c>
      <c r="F1427" s="4">
        <v>41333</v>
      </c>
      <c r="G1427" s="4">
        <v>41363</v>
      </c>
      <c r="H1427" t="s">
        <v>49</v>
      </c>
      <c r="I1427" t="s">
        <v>46</v>
      </c>
      <c r="J1427" t="s">
        <v>11</v>
      </c>
      <c r="K1427">
        <v>3</v>
      </c>
    </row>
    <row r="1428" spans="1:11" x14ac:dyDescent="0.25">
      <c r="A1428" t="s">
        <v>17</v>
      </c>
      <c r="B1428" t="s">
        <v>20</v>
      </c>
      <c r="C1428">
        <v>57806389</v>
      </c>
      <c r="D1428" t="s">
        <v>48</v>
      </c>
      <c r="E1428" t="s">
        <v>44</v>
      </c>
      <c r="F1428" s="4">
        <v>41333</v>
      </c>
      <c r="G1428" s="4">
        <v>41363</v>
      </c>
      <c r="H1428" t="s">
        <v>49</v>
      </c>
      <c r="I1428" t="s">
        <v>46</v>
      </c>
      <c r="J1428" t="s">
        <v>12</v>
      </c>
      <c r="K1428">
        <v>0</v>
      </c>
    </row>
    <row r="1429" spans="1:11" x14ac:dyDescent="0.25">
      <c r="A1429" t="s">
        <v>17</v>
      </c>
      <c r="B1429" t="s">
        <v>20</v>
      </c>
      <c r="C1429">
        <v>57806389</v>
      </c>
      <c r="D1429" t="s">
        <v>48</v>
      </c>
      <c r="E1429" t="s">
        <v>44</v>
      </c>
      <c r="F1429" s="4">
        <v>41333</v>
      </c>
      <c r="G1429" s="4">
        <v>41363</v>
      </c>
      <c r="H1429" t="s">
        <v>49</v>
      </c>
      <c r="I1429" t="s">
        <v>46</v>
      </c>
      <c r="J1429" t="s">
        <v>13</v>
      </c>
      <c r="K1429">
        <v>1</v>
      </c>
    </row>
    <row r="1430" spans="1:11" x14ac:dyDescent="0.25">
      <c r="A1430" t="s">
        <v>17</v>
      </c>
      <c r="B1430" t="s">
        <v>20</v>
      </c>
      <c r="C1430">
        <v>57806389</v>
      </c>
      <c r="D1430" t="s">
        <v>48</v>
      </c>
      <c r="E1430" t="s">
        <v>44</v>
      </c>
      <c r="F1430" s="4">
        <v>41333</v>
      </c>
      <c r="G1430" s="4">
        <v>41363</v>
      </c>
      <c r="H1430" t="s">
        <v>49</v>
      </c>
      <c r="I1430" t="s">
        <v>46</v>
      </c>
      <c r="J1430" t="s">
        <v>14</v>
      </c>
      <c r="K1430">
        <v>2</v>
      </c>
    </row>
    <row r="1431" spans="1:11" x14ac:dyDescent="0.25">
      <c r="A1431" t="s">
        <v>17</v>
      </c>
      <c r="B1431" t="s">
        <v>20</v>
      </c>
      <c r="C1431">
        <v>57806389</v>
      </c>
      <c r="D1431" t="s">
        <v>48</v>
      </c>
      <c r="E1431" t="s">
        <v>44</v>
      </c>
      <c r="F1431" s="4">
        <v>41333</v>
      </c>
      <c r="G1431" s="4">
        <v>41363</v>
      </c>
      <c r="H1431" t="s">
        <v>49</v>
      </c>
      <c r="I1431" t="s">
        <v>46</v>
      </c>
      <c r="J1431" t="s">
        <v>15</v>
      </c>
      <c r="K1431">
        <v>1</v>
      </c>
    </row>
    <row r="1432" spans="1:11" x14ac:dyDescent="0.25">
      <c r="A1432" t="s">
        <v>17</v>
      </c>
      <c r="B1432" t="s">
        <v>21</v>
      </c>
      <c r="C1432">
        <v>57806389</v>
      </c>
      <c r="D1432" t="s">
        <v>48</v>
      </c>
      <c r="E1432" t="s">
        <v>44</v>
      </c>
      <c r="F1432" s="4">
        <v>41333</v>
      </c>
      <c r="G1432" s="4">
        <v>41485</v>
      </c>
      <c r="H1432" t="s">
        <v>49</v>
      </c>
      <c r="I1432" t="s">
        <v>47</v>
      </c>
      <c r="J1432" t="s">
        <v>6</v>
      </c>
      <c r="K1432">
        <v>0</v>
      </c>
    </row>
    <row r="1433" spans="1:11" x14ac:dyDescent="0.25">
      <c r="A1433" t="s">
        <v>17</v>
      </c>
      <c r="B1433" t="s">
        <v>21</v>
      </c>
      <c r="C1433">
        <v>57806389</v>
      </c>
      <c r="D1433" t="s">
        <v>48</v>
      </c>
      <c r="E1433" t="s">
        <v>44</v>
      </c>
      <c r="F1433" s="4">
        <v>41333</v>
      </c>
      <c r="G1433" s="4">
        <v>41485</v>
      </c>
      <c r="H1433" t="s">
        <v>49</v>
      </c>
      <c r="I1433" t="s">
        <v>47</v>
      </c>
      <c r="J1433" t="s">
        <v>7</v>
      </c>
      <c r="K1433">
        <v>2</v>
      </c>
    </row>
    <row r="1434" spans="1:11" x14ac:dyDescent="0.25">
      <c r="A1434" t="s">
        <v>17</v>
      </c>
      <c r="B1434" t="s">
        <v>21</v>
      </c>
      <c r="C1434">
        <v>57806389</v>
      </c>
      <c r="D1434" t="s">
        <v>48</v>
      </c>
      <c r="E1434" t="s">
        <v>44</v>
      </c>
      <c r="F1434" s="4">
        <v>41333</v>
      </c>
      <c r="G1434" s="4">
        <v>41485</v>
      </c>
      <c r="H1434" t="s">
        <v>49</v>
      </c>
      <c r="I1434" t="s">
        <v>47</v>
      </c>
      <c r="J1434" t="s">
        <v>8</v>
      </c>
      <c r="K1434">
        <v>3</v>
      </c>
    </row>
    <row r="1435" spans="1:11" x14ac:dyDescent="0.25">
      <c r="A1435" t="s">
        <v>17</v>
      </c>
      <c r="B1435" t="s">
        <v>21</v>
      </c>
      <c r="C1435">
        <v>57806389</v>
      </c>
      <c r="D1435" t="s">
        <v>48</v>
      </c>
      <c r="E1435" t="s">
        <v>44</v>
      </c>
      <c r="F1435" s="4">
        <v>41333</v>
      </c>
      <c r="G1435" s="4">
        <v>41485</v>
      </c>
      <c r="H1435" t="s">
        <v>49</v>
      </c>
      <c r="I1435" t="s">
        <v>47</v>
      </c>
      <c r="J1435" t="s">
        <v>9</v>
      </c>
      <c r="K1435">
        <v>1</v>
      </c>
    </row>
    <row r="1436" spans="1:11" x14ac:dyDescent="0.25">
      <c r="A1436" t="s">
        <v>17</v>
      </c>
      <c r="B1436" t="s">
        <v>21</v>
      </c>
      <c r="C1436">
        <v>57806389</v>
      </c>
      <c r="D1436" t="s">
        <v>48</v>
      </c>
      <c r="E1436" t="s">
        <v>44</v>
      </c>
      <c r="F1436" s="4">
        <v>41333</v>
      </c>
      <c r="G1436" s="4">
        <v>41485</v>
      </c>
      <c r="H1436" t="s">
        <v>49</v>
      </c>
      <c r="I1436" t="s">
        <v>47</v>
      </c>
      <c r="J1436" t="s">
        <v>10</v>
      </c>
      <c r="K1436">
        <v>2</v>
      </c>
    </row>
    <row r="1437" spans="1:11" x14ac:dyDescent="0.25">
      <c r="A1437" t="s">
        <v>17</v>
      </c>
      <c r="B1437" t="s">
        <v>21</v>
      </c>
      <c r="C1437">
        <v>57806389</v>
      </c>
      <c r="D1437" t="s">
        <v>48</v>
      </c>
      <c r="E1437" t="s">
        <v>44</v>
      </c>
      <c r="F1437" s="4">
        <v>41333</v>
      </c>
      <c r="G1437" s="4">
        <v>41485</v>
      </c>
      <c r="H1437" t="s">
        <v>49</v>
      </c>
      <c r="I1437" t="s">
        <v>47</v>
      </c>
      <c r="J1437" t="s">
        <v>11</v>
      </c>
      <c r="K1437">
        <v>0</v>
      </c>
    </row>
    <row r="1438" spans="1:11" x14ac:dyDescent="0.25">
      <c r="A1438" t="s">
        <v>17</v>
      </c>
      <c r="B1438" t="s">
        <v>21</v>
      </c>
      <c r="C1438">
        <v>57806389</v>
      </c>
      <c r="D1438" t="s">
        <v>48</v>
      </c>
      <c r="E1438" t="s">
        <v>44</v>
      </c>
      <c r="F1438" s="4">
        <v>41333</v>
      </c>
      <c r="G1438" s="4">
        <v>41485</v>
      </c>
      <c r="H1438" t="s">
        <v>49</v>
      </c>
      <c r="I1438" t="s">
        <v>47</v>
      </c>
      <c r="J1438" t="s">
        <v>12</v>
      </c>
      <c r="K1438">
        <v>0</v>
      </c>
    </row>
    <row r="1439" spans="1:11" x14ac:dyDescent="0.25">
      <c r="A1439" t="s">
        <v>17</v>
      </c>
      <c r="B1439" t="s">
        <v>21</v>
      </c>
      <c r="C1439">
        <v>57806389</v>
      </c>
      <c r="D1439" t="s">
        <v>48</v>
      </c>
      <c r="E1439" t="s">
        <v>44</v>
      </c>
      <c r="F1439" s="4">
        <v>41333</v>
      </c>
      <c r="G1439" s="4">
        <v>41485</v>
      </c>
      <c r="H1439" t="s">
        <v>49</v>
      </c>
      <c r="I1439" t="s">
        <v>47</v>
      </c>
      <c r="J1439" t="s">
        <v>13</v>
      </c>
      <c r="K1439">
        <v>0</v>
      </c>
    </row>
    <row r="1440" spans="1:11" x14ac:dyDescent="0.25">
      <c r="A1440" t="s">
        <v>17</v>
      </c>
      <c r="B1440" t="s">
        <v>21</v>
      </c>
      <c r="C1440">
        <v>57806389</v>
      </c>
      <c r="D1440" t="s">
        <v>48</v>
      </c>
      <c r="E1440" t="s">
        <v>44</v>
      </c>
      <c r="F1440" s="4">
        <v>41333</v>
      </c>
      <c r="G1440" s="4">
        <v>41485</v>
      </c>
      <c r="H1440" t="s">
        <v>49</v>
      </c>
      <c r="I1440" t="s">
        <v>47</v>
      </c>
      <c r="J1440" t="s">
        <v>14</v>
      </c>
      <c r="K1440">
        <v>2</v>
      </c>
    </row>
    <row r="1441" spans="1:11" x14ac:dyDescent="0.25">
      <c r="A1441" t="s">
        <v>17</v>
      </c>
      <c r="B1441" t="s">
        <v>21</v>
      </c>
      <c r="C1441">
        <v>57806389</v>
      </c>
      <c r="D1441" t="s">
        <v>48</v>
      </c>
      <c r="E1441" t="s">
        <v>44</v>
      </c>
      <c r="F1441" s="4">
        <v>41333</v>
      </c>
      <c r="G1441" s="4">
        <v>41485</v>
      </c>
      <c r="H1441" t="s">
        <v>49</v>
      </c>
      <c r="I1441" t="s">
        <v>47</v>
      </c>
      <c r="J1441" t="s">
        <v>15</v>
      </c>
      <c r="K1441">
        <v>1</v>
      </c>
    </row>
    <row r="1442" spans="1:11" x14ac:dyDescent="0.25">
      <c r="A1442" t="s">
        <v>17</v>
      </c>
      <c r="B1442" t="s">
        <v>22</v>
      </c>
      <c r="C1442">
        <v>57806389</v>
      </c>
      <c r="D1442" t="s">
        <v>48</v>
      </c>
      <c r="E1442" t="s">
        <v>44</v>
      </c>
      <c r="F1442" s="4">
        <v>41333</v>
      </c>
      <c r="G1442" s="4">
        <v>41512</v>
      </c>
      <c r="H1442" t="s">
        <v>49</v>
      </c>
      <c r="I1442" t="s">
        <v>47</v>
      </c>
      <c r="J1442" t="s">
        <v>6</v>
      </c>
      <c r="K1442">
        <v>2</v>
      </c>
    </row>
    <row r="1443" spans="1:11" x14ac:dyDescent="0.25">
      <c r="A1443" t="s">
        <v>17</v>
      </c>
      <c r="B1443" t="s">
        <v>22</v>
      </c>
      <c r="C1443">
        <v>57806389</v>
      </c>
      <c r="D1443" t="s">
        <v>48</v>
      </c>
      <c r="E1443" t="s">
        <v>44</v>
      </c>
      <c r="F1443" s="4">
        <v>41333</v>
      </c>
      <c r="G1443" s="4">
        <v>41512</v>
      </c>
      <c r="H1443" t="s">
        <v>49</v>
      </c>
      <c r="I1443" t="s">
        <v>47</v>
      </c>
      <c r="J1443" t="s">
        <v>7</v>
      </c>
      <c r="K1443">
        <v>1</v>
      </c>
    </row>
    <row r="1444" spans="1:11" x14ac:dyDescent="0.25">
      <c r="A1444" t="s">
        <v>17</v>
      </c>
      <c r="B1444" t="s">
        <v>22</v>
      </c>
      <c r="C1444">
        <v>57806389</v>
      </c>
      <c r="D1444" t="s">
        <v>48</v>
      </c>
      <c r="E1444" t="s">
        <v>44</v>
      </c>
      <c r="F1444" s="4">
        <v>41333</v>
      </c>
      <c r="G1444" s="4">
        <v>41512</v>
      </c>
      <c r="H1444" t="s">
        <v>49</v>
      </c>
      <c r="I1444" t="s">
        <v>47</v>
      </c>
      <c r="J1444" t="s">
        <v>8</v>
      </c>
      <c r="K1444">
        <v>3</v>
      </c>
    </row>
    <row r="1445" spans="1:11" x14ac:dyDescent="0.25">
      <c r="A1445" t="s">
        <v>17</v>
      </c>
      <c r="B1445" t="s">
        <v>22</v>
      </c>
      <c r="C1445">
        <v>57806389</v>
      </c>
      <c r="D1445" t="s">
        <v>48</v>
      </c>
      <c r="E1445" t="s">
        <v>44</v>
      </c>
      <c r="F1445" s="4">
        <v>41333</v>
      </c>
      <c r="G1445" s="4">
        <v>41512</v>
      </c>
      <c r="H1445" t="s">
        <v>49</v>
      </c>
      <c r="I1445" t="s">
        <v>47</v>
      </c>
      <c r="J1445" t="s">
        <v>9</v>
      </c>
      <c r="K1445">
        <v>0</v>
      </c>
    </row>
    <row r="1446" spans="1:11" x14ac:dyDescent="0.25">
      <c r="A1446" t="s">
        <v>17</v>
      </c>
      <c r="B1446" t="s">
        <v>22</v>
      </c>
      <c r="C1446">
        <v>57806389</v>
      </c>
      <c r="D1446" t="s">
        <v>48</v>
      </c>
      <c r="E1446" t="s">
        <v>44</v>
      </c>
      <c r="F1446" s="4">
        <v>41333</v>
      </c>
      <c r="G1446" s="4">
        <v>41512</v>
      </c>
      <c r="H1446" t="s">
        <v>49</v>
      </c>
      <c r="I1446" t="s">
        <v>47</v>
      </c>
      <c r="J1446" t="s">
        <v>10</v>
      </c>
      <c r="K1446">
        <v>0</v>
      </c>
    </row>
    <row r="1447" spans="1:11" x14ac:dyDescent="0.25">
      <c r="A1447" t="s">
        <v>17</v>
      </c>
      <c r="B1447" t="s">
        <v>22</v>
      </c>
      <c r="C1447">
        <v>57806389</v>
      </c>
      <c r="D1447" t="s">
        <v>48</v>
      </c>
      <c r="E1447" t="s">
        <v>44</v>
      </c>
      <c r="F1447" s="4">
        <v>41333</v>
      </c>
      <c r="G1447" s="4">
        <v>41512</v>
      </c>
      <c r="H1447" t="s">
        <v>49</v>
      </c>
      <c r="I1447" t="s">
        <v>47</v>
      </c>
      <c r="J1447" t="s">
        <v>11</v>
      </c>
      <c r="K1447">
        <v>3</v>
      </c>
    </row>
    <row r="1448" spans="1:11" x14ac:dyDescent="0.25">
      <c r="A1448" t="s">
        <v>17</v>
      </c>
      <c r="B1448" t="s">
        <v>22</v>
      </c>
      <c r="C1448">
        <v>57806389</v>
      </c>
      <c r="D1448" t="s">
        <v>48</v>
      </c>
      <c r="E1448" t="s">
        <v>44</v>
      </c>
      <c r="F1448" s="4">
        <v>41333</v>
      </c>
      <c r="G1448" s="4">
        <v>41512</v>
      </c>
      <c r="H1448" t="s">
        <v>49</v>
      </c>
      <c r="I1448" t="s">
        <v>47</v>
      </c>
      <c r="J1448" t="s">
        <v>12</v>
      </c>
      <c r="K1448">
        <v>1</v>
      </c>
    </row>
    <row r="1449" spans="1:11" x14ac:dyDescent="0.25">
      <c r="A1449" t="s">
        <v>17</v>
      </c>
      <c r="B1449" t="s">
        <v>22</v>
      </c>
      <c r="C1449">
        <v>57806389</v>
      </c>
      <c r="D1449" t="s">
        <v>48</v>
      </c>
      <c r="E1449" t="s">
        <v>44</v>
      </c>
      <c r="F1449" s="4">
        <v>41333</v>
      </c>
      <c r="G1449" s="4">
        <v>41512</v>
      </c>
      <c r="H1449" t="s">
        <v>49</v>
      </c>
      <c r="I1449" t="s">
        <v>47</v>
      </c>
      <c r="J1449" t="s">
        <v>13</v>
      </c>
      <c r="K1449">
        <v>1</v>
      </c>
    </row>
    <row r="1450" spans="1:11" x14ac:dyDescent="0.25">
      <c r="A1450" t="s">
        <v>17</v>
      </c>
      <c r="B1450" t="s">
        <v>22</v>
      </c>
      <c r="C1450">
        <v>57806389</v>
      </c>
      <c r="D1450" t="s">
        <v>48</v>
      </c>
      <c r="E1450" t="s">
        <v>44</v>
      </c>
      <c r="F1450" s="4">
        <v>41333</v>
      </c>
      <c r="G1450" s="4">
        <v>41512</v>
      </c>
      <c r="H1450" t="s">
        <v>49</v>
      </c>
      <c r="I1450" t="s">
        <v>47</v>
      </c>
      <c r="J1450" t="s">
        <v>14</v>
      </c>
      <c r="K1450">
        <v>3</v>
      </c>
    </row>
    <row r="1451" spans="1:11" x14ac:dyDescent="0.25">
      <c r="A1451" t="s">
        <v>17</v>
      </c>
      <c r="B1451" t="s">
        <v>22</v>
      </c>
      <c r="C1451">
        <v>57806389</v>
      </c>
      <c r="D1451" t="s">
        <v>48</v>
      </c>
      <c r="E1451" t="s">
        <v>44</v>
      </c>
      <c r="F1451" s="4">
        <v>41333</v>
      </c>
      <c r="G1451" s="4">
        <v>41512</v>
      </c>
      <c r="H1451" t="s">
        <v>49</v>
      </c>
      <c r="I1451" t="s">
        <v>47</v>
      </c>
      <c r="J1451" t="s">
        <v>15</v>
      </c>
      <c r="K1451">
        <v>2</v>
      </c>
    </row>
    <row r="1452" spans="1:11" x14ac:dyDescent="0.25">
      <c r="A1452" t="s">
        <v>17</v>
      </c>
      <c r="B1452" t="s">
        <v>20</v>
      </c>
      <c r="C1452">
        <v>57806389</v>
      </c>
      <c r="D1452" t="s">
        <v>48</v>
      </c>
      <c r="E1452" t="s">
        <v>44</v>
      </c>
      <c r="F1452" s="4">
        <v>41333</v>
      </c>
      <c r="G1452" s="4">
        <v>41565</v>
      </c>
      <c r="H1452" t="s">
        <v>49</v>
      </c>
      <c r="I1452" t="s">
        <v>47</v>
      </c>
      <c r="J1452" t="s">
        <v>6</v>
      </c>
      <c r="K1452">
        <v>3</v>
      </c>
    </row>
    <row r="1453" spans="1:11" x14ac:dyDescent="0.25">
      <c r="A1453" t="s">
        <v>17</v>
      </c>
      <c r="B1453" t="s">
        <v>20</v>
      </c>
      <c r="C1453">
        <v>57806389</v>
      </c>
      <c r="D1453" t="s">
        <v>48</v>
      </c>
      <c r="E1453" t="s">
        <v>44</v>
      </c>
      <c r="F1453" s="4">
        <v>41333</v>
      </c>
      <c r="G1453" s="4">
        <v>41565</v>
      </c>
      <c r="H1453" t="s">
        <v>49</v>
      </c>
      <c r="I1453" t="s">
        <v>47</v>
      </c>
      <c r="J1453" t="s">
        <v>7</v>
      </c>
      <c r="K1453">
        <v>0</v>
      </c>
    </row>
    <row r="1454" spans="1:11" x14ac:dyDescent="0.25">
      <c r="A1454" t="s">
        <v>17</v>
      </c>
      <c r="B1454" t="s">
        <v>20</v>
      </c>
      <c r="C1454">
        <v>57806389</v>
      </c>
      <c r="D1454" t="s">
        <v>48</v>
      </c>
      <c r="E1454" t="s">
        <v>44</v>
      </c>
      <c r="F1454" s="4">
        <v>41333</v>
      </c>
      <c r="G1454" s="4">
        <v>41565</v>
      </c>
      <c r="H1454" t="s">
        <v>49</v>
      </c>
      <c r="I1454" t="s">
        <v>47</v>
      </c>
      <c r="J1454" t="s">
        <v>8</v>
      </c>
      <c r="K1454">
        <v>3</v>
      </c>
    </row>
    <row r="1455" spans="1:11" x14ac:dyDescent="0.25">
      <c r="A1455" t="s">
        <v>17</v>
      </c>
      <c r="B1455" t="s">
        <v>20</v>
      </c>
      <c r="C1455">
        <v>57806389</v>
      </c>
      <c r="D1455" t="s">
        <v>48</v>
      </c>
      <c r="E1455" t="s">
        <v>44</v>
      </c>
      <c r="F1455" s="4">
        <v>41333</v>
      </c>
      <c r="G1455" s="4">
        <v>41565</v>
      </c>
      <c r="H1455" t="s">
        <v>49</v>
      </c>
      <c r="I1455" t="s">
        <v>47</v>
      </c>
      <c r="J1455" t="s">
        <v>9</v>
      </c>
      <c r="K1455">
        <v>1</v>
      </c>
    </row>
    <row r="1456" spans="1:11" x14ac:dyDescent="0.25">
      <c r="A1456" t="s">
        <v>17</v>
      </c>
      <c r="B1456" t="s">
        <v>20</v>
      </c>
      <c r="C1456">
        <v>57806389</v>
      </c>
      <c r="D1456" t="s">
        <v>48</v>
      </c>
      <c r="E1456" t="s">
        <v>44</v>
      </c>
      <c r="F1456" s="4">
        <v>41333</v>
      </c>
      <c r="G1456" s="4">
        <v>41565</v>
      </c>
      <c r="H1456" t="s">
        <v>49</v>
      </c>
      <c r="I1456" t="s">
        <v>47</v>
      </c>
      <c r="J1456" t="s">
        <v>10</v>
      </c>
      <c r="K1456">
        <v>1</v>
      </c>
    </row>
    <row r="1457" spans="1:11" x14ac:dyDescent="0.25">
      <c r="A1457" t="s">
        <v>17</v>
      </c>
      <c r="B1457" t="s">
        <v>20</v>
      </c>
      <c r="C1457">
        <v>57806389</v>
      </c>
      <c r="D1457" t="s">
        <v>48</v>
      </c>
      <c r="E1457" t="s">
        <v>44</v>
      </c>
      <c r="F1457" s="4">
        <v>41333</v>
      </c>
      <c r="G1457" s="4">
        <v>41565</v>
      </c>
      <c r="H1457" t="s">
        <v>49</v>
      </c>
      <c r="I1457" t="s">
        <v>47</v>
      </c>
      <c r="J1457" t="s">
        <v>11</v>
      </c>
      <c r="K1457">
        <v>2</v>
      </c>
    </row>
    <row r="1458" spans="1:11" x14ac:dyDescent="0.25">
      <c r="A1458" t="s">
        <v>17</v>
      </c>
      <c r="B1458" t="s">
        <v>20</v>
      </c>
      <c r="C1458">
        <v>57806389</v>
      </c>
      <c r="D1458" t="s">
        <v>48</v>
      </c>
      <c r="E1458" t="s">
        <v>44</v>
      </c>
      <c r="F1458" s="4">
        <v>41333</v>
      </c>
      <c r="G1458" s="4">
        <v>41565</v>
      </c>
      <c r="H1458" t="s">
        <v>49</v>
      </c>
      <c r="I1458" t="s">
        <v>47</v>
      </c>
      <c r="J1458" t="s">
        <v>12</v>
      </c>
      <c r="K1458">
        <v>2</v>
      </c>
    </row>
    <row r="1459" spans="1:11" x14ac:dyDescent="0.25">
      <c r="A1459" t="s">
        <v>17</v>
      </c>
      <c r="B1459" t="s">
        <v>20</v>
      </c>
      <c r="C1459">
        <v>57806389</v>
      </c>
      <c r="D1459" t="s">
        <v>48</v>
      </c>
      <c r="E1459" t="s">
        <v>44</v>
      </c>
      <c r="F1459" s="4">
        <v>41333</v>
      </c>
      <c r="G1459" s="4">
        <v>41565</v>
      </c>
      <c r="H1459" t="s">
        <v>49</v>
      </c>
      <c r="I1459" t="s">
        <v>47</v>
      </c>
      <c r="J1459" t="s">
        <v>13</v>
      </c>
      <c r="K1459">
        <v>1</v>
      </c>
    </row>
    <row r="1460" spans="1:11" x14ac:dyDescent="0.25">
      <c r="A1460" t="s">
        <v>17</v>
      </c>
      <c r="B1460" t="s">
        <v>20</v>
      </c>
      <c r="C1460">
        <v>57806389</v>
      </c>
      <c r="D1460" t="s">
        <v>48</v>
      </c>
      <c r="E1460" t="s">
        <v>44</v>
      </c>
      <c r="F1460" s="4">
        <v>41333</v>
      </c>
      <c r="G1460" s="4">
        <v>41565</v>
      </c>
      <c r="H1460" t="s">
        <v>49</v>
      </c>
      <c r="I1460" t="s">
        <v>47</v>
      </c>
      <c r="J1460" t="s">
        <v>14</v>
      </c>
      <c r="K1460">
        <v>0</v>
      </c>
    </row>
    <row r="1461" spans="1:11" x14ac:dyDescent="0.25">
      <c r="A1461" t="s">
        <v>17</v>
      </c>
      <c r="B1461" t="s">
        <v>20</v>
      </c>
      <c r="C1461">
        <v>57806389</v>
      </c>
      <c r="D1461" t="s">
        <v>48</v>
      </c>
      <c r="E1461" t="s">
        <v>44</v>
      </c>
      <c r="F1461" s="4">
        <v>41333</v>
      </c>
      <c r="G1461" s="4">
        <v>41565</v>
      </c>
      <c r="H1461" t="s">
        <v>49</v>
      </c>
      <c r="I1461" t="s">
        <v>47</v>
      </c>
      <c r="J1461" t="s">
        <v>15</v>
      </c>
      <c r="K1461">
        <v>1</v>
      </c>
    </row>
    <row r="1462" spans="1:11" x14ac:dyDescent="0.25">
      <c r="A1462" t="s">
        <v>17</v>
      </c>
      <c r="B1462" t="s">
        <v>21</v>
      </c>
      <c r="C1462">
        <v>18200595</v>
      </c>
      <c r="D1462" t="s">
        <v>43</v>
      </c>
      <c r="E1462" t="s">
        <v>44</v>
      </c>
      <c r="F1462" s="4">
        <v>41282</v>
      </c>
      <c r="G1462" s="4">
        <v>41291</v>
      </c>
      <c r="H1462" t="s">
        <v>45</v>
      </c>
      <c r="I1462" t="s">
        <v>46</v>
      </c>
      <c r="J1462" t="s">
        <v>6</v>
      </c>
      <c r="K1462">
        <v>1</v>
      </c>
    </row>
    <row r="1463" spans="1:11" x14ac:dyDescent="0.25">
      <c r="A1463" t="s">
        <v>17</v>
      </c>
      <c r="B1463" t="s">
        <v>21</v>
      </c>
      <c r="C1463">
        <v>18200595</v>
      </c>
      <c r="D1463" t="s">
        <v>43</v>
      </c>
      <c r="E1463" t="s">
        <v>44</v>
      </c>
      <c r="F1463" s="4">
        <v>41282</v>
      </c>
      <c r="G1463" s="4">
        <v>41291</v>
      </c>
      <c r="H1463" t="s">
        <v>45</v>
      </c>
      <c r="I1463" t="s">
        <v>46</v>
      </c>
      <c r="J1463" t="s">
        <v>7</v>
      </c>
      <c r="K1463">
        <v>0</v>
      </c>
    </row>
    <row r="1464" spans="1:11" x14ac:dyDescent="0.25">
      <c r="A1464" t="s">
        <v>17</v>
      </c>
      <c r="B1464" t="s">
        <v>21</v>
      </c>
      <c r="C1464">
        <v>18200595</v>
      </c>
      <c r="D1464" t="s">
        <v>43</v>
      </c>
      <c r="E1464" t="s">
        <v>44</v>
      </c>
      <c r="F1464" s="4">
        <v>41282</v>
      </c>
      <c r="G1464" s="4">
        <v>41291</v>
      </c>
      <c r="H1464" t="s">
        <v>45</v>
      </c>
      <c r="I1464" t="s">
        <v>46</v>
      </c>
      <c r="J1464" t="s">
        <v>8</v>
      </c>
      <c r="K1464">
        <v>0</v>
      </c>
    </row>
    <row r="1465" spans="1:11" x14ac:dyDescent="0.25">
      <c r="A1465" t="s">
        <v>17</v>
      </c>
      <c r="B1465" t="s">
        <v>21</v>
      </c>
      <c r="C1465">
        <v>18200595</v>
      </c>
      <c r="D1465" t="s">
        <v>43</v>
      </c>
      <c r="E1465" t="s">
        <v>44</v>
      </c>
      <c r="F1465" s="4">
        <v>41282</v>
      </c>
      <c r="G1465" s="4">
        <v>41291</v>
      </c>
      <c r="H1465" t="s">
        <v>45</v>
      </c>
      <c r="I1465" t="s">
        <v>46</v>
      </c>
      <c r="J1465" t="s">
        <v>9</v>
      </c>
      <c r="K1465">
        <v>3</v>
      </c>
    </row>
    <row r="1466" spans="1:11" x14ac:dyDescent="0.25">
      <c r="A1466" t="s">
        <v>17</v>
      </c>
      <c r="B1466" t="s">
        <v>21</v>
      </c>
      <c r="C1466">
        <v>18200595</v>
      </c>
      <c r="D1466" t="s">
        <v>43</v>
      </c>
      <c r="E1466" t="s">
        <v>44</v>
      </c>
      <c r="F1466" s="4">
        <v>41282</v>
      </c>
      <c r="G1466" s="4">
        <v>41291</v>
      </c>
      <c r="H1466" t="s">
        <v>45</v>
      </c>
      <c r="I1466" t="s">
        <v>46</v>
      </c>
      <c r="J1466" t="s">
        <v>10</v>
      </c>
      <c r="K1466">
        <v>0</v>
      </c>
    </row>
    <row r="1467" spans="1:11" x14ac:dyDescent="0.25">
      <c r="A1467" t="s">
        <v>17</v>
      </c>
      <c r="B1467" t="s">
        <v>21</v>
      </c>
      <c r="C1467">
        <v>18200595</v>
      </c>
      <c r="D1467" t="s">
        <v>43</v>
      </c>
      <c r="E1467" t="s">
        <v>44</v>
      </c>
      <c r="F1467" s="4">
        <v>41282</v>
      </c>
      <c r="G1467" s="4">
        <v>41291</v>
      </c>
      <c r="H1467" t="s">
        <v>45</v>
      </c>
      <c r="I1467" t="s">
        <v>46</v>
      </c>
      <c r="J1467" t="s">
        <v>11</v>
      </c>
      <c r="K1467">
        <v>0</v>
      </c>
    </row>
    <row r="1468" spans="1:11" x14ac:dyDescent="0.25">
      <c r="A1468" t="s">
        <v>17</v>
      </c>
      <c r="B1468" t="s">
        <v>21</v>
      </c>
      <c r="C1468">
        <v>18200595</v>
      </c>
      <c r="D1468" t="s">
        <v>43</v>
      </c>
      <c r="E1468" t="s">
        <v>44</v>
      </c>
      <c r="F1468" s="4">
        <v>41282</v>
      </c>
      <c r="G1468" s="4">
        <v>41291</v>
      </c>
      <c r="H1468" t="s">
        <v>45</v>
      </c>
      <c r="I1468" t="s">
        <v>46</v>
      </c>
      <c r="J1468" t="s">
        <v>12</v>
      </c>
      <c r="K1468">
        <v>2</v>
      </c>
    </row>
    <row r="1469" spans="1:11" x14ac:dyDescent="0.25">
      <c r="A1469" t="s">
        <v>17</v>
      </c>
      <c r="B1469" t="s">
        <v>21</v>
      </c>
      <c r="C1469">
        <v>18200595</v>
      </c>
      <c r="D1469" t="s">
        <v>43</v>
      </c>
      <c r="E1469" t="s">
        <v>44</v>
      </c>
      <c r="F1469" s="4">
        <v>41282</v>
      </c>
      <c r="G1469" s="4">
        <v>41291</v>
      </c>
      <c r="H1469" t="s">
        <v>45</v>
      </c>
      <c r="I1469" t="s">
        <v>46</v>
      </c>
      <c r="J1469" t="s">
        <v>13</v>
      </c>
      <c r="K1469">
        <v>1</v>
      </c>
    </row>
    <row r="1470" spans="1:11" x14ac:dyDescent="0.25">
      <c r="A1470" t="s">
        <v>17</v>
      </c>
      <c r="B1470" t="s">
        <v>21</v>
      </c>
      <c r="C1470">
        <v>18200595</v>
      </c>
      <c r="D1470" t="s">
        <v>43</v>
      </c>
      <c r="E1470" t="s">
        <v>44</v>
      </c>
      <c r="F1470" s="4">
        <v>41282</v>
      </c>
      <c r="G1470" s="4">
        <v>41291</v>
      </c>
      <c r="H1470" t="s">
        <v>45</v>
      </c>
      <c r="I1470" t="s">
        <v>46</v>
      </c>
      <c r="J1470" t="s">
        <v>14</v>
      </c>
      <c r="K1470">
        <v>3</v>
      </c>
    </row>
    <row r="1471" spans="1:11" x14ac:dyDescent="0.25">
      <c r="A1471" t="s">
        <v>17</v>
      </c>
      <c r="B1471" t="s">
        <v>21</v>
      </c>
      <c r="C1471">
        <v>18200595</v>
      </c>
      <c r="D1471" t="s">
        <v>43</v>
      </c>
      <c r="E1471" t="s">
        <v>44</v>
      </c>
      <c r="F1471" s="4">
        <v>41282</v>
      </c>
      <c r="G1471" s="4">
        <v>41291</v>
      </c>
      <c r="H1471" t="s">
        <v>45</v>
      </c>
      <c r="I1471" t="s">
        <v>46</v>
      </c>
      <c r="J1471" t="s">
        <v>15</v>
      </c>
      <c r="K1471">
        <v>1</v>
      </c>
    </row>
    <row r="1472" spans="1:11" x14ac:dyDescent="0.25">
      <c r="A1472" t="s">
        <v>17</v>
      </c>
      <c r="B1472" t="s">
        <v>22</v>
      </c>
      <c r="C1472">
        <v>18200595</v>
      </c>
      <c r="D1472" t="s">
        <v>43</v>
      </c>
      <c r="E1472" t="s">
        <v>44</v>
      </c>
      <c r="F1472" s="4">
        <v>41282</v>
      </c>
      <c r="G1472" s="4">
        <v>41365</v>
      </c>
      <c r="H1472" t="s">
        <v>45</v>
      </c>
      <c r="I1472" t="s">
        <v>47</v>
      </c>
      <c r="J1472" t="s">
        <v>6</v>
      </c>
      <c r="K1472">
        <v>0</v>
      </c>
    </row>
    <row r="1473" spans="1:11" x14ac:dyDescent="0.25">
      <c r="A1473" t="s">
        <v>17</v>
      </c>
      <c r="B1473" t="s">
        <v>22</v>
      </c>
      <c r="C1473">
        <v>18200595</v>
      </c>
      <c r="D1473" t="s">
        <v>43</v>
      </c>
      <c r="E1473" t="s">
        <v>44</v>
      </c>
      <c r="F1473" s="4">
        <v>41282</v>
      </c>
      <c r="G1473" s="4">
        <v>41365</v>
      </c>
      <c r="H1473" t="s">
        <v>45</v>
      </c>
      <c r="I1473" t="s">
        <v>47</v>
      </c>
      <c r="J1473" t="s">
        <v>7</v>
      </c>
      <c r="K1473">
        <v>1</v>
      </c>
    </row>
    <row r="1474" spans="1:11" x14ac:dyDescent="0.25">
      <c r="A1474" t="s">
        <v>17</v>
      </c>
      <c r="B1474" t="s">
        <v>22</v>
      </c>
      <c r="C1474">
        <v>18200595</v>
      </c>
      <c r="D1474" t="s">
        <v>43</v>
      </c>
      <c r="E1474" t="s">
        <v>44</v>
      </c>
      <c r="F1474" s="4">
        <v>41282</v>
      </c>
      <c r="G1474" s="4">
        <v>41365</v>
      </c>
      <c r="H1474" t="s">
        <v>45</v>
      </c>
      <c r="I1474" t="s">
        <v>47</v>
      </c>
      <c r="J1474" t="s">
        <v>8</v>
      </c>
      <c r="K1474">
        <v>2</v>
      </c>
    </row>
    <row r="1475" spans="1:11" x14ac:dyDescent="0.25">
      <c r="A1475" t="s">
        <v>17</v>
      </c>
      <c r="B1475" t="s">
        <v>22</v>
      </c>
      <c r="C1475">
        <v>18200595</v>
      </c>
      <c r="D1475" t="s">
        <v>43</v>
      </c>
      <c r="E1475" t="s">
        <v>44</v>
      </c>
      <c r="F1475" s="4">
        <v>41282</v>
      </c>
      <c r="G1475" s="4">
        <v>41365</v>
      </c>
      <c r="H1475" t="s">
        <v>45</v>
      </c>
      <c r="I1475" t="s">
        <v>47</v>
      </c>
      <c r="J1475" t="s">
        <v>9</v>
      </c>
      <c r="K1475">
        <v>2</v>
      </c>
    </row>
    <row r="1476" spans="1:11" x14ac:dyDescent="0.25">
      <c r="A1476" t="s">
        <v>17</v>
      </c>
      <c r="B1476" t="s">
        <v>22</v>
      </c>
      <c r="C1476">
        <v>18200595</v>
      </c>
      <c r="D1476" t="s">
        <v>43</v>
      </c>
      <c r="E1476" t="s">
        <v>44</v>
      </c>
      <c r="F1476" s="4">
        <v>41282</v>
      </c>
      <c r="G1476" s="4">
        <v>41365</v>
      </c>
      <c r="H1476" t="s">
        <v>45</v>
      </c>
      <c r="I1476" t="s">
        <v>47</v>
      </c>
      <c r="J1476" t="s">
        <v>10</v>
      </c>
      <c r="K1476">
        <v>3</v>
      </c>
    </row>
    <row r="1477" spans="1:11" x14ac:dyDescent="0.25">
      <c r="A1477" t="s">
        <v>17</v>
      </c>
      <c r="B1477" t="s">
        <v>22</v>
      </c>
      <c r="C1477">
        <v>18200595</v>
      </c>
      <c r="D1477" t="s">
        <v>43</v>
      </c>
      <c r="E1477" t="s">
        <v>44</v>
      </c>
      <c r="F1477" s="4">
        <v>41282</v>
      </c>
      <c r="G1477" s="4">
        <v>41365</v>
      </c>
      <c r="H1477" t="s">
        <v>45</v>
      </c>
      <c r="I1477" t="s">
        <v>47</v>
      </c>
      <c r="J1477" t="s">
        <v>11</v>
      </c>
      <c r="K1477">
        <v>2</v>
      </c>
    </row>
    <row r="1478" spans="1:11" x14ac:dyDescent="0.25">
      <c r="A1478" t="s">
        <v>17</v>
      </c>
      <c r="B1478" t="s">
        <v>22</v>
      </c>
      <c r="C1478">
        <v>18200595</v>
      </c>
      <c r="D1478" t="s">
        <v>43</v>
      </c>
      <c r="E1478" t="s">
        <v>44</v>
      </c>
      <c r="F1478" s="4">
        <v>41282</v>
      </c>
      <c r="G1478" s="4">
        <v>41365</v>
      </c>
      <c r="H1478" t="s">
        <v>45</v>
      </c>
      <c r="I1478" t="s">
        <v>47</v>
      </c>
      <c r="J1478" t="s">
        <v>12</v>
      </c>
      <c r="K1478">
        <v>1</v>
      </c>
    </row>
    <row r="1479" spans="1:11" x14ac:dyDescent="0.25">
      <c r="A1479" t="s">
        <v>17</v>
      </c>
      <c r="B1479" t="s">
        <v>22</v>
      </c>
      <c r="C1479">
        <v>18200595</v>
      </c>
      <c r="D1479" t="s">
        <v>43</v>
      </c>
      <c r="E1479" t="s">
        <v>44</v>
      </c>
      <c r="F1479" s="4">
        <v>41282</v>
      </c>
      <c r="G1479" s="4">
        <v>41365</v>
      </c>
      <c r="H1479" t="s">
        <v>45</v>
      </c>
      <c r="I1479" t="s">
        <v>47</v>
      </c>
      <c r="J1479" t="s">
        <v>13</v>
      </c>
      <c r="K1479">
        <v>1</v>
      </c>
    </row>
    <row r="1480" spans="1:11" x14ac:dyDescent="0.25">
      <c r="A1480" t="s">
        <v>17</v>
      </c>
      <c r="B1480" t="s">
        <v>22</v>
      </c>
      <c r="C1480">
        <v>18200595</v>
      </c>
      <c r="D1480" t="s">
        <v>43</v>
      </c>
      <c r="E1480" t="s">
        <v>44</v>
      </c>
      <c r="F1480" s="4">
        <v>41282</v>
      </c>
      <c r="G1480" s="4">
        <v>41365</v>
      </c>
      <c r="H1480" t="s">
        <v>45</v>
      </c>
      <c r="I1480" t="s">
        <v>47</v>
      </c>
      <c r="J1480" t="s">
        <v>14</v>
      </c>
      <c r="K1480">
        <v>0</v>
      </c>
    </row>
    <row r="1481" spans="1:11" x14ac:dyDescent="0.25">
      <c r="A1481" t="s">
        <v>17</v>
      </c>
      <c r="B1481" t="s">
        <v>22</v>
      </c>
      <c r="C1481">
        <v>18200595</v>
      </c>
      <c r="D1481" t="s">
        <v>43</v>
      </c>
      <c r="E1481" t="s">
        <v>44</v>
      </c>
      <c r="F1481" s="4">
        <v>41282</v>
      </c>
      <c r="G1481" s="4">
        <v>41365</v>
      </c>
      <c r="H1481" t="s">
        <v>45</v>
      </c>
      <c r="I1481" t="s">
        <v>47</v>
      </c>
      <c r="J1481" t="s">
        <v>15</v>
      </c>
      <c r="K1481">
        <v>1</v>
      </c>
    </row>
    <row r="1482" spans="1:11" x14ac:dyDescent="0.25">
      <c r="A1482" t="s">
        <v>17</v>
      </c>
      <c r="B1482" t="s">
        <v>20</v>
      </c>
      <c r="C1482">
        <v>18200595</v>
      </c>
      <c r="D1482" t="s">
        <v>43</v>
      </c>
      <c r="E1482" t="s">
        <v>44</v>
      </c>
      <c r="F1482" s="4">
        <v>41282</v>
      </c>
      <c r="G1482" s="4">
        <v>41383</v>
      </c>
      <c r="H1482" t="s">
        <v>45</v>
      </c>
      <c r="I1482" t="s">
        <v>47</v>
      </c>
      <c r="J1482" t="s">
        <v>6</v>
      </c>
      <c r="K1482">
        <v>0</v>
      </c>
    </row>
    <row r="1483" spans="1:11" x14ac:dyDescent="0.25">
      <c r="A1483" t="s">
        <v>17</v>
      </c>
      <c r="B1483" t="s">
        <v>20</v>
      </c>
      <c r="C1483">
        <v>18200595</v>
      </c>
      <c r="D1483" t="s">
        <v>43</v>
      </c>
      <c r="E1483" t="s">
        <v>44</v>
      </c>
      <c r="F1483" s="4">
        <v>41282</v>
      </c>
      <c r="G1483" s="4">
        <v>41383</v>
      </c>
      <c r="H1483" t="s">
        <v>45</v>
      </c>
      <c r="I1483" t="s">
        <v>47</v>
      </c>
      <c r="J1483" t="s">
        <v>7</v>
      </c>
      <c r="K1483">
        <v>1</v>
      </c>
    </row>
    <row r="1484" spans="1:11" x14ac:dyDescent="0.25">
      <c r="A1484" t="s">
        <v>17</v>
      </c>
      <c r="B1484" t="s">
        <v>20</v>
      </c>
      <c r="C1484">
        <v>18200595</v>
      </c>
      <c r="D1484" t="s">
        <v>43</v>
      </c>
      <c r="E1484" t="s">
        <v>44</v>
      </c>
      <c r="F1484" s="4">
        <v>41282</v>
      </c>
      <c r="G1484" s="4">
        <v>41383</v>
      </c>
      <c r="H1484" t="s">
        <v>45</v>
      </c>
      <c r="I1484" t="s">
        <v>47</v>
      </c>
      <c r="J1484" t="s">
        <v>8</v>
      </c>
      <c r="K1484">
        <v>0</v>
      </c>
    </row>
    <row r="1485" spans="1:11" x14ac:dyDescent="0.25">
      <c r="A1485" t="s">
        <v>17</v>
      </c>
      <c r="B1485" t="s">
        <v>20</v>
      </c>
      <c r="C1485">
        <v>18200595</v>
      </c>
      <c r="D1485" t="s">
        <v>43</v>
      </c>
      <c r="E1485" t="s">
        <v>44</v>
      </c>
      <c r="F1485" s="4">
        <v>41282</v>
      </c>
      <c r="G1485" s="4">
        <v>41383</v>
      </c>
      <c r="H1485" t="s">
        <v>45</v>
      </c>
      <c r="I1485" t="s">
        <v>47</v>
      </c>
      <c r="J1485" t="s">
        <v>9</v>
      </c>
      <c r="K1485">
        <v>3</v>
      </c>
    </row>
    <row r="1486" spans="1:11" x14ac:dyDescent="0.25">
      <c r="A1486" t="s">
        <v>17</v>
      </c>
      <c r="B1486" t="s">
        <v>20</v>
      </c>
      <c r="C1486">
        <v>18200595</v>
      </c>
      <c r="D1486" t="s">
        <v>43</v>
      </c>
      <c r="E1486" t="s">
        <v>44</v>
      </c>
      <c r="F1486" s="4">
        <v>41282</v>
      </c>
      <c r="G1486" s="4">
        <v>41383</v>
      </c>
      <c r="H1486" t="s">
        <v>45</v>
      </c>
      <c r="I1486" t="s">
        <v>47</v>
      </c>
      <c r="J1486" t="s">
        <v>10</v>
      </c>
      <c r="K1486">
        <v>1</v>
      </c>
    </row>
    <row r="1487" spans="1:11" x14ac:dyDescent="0.25">
      <c r="A1487" t="s">
        <v>17</v>
      </c>
      <c r="B1487" t="s">
        <v>20</v>
      </c>
      <c r="C1487">
        <v>18200595</v>
      </c>
      <c r="D1487" t="s">
        <v>43</v>
      </c>
      <c r="E1487" t="s">
        <v>44</v>
      </c>
      <c r="F1487" s="4">
        <v>41282</v>
      </c>
      <c r="G1487" s="4">
        <v>41383</v>
      </c>
      <c r="H1487" t="s">
        <v>45</v>
      </c>
      <c r="I1487" t="s">
        <v>47</v>
      </c>
      <c r="J1487" t="s">
        <v>11</v>
      </c>
      <c r="K1487">
        <v>1</v>
      </c>
    </row>
    <row r="1488" spans="1:11" x14ac:dyDescent="0.25">
      <c r="A1488" t="s">
        <v>17</v>
      </c>
      <c r="B1488" t="s">
        <v>20</v>
      </c>
      <c r="C1488">
        <v>18200595</v>
      </c>
      <c r="D1488" t="s">
        <v>43</v>
      </c>
      <c r="E1488" t="s">
        <v>44</v>
      </c>
      <c r="F1488" s="4">
        <v>41282</v>
      </c>
      <c r="G1488" s="4">
        <v>41383</v>
      </c>
      <c r="H1488" t="s">
        <v>45</v>
      </c>
      <c r="I1488" t="s">
        <v>47</v>
      </c>
      <c r="J1488" t="s">
        <v>12</v>
      </c>
      <c r="K1488">
        <v>3</v>
      </c>
    </row>
    <row r="1489" spans="1:11" x14ac:dyDescent="0.25">
      <c r="A1489" t="s">
        <v>17</v>
      </c>
      <c r="B1489" t="s">
        <v>20</v>
      </c>
      <c r="C1489">
        <v>18200595</v>
      </c>
      <c r="D1489" t="s">
        <v>43</v>
      </c>
      <c r="E1489" t="s">
        <v>44</v>
      </c>
      <c r="F1489" s="4">
        <v>41282</v>
      </c>
      <c r="G1489" s="4">
        <v>41383</v>
      </c>
      <c r="H1489" t="s">
        <v>45</v>
      </c>
      <c r="I1489" t="s">
        <v>47</v>
      </c>
      <c r="J1489" t="s">
        <v>13</v>
      </c>
      <c r="K1489">
        <v>2</v>
      </c>
    </row>
    <row r="1490" spans="1:11" x14ac:dyDescent="0.25">
      <c r="A1490" t="s">
        <v>17</v>
      </c>
      <c r="B1490" t="s">
        <v>20</v>
      </c>
      <c r="C1490">
        <v>18200595</v>
      </c>
      <c r="D1490" t="s">
        <v>43</v>
      </c>
      <c r="E1490" t="s">
        <v>44</v>
      </c>
      <c r="F1490" s="4">
        <v>41282</v>
      </c>
      <c r="G1490" s="4">
        <v>41383</v>
      </c>
      <c r="H1490" t="s">
        <v>45</v>
      </c>
      <c r="I1490" t="s">
        <v>47</v>
      </c>
      <c r="J1490" t="s">
        <v>14</v>
      </c>
      <c r="K1490">
        <v>3</v>
      </c>
    </row>
    <row r="1491" spans="1:11" x14ac:dyDescent="0.25">
      <c r="A1491" t="s">
        <v>17</v>
      </c>
      <c r="B1491" t="s">
        <v>20</v>
      </c>
      <c r="C1491">
        <v>18200595</v>
      </c>
      <c r="D1491" t="s">
        <v>43</v>
      </c>
      <c r="E1491" t="s">
        <v>44</v>
      </c>
      <c r="F1491" s="4">
        <v>41282</v>
      </c>
      <c r="G1491" s="4">
        <v>41383</v>
      </c>
      <c r="H1491" t="s">
        <v>45</v>
      </c>
      <c r="I1491" t="s">
        <v>47</v>
      </c>
      <c r="J1491" t="s">
        <v>15</v>
      </c>
      <c r="K1491">
        <v>1</v>
      </c>
    </row>
    <row r="1492" spans="1:11" x14ac:dyDescent="0.25">
      <c r="A1492" t="s">
        <v>17</v>
      </c>
      <c r="B1492" t="s">
        <v>21</v>
      </c>
      <c r="C1492">
        <v>87126942</v>
      </c>
      <c r="D1492" t="s">
        <v>43</v>
      </c>
      <c r="E1492" t="s">
        <v>44</v>
      </c>
      <c r="F1492" s="4">
        <v>41694</v>
      </c>
      <c r="G1492" s="4">
        <v>41701</v>
      </c>
      <c r="H1492" t="s">
        <v>45</v>
      </c>
      <c r="I1492" t="s">
        <v>46</v>
      </c>
      <c r="J1492" t="s">
        <v>6</v>
      </c>
      <c r="K1492">
        <v>1</v>
      </c>
    </row>
    <row r="1493" spans="1:11" x14ac:dyDescent="0.25">
      <c r="A1493" t="s">
        <v>17</v>
      </c>
      <c r="B1493" t="s">
        <v>21</v>
      </c>
      <c r="C1493">
        <v>87126942</v>
      </c>
      <c r="D1493" t="s">
        <v>43</v>
      </c>
      <c r="E1493" t="s">
        <v>44</v>
      </c>
      <c r="F1493" s="4">
        <v>41694</v>
      </c>
      <c r="G1493" s="4">
        <v>41701</v>
      </c>
      <c r="H1493" t="s">
        <v>45</v>
      </c>
      <c r="I1493" t="s">
        <v>46</v>
      </c>
      <c r="J1493" t="s">
        <v>7</v>
      </c>
      <c r="K1493">
        <v>1</v>
      </c>
    </row>
    <row r="1494" spans="1:11" x14ac:dyDescent="0.25">
      <c r="A1494" t="s">
        <v>17</v>
      </c>
      <c r="B1494" t="s">
        <v>21</v>
      </c>
      <c r="C1494">
        <v>87126942</v>
      </c>
      <c r="D1494" t="s">
        <v>43</v>
      </c>
      <c r="E1494" t="s">
        <v>44</v>
      </c>
      <c r="F1494" s="4">
        <v>41694</v>
      </c>
      <c r="G1494" s="4">
        <v>41701</v>
      </c>
      <c r="H1494" t="s">
        <v>45</v>
      </c>
      <c r="I1494" t="s">
        <v>46</v>
      </c>
      <c r="J1494" t="s">
        <v>8</v>
      </c>
      <c r="K1494">
        <v>1</v>
      </c>
    </row>
    <row r="1495" spans="1:11" x14ac:dyDescent="0.25">
      <c r="A1495" t="s">
        <v>17</v>
      </c>
      <c r="B1495" t="s">
        <v>21</v>
      </c>
      <c r="C1495">
        <v>87126942</v>
      </c>
      <c r="D1495" t="s">
        <v>43</v>
      </c>
      <c r="E1495" t="s">
        <v>44</v>
      </c>
      <c r="F1495" s="4">
        <v>41694</v>
      </c>
      <c r="G1495" s="4">
        <v>41701</v>
      </c>
      <c r="H1495" t="s">
        <v>45</v>
      </c>
      <c r="I1495" t="s">
        <v>46</v>
      </c>
      <c r="J1495" t="s">
        <v>9</v>
      </c>
      <c r="K1495">
        <v>3</v>
      </c>
    </row>
    <row r="1496" spans="1:11" x14ac:dyDescent="0.25">
      <c r="A1496" t="s">
        <v>17</v>
      </c>
      <c r="B1496" t="s">
        <v>21</v>
      </c>
      <c r="C1496">
        <v>87126942</v>
      </c>
      <c r="D1496" t="s">
        <v>43</v>
      </c>
      <c r="E1496" t="s">
        <v>44</v>
      </c>
      <c r="F1496" s="4">
        <v>41694</v>
      </c>
      <c r="G1496" s="4">
        <v>41701</v>
      </c>
      <c r="H1496" t="s">
        <v>45</v>
      </c>
      <c r="I1496" t="s">
        <v>46</v>
      </c>
      <c r="J1496" t="s">
        <v>10</v>
      </c>
      <c r="K1496">
        <v>3</v>
      </c>
    </row>
    <row r="1497" spans="1:11" x14ac:dyDescent="0.25">
      <c r="A1497" t="s">
        <v>17</v>
      </c>
      <c r="B1497" t="s">
        <v>21</v>
      </c>
      <c r="C1497">
        <v>87126942</v>
      </c>
      <c r="D1497" t="s">
        <v>43</v>
      </c>
      <c r="E1497" t="s">
        <v>44</v>
      </c>
      <c r="F1497" s="4">
        <v>41694</v>
      </c>
      <c r="G1497" s="4">
        <v>41701</v>
      </c>
      <c r="H1497" t="s">
        <v>45</v>
      </c>
      <c r="I1497" t="s">
        <v>46</v>
      </c>
      <c r="J1497" t="s">
        <v>11</v>
      </c>
      <c r="K1497">
        <v>0</v>
      </c>
    </row>
    <row r="1498" spans="1:11" x14ac:dyDescent="0.25">
      <c r="A1498" t="s">
        <v>17</v>
      </c>
      <c r="B1498" t="s">
        <v>21</v>
      </c>
      <c r="C1498">
        <v>87126942</v>
      </c>
      <c r="D1498" t="s">
        <v>43</v>
      </c>
      <c r="E1498" t="s">
        <v>44</v>
      </c>
      <c r="F1498" s="4">
        <v>41694</v>
      </c>
      <c r="G1498" s="4">
        <v>41701</v>
      </c>
      <c r="H1498" t="s">
        <v>45</v>
      </c>
      <c r="I1498" t="s">
        <v>46</v>
      </c>
      <c r="J1498" t="s">
        <v>12</v>
      </c>
      <c r="K1498">
        <v>0</v>
      </c>
    </row>
    <row r="1499" spans="1:11" x14ac:dyDescent="0.25">
      <c r="A1499" t="s">
        <v>17</v>
      </c>
      <c r="B1499" t="s">
        <v>21</v>
      </c>
      <c r="C1499">
        <v>87126942</v>
      </c>
      <c r="D1499" t="s">
        <v>43</v>
      </c>
      <c r="E1499" t="s">
        <v>44</v>
      </c>
      <c r="F1499" s="4">
        <v>41694</v>
      </c>
      <c r="G1499" s="4">
        <v>41701</v>
      </c>
      <c r="H1499" t="s">
        <v>45</v>
      </c>
      <c r="I1499" t="s">
        <v>46</v>
      </c>
      <c r="J1499" t="s">
        <v>13</v>
      </c>
      <c r="K1499">
        <v>1</v>
      </c>
    </row>
    <row r="1500" spans="1:11" x14ac:dyDescent="0.25">
      <c r="A1500" t="s">
        <v>17</v>
      </c>
      <c r="B1500" t="s">
        <v>21</v>
      </c>
      <c r="C1500">
        <v>87126942</v>
      </c>
      <c r="D1500" t="s">
        <v>43</v>
      </c>
      <c r="E1500" t="s">
        <v>44</v>
      </c>
      <c r="F1500" s="4">
        <v>41694</v>
      </c>
      <c r="G1500" s="4">
        <v>41701</v>
      </c>
      <c r="H1500" t="s">
        <v>45</v>
      </c>
      <c r="I1500" t="s">
        <v>46</v>
      </c>
      <c r="J1500" t="s">
        <v>14</v>
      </c>
      <c r="K1500">
        <v>2</v>
      </c>
    </row>
    <row r="1501" spans="1:11" x14ac:dyDescent="0.25">
      <c r="A1501" t="s">
        <v>17</v>
      </c>
      <c r="B1501" t="s">
        <v>21</v>
      </c>
      <c r="C1501">
        <v>87126942</v>
      </c>
      <c r="D1501" t="s">
        <v>43</v>
      </c>
      <c r="E1501" t="s">
        <v>44</v>
      </c>
      <c r="F1501" s="4">
        <v>41694</v>
      </c>
      <c r="G1501" s="4">
        <v>41701</v>
      </c>
      <c r="H1501" t="s">
        <v>45</v>
      </c>
      <c r="I1501" t="s">
        <v>46</v>
      </c>
      <c r="J1501" t="s">
        <v>15</v>
      </c>
      <c r="K1501">
        <v>0</v>
      </c>
    </row>
    <row r="1502" spans="1:11" x14ac:dyDescent="0.25">
      <c r="A1502" t="s">
        <v>17</v>
      </c>
      <c r="B1502" t="s">
        <v>22</v>
      </c>
      <c r="C1502">
        <v>87126942</v>
      </c>
      <c r="D1502" t="s">
        <v>43</v>
      </c>
      <c r="E1502" t="s">
        <v>44</v>
      </c>
      <c r="F1502" s="4">
        <v>41694</v>
      </c>
      <c r="G1502" s="4">
        <v>41787</v>
      </c>
      <c r="H1502" t="s">
        <v>45</v>
      </c>
      <c r="I1502" t="s">
        <v>47</v>
      </c>
      <c r="J1502" t="s">
        <v>6</v>
      </c>
      <c r="K1502">
        <v>2</v>
      </c>
    </row>
    <row r="1503" spans="1:11" x14ac:dyDescent="0.25">
      <c r="A1503" t="s">
        <v>17</v>
      </c>
      <c r="B1503" t="s">
        <v>22</v>
      </c>
      <c r="C1503">
        <v>87126942</v>
      </c>
      <c r="D1503" t="s">
        <v>43</v>
      </c>
      <c r="E1503" t="s">
        <v>44</v>
      </c>
      <c r="F1503" s="4">
        <v>41694</v>
      </c>
      <c r="G1503" s="4">
        <v>41787</v>
      </c>
      <c r="H1503" t="s">
        <v>45</v>
      </c>
      <c r="I1503" t="s">
        <v>47</v>
      </c>
      <c r="J1503" t="s">
        <v>7</v>
      </c>
      <c r="K1503">
        <v>2</v>
      </c>
    </row>
    <row r="1504" spans="1:11" x14ac:dyDescent="0.25">
      <c r="A1504" t="s">
        <v>17</v>
      </c>
      <c r="B1504" t="s">
        <v>22</v>
      </c>
      <c r="C1504">
        <v>87126942</v>
      </c>
      <c r="D1504" t="s">
        <v>43</v>
      </c>
      <c r="E1504" t="s">
        <v>44</v>
      </c>
      <c r="F1504" s="4">
        <v>41694</v>
      </c>
      <c r="G1504" s="4">
        <v>41787</v>
      </c>
      <c r="H1504" t="s">
        <v>45</v>
      </c>
      <c r="I1504" t="s">
        <v>47</v>
      </c>
      <c r="J1504" t="s">
        <v>8</v>
      </c>
      <c r="K1504">
        <v>0</v>
      </c>
    </row>
    <row r="1505" spans="1:11" x14ac:dyDescent="0.25">
      <c r="A1505" t="s">
        <v>17</v>
      </c>
      <c r="B1505" t="s">
        <v>22</v>
      </c>
      <c r="C1505">
        <v>87126942</v>
      </c>
      <c r="D1505" t="s">
        <v>43</v>
      </c>
      <c r="E1505" t="s">
        <v>44</v>
      </c>
      <c r="F1505" s="4">
        <v>41694</v>
      </c>
      <c r="G1505" s="4">
        <v>41787</v>
      </c>
      <c r="H1505" t="s">
        <v>45</v>
      </c>
      <c r="I1505" t="s">
        <v>47</v>
      </c>
      <c r="J1505" t="s">
        <v>9</v>
      </c>
      <c r="K1505">
        <v>0</v>
      </c>
    </row>
    <row r="1506" spans="1:11" x14ac:dyDescent="0.25">
      <c r="A1506" t="s">
        <v>17</v>
      </c>
      <c r="B1506" t="s">
        <v>22</v>
      </c>
      <c r="C1506">
        <v>87126942</v>
      </c>
      <c r="D1506" t="s">
        <v>43</v>
      </c>
      <c r="E1506" t="s">
        <v>44</v>
      </c>
      <c r="F1506" s="4">
        <v>41694</v>
      </c>
      <c r="G1506" s="4">
        <v>41787</v>
      </c>
      <c r="H1506" t="s">
        <v>45</v>
      </c>
      <c r="I1506" t="s">
        <v>47</v>
      </c>
      <c r="J1506" t="s">
        <v>10</v>
      </c>
      <c r="K1506">
        <v>1</v>
      </c>
    </row>
    <row r="1507" spans="1:11" x14ac:dyDescent="0.25">
      <c r="A1507" t="s">
        <v>17</v>
      </c>
      <c r="B1507" t="s">
        <v>22</v>
      </c>
      <c r="C1507">
        <v>87126942</v>
      </c>
      <c r="D1507" t="s">
        <v>43</v>
      </c>
      <c r="E1507" t="s">
        <v>44</v>
      </c>
      <c r="F1507" s="4">
        <v>41694</v>
      </c>
      <c r="G1507" s="4">
        <v>41787</v>
      </c>
      <c r="H1507" t="s">
        <v>45</v>
      </c>
      <c r="I1507" t="s">
        <v>47</v>
      </c>
      <c r="J1507" t="s">
        <v>11</v>
      </c>
      <c r="K1507">
        <v>2</v>
      </c>
    </row>
    <row r="1508" spans="1:11" x14ac:dyDescent="0.25">
      <c r="A1508" t="s">
        <v>17</v>
      </c>
      <c r="B1508" t="s">
        <v>22</v>
      </c>
      <c r="C1508">
        <v>87126942</v>
      </c>
      <c r="D1508" t="s">
        <v>43</v>
      </c>
      <c r="E1508" t="s">
        <v>44</v>
      </c>
      <c r="F1508" s="4">
        <v>41694</v>
      </c>
      <c r="G1508" s="4">
        <v>41787</v>
      </c>
      <c r="H1508" t="s">
        <v>45</v>
      </c>
      <c r="I1508" t="s">
        <v>47</v>
      </c>
      <c r="J1508" t="s">
        <v>12</v>
      </c>
      <c r="K1508">
        <v>3</v>
      </c>
    </row>
    <row r="1509" spans="1:11" x14ac:dyDescent="0.25">
      <c r="A1509" t="s">
        <v>17</v>
      </c>
      <c r="B1509" t="s">
        <v>22</v>
      </c>
      <c r="C1509">
        <v>87126942</v>
      </c>
      <c r="D1509" t="s">
        <v>43</v>
      </c>
      <c r="E1509" t="s">
        <v>44</v>
      </c>
      <c r="F1509" s="4">
        <v>41694</v>
      </c>
      <c r="G1509" s="4">
        <v>41787</v>
      </c>
      <c r="H1509" t="s">
        <v>45</v>
      </c>
      <c r="I1509" t="s">
        <v>47</v>
      </c>
      <c r="J1509" t="s">
        <v>13</v>
      </c>
      <c r="K1509">
        <v>1</v>
      </c>
    </row>
    <row r="1510" spans="1:11" x14ac:dyDescent="0.25">
      <c r="A1510" t="s">
        <v>17</v>
      </c>
      <c r="B1510" t="s">
        <v>22</v>
      </c>
      <c r="C1510">
        <v>87126942</v>
      </c>
      <c r="D1510" t="s">
        <v>43</v>
      </c>
      <c r="E1510" t="s">
        <v>44</v>
      </c>
      <c r="F1510" s="4">
        <v>41694</v>
      </c>
      <c r="G1510" s="4">
        <v>41787</v>
      </c>
      <c r="H1510" t="s">
        <v>45</v>
      </c>
      <c r="I1510" t="s">
        <v>47</v>
      </c>
      <c r="J1510" t="s">
        <v>14</v>
      </c>
      <c r="K1510">
        <v>2</v>
      </c>
    </row>
    <row r="1511" spans="1:11" x14ac:dyDescent="0.25">
      <c r="A1511" t="s">
        <v>17</v>
      </c>
      <c r="B1511" t="s">
        <v>22</v>
      </c>
      <c r="C1511">
        <v>87126942</v>
      </c>
      <c r="D1511" t="s">
        <v>43</v>
      </c>
      <c r="E1511" t="s">
        <v>44</v>
      </c>
      <c r="F1511" s="4">
        <v>41694</v>
      </c>
      <c r="G1511" s="4">
        <v>41787</v>
      </c>
      <c r="H1511" t="s">
        <v>45</v>
      </c>
      <c r="I1511" t="s">
        <v>47</v>
      </c>
      <c r="J1511" t="s">
        <v>15</v>
      </c>
      <c r="K1511">
        <v>1</v>
      </c>
    </row>
    <row r="1512" spans="1:11" x14ac:dyDescent="0.25">
      <c r="A1512" t="s">
        <v>17</v>
      </c>
      <c r="B1512" t="s">
        <v>20</v>
      </c>
      <c r="C1512">
        <v>87126942</v>
      </c>
      <c r="D1512" t="s">
        <v>43</v>
      </c>
      <c r="E1512" t="s">
        <v>44</v>
      </c>
      <c r="F1512" s="4">
        <v>41694</v>
      </c>
      <c r="G1512" s="4">
        <v>41817</v>
      </c>
      <c r="H1512" t="s">
        <v>45</v>
      </c>
      <c r="I1512" t="s">
        <v>47</v>
      </c>
      <c r="J1512" t="s">
        <v>6</v>
      </c>
      <c r="K1512">
        <v>0</v>
      </c>
    </row>
    <row r="1513" spans="1:11" x14ac:dyDescent="0.25">
      <c r="A1513" t="s">
        <v>17</v>
      </c>
      <c r="B1513" t="s">
        <v>20</v>
      </c>
      <c r="C1513">
        <v>87126942</v>
      </c>
      <c r="D1513" t="s">
        <v>43</v>
      </c>
      <c r="E1513" t="s">
        <v>44</v>
      </c>
      <c r="F1513" s="4">
        <v>41694</v>
      </c>
      <c r="G1513" s="4">
        <v>41817</v>
      </c>
      <c r="H1513" t="s">
        <v>45</v>
      </c>
      <c r="I1513" t="s">
        <v>47</v>
      </c>
      <c r="J1513" t="s">
        <v>7</v>
      </c>
      <c r="K1513">
        <v>0</v>
      </c>
    </row>
    <row r="1514" spans="1:11" x14ac:dyDescent="0.25">
      <c r="A1514" t="s">
        <v>17</v>
      </c>
      <c r="B1514" t="s">
        <v>20</v>
      </c>
      <c r="C1514">
        <v>87126942</v>
      </c>
      <c r="D1514" t="s">
        <v>43</v>
      </c>
      <c r="E1514" t="s">
        <v>44</v>
      </c>
      <c r="F1514" s="4">
        <v>41694</v>
      </c>
      <c r="G1514" s="4">
        <v>41817</v>
      </c>
      <c r="H1514" t="s">
        <v>45</v>
      </c>
      <c r="I1514" t="s">
        <v>47</v>
      </c>
      <c r="J1514" t="s">
        <v>8</v>
      </c>
      <c r="K1514">
        <v>1</v>
      </c>
    </row>
    <row r="1515" spans="1:11" x14ac:dyDescent="0.25">
      <c r="A1515" t="s">
        <v>17</v>
      </c>
      <c r="B1515" t="s">
        <v>20</v>
      </c>
      <c r="C1515">
        <v>87126942</v>
      </c>
      <c r="D1515" t="s">
        <v>43</v>
      </c>
      <c r="E1515" t="s">
        <v>44</v>
      </c>
      <c r="F1515" s="4">
        <v>41694</v>
      </c>
      <c r="G1515" s="4">
        <v>41817</v>
      </c>
      <c r="H1515" t="s">
        <v>45</v>
      </c>
      <c r="I1515" t="s">
        <v>47</v>
      </c>
      <c r="J1515" t="s">
        <v>9</v>
      </c>
      <c r="K1515">
        <v>3</v>
      </c>
    </row>
    <row r="1516" spans="1:11" x14ac:dyDescent="0.25">
      <c r="A1516" t="s">
        <v>17</v>
      </c>
      <c r="B1516" t="s">
        <v>20</v>
      </c>
      <c r="C1516">
        <v>87126942</v>
      </c>
      <c r="D1516" t="s">
        <v>43</v>
      </c>
      <c r="E1516" t="s">
        <v>44</v>
      </c>
      <c r="F1516" s="4">
        <v>41694</v>
      </c>
      <c r="G1516" s="4">
        <v>41817</v>
      </c>
      <c r="H1516" t="s">
        <v>45</v>
      </c>
      <c r="I1516" t="s">
        <v>47</v>
      </c>
      <c r="J1516" t="s">
        <v>10</v>
      </c>
      <c r="K1516">
        <v>2</v>
      </c>
    </row>
    <row r="1517" spans="1:11" x14ac:dyDescent="0.25">
      <c r="A1517" t="s">
        <v>17</v>
      </c>
      <c r="B1517" t="s">
        <v>20</v>
      </c>
      <c r="C1517">
        <v>87126942</v>
      </c>
      <c r="D1517" t="s">
        <v>43</v>
      </c>
      <c r="E1517" t="s">
        <v>44</v>
      </c>
      <c r="F1517" s="4">
        <v>41694</v>
      </c>
      <c r="G1517" s="4">
        <v>41817</v>
      </c>
      <c r="H1517" t="s">
        <v>45</v>
      </c>
      <c r="I1517" t="s">
        <v>47</v>
      </c>
      <c r="J1517" t="s">
        <v>11</v>
      </c>
      <c r="K1517">
        <v>2</v>
      </c>
    </row>
    <row r="1518" spans="1:11" x14ac:dyDescent="0.25">
      <c r="A1518" t="s">
        <v>17</v>
      </c>
      <c r="B1518" t="s">
        <v>20</v>
      </c>
      <c r="C1518">
        <v>87126942</v>
      </c>
      <c r="D1518" t="s">
        <v>43</v>
      </c>
      <c r="E1518" t="s">
        <v>44</v>
      </c>
      <c r="F1518" s="4">
        <v>41694</v>
      </c>
      <c r="G1518" s="4">
        <v>41817</v>
      </c>
      <c r="H1518" t="s">
        <v>45</v>
      </c>
      <c r="I1518" t="s">
        <v>47</v>
      </c>
      <c r="J1518" t="s">
        <v>12</v>
      </c>
      <c r="K1518">
        <v>0</v>
      </c>
    </row>
    <row r="1519" spans="1:11" x14ac:dyDescent="0.25">
      <c r="A1519" t="s">
        <v>17</v>
      </c>
      <c r="B1519" t="s">
        <v>20</v>
      </c>
      <c r="C1519">
        <v>87126942</v>
      </c>
      <c r="D1519" t="s">
        <v>43</v>
      </c>
      <c r="E1519" t="s">
        <v>44</v>
      </c>
      <c r="F1519" s="4">
        <v>41694</v>
      </c>
      <c r="G1519" s="4">
        <v>41817</v>
      </c>
      <c r="H1519" t="s">
        <v>45</v>
      </c>
      <c r="I1519" t="s">
        <v>47</v>
      </c>
      <c r="J1519" t="s">
        <v>13</v>
      </c>
      <c r="K1519">
        <v>2</v>
      </c>
    </row>
    <row r="1520" spans="1:11" x14ac:dyDescent="0.25">
      <c r="A1520" t="s">
        <v>17</v>
      </c>
      <c r="B1520" t="s">
        <v>20</v>
      </c>
      <c r="C1520">
        <v>87126942</v>
      </c>
      <c r="D1520" t="s">
        <v>43</v>
      </c>
      <c r="E1520" t="s">
        <v>44</v>
      </c>
      <c r="F1520" s="4">
        <v>41694</v>
      </c>
      <c r="G1520" s="4">
        <v>41817</v>
      </c>
      <c r="H1520" t="s">
        <v>45</v>
      </c>
      <c r="I1520" t="s">
        <v>47</v>
      </c>
      <c r="J1520" t="s">
        <v>14</v>
      </c>
      <c r="K1520">
        <v>2</v>
      </c>
    </row>
    <row r="1521" spans="1:11" x14ac:dyDescent="0.25">
      <c r="A1521" t="s">
        <v>17</v>
      </c>
      <c r="B1521" t="s">
        <v>20</v>
      </c>
      <c r="C1521">
        <v>87126942</v>
      </c>
      <c r="D1521" t="s">
        <v>43</v>
      </c>
      <c r="E1521" t="s">
        <v>44</v>
      </c>
      <c r="F1521" s="4">
        <v>41694</v>
      </c>
      <c r="G1521" s="4">
        <v>41817</v>
      </c>
      <c r="H1521" t="s">
        <v>45</v>
      </c>
      <c r="I1521" t="s">
        <v>47</v>
      </c>
      <c r="J1521" t="s">
        <v>15</v>
      </c>
      <c r="K1521">
        <v>1</v>
      </c>
    </row>
    <row r="1522" spans="1:11" x14ac:dyDescent="0.25">
      <c r="A1522" t="s">
        <v>18</v>
      </c>
      <c r="B1522" t="s">
        <v>21</v>
      </c>
      <c r="C1522">
        <v>87126942</v>
      </c>
      <c r="D1522" t="s">
        <v>43</v>
      </c>
      <c r="E1522" t="s">
        <v>44</v>
      </c>
      <c r="F1522" s="4">
        <v>41694</v>
      </c>
      <c r="G1522" s="4">
        <v>41883</v>
      </c>
      <c r="H1522" t="s">
        <v>45</v>
      </c>
      <c r="I1522" t="s">
        <v>47</v>
      </c>
      <c r="J1522" t="s">
        <v>6</v>
      </c>
      <c r="K1522">
        <v>1</v>
      </c>
    </row>
    <row r="1523" spans="1:11" x14ac:dyDescent="0.25">
      <c r="A1523" t="s">
        <v>18</v>
      </c>
      <c r="B1523" t="s">
        <v>21</v>
      </c>
      <c r="C1523">
        <v>87126942</v>
      </c>
      <c r="D1523" t="s">
        <v>43</v>
      </c>
      <c r="E1523" t="s">
        <v>44</v>
      </c>
      <c r="F1523" s="4">
        <v>41694</v>
      </c>
      <c r="G1523" s="4">
        <v>41883</v>
      </c>
      <c r="H1523" t="s">
        <v>45</v>
      </c>
      <c r="I1523" t="s">
        <v>47</v>
      </c>
      <c r="J1523" t="s">
        <v>7</v>
      </c>
      <c r="K1523">
        <v>2</v>
      </c>
    </row>
    <row r="1524" spans="1:11" x14ac:dyDescent="0.25">
      <c r="A1524" t="s">
        <v>18</v>
      </c>
      <c r="B1524" t="s">
        <v>21</v>
      </c>
      <c r="C1524">
        <v>87126942</v>
      </c>
      <c r="D1524" t="s">
        <v>43</v>
      </c>
      <c r="E1524" t="s">
        <v>44</v>
      </c>
      <c r="F1524" s="4">
        <v>41694</v>
      </c>
      <c r="G1524" s="4">
        <v>41883</v>
      </c>
      <c r="H1524" t="s">
        <v>45</v>
      </c>
      <c r="I1524" t="s">
        <v>47</v>
      </c>
      <c r="J1524" t="s">
        <v>8</v>
      </c>
      <c r="K1524">
        <v>3</v>
      </c>
    </row>
    <row r="1525" spans="1:11" x14ac:dyDescent="0.25">
      <c r="A1525" t="s">
        <v>18</v>
      </c>
      <c r="B1525" t="s">
        <v>21</v>
      </c>
      <c r="C1525">
        <v>87126942</v>
      </c>
      <c r="D1525" t="s">
        <v>43</v>
      </c>
      <c r="E1525" t="s">
        <v>44</v>
      </c>
      <c r="F1525" s="4">
        <v>41694</v>
      </c>
      <c r="G1525" s="4">
        <v>41883</v>
      </c>
      <c r="H1525" t="s">
        <v>45</v>
      </c>
      <c r="I1525" t="s">
        <v>47</v>
      </c>
      <c r="J1525" t="s">
        <v>9</v>
      </c>
      <c r="K1525">
        <v>2</v>
      </c>
    </row>
    <row r="1526" spans="1:11" x14ac:dyDescent="0.25">
      <c r="A1526" t="s">
        <v>18</v>
      </c>
      <c r="B1526" t="s">
        <v>21</v>
      </c>
      <c r="C1526">
        <v>87126942</v>
      </c>
      <c r="D1526" t="s">
        <v>43</v>
      </c>
      <c r="E1526" t="s">
        <v>44</v>
      </c>
      <c r="F1526" s="4">
        <v>41694</v>
      </c>
      <c r="G1526" s="4">
        <v>41883</v>
      </c>
      <c r="H1526" t="s">
        <v>45</v>
      </c>
      <c r="I1526" t="s">
        <v>47</v>
      </c>
      <c r="J1526" t="s">
        <v>10</v>
      </c>
      <c r="K1526">
        <v>3</v>
      </c>
    </row>
    <row r="1527" spans="1:11" x14ac:dyDescent="0.25">
      <c r="A1527" t="s">
        <v>18</v>
      </c>
      <c r="B1527" t="s">
        <v>21</v>
      </c>
      <c r="C1527">
        <v>87126942</v>
      </c>
      <c r="D1527" t="s">
        <v>43</v>
      </c>
      <c r="E1527" t="s">
        <v>44</v>
      </c>
      <c r="F1527" s="4">
        <v>41694</v>
      </c>
      <c r="G1527" s="4">
        <v>41883</v>
      </c>
      <c r="H1527" t="s">
        <v>45</v>
      </c>
      <c r="I1527" t="s">
        <v>47</v>
      </c>
      <c r="J1527" t="s">
        <v>11</v>
      </c>
      <c r="K1527">
        <v>1</v>
      </c>
    </row>
    <row r="1528" spans="1:11" x14ac:dyDescent="0.25">
      <c r="A1528" t="s">
        <v>18</v>
      </c>
      <c r="B1528" t="s">
        <v>21</v>
      </c>
      <c r="C1528">
        <v>87126942</v>
      </c>
      <c r="D1528" t="s">
        <v>43</v>
      </c>
      <c r="E1528" t="s">
        <v>44</v>
      </c>
      <c r="F1528" s="4">
        <v>41694</v>
      </c>
      <c r="G1528" s="4">
        <v>41883</v>
      </c>
      <c r="H1528" t="s">
        <v>45</v>
      </c>
      <c r="I1528" t="s">
        <v>47</v>
      </c>
      <c r="J1528" t="s">
        <v>12</v>
      </c>
      <c r="K1528">
        <v>1</v>
      </c>
    </row>
    <row r="1529" spans="1:11" x14ac:dyDescent="0.25">
      <c r="A1529" t="s">
        <v>18</v>
      </c>
      <c r="B1529" t="s">
        <v>21</v>
      </c>
      <c r="C1529">
        <v>87126942</v>
      </c>
      <c r="D1529" t="s">
        <v>43</v>
      </c>
      <c r="E1529" t="s">
        <v>44</v>
      </c>
      <c r="F1529" s="4">
        <v>41694</v>
      </c>
      <c r="G1529" s="4">
        <v>41883</v>
      </c>
      <c r="H1529" t="s">
        <v>45</v>
      </c>
      <c r="I1529" t="s">
        <v>47</v>
      </c>
      <c r="J1529" t="s">
        <v>13</v>
      </c>
      <c r="K1529">
        <v>1</v>
      </c>
    </row>
    <row r="1530" spans="1:11" x14ac:dyDescent="0.25">
      <c r="A1530" t="s">
        <v>18</v>
      </c>
      <c r="B1530" t="s">
        <v>21</v>
      </c>
      <c r="C1530">
        <v>87126942</v>
      </c>
      <c r="D1530" t="s">
        <v>43</v>
      </c>
      <c r="E1530" t="s">
        <v>44</v>
      </c>
      <c r="F1530" s="4">
        <v>41694</v>
      </c>
      <c r="G1530" s="4">
        <v>41883</v>
      </c>
      <c r="H1530" t="s">
        <v>45</v>
      </c>
      <c r="I1530" t="s">
        <v>47</v>
      </c>
      <c r="J1530" t="s">
        <v>14</v>
      </c>
      <c r="K1530">
        <v>2</v>
      </c>
    </row>
    <row r="1531" spans="1:11" x14ac:dyDescent="0.25">
      <c r="A1531" t="s">
        <v>18</v>
      </c>
      <c r="B1531" t="s">
        <v>21</v>
      </c>
      <c r="C1531">
        <v>87126942</v>
      </c>
      <c r="D1531" t="s">
        <v>43</v>
      </c>
      <c r="E1531" t="s">
        <v>44</v>
      </c>
      <c r="F1531" s="4">
        <v>41694</v>
      </c>
      <c r="G1531" s="4">
        <v>41883</v>
      </c>
      <c r="H1531" t="s">
        <v>45</v>
      </c>
      <c r="I1531" t="s">
        <v>47</v>
      </c>
      <c r="J1531" t="s">
        <v>15</v>
      </c>
      <c r="K1531">
        <v>2</v>
      </c>
    </row>
    <row r="1532" spans="1:11" x14ac:dyDescent="0.25">
      <c r="A1532" t="s">
        <v>18</v>
      </c>
      <c r="B1532" t="s">
        <v>22</v>
      </c>
      <c r="C1532">
        <v>87126942</v>
      </c>
      <c r="D1532" t="s">
        <v>43</v>
      </c>
      <c r="E1532" t="s">
        <v>44</v>
      </c>
      <c r="F1532" s="4">
        <v>41694</v>
      </c>
      <c r="G1532" s="4">
        <v>42023</v>
      </c>
      <c r="H1532" t="s">
        <v>45</v>
      </c>
      <c r="I1532" t="s">
        <v>47</v>
      </c>
      <c r="J1532" t="s">
        <v>6</v>
      </c>
      <c r="K1532">
        <v>0</v>
      </c>
    </row>
    <row r="1533" spans="1:11" x14ac:dyDescent="0.25">
      <c r="A1533" t="s">
        <v>18</v>
      </c>
      <c r="B1533" t="s">
        <v>22</v>
      </c>
      <c r="C1533">
        <v>87126942</v>
      </c>
      <c r="D1533" t="s">
        <v>43</v>
      </c>
      <c r="E1533" t="s">
        <v>44</v>
      </c>
      <c r="F1533" s="4">
        <v>41694</v>
      </c>
      <c r="G1533" s="4">
        <v>42023</v>
      </c>
      <c r="H1533" t="s">
        <v>45</v>
      </c>
      <c r="I1533" t="s">
        <v>47</v>
      </c>
      <c r="J1533" t="s">
        <v>7</v>
      </c>
      <c r="K1533">
        <v>0</v>
      </c>
    </row>
    <row r="1534" spans="1:11" x14ac:dyDescent="0.25">
      <c r="A1534" t="s">
        <v>18</v>
      </c>
      <c r="B1534" t="s">
        <v>22</v>
      </c>
      <c r="C1534">
        <v>87126942</v>
      </c>
      <c r="D1534" t="s">
        <v>43</v>
      </c>
      <c r="E1534" t="s">
        <v>44</v>
      </c>
      <c r="F1534" s="4">
        <v>41694</v>
      </c>
      <c r="G1534" s="4">
        <v>42023</v>
      </c>
      <c r="H1534" t="s">
        <v>45</v>
      </c>
      <c r="I1534" t="s">
        <v>47</v>
      </c>
      <c r="J1534" t="s">
        <v>8</v>
      </c>
      <c r="K1534">
        <v>0</v>
      </c>
    </row>
    <row r="1535" spans="1:11" x14ac:dyDescent="0.25">
      <c r="A1535" t="s">
        <v>18</v>
      </c>
      <c r="B1535" t="s">
        <v>22</v>
      </c>
      <c r="C1535">
        <v>87126942</v>
      </c>
      <c r="D1535" t="s">
        <v>43</v>
      </c>
      <c r="E1535" t="s">
        <v>44</v>
      </c>
      <c r="F1535" s="4">
        <v>41694</v>
      </c>
      <c r="G1535" s="4">
        <v>42023</v>
      </c>
      <c r="H1535" t="s">
        <v>45</v>
      </c>
      <c r="I1535" t="s">
        <v>47</v>
      </c>
      <c r="J1535" t="s">
        <v>9</v>
      </c>
      <c r="K1535">
        <v>0</v>
      </c>
    </row>
    <row r="1536" spans="1:11" x14ac:dyDescent="0.25">
      <c r="A1536" t="s">
        <v>18</v>
      </c>
      <c r="B1536" t="s">
        <v>22</v>
      </c>
      <c r="C1536">
        <v>87126942</v>
      </c>
      <c r="D1536" t="s">
        <v>43</v>
      </c>
      <c r="E1536" t="s">
        <v>44</v>
      </c>
      <c r="F1536" s="4">
        <v>41694</v>
      </c>
      <c r="G1536" s="4">
        <v>42023</v>
      </c>
      <c r="H1536" t="s">
        <v>45</v>
      </c>
      <c r="I1536" t="s">
        <v>47</v>
      </c>
      <c r="J1536" t="s">
        <v>10</v>
      </c>
      <c r="K1536">
        <v>2</v>
      </c>
    </row>
    <row r="1537" spans="1:11" x14ac:dyDescent="0.25">
      <c r="A1537" t="s">
        <v>18</v>
      </c>
      <c r="B1537" t="s">
        <v>22</v>
      </c>
      <c r="C1537">
        <v>87126942</v>
      </c>
      <c r="D1537" t="s">
        <v>43</v>
      </c>
      <c r="E1537" t="s">
        <v>44</v>
      </c>
      <c r="F1537" s="4">
        <v>41694</v>
      </c>
      <c r="G1537" s="4">
        <v>42023</v>
      </c>
      <c r="H1537" t="s">
        <v>45</v>
      </c>
      <c r="I1537" t="s">
        <v>47</v>
      </c>
      <c r="J1537" t="s">
        <v>11</v>
      </c>
      <c r="K1537">
        <v>3</v>
      </c>
    </row>
    <row r="1538" spans="1:11" x14ac:dyDescent="0.25">
      <c r="A1538" t="s">
        <v>18</v>
      </c>
      <c r="B1538" t="s">
        <v>22</v>
      </c>
      <c r="C1538">
        <v>87126942</v>
      </c>
      <c r="D1538" t="s">
        <v>43</v>
      </c>
      <c r="E1538" t="s">
        <v>44</v>
      </c>
      <c r="F1538" s="4">
        <v>41694</v>
      </c>
      <c r="G1538" s="4">
        <v>42023</v>
      </c>
      <c r="H1538" t="s">
        <v>45</v>
      </c>
      <c r="I1538" t="s">
        <v>47</v>
      </c>
      <c r="J1538" t="s">
        <v>12</v>
      </c>
      <c r="K1538">
        <v>0</v>
      </c>
    </row>
    <row r="1539" spans="1:11" x14ac:dyDescent="0.25">
      <c r="A1539" t="s">
        <v>18</v>
      </c>
      <c r="B1539" t="s">
        <v>22</v>
      </c>
      <c r="C1539">
        <v>87126942</v>
      </c>
      <c r="D1539" t="s">
        <v>43</v>
      </c>
      <c r="E1539" t="s">
        <v>44</v>
      </c>
      <c r="F1539" s="4">
        <v>41694</v>
      </c>
      <c r="G1539" s="4">
        <v>42023</v>
      </c>
      <c r="H1539" t="s">
        <v>45</v>
      </c>
      <c r="I1539" t="s">
        <v>47</v>
      </c>
      <c r="J1539" t="s">
        <v>13</v>
      </c>
      <c r="K1539">
        <v>0</v>
      </c>
    </row>
    <row r="1540" spans="1:11" x14ac:dyDescent="0.25">
      <c r="A1540" t="s">
        <v>18</v>
      </c>
      <c r="B1540" t="s">
        <v>22</v>
      </c>
      <c r="C1540">
        <v>87126942</v>
      </c>
      <c r="D1540" t="s">
        <v>43</v>
      </c>
      <c r="E1540" t="s">
        <v>44</v>
      </c>
      <c r="F1540" s="4">
        <v>41694</v>
      </c>
      <c r="G1540" s="4">
        <v>42023</v>
      </c>
      <c r="H1540" t="s">
        <v>45</v>
      </c>
      <c r="I1540" t="s">
        <v>47</v>
      </c>
      <c r="J1540" t="s">
        <v>14</v>
      </c>
      <c r="K1540">
        <v>2</v>
      </c>
    </row>
    <row r="1541" spans="1:11" x14ac:dyDescent="0.25">
      <c r="A1541" t="s">
        <v>18</v>
      </c>
      <c r="B1541" t="s">
        <v>22</v>
      </c>
      <c r="C1541">
        <v>87126942</v>
      </c>
      <c r="D1541" t="s">
        <v>43</v>
      </c>
      <c r="E1541" t="s">
        <v>44</v>
      </c>
      <c r="F1541" s="4">
        <v>41694</v>
      </c>
      <c r="G1541" s="4">
        <v>42023</v>
      </c>
      <c r="H1541" t="s">
        <v>45</v>
      </c>
      <c r="I1541" t="s">
        <v>47</v>
      </c>
      <c r="J1541" t="s">
        <v>15</v>
      </c>
      <c r="K1541">
        <v>1</v>
      </c>
    </row>
    <row r="1542" spans="1:11" x14ac:dyDescent="0.25">
      <c r="A1542" t="s">
        <v>18</v>
      </c>
      <c r="B1542" t="s">
        <v>20</v>
      </c>
      <c r="C1542">
        <v>26068107</v>
      </c>
      <c r="D1542" t="s">
        <v>48</v>
      </c>
      <c r="E1542" t="s">
        <v>50</v>
      </c>
      <c r="F1542" s="4">
        <v>41537</v>
      </c>
      <c r="G1542" s="4">
        <v>41583</v>
      </c>
      <c r="H1542" t="s">
        <v>45</v>
      </c>
      <c r="I1542" t="s">
        <v>46</v>
      </c>
      <c r="J1542" t="s">
        <v>6</v>
      </c>
      <c r="K1542">
        <v>2</v>
      </c>
    </row>
    <row r="1543" spans="1:11" x14ac:dyDescent="0.25">
      <c r="A1543" t="s">
        <v>18</v>
      </c>
      <c r="B1543" t="s">
        <v>20</v>
      </c>
      <c r="C1543">
        <v>26068107</v>
      </c>
      <c r="D1543" t="s">
        <v>48</v>
      </c>
      <c r="E1543" t="s">
        <v>50</v>
      </c>
      <c r="F1543" s="4">
        <v>41537</v>
      </c>
      <c r="G1543" s="4">
        <v>41583</v>
      </c>
      <c r="H1543" t="s">
        <v>45</v>
      </c>
      <c r="I1543" t="s">
        <v>46</v>
      </c>
      <c r="J1543" t="s">
        <v>7</v>
      </c>
      <c r="K1543">
        <v>1</v>
      </c>
    </row>
    <row r="1544" spans="1:11" x14ac:dyDescent="0.25">
      <c r="A1544" t="s">
        <v>18</v>
      </c>
      <c r="B1544" t="s">
        <v>20</v>
      </c>
      <c r="C1544">
        <v>26068107</v>
      </c>
      <c r="D1544" t="s">
        <v>48</v>
      </c>
      <c r="E1544" t="s">
        <v>50</v>
      </c>
      <c r="F1544" s="4">
        <v>41537</v>
      </c>
      <c r="G1544" s="4">
        <v>41583</v>
      </c>
      <c r="H1544" t="s">
        <v>45</v>
      </c>
      <c r="I1544" t="s">
        <v>46</v>
      </c>
      <c r="J1544" t="s">
        <v>8</v>
      </c>
      <c r="K1544">
        <v>3</v>
      </c>
    </row>
    <row r="1545" spans="1:11" x14ac:dyDescent="0.25">
      <c r="A1545" t="s">
        <v>18</v>
      </c>
      <c r="B1545" t="s">
        <v>20</v>
      </c>
      <c r="C1545">
        <v>26068107</v>
      </c>
      <c r="D1545" t="s">
        <v>48</v>
      </c>
      <c r="E1545" t="s">
        <v>50</v>
      </c>
      <c r="F1545" s="4">
        <v>41537</v>
      </c>
      <c r="G1545" s="4">
        <v>41583</v>
      </c>
      <c r="H1545" t="s">
        <v>45</v>
      </c>
      <c r="I1545" t="s">
        <v>46</v>
      </c>
      <c r="J1545" t="s">
        <v>9</v>
      </c>
      <c r="K1545">
        <v>2</v>
      </c>
    </row>
    <row r="1546" spans="1:11" x14ac:dyDescent="0.25">
      <c r="A1546" t="s">
        <v>18</v>
      </c>
      <c r="B1546" t="s">
        <v>20</v>
      </c>
      <c r="C1546">
        <v>26068107</v>
      </c>
      <c r="D1546" t="s">
        <v>48</v>
      </c>
      <c r="E1546" t="s">
        <v>50</v>
      </c>
      <c r="F1546" s="4">
        <v>41537</v>
      </c>
      <c r="G1546" s="4">
        <v>41583</v>
      </c>
      <c r="H1546" t="s">
        <v>45</v>
      </c>
      <c r="I1546" t="s">
        <v>46</v>
      </c>
      <c r="J1546" t="s">
        <v>10</v>
      </c>
      <c r="K1546">
        <v>1</v>
      </c>
    </row>
    <row r="1547" spans="1:11" x14ac:dyDescent="0.25">
      <c r="A1547" t="s">
        <v>18</v>
      </c>
      <c r="B1547" t="s">
        <v>20</v>
      </c>
      <c r="C1547">
        <v>26068107</v>
      </c>
      <c r="D1547" t="s">
        <v>48</v>
      </c>
      <c r="E1547" t="s">
        <v>50</v>
      </c>
      <c r="F1547" s="4">
        <v>41537</v>
      </c>
      <c r="G1547" s="4">
        <v>41583</v>
      </c>
      <c r="H1547" t="s">
        <v>45</v>
      </c>
      <c r="I1547" t="s">
        <v>46</v>
      </c>
      <c r="J1547" t="s">
        <v>11</v>
      </c>
      <c r="K1547">
        <v>2</v>
      </c>
    </row>
    <row r="1548" spans="1:11" x14ac:dyDescent="0.25">
      <c r="A1548" t="s">
        <v>18</v>
      </c>
      <c r="B1548" t="s">
        <v>20</v>
      </c>
      <c r="C1548">
        <v>26068107</v>
      </c>
      <c r="D1548" t="s">
        <v>48</v>
      </c>
      <c r="E1548" t="s">
        <v>50</v>
      </c>
      <c r="F1548" s="4">
        <v>41537</v>
      </c>
      <c r="G1548" s="4">
        <v>41583</v>
      </c>
      <c r="H1548" t="s">
        <v>45</v>
      </c>
      <c r="I1548" t="s">
        <v>46</v>
      </c>
      <c r="J1548" t="s">
        <v>12</v>
      </c>
      <c r="K1548">
        <v>2</v>
      </c>
    </row>
    <row r="1549" spans="1:11" x14ac:dyDescent="0.25">
      <c r="A1549" t="s">
        <v>18</v>
      </c>
      <c r="B1549" t="s">
        <v>20</v>
      </c>
      <c r="C1549">
        <v>26068107</v>
      </c>
      <c r="D1549" t="s">
        <v>48</v>
      </c>
      <c r="E1549" t="s">
        <v>50</v>
      </c>
      <c r="F1549" s="4">
        <v>41537</v>
      </c>
      <c r="G1549" s="4">
        <v>41583</v>
      </c>
      <c r="H1549" t="s">
        <v>45</v>
      </c>
      <c r="I1549" t="s">
        <v>46</v>
      </c>
      <c r="J1549" t="s">
        <v>13</v>
      </c>
      <c r="K1549">
        <v>0</v>
      </c>
    </row>
    <row r="1550" spans="1:11" x14ac:dyDescent="0.25">
      <c r="A1550" t="s">
        <v>18</v>
      </c>
      <c r="B1550" t="s">
        <v>20</v>
      </c>
      <c r="C1550">
        <v>26068107</v>
      </c>
      <c r="D1550" t="s">
        <v>48</v>
      </c>
      <c r="E1550" t="s">
        <v>50</v>
      </c>
      <c r="F1550" s="4">
        <v>41537</v>
      </c>
      <c r="G1550" s="4">
        <v>41583</v>
      </c>
      <c r="H1550" t="s">
        <v>45</v>
      </c>
      <c r="I1550" t="s">
        <v>46</v>
      </c>
      <c r="J1550" t="s">
        <v>14</v>
      </c>
      <c r="K1550">
        <v>2</v>
      </c>
    </row>
    <row r="1551" spans="1:11" x14ac:dyDescent="0.25">
      <c r="A1551" t="s">
        <v>18</v>
      </c>
      <c r="B1551" t="s">
        <v>20</v>
      </c>
      <c r="C1551">
        <v>26068107</v>
      </c>
      <c r="D1551" t="s">
        <v>48</v>
      </c>
      <c r="E1551" t="s">
        <v>50</v>
      </c>
      <c r="F1551" s="4">
        <v>41537</v>
      </c>
      <c r="G1551" s="4">
        <v>41583</v>
      </c>
      <c r="H1551" t="s">
        <v>45</v>
      </c>
      <c r="I1551" t="s">
        <v>46</v>
      </c>
      <c r="J1551" t="s">
        <v>15</v>
      </c>
      <c r="K1551">
        <v>2</v>
      </c>
    </row>
    <row r="1552" spans="1:11" x14ac:dyDescent="0.25">
      <c r="A1552" t="s">
        <v>18</v>
      </c>
      <c r="B1552" t="s">
        <v>21</v>
      </c>
      <c r="C1552">
        <v>26068107</v>
      </c>
      <c r="D1552" t="s">
        <v>48</v>
      </c>
      <c r="E1552" t="s">
        <v>50</v>
      </c>
      <c r="F1552" s="4">
        <v>41537</v>
      </c>
      <c r="G1552" s="4">
        <v>41679</v>
      </c>
      <c r="H1552" t="s">
        <v>45</v>
      </c>
      <c r="I1552" t="s">
        <v>47</v>
      </c>
      <c r="J1552" t="s">
        <v>6</v>
      </c>
      <c r="K1552">
        <v>2</v>
      </c>
    </row>
    <row r="1553" spans="1:11" x14ac:dyDescent="0.25">
      <c r="A1553" t="s">
        <v>18</v>
      </c>
      <c r="B1553" t="s">
        <v>21</v>
      </c>
      <c r="C1553">
        <v>26068107</v>
      </c>
      <c r="D1553" t="s">
        <v>48</v>
      </c>
      <c r="E1553" t="s">
        <v>50</v>
      </c>
      <c r="F1553" s="4">
        <v>41537</v>
      </c>
      <c r="G1553" s="4">
        <v>41679</v>
      </c>
      <c r="H1553" t="s">
        <v>45</v>
      </c>
      <c r="I1553" t="s">
        <v>47</v>
      </c>
      <c r="J1553" t="s">
        <v>7</v>
      </c>
      <c r="K1553">
        <v>0</v>
      </c>
    </row>
    <row r="1554" spans="1:11" x14ac:dyDescent="0.25">
      <c r="A1554" t="s">
        <v>18</v>
      </c>
      <c r="B1554" t="s">
        <v>21</v>
      </c>
      <c r="C1554">
        <v>26068107</v>
      </c>
      <c r="D1554" t="s">
        <v>48</v>
      </c>
      <c r="E1554" t="s">
        <v>50</v>
      </c>
      <c r="F1554" s="4">
        <v>41537</v>
      </c>
      <c r="G1554" s="4">
        <v>41679</v>
      </c>
      <c r="H1554" t="s">
        <v>45</v>
      </c>
      <c r="I1554" t="s">
        <v>47</v>
      </c>
      <c r="J1554" t="s">
        <v>8</v>
      </c>
      <c r="K1554">
        <v>1</v>
      </c>
    </row>
    <row r="1555" spans="1:11" x14ac:dyDescent="0.25">
      <c r="A1555" t="s">
        <v>18</v>
      </c>
      <c r="B1555" t="s">
        <v>21</v>
      </c>
      <c r="C1555">
        <v>26068107</v>
      </c>
      <c r="D1555" t="s">
        <v>48</v>
      </c>
      <c r="E1555" t="s">
        <v>50</v>
      </c>
      <c r="F1555" s="4">
        <v>41537</v>
      </c>
      <c r="G1555" s="4">
        <v>41679</v>
      </c>
      <c r="H1555" t="s">
        <v>45</v>
      </c>
      <c r="I1555" t="s">
        <v>47</v>
      </c>
      <c r="J1555" t="s">
        <v>9</v>
      </c>
      <c r="K1555">
        <v>3</v>
      </c>
    </row>
    <row r="1556" spans="1:11" x14ac:dyDescent="0.25">
      <c r="A1556" t="s">
        <v>18</v>
      </c>
      <c r="B1556" t="s">
        <v>21</v>
      </c>
      <c r="C1556">
        <v>26068107</v>
      </c>
      <c r="D1556" t="s">
        <v>48</v>
      </c>
      <c r="E1556" t="s">
        <v>50</v>
      </c>
      <c r="F1556" s="4">
        <v>41537</v>
      </c>
      <c r="G1556" s="4">
        <v>41679</v>
      </c>
      <c r="H1556" t="s">
        <v>45</v>
      </c>
      <c r="I1556" t="s">
        <v>47</v>
      </c>
      <c r="J1556" t="s">
        <v>10</v>
      </c>
      <c r="K1556">
        <v>2</v>
      </c>
    </row>
    <row r="1557" spans="1:11" x14ac:dyDescent="0.25">
      <c r="A1557" t="s">
        <v>18</v>
      </c>
      <c r="B1557" t="s">
        <v>21</v>
      </c>
      <c r="C1557">
        <v>26068107</v>
      </c>
      <c r="D1557" t="s">
        <v>48</v>
      </c>
      <c r="E1557" t="s">
        <v>50</v>
      </c>
      <c r="F1557" s="4">
        <v>41537</v>
      </c>
      <c r="G1557" s="4">
        <v>41679</v>
      </c>
      <c r="H1557" t="s">
        <v>45</v>
      </c>
      <c r="I1557" t="s">
        <v>47</v>
      </c>
      <c r="J1557" t="s">
        <v>11</v>
      </c>
      <c r="K1557">
        <v>1</v>
      </c>
    </row>
    <row r="1558" spans="1:11" x14ac:dyDescent="0.25">
      <c r="A1558" t="s">
        <v>18</v>
      </c>
      <c r="B1558" t="s">
        <v>21</v>
      </c>
      <c r="C1558">
        <v>26068107</v>
      </c>
      <c r="D1558" t="s">
        <v>48</v>
      </c>
      <c r="E1558" t="s">
        <v>50</v>
      </c>
      <c r="F1558" s="4">
        <v>41537</v>
      </c>
      <c r="G1558" s="4">
        <v>41679</v>
      </c>
      <c r="H1558" t="s">
        <v>45</v>
      </c>
      <c r="I1558" t="s">
        <v>47</v>
      </c>
      <c r="J1558" t="s">
        <v>12</v>
      </c>
      <c r="K1558">
        <v>1</v>
      </c>
    </row>
    <row r="1559" spans="1:11" x14ac:dyDescent="0.25">
      <c r="A1559" t="s">
        <v>18</v>
      </c>
      <c r="B1559" t="s">
        <v>21</v>
      </c>
      <c r="C1559">
        <v>26068107</v>
      </c>
      <c r="D1559" t="s">
        <v>48</v>
      </c>
      <c r="E1559" t="s">
        <v>50</v>
      </c>
      <c r="F1559" s="4">
        <v>41537</v>
      </c>
      <c r="G1559" s="4">
        <v>41679</v>
      </c>
      <c r="H1559" t="s">
        <v>45</v>
      </c>
      <c r="I1559" t="s">
        <v>47</v>
      </c>
      <c r="J1559" t="s">
        <v>13</v>
      </c>
      <c r="K1559">
        <v>1</v>
      </c>
    </row>
    <row r="1560" spans="1:11" x14ac:dyDescent="0.25">
      <c r="A1560" t="s">
        <v>18</v>
      </c>
      <c r="B1560" t="s">
        <v>21</v>
      </c>
      <c r="C1560">
        <v>26068107</v>
      </c>
      <c r="D1560" t="s">
        <v>48</v>
      </c>
      <c r="E1560" t="s">
        <v>50</v>
      </c>
      <c r="F1560" s="4">
        <v>41537</v>
      </c>
      <c r="G1560" s="4">
        <v>41679</v>
      </c>
      <c r="H1560" t="s">
        <v>45</v>
      </c>
      <c r="I1560" t="s">
        <v>47</v>
      </c>
      <c r="J1560" t="s">
        <v>14</v>
      </c>
      <c r="K1560">
        <v>1</v>
      </c>
    </row>
    <row r="1561" spans="1:11" x14ac:dyDescent="0.25">
      <c r="A1561" t="s">
        <v>18</v>
      </c>
      <c r="B1561" t="s">
        <v>21</v>
      </c>
      <c r="C1561">
        <v>26068107</v>
      </c>
      <c r="D1561" t="s">
        <v>48</v>
      </c>
      <c r="E1561" t="s">
        <v>50</v>
      </c>
      <c r="F1561" s="4">
        <v>41537</v>
      </c>
      <c r="G1561" s="4">
        <v>41679</v>
      </c>
      <c r="H1561" t="s">
        <v>45</v>
      </c>
      <c r="I1561" t="s">
        <v>47</v>
      </c>
      <c r="J1561" t="s">
        <v>15</v>
      </c>
      <c r="K1561">
        <v>1</v>
      </c>
    </row>
    <row r="1562" spans="1:11" x14ac:dyDescent="0.25">
      <c r="A1562" t="s">
        <v>18</v>
      </c>
      <c r="B1562" t="s">
        <v>22</v>
      </c>
      <c r="C1562">
        <v>42294551</v>
      </c>
      <c r="D1562" t="s">
        <v>48</v>
      </c>
      <c r="E1562" t="s">
        <v>44</v>
      </c>
      <c r="F1562" s="4">
        <v>41277</v>
      </c>
      <c r="G1562" s="4">
        <v>41288</v>
      </c>
      <c r="H1562" t="s">
        <v>45</v>
      </c>
      <c r="I1562" t="s">
        <v>46</v>
      </c>
      <c r="J1562" t="s">
        <v>6</v>
      </c>
      <c r="K1562">
        <v>1</v>
      </c>
    </row>
    <row r="1563" spans="1:11" x14ac:dyDescent="0.25">
      <c r="A1563" t="s">
        <v>18</v>
      </c>
      <c r="B1563" t="s">
        <v>22</v>
      </c>
      <c r="C1563">
        <v>42294551</v>
      </c>
      <c r="D1563" t="s">
        <v>48</v>
      </c>
      <c r="E1563" t="s">
        <v>44</v>
      </c>
      <c r="F1563" s="4">
        <v>41277</v>
      </c>
      <c r="G1563" s="4">
        <v>41288</v>
      </c>
      <c r="H1563" t="s">
        <v>45</v>
      </c>
      <c r="I1563" t="s">
        <v>46</v>
      </c>
      <c r="J1563" t="s">
        <v>7</v>
      </c>
      <c r="K1563">
        <v>2</v>
      </c>
    </row>
    <row r="1564" spans="1:11" x14ac:dyDescent="0.25">
      <c r="A1564" t="s">
        <v>18</v>
      </c>
      <c r="B1564" t="s">
        <v>22</v>
      </c>
      <c r="C1564">
        <v>42294551</v>
      </c>
      <c r="D1564" t="s">
        <v>48</v>
      </c>
      <c r="E1564" t="s">
        <v>44</v>
      </c>
      <c r="F1564" s="4">
        <v>41277</v>
      </c>
      <c r="G1564" s="4">
        <v>41288</v>
      </c>
      <c r="H1564" t="s">
        <v>45</v>
      </c>
      <c r="I1564" t="s">
        <v>46</v>
      </c>
      <c r="J1564" t="s">
        <v>8</v>
      </c>
      <c r="K1564">
        <v>1</v>
      </c>
    </row>
    <row r="1565" spans="1:11" x14ac:dyDescent="0.25">
      <c r="A1565" t="s">
        <v>18</v>
      </c>
      <c r="B1565" t="s">
        <v>22</v>
      </c>
      <c r="C1565">
        <v>42294551</v>
      </c>
      <c r="D1565" t="s">
        <v>48</v>
      </c>
      <c r="E1565" t="s">
        <v>44</v>
      </c>
      <c r="F1565" s="4">
        <v>41277</v>
      </c>
      <c r="G1565" s="4">
        <v>41288</v>
      </c>
      <c r="H1565" t="s">
        <v>45</v>
      </c>
      <c r="I1565" t="s">
        <v>46</v>
      </c>
      <c r="J1565" t="s">
        <v>9</v>
      </c>
      <c r="K1565">
        <v>2</v>
      </c>
    </row>
    <row r="1566" spans="1:11" x14ac:dyDescent="0.25">
      <c r="A1566" t="s">
        <v>18</v>
      </c>
      <c r="B1566" t="s">
        <v>22</v>
      </c>
      <c r="C1566">
        <v>42294551</v>
      </c>
      <c r="D1566" t="s">
        <v>48</v>
      </c>
      <c r="E1566" t="s">
        <v>44</v>
      </c>
      <c r="F1566" s="4">
        <v>41277</v>
      </c>
      <c r="G1566" s="4">
        <v>41288</v>
      </c>
      <c r="H1566" t="s">
        <v>45</v>
      </c>
      <c r="I1566" t="s">
        <v>46</v>
      </c>
      <c r="J1566" t="s">
        <v>10</v>
      </c>
      <c r="K1566">
        <v>3</v>
      </c>
    </row>
    <row r="1567" spans="1:11" x14ac:dyDescent="0.25">
      <c r="A1567" t="s">
        <v>18</v>
      </c>
      <c r="B1567" t="s">
        <v>22</v>
      </c>
      <c r="C1567">
        <v>42294551</v>
      </c>
      <c r="D1567" t="s">
        <v>48</v>
      </c>
      <c r="E1567" t="s">
        <v>44</v>
      </c>
      <c r="F1567" s="4">
        <v>41277</v>
      </c>
      <c r="G1567" s="4">
        <v>41288</v>
      </c>
      <c r="H1567" t="s">
        <v>45</v>
      </c>
      <c r="I1567" t="s">
        <v>46</v>
      </c>
      <c r="J1567" t="s">
        <v>11</v>
      </c>
      <c r="K1567">
        <v>2</v>
      </c>
    </row>
    <row r="1568" spans="1:11" x14ac:dyDescent="0.25">
      <c r="A1568" t="s">
        <v>18</v>
      </c>
      <c r="B1568" t="s">
        <v>22</v>
      </c>
      <c r="C1568">
        <v>42294551</v>
      </c>
      <c r="D1568" t="s">
        <v>48</v>
      </c>
      <c r="E1568" t="s">
        <v>44</v>
      </c>
      <c r="F1568" s="4">
        <v>41277</v>
      </c>
      <c r="G1568" s="4">
        <v>41288</v>
      </c>
      <c r="H1568" t="s">
        <v>45</v>
      </c>
      <c r="I1568" t="s">
        <v>46</v>
      </c>
      <c r="J1568" t="s">
        <v>12</v>
      </c>
      <c r="K1568">
        <v>2</v>
      </c>
    </row>
    <row r="1569" spans="1:11" x14ac:dyDescent="0.25">
      <c r="A1569" t="s">
        <v>18</v>
      </c>
      <c r="B1569" t="s">
        <v>22</v>
      </c>
      <c r="C1569">
        <v>42294551</v>
      </c>
      <c r="D1569" t="s">
        <v>48</v>
      </c>
      <c r="E1569" t="s">
        <v>44</v>
      </c>
      <c r="F1569" s="4">
        <v>41277</v>
      </c>
      <c r="G1569" s="4">
        <v>41288</v>
      </c>
      <c r="H1569" t="s">
        <v>45</v>
      </c>
      <c r="I1569" t="s">
        <v>46</v>
      </c>
      <c r="J1569" t="s">
        <v>13</v>
      </c>
      <c r="K1569">
        <v>2</v>
      </c>
    </row>
    <row r="1570" spans="1:11" x14ac:dyDescent="0.25">
      <c r="A1570" t="s">
        <v>18</v>
      </c>
      <c r="B1570" t="s">
        <v>22</v>
      </c>
      <c r="C1570">
        <v>42294551</v>
      </c>
      <c r="D1570" t="s">
        <v>48</v>
      </c>
      <c r="E1570" t="s">
        <v>44</v>
      </c>
      <c r="F1570" s="4">
        <v>41277</v>
      </c>
      <c r="G1570" s="4">
        <v>41288</v>
      </c>
      <c r="H1570" t="s">
        <v>45</v>
      </c>
      <c r="I1570" t="s">
        <v>46</v>
      </c>
      <c r="J1570" t="s">
        <v>14</v>
      </c>
      <c r="K1570">
        <v>2</v>
      </c>
    </row>
    <row r="1571" spans="1:11" x14ac:dyDescent="0.25">
      <c r="A1571" t="s">
        <v>18</v>
      </c>
      <c r="B1571" t="s">
        <v>22</v>
      </c>
      <c r="C1571">
        <v>42294551</v>
      </c>
      <c r="D1571" t="s">
        <v>48</v>
      </c>
      <c r="E1571" t="s">
        <v>44</v>
      </c>
      <c r="F1571" s="4">
        <v>41277</v>
      </c>
      <c r="G1571" s="4">
        <v>41288</v>
      </c>
      <c r="H1571" t="s">
        <v>45</v>
      </c>
      <c r="I1571" t="s">
        <v>46</v>
      </c>
      <c r="J1571" t="s">
        <v>15</v>
      </c>
      <c r="K1571">
        <v>2</v>
      </c>
    </row>
    <row r="1572" spans="1:11" x14ac:dyDescent="0.25">
      <c r="A1572" t="s">
        <v>18</v>
      </c>
      <c r="B1572" t="s">
        <v>20</v>
      </c>
      <c r="C1572">
        <v>42294551</v>
      </c>
      <c r="D1572" t="s">
        <v>48</v>
      </c>
      <c r="E1572" t="s">
        <v>44</v>
      </c>
      <c r="F1572" s="4">
        <v>41277</v>
      </c>
      <c r="G1572" s="4">
        <v>41354</v>
      </c>
      <c r="H1572" t="s">
        <v>45</v>
      </c>
      <c r="I1572" t="s">
        <v>47</v>
      </c>
      <c r="J1572" t="s">
        <v>6</v>
      </c>
      <c r="K1572">
        <v>0</v>
      </c>
    </row>
    <row r="1573" spans="1:11" x14ac:dyDescent="0.25">
      <c r="A1573" t="s">
        <v>18</v>
      </c>
      <c r="B1573" t="s">
        <v>20</v>
      </c>
      <c r="C1573">
        <v>42294551</v>
      </c>
      <c r="D1573" t="s">
        <v>48</v>
      </c>
      <c r="E1573" t="s">
        <v>44</v>
      </c>
      <c r="F1573" s="4">
        <v>41277</v>
      </c>
      <c r="G1573" s="4">
        <v>41354</v>
      </c>
      <c r="H1573" t="s">
        <v>45</v>
      </c>
      <c r="I1573" t="s">
        <v>47</v>
      </c>
      <c r="J1573" t="s">
        <v>7</v>
      </c>
      <c r="K1573">
        <v>0</v>
      </c>
    </row>
    <row r="1574" spans="1:11" x14ac:dyDescent="0.25">
      <c r="A1574" t="s">
        <v>18</v>
      </c>
      <c r="B1574" t="s">
        <v>20</v>
      </c>
      <c r="C1574">
        <v>42294551</v>
      </c>
      <c r="D1574" t="s">
        <v>48</v>
      </c>
      <c r="E1574" t="s">
        <v>44</v>
      </c>
      <c r="F1574" s="4">
        <v>41277</v>
      </c>
      <c r="G1574" s="4">
        <v>41354</v>
      </c>
      <c r="H1574" t="s">
        <v>45</v>
      </c>
      <c r="I1574" t="s">
        <v>47</v>
      </c>
      <c r="J1574" t="s">
        <v>8</v>
      </c>
      <c r="K1574">
        <v>2</v>
      </c>
    </row>
    <row r="1575" spans="1:11" x14ac:dyDescent="0.25">
      <c r="A1575" t="s">
        <v>18</v>
      </c>
      <c r="B1575" t="s">
        <v>20</v>
      </c>
      <c r="C1575">
        <v>42294551</v>
      </c>
      <c r="D1575" t="s">
        <v>48</v>
      </c>
      <c r="E1575" t="s">
        <v>44</v>
      </c>
      <c r="F1575" s="4">
        <v>41277</v>
      </c>
      <c r="G1575" s="4">
        <v>41354</v>
      </c>
      <c r="H1575" t="s">
        <v>45</v>
      </c>
      <c r="I1575" t="s">
        <v>47</v>
      </c>
      <c r="J1575" t="s">
        <v>9</v>
      </c>
      <c r="K1575">
        <v>0</v>
      </c>
    </row>
    <row r="1576" spans="1:11" x14ac:dyDescent="0.25">
      <c r="A1576" t="s">
        <v>18</v>
      </c>
      <c r="B1576" t="s">
        <v>20</v>
      </c>
      <c r="C1576">
        <v>42294551</v>
      </c>
      <c r="D1576" t="s">
        <v>48</v>
      </c>
      <c r="E1576" t="s">
        <v>44</v>
      </c>
      <c r="F1576" s="4">
        <v>41277</v>
      </c>
      <c r="G1576" s="4">
        <v>41354</v>
      </c>
      <c r="H1576" t="s">
        <v>45</v>
      </c>
      <c r="I1576" t="s">
        <v>47</v>
      </c>
      <c r="J1576" t="s">
        <v>10</v>
      </c>
      <c r="K1576">
        <v>1</v>
      </c>
    </row>
    <row r="1577" spans="1:11" x14ac:dyDescent="0.25">
      <c r="A1577" t="s">
        <v>18</v>
      </c>
      <c r="B1577" t="s">
        <v>20</v>
      </c>
      <c r="C1577">
        <v>42294551</v>
      </c>
      <c r="D1577" t="s">
        <v>48</v>
      </c>
      <c r="E1577" t="s">
        <v>44</v>
      </c>
      <c r="F1577" s="4">
        <v>41277</v>
      </c>
      <c r="G1577" s="4">
        <v>41354</v>
      </c>
      <c r="H1577" t="s">
        <v>45</v>
      </c>
      <c r="I1577" t="s">
        <v>47</v>
      </c>
      <c r="J1577" t="s">
        <v>11</v>
      </c>
      <c r="K1577">
        <v>0</v>
      </c>
    </row>
    <row r="1578" spans="1:11" x14ac:dyDescent="0.25">
      <c r="A1578" t="s">
        <v>18</v>
      </c>
      <c r="B1578" t="s">
        <v>20</v>
      </c>
      <c r="C1578">
        <v>42294551</v>
      </c>
      <c r="D1578" t="s">
        <v>48</v>
      </c>
      <c r="E1578" t="s">
        <v>44</v>
      </c>
      <c r="F1578" s="4">
        <v>41277</v>
      </c>
      <c r="G1578" s="4">
        <v>41354</v>
      </c>
      <c r="H1578" t="s">
        <v>45</v>
      </c>
      <c r="I1578" t="s">
        <v>47</v>
      </c>
      <c r="J1578" t="s">
        <v>12</v>
      </c>
      <c r="K1578">
        <v>1</v>
      </c>
    </row>
    <row r="1579" spans="1:11" x14ac:dyDescent="0.25">
      <c r="A1579" t="s">
        <v>18</v>
      </c>
      <c r="B1579" t="s">
        <v>20</v>
      </c>
      <c r="C1579">
        <v>42294551</v>
      </c>
      <c r="D1579" t="s">
        <v>48</v>
      </c>
      <c r="E1579" t="s">
        <v>44</v>
      </c>
      <c r="F1579" s="4">
        <v>41277</v>
      </c>
      <c r="G1579" s="4">
        <v>41354</v>
      </c>
      <c r="H1579" t="s">
        <v>45</v>
      </c>
      <c r="I1579" t="s">
        <v>47</v>
      </c>
      <c r="J1579" t="s">
        <v>13</v>
      </c>
      <c r="K1579">
        <v>1</v>
      </c>
    </row>
    <row r="1580" spans="1:11" x14ac:dyDescent="0.25">
      <c r="A1580" t="s">
        <v>18</v>
      </c>
      <c r="B1580" t="s">
        <v>20</v>
      </c>
      <c r="C1580">
        <v>42294551</v>
      </c>
      <c r="D1580" t="s">
        <v>48</v>
      </c>
      <c r="E1580" t="s">
        <v>44</v>
      </c>
      <c r="F1580" s="4">
        <v>41277</v>
      </c>
      <c r="G1580" s="4">
        <v>41354</v>
      </c>
      <c r="H1580" t="s">
        <v>45</v>
      </c>
      <c r="I1580" t="s">
        <v>47</v>
      </c>
      <c r="J1580" t="s">
        <v>14</v>
      </c>
      <c r="K1580">
        <v>3</v>
      </c>
    </row>
    <row r="1581" spans="1:11" x14ac:dyDescent="0.25">
      <c r="A1581" t="s">
        <v>18</v>
      </c>
      <c r="B1581" t="s">
        <v>20</v>
      </c>
      <c r="C1581">
        <v>42294551</v>
      </c>
      <c r="D1581" t="s">
        <v>48</v>
      </c>
      <c r="E1581" t="s">
        <v>44</v>
      </c>
      <c r="F1581" s="4">
        <v>41277</v>
      </c>
      <c r="G1581" s="4">
        <v>41354</v>
      </c>
      <c r="H1581" t="s">
        <v>45</v>
      </c>
      <c r="I1581" t="s">
        <v>47</v>
      </c>
      <c r="J1581" t="s">
        <v>15</v>
      </c>
      <c r="K1581">
        <v>1</v>
      </c>
    </row>
    <row r="1582" spans="1:11" x14ac:dyDescent="0.25">
      <c r="A1582" t="s">
        <v>18</v>
      </c>
      <c r="B1582" t="s">
        <v>21</v>
      </c>
      <c r="C1582">
        <v>42294551</v>
      </c>
      <c r="D1582" t="s">
        <v>48</v>
      </c>
      <c r="E1582" t="s">
        <v>44</v>
      </c>
      <c r="F1582" s="4">
        <v>41277</v>
      </c>
      <c r="G1582" s="4">
        <v>41427</v>
      </c>
      <c r="H1582" t="s">
        <v>45</v>
      </c>
      <c r="I1582" t="s">
        <v>47</v>
      </c>
      <c r="J1582" t="s">
        <v>6</v>
      </c>
      <c r="K1582">
        <v>0</v>
      </c>
    </row>
    <row r="1583" spans="1:11" x14ac:dyDescent="0.25">
      <c r="A1583" t="s">
        <v>18</v>
      </c>
      <c r="B1583" t="s">
        <v>21</v>
      </c>
      <c r="C1583">
        <v>42294551</v>
      </c>
      <c r="D1583" t="s">
        <v>48</v>
      </c>
      <c r="E1583" t="s">
        <v>44</v>
      </c>
      <c r="F1583" s="4">
        <v>41277</v>
      </c>
      <c r="G1583" s="4">
        <v>41427</v>
      </c>
      <c r="H1583" t="s">
        <v>45</v>
      </c>
      <c r="I1583" t="s">
        <v>47</v>
      </c>
      <c r="J1583" t="s">
        <v>7</v>
      </c>
      <c r="K1583">
        <v>1</v>
      </c>
    </row>
    <row r="1584" spans="1:11" x14ac:dyDescent="0.25">
      <c r="A1584" t="s">
        <v>18</v>
      </c>
      <c r="B1584" t="s">
        <v>21</v>
      </c>
      <c r="C1584">
        <v>42294551</v>
      </c>
      <c r="D1584" t="s">
        <v>48</v>
      </c>
      <c r="E1584" t="s">
        <v>44</v>
      </c>
      <c r="F1584" s="4">
        <v>41277</v>
      </c>
      <c r="G1584" s="4">
        <v>41427</v>
      </c>
      <c r="H1584" t="s">
        <v>45</v>
      </c>
      <c r="I1584" t="s">
        <v>47</v>
      </c>
      <c r="J1584" t="s">
        <v>8</v>
      </c>
      <c r="K1584">
        <v>1</v>
      </c>
    </row>
    <row r="1585" spans="1:11" x14ac:dyDescent="0.25">
      <c r="A1585" t="s">
        <v>18</v>
      </c>
      <c r="B1585" t="s">
        <v>21</v>
      </c>
      <c r="C1585">
        <v>42294551</v>
      </c>
      <c r="D1585" t="s">
        <v>48</v>
      </c>
      <c r="E1585" t="s">
        <v>44</v>
      </c>
      <c r="F1585" s="4">
        <v>41277</v>
      </c>
      <c r="G1585" s="4">
        <v>41427</v>
      </c>
      <c r="H1585" t="s">
        <v>45</v>
      </c>
      <c r="I1585" t="s">
        <v>47</v>
      </c>
      <c r="J1585" t="s">
        <v>9</v>
      </c>
      <c r="K1585">
        <v>1</v>
      </c>
    </row>
    <row r="1586" spans="1:11" x14ac:dyDescent="0.25">
      <c r="A1586" t="s">
        <v>18</v>
      </c>
      <c r="B1586" t="s">
        <v>21</v>
      </c>
      <c r="C1586">
        <v>42294551</v>
      </c>
      <c r="D1586" t="s">
        <v>48</v>
      </c>
      <c r="E1586" t="s">
        <v>44</v>
      </c>
      <c r="F1586" s="4">
        <v>41277</v>
      </c>
      <c r="G1586" s="4">
        <v>41427</v>
      </c>
      <c r="H1586" t="s">
        <v>45</v>
      </c>
      <c r="I1586" t="s">
        <v>47</v>
      </c>
      <c r="J1586" t="s">
        <v>10</v>
      </c>
      <c r="K1586">
        <v>1</v>
      </c>
    </row>
    <row r="1587" spans="1:11" x14ac:dyDescent="0.25">
      <c r="A1587" t="s">
        <v>18</v>
      </c>
      <c r="B1587" t="s">
        <v>21</v>
      </c>
      <c r="C1587">
        <v>42294551</v>
      </c>
      <c r="D1587" t="s">
        <v>48</v>
      </c>
      <c r="E1587" t="s">
        <v>44</v>
      </c>
      <c r="F1587" s="4">
        <v>41277</v>
      </c>
      <c r="G1587" s="4">
        <v>41427</v>
      </c>
      <c r="H1587" t="s">
        <v>45</v>
      </c>
      <c r="I1587" t="s">
        <v>47</v>
      </c>
      <c r="J1587" t="s">
        <v>11</v>
      </c>
      <c r="K1587">
        <v>2</v>
      </c>
    </row>
    <row r="1588" spans="1:11" x14ac:dyDescent="0.25">
      <c r="A1588" t="s">
        <v>18</v>
      </c>
      <c r="B1588" t="s">
        <v>21</v>
      </c>
      <c r="C1588">
        <v>42294551</v>
      </c>
      <c r="D1588" t="s">
        <v>48</v>
      </c>
      <c r="E1588" t="s">
        <v>44</v>
      </c>
      <c r="F1588" s="4">
        <v>41277</v>
      </c>
      <c r="G1588" s="4">
        <v>41427</v>
      </c>
      <c r="H1588" t="s">
        <v>45</v>
      </c>
      <c r="I1588" t="s">
        <v>47</v>
      </c>
      <c r="J1588" t="s">
        <v>12</v>
      </c>
      <c r="K1588">
        <v>2</v>
      </c>
    </row>
    <row r="1589" spans="1:11" x14ac:dyDescent="0.25">
      <c r="A1589" t="s">
        <v>18</v>
      </c>
      <c r="B1589" t="s">
        <v>21</v>
      </c>
      <c r="C1589">
        <v>42294551</v>
      </c>
      <c r="D1589" t="s">
        <v>48</v>
      </c>
      <c r="E1589" t="s">
        <v>44</v>
      </c>
      <c r="F1589" s="4">
        <v>41277</v>
      </c>
      <c r="G1589" s="4">
        <v>41427</v>
      </c>
      <c r="H1589" t="s">
        <v>45</v>
      </c>
      <c r="I1589" t="s">
        <v>47</v>
      </c>
      <c r="J1589" t="s">
        <v>13</v>
      </c>
      <c r="K1589">
        <v>2</v>
      </c>
    </row>
    <row r="1590" spans="1:11" x14ac:dyDescent="0.25">
      <c r="A1590" t="s">
        <v>18</v>
      </c>
      <c r="B1590" t="s">
        <v>21</v>
      </c>
      <c r="C1590">
        <v>42294551</v>
      </c>
      <c r="D1590" t="s">
        <v>48</v>
      </c>
      <c r="E1590" t="s">
        <v>44</v>
      </c>
      <c r="F1590" s="4">
        <v>41277</v>
      </c>
      <c r="G1590" s="4">
        <v>41427</v>
      </c>
      <c r="H1590" t="s">
        <v>45</v>
      </c>
      <c r="I1590" t="s">
        <v>47</v>
      </c>
      <c r="J1590" t="s">
        <v>14</v>
      </c>
      <c r="K1590">
        <v>2</v>
      </c>
    </row>
    <row r="1591" spans="1:11" x14ac:dyDescent="0.25">
      <c r="A1591" t="s">
        <v>18</v>
      </c>
      <c r="B1591" t="s">
        <v>21</v>
      </c>
      <c r="C1591">
        <v>42294551</v>
      </c>
      <c r="D1591" t="s">
        <v>48</v>
      </c>
      <c r="E1591" t="s">
        <v>44</v>
      </c>
      <c r="F1591" s="4">
        <v>41277</v>
      </c>
      <c r="G1591" s="4">
        <v>41427</v>
      </c>
      <c r="H1591" t="s">
        <v>45</v>
      </c>
      <c r="I1591" t="s">
        <v>47</v>
      </c>
      <c r="J1591" t="s">
        <v>15</v>
      </c>
      <c r="K1591">
        <v>0</v>
      </c>
    </row>
    <row r="1592" spans="1:11" x14ac:dyDescent="0.25">
      <c r="A1592" t="s">
        <v>18</v>
      </c>
      <c r="B1592" t="s">
        <v>22</v>
      </c>
      <c r="C1592">
        <v>90173367</v>
      </c>
      <c r="D1592" t="s">
        <v>48</v>
      </c>
      <c r="E1592" t="s">
        <v>50</v>
      </c>
      <c r="F1592" s="4">
        <v>41339</v>
      </c>
      <c r="G1592" s="4">
        <v>41382</v>
      </c>
      <c r="H1592" t="s">
        <v>45</v>
      </c>
      <c r="I1592" t="s">
        <v>46</v>
      </c>
      <c r="J1592" t="s">
        <v>6</v>
      </c>
      <c r="K1592">
        <v>2</v>
      </c>
    </row>
    <row r="1593" spans="1:11" x14ac:dyDescent="0.25">
      <c r="A1593" t="s">
        <v>18</v>
      </c>
      <c r="B1593" t="s">
        <v>22</v>
      </c>
      <c r="C1593">
        <v>90173367</v>
      </c>
      <c r="D1593" t="s">
        <v>48</v>
      </c>
      <c r="E1593" t="s">
        <v>50</v>
      </c>
      <c r="F1593" s="4">
        <v>41339</v>
      </c>
      <c r="G1593" s="4">
        <v>41382</v>
      </c>
      <c r="H1593" t="s">
        <v>45</v>
      </c>
      <c r="I1593" t="s">
        <v>46</v>
      </c>
      <c r="J1593" t="s">
        <v>7</v>
      </c>
      <c r="K1593">
        <v>2</v>
      </c>
    </row>
    <row r="1594" spans="1:11" x14ac:dyDescent="0.25">
      <c r="A1594" t="s">
        <v>18</v>
      </c>
      <c r="B1594" t="s">
        <v>22</v>
      </c>
      <c r="C1594">
        <v>90173367</v>
      </c>
      <c r="D1594" t="s">
        <v>48</v>
      </c>
      <c r="E1594" t="s">
        <v>50</v>
      </c>
      <c r="F1594" s="4">
        <v>41339</v>
      </c>
      <c r="G1594" s="4">
        <v>41382</v>
      </c>
      <c r="H1594" t="s">
        <v>45</v>
      </c>
      <c r="I1594" t="s">
        <v>46</v>
      </c>
      <c r="J1594" t="s">
        <v>8</v>
      </c>
      <c r="K1594">
        <v>3</v>
      </c>
    </row>
    <row r="1595" spans="1:11" x14ac:dyDescent="0.25">
      <c r="A1595" t="s">
        <v>18</v>
      </c>
      <c r="B1595" t="s">
        <v>22</v>
      </c>
      <c r="C1595">
        <v>90173367</v>
      </c>
      <c r="D1595" t="s">
        <v>48</v>
      </c>
      <c r="E1595" t="s">
        <v>50</v>
      </c>
      <c r="F1595" s="4">
        <v>41339</v>
      </c>
      <c r="G1595" s="4">
        <v>41382</v>
      </c>
      <c r="H1595" t="s">
        <v>45</v>
      </c>
      <c r="I1595" t="s">
        <v>46</v>
      </c>
      <c r="J1595" t="s">
        <v>9</v>
      </c>
      <c r="K1595">
        <v>1</v>
      </c>
    </row>
    <row r="1596" spans="1:11" x14ac:dyDescent="0.25">
      <c r="A1596" t="s">
        <v>18</v>
      </c>
      <c r="B1596" t="s">
        <v>22</v>
      </c>
      <c r="C1596">
        <v>90173367</v>
      </c>
      <c r="D1596" t="s">
        <v>48</v>
      </c>
      <c r="E1596" t="s">
        <v>50</v>
      </c>
      <c r="F1596" s="4">
        <v>41339</v>
      </c>
      <c r="G1596" s="4">
        <v>41382</v>
      </c>
      <c r="H1596" t="s">
        <v>45</v>
      </c>
      <c r="I1596" t="s">
        <v>46</v>
      </c>
      <c r="J1596" t="s">
        <v>10</v>
      </c>
      <c r="K1596">
        <v>1</v>
      </c>
    </row>
    <row r="1597" spans="1:11" x14ac:dyDescent="0.25">
      <c r="A1597" t="s">
        <v>18</v>
      </c>
      <c r="B1597" t="s">
        <v>22</v>
      </c>
      <c r="C1597">
        <v>90173367</v>
      </c>
      <c r="D1597" t="s">
        <v>48</v>
      </c>
      <c r="E1597" t="s">
        <v>50</v>
      </c>
      <c r="F1597" s="4">
        <v>41339</v>
      </c>
      <c r="G1597" s="4">
        <v>41382</v>
      </c>
      <c r="H1597" t="s">
        <v>45</v>
      </c>
      <c r="I1597" t="s">
        <v>46</v>
      </c>
      <c r="J1597" t="s">
        <v>11</v>
      </c>
      <c r="K1597">
        <v>1</v>
      </c>
    </row>
    <row r="1598" spans="1:11" x14ac:dyDescent="0.25">
      <c r="A1598" t="s">
        <v>18</v>
      </c>
      <c r="B1598" t="s">
        <v>22</v>
      </c>
      <c r="C1598">
        <v>90173367</v>
      </c>
      <c r="D1598" t="s">
        <v>48</v>
      </c>
      <c r="E1598" t="s">
        <v>50</v>
      </c>
      <c r="F1598" s="4">
        <v>41339</v>
      </c>
      <c r="G1598" s="4">
        <v>41382</v>
      </c>
      <c r="H1598" t="s">
        <v>45</v>
      </c>
      <c r="I1598" t="s">
        <v>46</v>
      </c>
      <c r="J1598" t="s">
        <v>12</v>
      </c>
      <c r="K1598">
        <v>2</v>
      </c>
    </row>
    <row r="1599" spans="1:11" x14ac:dyDescent="0.25">
      <c r="A1599" t="s">
        <v>18</v>
      </c>
      <c r="B1599" t="s">
        <v>22</v>
      </c>
      <c r="C1599">
        <v>90173367</v>
      </c>
      <c r="D1599" t="s">
        <v>48</v>
      </c>
      <c r="E1599" t="s">
        <v>50</v>
      </c>
      <c r="F1599" s="4">
        <v>41339</v>
      </c>
      <c r="G1599" s="4">
        <v>41382</v>
      </c>
      <c r="H1599" t="s">
        <v>45</v>
      </c>
      <c r="I1599" t="s">
        <v>46</v>
      </c>
      <c r="J1599" t="s">
        <v>13</v>
      </c>
      <c r="K1599">
        <v>1</v>
      </c>
    </row>
    <row r="1600" spans="1:11" x14ac:dyDescent="0.25">
      <c r="A1600" t="s">
        <v>18</v>
      </c>
      <c r="B1600" t="s">
        <v>22</v>
      </c>
      <c r="C1600">
        <v>90173367</v>
      </c>
      <c r="D1600" t="s">
        <v>48</v>
      </c>
      <c r="E1600" t="s">
        <v>50</v>
      </c>
      <c r="F1600" s="4">
        <v>41339</v>
      </c>
      <c r="G1600" s="4">
        <v>41382</v>
      </c>
      <c r="H1600" t="s">
        <v>45</v>
      </c>
      <c r="I1600" t="s">
        <v>46</v>
      </c>
      <c r="J1600" t="s">
        <v>14</v>
      </c>
      <c r="K1600">
        <v>1</v>
      </c>
    </row>
    <row r="1601" spans="1:11" x14ac:dyDescent="0.25">
      <c r="A1601" t="s">
        <v>18</v>
      </c>
      <c r="B1601" t="s">
        <v>22</v>
      </c>
      <c r="C1601">
        <v>90173367</v>
      </c>
      <c r="D1601" t="s">
        <v>48</v>
      </c>
      <c r="E1601" t="s">
        <v>50</v>
      </c>
      <c r="F1601" s="4">
        <v>41339</v>
      </c>
      <c r="G1601" s="4">
        <v>41382</v>
      </c>
      <c r="H1601" t="s">
        <v>45</v>
      </c>
      <c r="I1601" t="s">
        <v>46</v>
      </c>
      <c r="J1601" t="s">
        <v>15</v>
      </c>
      <c r="K1601">
        <v>0</v>
      </c>
    </row>
    <row r="1602" spans="1:11" x14ac:dyDescent="0.25">
      <c r="A1602" t="s">
        <v>18</v>
      </c>
      <c r="B1602" t="s">
        <v>20</v>
      </c>
      <c r="C1602">
        <v>90173367</v>
      </c>
      <c r="D1602" t="s">
        <v>48</v>
      </c>
      <c r="E1602" t="s">
        <v>50</v>
      </c>
      <c r="F1602" s="4">
        <v>41339</v>
      </c>
      <c r="G1602" s="4">
        <v>41478</v>
      </c>
      <c r="H1602" t="s">
        <v>45</v>
      </c>
      <c r="I1602" t="s">
        <v>47</v>
      </c>
      <c r="J1602" t="s">
        <v>6</v>
      </c>
      <c r="K1602">
        <v>1</v>
      </c>
    </row>
    <row r="1603" spans="1:11" x14ac:dyDescent="0.25">
      <c r="A1603" t="s">
        <v>18</v>
      </c>
      <c r="B1603" t="s">
        <v>20</v>
      </c>
      <c r="C1603">
        <v>90173367</v>
      </c>
      <c r="D1603" t="s">
        <v>48</v>
      </c>
      <c r="E1603" t="s">
        <v>50</v>
      </c>
      <c r="F1603" s="4">
        <v>41339</v>
      </c>
      <c r="G1603" s="4">
        <v>41478</v>
      </c>
      <c r="H1603" t="s">
        <v>45</v>
      </c>
      <c r="I1603" t="s">
        <v>47</v>
      </c>
      <c r="J1603" t="s">
        <v>7</v>
      </c>
      <c r="K1603">
        <v>2</v>
      </c>
    </row>
    <row r="1604" spans="1:11" x14ac:dyDescent="0.25">
      <c r="A1604" t="s">
        <v>18</v>
      </c>
      <c r="B1604" t="s">
        <v>20</v>
      </c>
      <c r="C1604">
        <v>90173367</v>
      </c>
      <c r="D1604" t="s">
        <v>48</v>
      </c>
      <c r="E1604" t="s">
        <v>50</v>
      </c>
      <c r="F1604" s="4">
        <v>41339</v>
      </c>
      <c r="G1604" s="4">
        <v>41478</v>
      </c>
      <c r="H1604" t="s">
        <v>45</v>
      </c>
      <c r="I1604" t="s">
        <v>47</v>
      </c>
      <c r="J1604" t="s">
        <v>8</v>
      </c>
      <c r="K1604">
        <v>3</v>
      </c>
    </row>
    <row r="1605" spans="1:11" x14ac:dyDescent="0.25">
      <c r="A1605" t="s">
        <v>18</v>
      </c>
      <c r="B1605" t="s">
        <v>20</v>
      </c>
      <c r="C1605">
        <v>90173367</v>
      </c>
      <c r="D1605" t="s">
        <v>48</v>
      </c>
      <c r="E1605" t="s">
        <v>50</v>
      </c>
      <c r="F1605" s="4">
        <v>41339</v>
      </c>
      <c r="G1605" s="4">
        <v>41478</v>
      </c>
      <c r="H1605" t="s">
        <v>45</v>
      </c>
      <c r="I1605" t="s">
        <v>47</v>
      </c>
      <c r="J1605" t="s">
        <v>9</v>
      </c>
      <c r="K1605">
        <v>1</v>
      </c>
    </row>
    <row r="1606" spans="1:11" x14ac:dyDescent="0.25">
      <c r="A1606" t="s">
        <v>18</v>
      </c>
      <c r="B1606" t="s">
        <v>20</v>
      </c>
      <c r="C1606">
        <v>90173367</v>
      </c>
      <c r="D1606" t="s">
        <v>48</v>
      </c>
      <c r="E1606" t="s">
        <v>50</v>
      </c>
      <c r="F1606" s="4">
        <v>41339</v>
      </c>
      <c r="G1606" s="4">
        <v>41478</v>
      </c>
      <c r="H1606" t="s">
        <v>45</v>
      </c>
      <c r="I1606" t="s">
        <v>47</v>
      </c>
      <c r="J1606" t="s">
        <v>10</v>
      </c>
      <c r="K1606">
        <v>3</v>
      </c>
    </row>
    <row r="1607" spans="1:11" x14ac:dyDescent="0.25">
      <c r="A1607" t="s">
        <v>18</v>
      </c>
      <c r="B1607" t="s">
        <v>20</v>
      </c>
      <c r="C1607">
        <v>90173367</v>
      </c>
      <c r="D1607" t="s">
        <v>48</v>
      </c>
      <c r="E1607" t="s">
        <v>50</v>
      </c>
      <c r="F1607" s="4">
        <v>41339</v>
      </c>
      <c r="G1607" s="4">
        <v>41478</v>
      </c>
      <c r="H1607" t="s">
        <v>45</v>
      </c>
      <c r="I1607" t="s">
        <v>47</v>
      </c>
      <c r="J1607" t="s">
        <v>11</v>
      </c>
      <c r="K1607">
        <v>1</v>
      </c>
    </row>
    <row r="1608" spans="1:11" x14ac:dyDescent="0.25">
      <c r="A1608" t="s">
        <v>18</v>
      </c>
      <c r="B1608" t="s">
        <v>20</v>
      </c>
      <c r="C1608">
        <v>90173367</v>
      </c>
      <c r="D1608" t="s">
        <v>48</v>
      </c>
      <c r="E1608" t="s">
        <v>50</v>
      </c>
      <c r="F1608" s="4">
        <v>41339</v>
      </c>
      <c r="G1608" s="4">
        <v>41478</v>
      </c>
      <c r="H1608" t="s">
        <v>45</v>
      </c>
      <c r="I1608" t="s">
        <v>47</v>
      </c>
      <c r="J1608" t="s">
        <v>12</v>
      </c>
      <c r="K1608">
        <v>0</v>
      </c>
    </row>
    <row r="1609" spans="1:11" x14ac:dyDescent="0.25">
      <c r="A1609" t="s">
        <v>18</v>
      </c>
      <c r="B1609" t="s">
        <v>20</v>
      </c>
      <c r="C1609">
        <v>90173367</v>
      </c>
      <c r="D1609" t="s">
        <v>48</v>
      </c>
      <c r="E1609" t="s">
        <v>50</v>
      </c>
      <c r="F1609" s="4">
        <v>41339</v>
      </c>
      <c r="G1609" s="4">
        <v>41478</v>
      </c>
      <c r="H1609" t="s">
        <v>45</v>
      </c>
      <c r="I1609" t="s">
        <v>47</v>
      </c>
      <c r="J1609" t="s">
        <v>13</v>
      </c>
      <c r="K1609">
        <v>0</v>
      </c>
    </row>
    <row r="1610" spans="1:11" x14ac:dyDescent="0.25">
      <c r="A1610" t="s">
        <v>18</v>
      </c>
      <c r="B1610" t="s">
        <v>20</v>
      </c>
      <c r="C1610">
        <v>90173367</v>
      </c>
      <c r="D1610" t="s">
        <v>48</v>
      </c>
      <c r="E1610" t="s">
        <v>50</v>
      </c>
      <c r="F1610" s="4">
        <v>41339</v>
      </c>
      <c r="G1610" s="4">
        <v>41478</v>
      </c>
      <c r="H1610" t="s">
        <v>45</v>
      </c>
      <c r="I1610" t="s">
        <v>47</v>
      </c>
      <c r="J1610" t="s">
        <v>14</v>
      </c>
      <c r="K1610">
        <v>0</v>
      </c>
    </row>
    <row r="1611" spans="1:11" x14ac:dyDescent="0.25">
      <c r="A1611" t="s">
        <v>18</v>
      </c>
      <c r="B1611" t="s">
        <v>20</v>
      </c>
      <c r="C1611">
        <v>90173367</v>
      </c>
      <c r="D1611" t="s">
        <v>48</v>
      </c>
      <c r="E1611" t="s">
        <v>50</v>
      </c>
      <c r="F1611" s="4">
        <v>41339</v>
      </c>
      <c r="G1611" s="4">
        <v>41478</v>
      </c>
      <c r="H1611" t="s">
        <v>45</v>
      </c>
      <c r="I1611" t="s">
        <v>47</v>
      </c>
      <c r="J1611" t="s">
        <v>15</v>
      </c>
      <c r="K1611">
        <v>1</v>
      </c>
    </row>
    <row r="1612" spans="1:11" x14ac:dyDescent="0.25">
      <c r="A1612" t="s">
        <v>18</v>
      </c>
      <c r="B1612" t="s">
        <v>21</v>
      </c>
      <c r="C1612">
        <v>90173367</v>
      </c>
      <c r="D1612" t="s">
        <v>48</v>
      </c>
      <c r="E1612" t="s">
        <v>50</v>
      </c>
      <c r="F1612" s="4">
        <v>41339</v>
      </c>
      <c r="G1612" s="4">
        <v>41595</v>
      </c>
      <c r="H1612" t="s">
        <v>45</v>
      </c>
      <c r="I1612" t="s">
        <v>47</v>
      </c>
      <c r="J1612" t="s">
        <v>6</v>
      </c>
      <c r="K1612">
        <v>1</v>
      </c>
    </row>
    <row r="1613" spans="1:11" x14ac:dyDescent="0.25">
      <c r="A1613" t="s">
        <v>18</v>
      </c>
      <c r="B1613" t="s">
        <v>21</v>
      </c>
      <c r="C1613">
        <v>90173367</v>
      </c>
      <c r="D1613" t="s">
        <v>48</v>
      </c>
      <c r="E1613" t="s">
        <v>50</v>
      </c>
      <c r="F1613" s="4">
        <v>41339</v>
      </c>
      <c r="G1613" s="4">
        <v>41595</v>
      </c>
      <c r="H1613" t="s">
        <v>45</v>
      </c>
      <c r="I1613" t="s">
        <v>47</v>
      </c>
      <c r="J1613" t="s">
        <v>7</v>
      </c>
      <c r="K1613">
        <v>1</v>
      </c>
    </row>
    <row r="1614" spans="1:11" x14ac:dyDescent="0.25">
      <c r="A1614" t="s">
        <v>18</v>
      </c>
      <c r="B1614" t="s">
        <v>21</v>
      </c>
      <c r="C1614">
        <v>90173367</v>
      </c>
      <c r="D1614" t="s">
        <v>48</v>
      </c>
      <c r="E1614" t="s">
        <v>50</v>
      </c>
      <c r="F1614" s="4">
        <v>41339</v>
      </c>
      <c r="G1614" s="4">
        <v>41595</v>
      </c>
      <c r="H1614" t="s">
        <v>45</v>
      </c>
      <c r="I1614" t="s">
        <v>47</v>
      </c>
      <c r="J1614" t="s">
        <v>8</v>
      </c>
      <c r="K1614">
        <v>3</v>
      </c>
    </row>
    <row r="1615" spans="1:11" x14ac:dyDescent="0.25">
      <c r="A1615" t="s">
        <v>18</v>
      </c>
      <c r="B1615" t="s">
        <v>21</v>
      </c>
      <c r="C1615">
        <v>90173367</v>
      </c>
      <c r="D1615" t="s">
        <v>48</v>
      </c>
      <c r="E1615" t="s">
        <v>50</v>
      </c>
      <c r="F1615" s="4">
        <v>41339</v>
      </c>
      <c r="G1615" s="4">
        <v>41595</v>
      </c>
      <c r="H1615" t="s">
        <v>45</v>
      </c>
      <c r="I1615" t="s">
        <v>47</v>
      </c>
      <c r="J1615" t="s">
        <v>9</v>
      </c>
      <c r="K1615">
        <v>0</v>
      </c>
    </row>
    <row r="1616" spans="1:11" x14ac:dyDescent="0.25">
      <c r="A1616" t="s">
        <v>18</v>
      </c>
      <c r="B1616" t="s">
        <v>21</v>
      </c>
      <c r="C1616">
        <v>90173367</v>
      </c>
      <c r="D1616" t="s">
        <v>48</v>
      </c>
      <c r="E1616" t="s">
        <v>50</v>
      </c>
      <c r="F1616" s="4">
        <v>41339</v>
      </c>
      <c r="G1616" s="4">
        <v>41595</v>
      </c>
      <c r="H1616" t="s">
        <v>45</v>
      </c>
      <c r="I1616" t="s">
        <v>47</v>
      </c>
      <c r="J1616" t="s">
        <v>10</v>
      </c>
      <c r="K1616">
        <v>3</v>
      </c>
    </row>
    <row r="1617" spans="1:11" x14ac:dyDescent="0.25">
      <c r="A1617" t="s">
        <v>18</v>
      </c>
      <c r="B1617" t="s">
        <v>21</v>
      </c>
      <c r="C1617">
        <v>90173367</v>
      </c>
      <c r="D1617" t="s">
        <v>48</v>
      </c>
      <c r="E1617" t="s">
        <v>50</v>
      </c>
      <c r="F1617" s="4">
        <v>41339</v>
      </c>
      <c r="G1617" s="4">
        <v>41595</v>
      </c>
      <c r="H1617" t="s">
        <v>45</v>
      </c>
      <c r="I1617" t="s">
        <v>47</v>
      </c>
      <c r="J1617" t="s">
        <v>11</v>
      </c>
      <c r="K1617">
        <v>0</v>
      </c>
    </row>
    <row r="1618" spans="1:11" x14ac:dyDescent="0.25">
      <c r="A1618" t="s">
        <v>18</v>
      </c>
      <c r="B1618" t="s">
        <v>21</v>
      </c>
      <c r="C1618">
        <v>90173367</v>
      </c>
      <c r="D1618" t="s">
        <v>48</v>
      </c>
      <c r="E1618" t="s">
        <v>50</v>
      </c>
      <c r="F1618" s="4">
        <v>41339</v>
      </c>
      <c r="G1618" s="4">
        <v>41595</v>
      </c>
      <c r="H1618" t="s">
        <v>45</v>
      </c>
      <c r="I1618" t="s">
        <v>47</v>
      </c>
      <c r="J1618" t="s">
        <v>12</v>
      </c>
      <c r="K1618">
        <v>1</v>
      </c>
    </row>
    <row r="1619" spans="1:11" x14ac:dyDescent="0.25">
      <c r="A1619" t="s">
        <v>18</v>
      </c>
      <c r="B1619" t="s">
        <v>21</v>
      </c>
      <c r="C1619">
        <v>90173367</v>
      </c>
      <c r="D1619" t="s">
        <v>48</v>
      </c>
      <c r="E1619" t="s">
        <v>50</v>
      </c>
      <c r="F1619" s="4">
        <v>41339</v>
      </c>
      <c r="G1619" s="4">
        <v>41595</v>
      </c>
      <c r="H1619" t="s">
        <v>45</v>
      </c>
      <c r="I1619" t="s">
        <v>47</v>
      </c>
      <c r="J1619" t="s">
        <v>13</v>
      </c>
      <c r="K1619">
        <v>1</v>
      </c>
    </row>
    <row r="1620" spans="1:11" x14ac:dyDescent="0.25">
      <c r="A1620" t="s">
        <v>18</v>
      </c>
      <c r="B1620" t="s">
        <v>21</v>
      </c>
      <c r="C1620">
        <v>90173367</v>
      </c>
      <c r="D1620" t="s">
        <v>48</v>
      </c>
      <c r="E1620" t="s">
        <v>50</v>
      </c>
      <c r="F1620" s="4">
        <v>41339</v>
      </c>
      <c r="G1620" s="4">
        <v>41595</v>
      </c>
      <c r="H1620" t="s">
        <v>45</v>
      </c>
      <c r="I1620" t="s">
        <v>47</v>
      </c>
      <c r="J1620" t="s">
        <v>14</v>
      </c>
      <c r="K1620">
        <v>2</v>
      </c>
    </row>
    <row r="1621" spans="1:11" x14ac:dyDescent="0.25">
      <c r="A1621" t="s">
        <v>18</v>
      </c>
      <c r="B1621" t="s">
        <v>21</v>
      </c>
      <c r="C1621">
        <v>90173367</v>
      </c>
      <c r="D1621" t="s">
        <v>48</v>
      </c>
      <c r="E1621" t="s">
        <v>50</v>
      </c>
      <c r="F1621" s="4">
        <v>41339</v>
      </c>
      <c r="G1621" s="4">
        <v>41595</v>
      </c>
      <c r="H1621" t="s">
        <v>45</v>
      </c>
      <c r="I1621" t="s">
        <v>47</v>
      </c>
      <c r="J1621" t="s">
        <v>15</v>
      </c>
      <c r="K1621">
        <v>2</v>
      </c>
    </row>
    <row r="1622" spans="1:11" x14ac:dyDescent="0.25">
      <c r="A1622" t="s">
        <v>18</v>
      </c>
      <c r="B1622" t="s">
        <v>22</v>
      </c>
      <c r="C1622">
        <v>90173367</v>
      </c>
      <c r="D1622" t="s">
        <v>48</v>
      </c>
      <c r="E1622" t="s">
        <v>50</v>
      </c>
      <c r="F1622" s="4">
        <v>41339</v>
      </c>
      <c r="G1622" s="4">
        <v>41722</v>
      </c>
      <c r="H1622" t="s">
        <v>45</v>
      </c>
      <c r="I1622" t="s">
        <v>47</v>
      </c>
      <c r="J1622" t="s">
        <v>6</v>
      </c>
      <c r="K1622">
        <v>0</v>
      </c>
    </row>
    <row r="1623" spans="1:11" x14ac:dyDescent="0.25">
      <c r="A1623" t="s">
        <v>18</v>
      </c>
      <c r="B1623" t="s">
        <v>22</v>
      </c>
      <c r="C1623">
        <v>90173367</v>
      </c>
      <c r="D1623" t="s">
        <v>48</v>
      </c>
      <c r="E1623" t="s">
        <v>50</v>
      </c>
      <c r="F1623" s="4">
        <v>41339</v>
      </c>
      <c r="G1623" s="4">
        <v>41722</v>
      </c>
      <c r="H1623" t="s">
        <v>45</v>
      </c>
      <c r="I1623" t="s">
        <v>47</v>
      </c>
      <c r="J1623" t="s">
        <v>7</v>
      </c>
      <c r="K1623">
        <v>1</v>
      </c>
    </row>
    <row r="1624" spans="1:11" x14ac:dyDescent="0.25">
      <c r="A1624" t="s">
        <v>18</v>
      </c>
      <c r="B1624" t="s">
        <v>22</v>
      </c>
      <c r="C1624">
        <v>90173367</v>
      </c>
      <c r="D1624" t="s">
        <v>48</v>
      </c>
      <c r="E1624" t="s">
        <v>50</v>
      </c>
      <c r="F1624" s="4">
        <v>41339</v>
      </c>
      <c r="G1624" s="4">
        <v>41722</v>
      </c>
      <c r="H1624" t="s">
        <v>45</v>
      </c>
      <c r="I1624" t="s">
        <v>47</v>
      </c>
      <c r="J1624" t="s">
        <v>8</v>
      </c>
      <c r="K1624">
        <v>0</v>
      </c>
    </row>
    <row r="1625" spans="1:11" x14ac:dyDescent="0.25">
      <c r="A1625" t="s">
        <v>18</v>
      </c>
      <c r="B1625" t="s">
        <v>22</v>
      </c>
      <c r="C1625">
        <v>90173367</v>
      </c>
      <c r="D1625" t="s">
        <v>48</v>
      </c>
      <c r="E1625" t="s">
        <v>50</v>
      </c>
      <c r="F1625" s="4">
        <v>41339</v>
      </c>
      <c r="G1625" s="4">
        <v>41722</v>
      </c>
      <c r="H1625" t="s">
        <v>45</v>
      </c>
      <c r="I1625" t="s">
        <v>47</v>
      </c>
      <c r="J1625" t="s">
        <v>9</v>
      </c>
      <c r="K1625">
        <v>0</v>
      </c>
    </row>
    <row r="1626" spans="1:11" x14ac:dyDescent="0.25">
      <c r="A1626" t="s">
        <v>18</v>
      </c>
      <c r="B1626" t="s">
        <v>22</v>
      </c>
      <c r="C1626">
        <v>90173367</v>
      </c>
      <c r="D1626" t="s">
        <v>48</v>
      </c>
      <c r="E1626" t="s">
        <v>50</v>
      </c>
      <c r="F1626" s="4">
        <v>41339</v>
      </c>
      <c r="G1626" s="4">
        <v>41722</v>
      </c>
      <c r="H1626" t="s">
        <v>45</v>
      </c>
      <c r="I1626" t="s">
        <v>47</v>
      </c>
      <c r="J1626" t="s">
        <v>10</v>
      </c>
      <c r="K1626">
        <v>1</v>
      </c>
    </row>
    <row r="1627" spans="1:11" x14ac:dyDescent="0.25">
      <c r="A1627" t="s">
        <v>18</v>
      </c>
      <c r="B1627" t="s">
        <v>22</v>
      </c>
      <c r="C1627">
        <v>90173367</v>
      </c>
      <c r="D1627" t="s">
        <v>48</v>
      </c>
      <c r="E1627" t="s">
        <v>50</v>
      </c>
      <c r="F1627" s="4">
        <v>41339</v>
      </c>
      <c r="G1627" s="4">
        <v>41722</v>
      </c>
      <c r="H1627" t="s">
        <v>45</v>
      </c>
      <c r="I1627" t="s">
        <v>47</v>
      </c>
      <c r="J1627" t="s">
        <v>11</v>
      </c>
      <c r="K1627">
        <v>3</v>
      </c>
    </row>
    <row r="1628" spans="1:11" x14ac:dyDescent="0.25">
      <c r="A1628" t="s">
        <v>18</v>
      </c>
      <c r="B1628" t="s">
        <v>22</v>
      </c>
      <c r="C1628">
        <v>90173367</v>
      </c>
      <c r="D1628" t="s">
        <v>48</v>
      </c>
      <c r="E1628" t="s">
        <v>50</v>
      </c>
      <c r="F1628" s="4">
        <v>41339</v>
      </c>
      <c r="G1628" s="4">
        <v>41722</v>
      </c>
      <c r="H1628" t="s">
        <v>45</v>
      </c>
      <c r="I1628" t="s">
        <v>47</v>
      </c>
      <c r="J1628" t="s">
        <v>12</v>
      </c>
      <c r="K1628">
        <v>1</v>
      </c>
    </row>
    <row r="1629" spans="1:11" x14ac:dyDescent="0.25">
      <c r="A1629" t="s">
        <v>18</v>
      </c>
      <c r="B1629" t="s">
        <v>22</v>
      </c>
      <c r="C1629">
        <v>90173367</v>
      </c>
      <c r="D1629" t="s">
        <v>48</v>
      </c>
      <c r="E1629" t="s">
        <v>50</v>
      </c>
      <c r="F1629" s="4">
        <v>41339</v>
      </c>
      <c r="G1629" s="4">
        <v>41722</v>
      </c>
      <c r="H1629" t="s">
        <v>45</v>
      </c>
      <c r="I1629" t="s">
        <v>47</v>
      </c>
      <c r="J1629" t="s">
        <v>13</v>
      </c>
      <c r="K1629">
        <v>0</v>
      </c>
    </row>
    <row r="1630" spans="1:11" x14ac:dyDescent="0.25">
      <c r="A1630" t="s">
        <v>18</v>
      </c>
      <c r="B1630" t="s">
        <v>22</v>
      </c>
      <c r="C1630">
        <v>90173367</v>
      </c>
      <c r="D1630" t="s">
        <v>48</v>
      </c>
      <c r="E1630" t="s">
        <v>50</v>
      </c>
      <c r="F1630" s="4">
        <v>41339</v>
      </c>
      <c r="G1630" s="4">
        <v>41722</v>
      </c>
      <c r="H1630" t="s">
        <v>45</v>
      </c>
      <c r="I1630" t="s">
        <v>47</v>
      </c>
      <c r="J1630" t="s">
        <v>14</v>
      </c>
      <c r="K1630">
        <v>0</v>
      </c>
    </row>
    <row r="1631" spans="1:11" x14ac:dyDescent="0.25">
      <c r="A1631" t="s">
        <v>18</v>
      </c>
      <c r="B1631" t="s">
        <v>22</v>
      </c>
      <c r="C1631">
        <v>90173367</v>
      </c>
      <c r="D1631" t="s">
        <v>48</v>
      </c>
      <c r="E1631" t="s">
        <v>50</v>
      </c>
      <c r="F1631" s="4">
        <v>41339</v>
      </c>
      <c r="G1631" s="4">
        <v>41722</v>
      </c>
      <c r="H1631" t="s">
        <v>45</v>
      </c>
      <c r="I1631" t="s">
        <v>47</v>
      </c>
      <c r="J1631" t="s">
        <v>15</v>
      </c>
      <c r="K1631">
        <v>2</v>
      </c>
    </row>
    <row r="1632" spans="1:11" x14ac:dyDescent="0.25">
      <c r="A1632" t="s">
        <v>18</v>
      </c>
      <c r="B1632" t="s">
        <v>20</v>
      </c>
      <c r="C1632">
        <v>39672384</v>
      </c>
      <c r="D1632" t="s">
        <v>48</v>
      </c>
      <c r="E1632" t="s">
        <v>44</v>
      </c>
      <c r="F1632" s="4">
        <v>41363</v>
      </c>
      <c r="G1632" s="4">
        <v>41367</v>
      </c>
      <c r="H1632" t="s">
        <v>45</v>
      </c>
      <c r="I1632" t="s">
        <v>46</v>
      </c>
      <c r="J1632" t="s">
        <v>6</v>
      </c>
      <c r="K1632">
        <v>0</v>
      </c>
    </row>
    <row r="1633" spans="1:11" x14ac:dyDescent="0.25">
      <c r="A1633" t="s">
        <v>18</v>
      </c>
      <c r="B1633" t="s">
        <v>20</v>
      </c>
      <c r="C1633">
        <v>39672384</v>
      </c>
      <c r="D1633" t="s">
        <v>48</v>
      </c>
      <c r="E1633" t="s">
        <v>44</v>
      </c>
      <c r="F1633" s="4">
        <v>41363</v>
      </c>
      <c r="G1633" s="4">
        <v>41367</v>
      </c>
      <c r="H1633" t="s">
        <v>45</v>
      </c>
      <c r="I1633" t="s">
        <v>46</v>
      </c>
      <c r="J1633" t="s">
        <v>7</v>
      </c>
      <c r="K1633">
        <v>1</v>
      </c>
    </row>
    <row r="1634" spans="1:11" x14ac:dyDescent="0.25">
      <c r="A1634" t="s">
        <v>18</v>
      </c>
      <c r="B1634" t="s">
        <v>20</v>
      </c>
      <c r="C1634">
        <v>39672384</v>
      </c>
      <c r="D1634" t="s">
        <v>48</v>
      </c>
      <c r="E1634" t="s">
        <v>44</v>
      </c>
      <c r="F1634" s="4">
        <v>41363</v>
      </c>
      <c r="G1634" s="4">
        <v>41367</v>
      </c>
      <c r="H1634" t="s">
        <v>45</v>
      </c>
      <c r="I1634" t="s">
        <v>46</v>
      </c>
      <c r="J1634" t="s">
        <v>8</v>
      </c>
      <c r="K1634">
        <v>3</v>
      </c>
    </row>
    <row r="1635" spans="1:11" x14ac:dyDescent="0.25">
      <c r="A1635" t="s">
        <v>18</v>
      </c>
      <c r="B1635" t="s">
        <v>20</v>
      </c>
      <c r="C1635">
        <v>39672384</v>
      </c>
      <c r="D1635" t="s">
        <v>48</v>
      </c>
      <c r="E1635" t="s">
        <v>44</v>
      </c>
      <c r="F1635" s="4">
        <v>41363</v>
      </c>
      <c r="G1635" s="4">
        <v>41367</v>
      </c>
      <c r="H1635" t="s">
        <v>45</v>
      </c>
      <c r="I1635" t="s">
        <v>46</v>
      </c>
      <c r="J1635" t="s">
        <v>9</v>
      </c>
      <c r="K1635">
        <v>0</v>
      </c>
    </row>
    <row r="1636" spans="1:11" x14ac:dyDescent="0.25">
      <c r="A1636" t="s">
        <v>18</v>
      </c>
      <c r="B1636" t="s">
        <v>20</v>
      </c>
      <c r="C1636">
        <v>39672384</v>
      </c>
      <c r="D1636" t="s">
        <v>48</v>
      </c>
      <c r="E1636" t="s">
        <v>44</v>
      </c>
      <c r="F1636" s="4">
        <v>41363</v>
      </c>
      <c r="G1636" s="4">
        <v>41367</v>
      </c>
      <c r="H1636" t="s">
        <v>45</v>
      </c>
      <c r="I1636" t="s">
        <v>46</v>
      </c>
      <c r="J1636" t="s">
        <v>10</v>
      </c>
      <c r="K1636">
        <v>1</v>
      </c>
    </row>
    <row r="1637" spans="1:11" x14ac:dyDescent="0.25">
      <c r="A1637" t="s">
        <v>18</v>
      </c>
      <c r="B1637" t="s">
        <v>20</v>
      </c>
      <c r="C1637">
        <v>39672384</v>
      </c>
      <c r="D1637" t="s">
        <v>48</v>
      </c>
      <c r="E1637" t="s">
        <v>44</v>
      </c>
      <c r="F1637" s="4">
        <v>41363</v>
      </c>
      <c r="G1637" s="4">
        <v>41367</v>
      </c>
      <c r="H1637" t="s">
        <v>45</v>
      </c>
      <c r="I1637" t="s">
        <v>46</v>
      </c>
      <c r="J1637" t="s">
        <v>11</v>
      </c>
      <c r="K1637">
        <v>0</v>
      </c>
    </row>
    <row r="1638" spans="1:11" x14ac:dyDescent="0.25">
      <c r="A1638" t="s">
        <v>18</v>
      </c>
      <c r="B1638" t="s">
        <v>20</v>
      </c>
      <c r="C1638">
        <v>39672384</v>
      </c>
      <c r="D1638" t="s">
        <v>48</v>
      </c>
      <c r="E1638" t="s">
        <v>44</v>
      </c>
      <c r="F1638" s="4">
        <v>41363</v>
      </c>
      <c r="G1638" s="4">
        <v>41367</v>
      </c>
      <c r="H1638" t="s">
        <v>45</v>
      </c>
      <c r="I1638" t="s">
        <v>46</v>
      </c>
      <c r="J1638" t="s">
        <v>12</v>
      </c>
      <c r="K1638">
        <v>1</v>
      </c>
    </row>
    <row r="1639" spans="1:11" x14ac:dyDescent="0.25">
      <c r="A1639" t="s">
        <v>18</v>
      </c>
      <c r="B1639" t="s">
        <v>20</v>
      </c>
      <c r="C1639">
        <v>39672384</v>
      </c>
      <c r="D1639" t="s">
        <v>48</v>
      </c>
      <c r="E1639" t="s">
        <v>44</v>
      </c>
      <c r="F1639" s="4">
        <v>41363</v>
      </c>
      <c r="G1639" s="4">
        <v>41367</v>
      </c>
      <c r="H1639" t="s">
        <v>45</v>
      </c>
      <c r="I1639" t="s">
        <v>46</v>
      </c>
      <c r="J1639" t="s">
        <v>13</v>
      </c>
      <c r="K1639">
        <v>0</v>
      </c>
    </row>
    <row r="1640" spans="1:11" x14ac:dyDescent="0.25">
      <c r="A1640" t="s">
        <v>18</v>
      </c>
      <c r="B1640" t="s">
        <v>20</v>
      </c>
      <c r="C1640">
        <v>39672384</v>
      </c>
      <c r="D1640" t="s">
        <v>48</v>
      </c>
      <c r="E1640" t="s">
        <v>44</v>
      </c>
      <c r="F1640" s="4">
        <v>41363</v>
      </c>
      <c r="G1640" s="4">
        <v>41367</v>
      </c>
      <c r="H1640" t="s">
        <v>45</v>
      </c>
      <c r="I1640" t="s">
        <v>46</v>
      </c>
      <c r="J1640" t="s">
        <v>14</v>
      </c>
      <c r="K1640">
        <v>3</v>
      </c>
    </row>
    <row r="1641" spans="1:11" x14ac:dyDescent="0.25">
      <c r="A1641" t="s">
        <v>18</v>
      </c>
      <c r="B1641" t="s">
        <v>20</v>
      </c>
      <c r="C1641">
        <v>39672384</v>
      </c>
      <c r="D1641" t="s">
        <v>48</v>
      </c>
      <c r="E1641" t="s">
        <v>44</v>
      </c>
      <c r="F1641" s="4">
        <v>41363</v>
      </c>
      <c r="G1641" s="4">
        <v>41367</v>
      </c>
      <c r="H1641" t="s">
        <v>45</v>
      </c>
      <c r="I1641" t="s">
        <v>46</v>
      </c>
      <c r="J1641" t="s">
        <v>15</v>
      </c>
      <c r="K1641">
        <v>2</v>
      </c>
    </row>
    <row r="1642" spans="1:11" x14ac:dyDescent="0.25">
      <c r="A1642" t="s">
        <v>18</v>
      </c>
      <c r="B1642" t="s">
        <v>21</v>
      </c>
      <c r="C1642">
        <v>39672384</v>
      </c>
      <c r="D1642" t="s">
        <v>48</v>
      </c>
      <c r="E1642" t="s">
        <v>44</v>
      </c>
      <c r="F1642" s="4">
        <v>41363</v>
      </c>
      <c r="G1642" s="4">
        <v>41439</v>
      </c>
      <c r="H1642" t="s">
        <v>45</v>
      </c>
      <c r="I1642" t="s">
        <v>47</v>
      </c>
      <c r="J1642" t="s">
        <v>6</v>
      </c>
      <c r="K1642">
        <v>0</v>
      </c>
    </row>
    <row r="1643" spans="1:11" x14ac:dyDescent="0.25">
      <c r="A1643" t="s">
        <v>18</v>
      </c>
      <c r="B1643" t="s">
        <v>21</v>
      </c>
      <c r="C1643">
        <v>39672384</v>
      </c>
      <c r="D1643" t="s">
        <v>48</v>
      </c>
      <c r="E1643" t="s">
        <v>44</v>
      </c>
      <c r="F1643" s="4">
        <v>41363</v>
      </c>
      <c r="G1643" s="4">
        <v>41439</v>
      </c>
      <c r="H1643" t="s">
        <v>45</v>
      </c>
      <c r="I1643" t="s">
        <v>47</v>
      </c>
      <c r="J1643" t="s">
        <v>7</v>
      </c>
      <c r="K1643">
        <v>0</v>
      </c>
    </row>
    <row r="1644" spans="1:11" x14ac:dyDescent="0.25">
      <c r="A1644" t="s">
        <v>18</v>
      </c>
      <c r="B1644" t="s">
        <v>21</v>
      </c>
      <c r="C1644">
        <v>39672384</v>
      </c>
      <c r="D1644" t="s">
        <v>48</v>
      </c>
      <c r="E1644" t="s">
        <v>44</v>
      </c>
      <c r="F1644" s="4">
        <v>41363</v>
      </c>
      <c r="G1644" s="4">
        <v>41439</v>
      </c>
      <c r="H1644" t="s">
        <v>45</v>
      </c>
      <c r="I1644" t="s">
        <v>47</v>
      </c>
      <c r="J1644" t="s">
        <v>8</v>
      </c>
      <c r="K1644">
        <v>0</v>
      </c>
    </row>
    <row r="1645" spans="1:11" x14ac:dyDescent="0.25">
      <c r="A1645" t="s">
        <v>18</v>
      </c>
      <c r="B1645" t="s">
        <v>21</v>
      </c>
      <c r="C1645">
        <v>39672384</v>
      </c>
      <c r="D1645" t="s">
        <v>48</v>
      </c>
      <c r="E1645" t="s">
        <v>44</v>
      </c>
      <c r="F1645" s="4">
        <v>41363</v>
      </c>
      <c r="G1645" s="4">
        <v>41439</v>
      </c>
      <c r="H1645" t="s">
        <v>45</v>
      </c>
      <c r="I1645" t="s">
        <v>47</v>
      </c>
      <c r="J1645" t="s">
        <v>9</v>
      </c>
      <c r="K1645">
        <v>1</v>
      </c>
    </row>
    <row r="1646" spans="1:11" x14ac:dyDescent="0.25">
      <c r="A1646" t="s">
        <v>18</v>
      </c>
      <c r="B1646" t="s">
        <v>21</v>
      </c>
      <c r="C1646">
        <v>39672384</v>
      </c>
      <c r="D1646" t="s">
        <v>48</v>
      </c>
      <c r="E1646" t="s">
        <v>44</v>
      </c>
      <c r="F1646" s="4">
        <v>41363</v>
      </c>
      <c r="G1646" s="4">
        <v>41439</v>
      </c>
      <c r="H1646" t="s">
        <v>45</v>
      </c>
      <c r="I1646" t="s">
        <v>47</v>
      </c>
      <c r="J1646" t="s">
        <v>10</v>
      </c>
      <c r="K1646">
        <v>2</v>
      </c>
    </row>
    <row r="1647" spans="1:11" x14ac:dyDescent="0.25">
      <c r="A1647" t="s">
        <v>18</v>
      </c>
      <c r="B1647" t="s">
        <v>21</v>
      </c>
      <c r="C1647">
        <v>39672384</v>
      </c>
      <c r="D1647" t="s">
        <v>48</v>
      </c>
      <c r="E1647" t="s">
        <v>44</v>
      </c>
      <c r="F1647" s="4">
        <v>41363</v>
      </c>
      <c r="G1647" s="4">
        <v>41439</v>
      </c>
      <c r="H1647" t="s">
        <v>45</v>
      </c>
      <c r="I1647" t="s">
        <v>47</v>
      </c>
      <c r="J1647" t="s">
        <v>11</v>
      </c>
      <c r="K1647">
        <v>1</v>
      </c>
    </row>
    <row r="1648" spans="1:11" x14ac:dyDescent="0.25">
      <c r="A1648" t="s">
        <v>18</v>
      </c>
      <c r="B1648" t="s">
        <v>21</v>
      </c>
      <c r="C1648">
        <v>39672384</v>
      </c>
      <c r="D1648" t="s">
        <v>48</v>
      </c>
      <c r="E1648" t="s">
        <v>44</v>
      </c>
      <c r="F1648" s="4">
        <v>41363</v>
      </c>
      <c r="G1648" s="4">
        <v>41439</v>
      </c>
      <c r="H1648" t="s">
        <v>45</v>
      </c>
      <c r="I1648" t="s">
        <v>47</v>
      </c>
      <c r="J1648" t="s">
        <v>12</v>
      </c>
      <c r="K1648">
        <v>0</v>
      </c>
    </row>
    <row r="1649" spans="1:11" x14ac:dyDescent="0.25">
      <c r="A1649" t="s">
        <v>18</v>
      </c>
      <c r="B1649" t="s">
        <v>21</v>
      </c>
      <c r="C1649">
        <v>39672384</v>
      </c>
      <c r="D1649" t="s">
        <v>48</v>
      </c>
      <c r="E1649" t="s">
        <v>44</v>
      </c>
      <c r="F1649" s="4">
        <v>41363</v>
      </c>
      <c r="G1649" s="4">
        <v>41439</v>
      </c>
      <c r="H1649" t="s">
        <v>45</v>
      </c>
      <c r="I1649" t="s">
        <v>47</v>
      </c>
      <c r="J1649" t="s">
        <v>13</v>
      </c>
      <c r="K1649">
        <v>0</v>
      </c>
    </row>
    <row r="1650" spans="1:11" x14ac:dyDescent="0.25">
      <c r="A1650" t="s">
        <v>18</v>
      </c>
      <c r="B1650" t="s">
        <v>21</v>
      </c>
      <c r="C1650">
        <v>39672384</v>
      </c>
      <c r="D1650" t="s">
        <v>48</v>
      </c>
      <c r="E1650" t="s">
        <v>44</v>
      </c>
      <c r="F1650" s="4">
        <v>41363</v>
      </c>
      <c r="G1650" s="4">
        <v>41439</v>
      </c>
      <c r="H1650" t="s">
        <v>45</v>
      </c>
      <c r="I1650" t="s">
        <v>47</v>
      </c>
      <c r="J1650" t="s">
        <v>14</v>
      </c>
      <c r="K1650">
        <v>1</v>
      </c>
    </row>
    <row r="1651" spans="1:11" x14ac:dyDescent="0.25">
      <c r="A1651" t="s">
        <v>18</v>
      </c>
      <c r="B1651" t="s">
        <v>21</v>
      </c>
      <c r="C1651">
        <v>39672384</v>
      </c>
      <c r="D1651" t="s">
        <v>48</v>
      </c>
      <c r="E1651" t="s">
        <v>44</v>
      </c>
      <c r="F1651" s="4">
        <v>41363</v>
      </c>
      <c r="G1651" s="4">
        <v>41439</v>
      </c>
      <c r="H1651" t="s">
        <v>45</v>
      </c>
      <c r="I1651" t="s">
        <v>47</v>
      </c>
      <c r="J1651" t="s">
        <v>15</v>
      </c>
      <c r="K1651">
        <v>1</v>
      </c>
    </row>
    <row r="1652" spans="1:11" x14ac:dyDescent="0.25">
      <c r="A1652" t="s">
        <v>18</v>
      </c>
      <c r="B1652" t="s">
        <v>22</v>
      </c>
      <c r="C1652">
        <v>39672384</v>
      </c>
      <c r="D1652" t="s">
        <v>48</v>
      </c>
      <c r="E1652" t="s">
        <v>44</v>
      </c>
      <c r="F1652" s="4">
        <v>41363</v>
      </c>
      <c r="G1652" s="4">
        <v>41480</v>
      </c>
      <c r="H1652" t="s">
        <v>45</v>
      </c>
      <c r="I1652" t="s">
        <v>47</v>
      </c>
      <c r="J1652" t="s">
        <v>6</v>
      </c>
      <c r="K1652">
        <v>1</v>
      </c>
    </row>
    <row r="1653" spans="1:11" x14ac:dyDescent="0.25">
      <c r="A1653" t="s">
        <v>18</v>
      </c>
      <c r="B1653" t="s">
        <v>22</v>
      </c>
      <c r="C1653">
        <v>39672384</v>
      </c>
      <c r="D1653" t="s">
        <v>48</v>
      </c>
      <c r="E1653" t="s">
        <v>44</v>
      </c>
      <c r="F1653" s="4">
        <v>41363</v>
      </c>
      <c r="G1653" s="4">
        <v>41480</v>
      </c>
      <c r="H1653" t="s">
        <v>45</v>
      </c>
      <c r="I1653" t="s">
        <v>47</v>
      </c>
      <c r="J1653" t="s">
        <v>7</v>
      </c>
      <c r="K1653">
        <v>1</v>
      </c>
    </row>
    <row r="1654" spans="1:11" x14ac:dyDescent="0.25">
      <c r="A1654" t="s">
        <v>18</v>
      </c>
      <c r="B1654" t="s">
        <v>22</v>
      </c>
      <c r="C1654">
        <v>39672384</v>
      </c>
      <c r="D1654" t="s">
        <v>48</v>
      </c>
      <c r="E1654" t="s">
        <v>44</v>
      </c>
      <c r="F1654" s="4">
        <v>41363</v>
      </c>
      <c r="G1654" s="4">
        <v>41480</v>
      </c>
      <c r="H1654" t="s">
        <v>45</v>
      </c>
      <c r="I1654" t="s">
        <v>47</v>
      </c>
      <c r="J1654" t="s">
        <v>8</v>
      </c>
      <c r="K1654">
        <v>2</v>
      </c>
    </row>
    <row r="1655" spans="1:11" x14ac:dyDescent="0.25">
      <c r="A1655" t="s">
        <v>18</v>
      </c>
      <c r="B1655" t="s">
        <v>22</v>
      </c>
      <c r="C1655">
        <v>39672384</v>
      </c>
      <c r="D1655" t="s">
        <v>48</v>
      </c>
      <c r="E1655" t="s">
        <v>44</v>
      </c>
      <c r="F1655" s="4">
        <v>41363</v>
      </c>
      <c r="G1655" s="4">
        <v>41480</v>
      </c>
      <c r="H1655" t="s">
        <v>45</v>
      </c>
      <c r="I1655" t="s">
        <v>47</v>
      </c>
      <c r="J1655" t="s">
        <v>9</v>
      </c>
      <c r="K1655">
        <v>3</v>
      </c>
    </row>
    <row r="1656" spans="1:11" x14ac:dyDescent="0.25">
      <c r="A1656" t="s">
        <v>18</v>
      </c>
      <c r="B1656" t="s">
        <v>22</v>
      </c>
      <c r="C1656">
        <v>39672384</v>
      </c>
      <c r="D1656" t="s">
        <v>48</v>
      </c>
      <c r="E1656" t="s">
        <v>44</v>
      </c>
      <c r="F1656" s="4">
        <v>41363</v>
      </c>
      <c r="G1656" s="4">
        <v>41480</v>
      </c>
      <c r="H1656" t="s">
        <v>45</v>
      </c>
      <c r="I1656" t="s">
        <v>47</v>
      </c>
      <c r="J1656" t="s">
        <v>10</v>
      </c>
      <c r="K1656">
        <v>0</v>
      </c>
    </row>
    <row r="1657" spans="1:11" x14ac:dyDescent="0.25">
      <c r="A1657" t="s">
        <v>18</v>
      </c>
      <c r="B1657" t="s">
        <v>22</v>
      </c>
      <c r="C1657">
        <v>39672384</v>
      </c>
      <c r="D1657" t="s">
        <v>48</v>
      </c>
      <c r="E1657" t="s">
        <v>44</v>
      </c>
      <c r="F1657" s="4">
        <v>41363</v>
      </c>
      <c r="G1657" s="4">
        <v>41480</v>
      </c>
      <c r="H1657" t="s">
        <v>45</v>
      </c>
      <c r="I1657" t="s">
        <v>47</v>
      </c>
      <c r="J1657" t="s">
        <v>11</v>
      </c>
      <c r="K1657">
        <v>2</v>
      </c>
    </row>
    <row r="1658" spans="1:11" x14ac:dyDescent="0.25">
      <c r="A1658" t="s">
        <v>18</v>
      </c>
      <c r="B1658" t="s">
        <v>22</v>
      </c>
      <c r="C1658">
        <v>39672384</v>
      </c>
      <c r="D1658" t="s">
        <v>48</v>
      </c>
      <c r="E1658" t="s">
        <v>44</v>
      </c>
      <c r="F1658" s="4">
        <v>41363</v>
      </c>
      <c r="G1658" s="4">
        <v>41480</v>
      </c>
      <c r="H1658" t="s">
        <v>45</v>
      </c>
      <c r="I1658" t="s">
        <v>47</v>
      </c>
      <c r="J1658" t="s">
        <v>12</v>
      </c>
      <c r="K1658">
        <v>1</v>
      </c>
    </row>
    <row r="1659" spans="1:11" x14ac:dyDescent="0.25">
      <c r="A1659" t="s">
        <v>18</v>
      </c>
      <c r="B1659" t="s">
        <v>22</v>
      </c>
      <c r="C1659">
        <v>39672384</v>
      </c>
      <c r="D1659" t="s">
        <v>48</v>
      </c>
      <c r="E1659" t="s">
        <v>44</v>
      </c>
      <c r="F1659" s="4">
        <v>41363</v>
      </c>
      <c r="G1659" s="4">
        <v>41480</v>
      </c>
      <c r="H1659" t="s">
        <v>45</v>
      </c>
      <c r="I1659" t="s">
        <v>47</v>
      </c>
      <c r="J1659" t="s">
        <v>13</v>
      </c>
      <c r="K1659">
        <v>1</v>
      </c>
    </row>
    <row r="1660" spans="1:11" x14ac:dyDescent="0.25">
      <c r="A1660" t="s">
        <v>18</v>
      </c>
      <c r="B1660" t="s">
        <v>22</v>
      </c>
      <c r="C1660">
        <v>39672384</v>
      </c>
      <c r="D1660" t="s">
        <v>48</v>
      </c>
      <c r="E1660" t="s">
        <v>44</v>
      </c>
      <c r="F1660" s="4">
        <v>41363</v>
      </c>
      <c r="G1660" s="4">
        <v>41480</v>
      </c>
      <c r="H1660" t="s">
        <v>45</v>
      </c>
      <c r="I1660" t="s">
        <v>47</v>
      </c>
      <c r="J1660" t="s">
        <v>14</v>
      </c>
      <c r="K1660">
        <v>3</v>
      </c>
    </row>
    <row r="1661" spans="1:11" x14ac:dyDescent="0.25">
      <c r="A1661" t="s">
        <v>18</v>
      </c>
      <c r="B1661" t="s">
        <v>22</v>
      </c>
      <c r="C1661">
        <v>39672384</v>
      </c>
      <c r="D1661" t="s">
        <v>48</v>
      </c>
      <c r="E1661" t="s">
        <v>44</v>
      </c>
      <c r="F1661" s="4">
        <v>41363</v>
      </c>
      <c r="G1661" s="4">
        <v>41480</v>
      </c>
      <c r="H1661" t="s">
        <v>45</v>
      </c>
      <c r="I1661" t="s">
        <v>47</v>
      </c>
      <c r="J1661" t="s">
        <v>15</v>
      </c>
      <c r="K1661">
        <v>2</v>
      </c>
    </row>
    <row r="1662" spans="1:11" x14ac:dyDescent="0.25">
      <c r="A1662" t="s">
        <v>18</v>
      </c>
      <c r="B1662" t="s">
        <v>20</v>
      </c>
      <c r="C1662">
        <v>39672384</v>
      </c>
      <c r="D1662" t="s">
        <v>48</v>
      </c>
      <c r="E1662" t="s">
        <v>44</v>
      </c>
      <c r="F1662" s="4">
        <v>41363</v>
      </c>
      <c r="G1662" s="4">
        <v>41522</v>
      </c>
      <c r="H1662" t="s">
        <v>45</v>
      </c>
      <c r="I1662" t="s">
        <v>47</v>
      </c>
      <c r="J1662" t="s">
        <v>6</v>
      </c>
      <c r="K1662">
        <v>2</v>
      </c>
    </row>
    <row r="1663" spans="1:11" x14ac:dyDescent="0.25">
      <c r="A1663" t="s">
        <v>18</v>
      </c>
      <c r="B1663" t="s">
        <v>20</v>
      </c>
      <c r="C1663">
        <v>39672384</v>
      </c>
      <c r="D1663" t="s">
        <v>48</v>
      </c>
      <c r="E1663" t="s">
        <v>44</v>
      </c>
      <c r="F1663" s="4">
        <v>41363</v>
      </c>
      <c r="G1663" s="4">
        <v>41522</v>
      </c>
      <c r="H1663" t="s">
        <v>45</v>
      </c>
      <c r="I1663" t="s">
        <v>47</v>
      </c>
      <c r="J1663" t="s">
        <v>7</v>
      </c>
      <c r="K1663">
        <v>1</v>
      </c>
    </row>
    <row r="1664" spans="1:11" x14ac:dyDescent="0.25">
      <c r="A1664" t="s">
        <v>18</v>
      </c>
      <c r="B1664" t="s">
        <v>20</v>
      </c>
      <c r="C1664">
        <v>39672384</v>
      </c>
      <c r="D1664" t="s">
        <v>48</v>
      </c>
      <c r="E1664" t="s">
        <v>44</v>
      </c>
      <c r="F1664" s="4">
        <v>41363</v>
      </c>
      <c r="G1664" s="4">
        <v>41522</v>
      </c>
      <c r="H1664" t="s">
        <v>45</v>
      </c>
      <c r="I1664" t="s">
        <v>47</v>
      </c>
      <c r="J1664" t="s">
        <v>8</v>
      </c>
      <c r="K1664">
        <v>3</v>
      </c>
    </row>
    <row r="1665" spans="1:11" x14ac:dyDescent="0.25">
      <c r="A1665" t="s">
        <v>18</v>
      </c>
      <c r="B1665" t="s">
        <v>20</v>
      </c>
      <c r="C1665">
        <v>39672384</v>
      </c>
      <c r="D1665" t="s">
        <v>48</v>
      </c>
      <c r="E1665" t="s">
        <v>44</v>
      </c>
      <c r="F1665" s="4">
        <v>41363</v>
      </c>
      <c r="G1665" s="4">
        <v>41522</v>
      </c>
      <c r="H1665" t="s">
        <v>45</v>
      </c>
      <c r="I1665" t="s">
        <v>47</v>
      </c>
      <c r="J1665" t="s">
        <v>9</v>
      </c>
      <c r="K1665">
        <v>1</v>
      </c>
    </row>
    <row r="1666" spans="1:11" x14ac:dyDescent="0.25">
      <c r="A1666" t="s">
        <v>18</v>
      </c>
      <c r="B1666" t="s">
        <v>20</v>
      </c>
      <c r="C1666">
        <v>39672384</v>
      </c>
      <c r="D1666" t="s">
        <v>48</v>
      </c>
      <c r="E1666" t="s">
        <v>44</v>
      </c>
      <c r="F1666" s="4">
        <v>41363</v>
      </c>
      <c r="G1666" s="4">
        <v>41522</v>
      </c>
      <c r="H1666" t="s">
        <v>45</v>
      </c>
      <c r="I1666" t="s">
        <v>47</v>
      </c>
      <c r="J1666" t="s">
        <v>10</v>
      </c>
      <c r="K1666">
        <v>1</v>
      </c>
    </row>
    <row r="1667" spans="1:11" x14ac:dyDescent="0.25">
      <c r="A1667" t="s">
        <v>18</v>
      </c>
      <c r="B1667" t="s">
        <v>20</v>
      </c>
      <c r="C1667">
        <v>39672384</v>
      </c>
      <c r="D1667" t="s">
        <v>48</v>
      </c>
      <c r="E1667" t="s">
        <v>44</v>
      </c>
      <c r="F1667" s="4">
        <v>41363</v>
      </c>
      <c r="G1667" s="4">
        <v>41522</v>
      </c>
      <c r="H1667" t="s">
        <v>45</v>
      </c>
      <c r="I1667" t="s">
        <v>47</v>
      </c>
      <c r="J1667" t="s">
        <v>11</v>
      </c>
      <c r="K1667">
        <v>2</v>
      </c>
    </row>
    <row r="1668" spans="1:11" x14ac:dyDescent="0.25">
      <c r="A1668" t="s">
        <v>18</v>
      </c>
      <c r="B1668" t="s">
        <v>20</v>
      </c>
      <c r="C1668">
        <v>39672384</v>
      </c>
      <c r="D1668" t="s">
        <v>48</v>
      </c>
      <c r="E1668" t="s">
        <v>44</v>
      </c>
      <c r="F1668" s="4">
        <v>41363</v>
      </c>
      <c r="G1668" s="4">
        <v>41522</v>
      </c>
      <c r="H1668" t="s">
        <v>45</v>
      </c>
      <c r="I1668" t="s">
        <v>47</v>
      </c>
      <c r="J1668" t="s">
        <v>12</v>
      </c>
      <c r="K1668">
        <v>1</v>
      </c>
    </row>
    <row r="1669" spans="1:11" x14ac:dyDescent="0.25">
      <c r="A1669" t="s">
        <v>18</v>
      </c>
      <c r="B1669" t="s">
        <v>20</v>
      </c>
      <c r="C1669">
        <v>39672384</v>
      </c>
      <c r="D1669" t="s">
        <v>48</v>
      </c>
      <c r="E1669" t="s">
        <v>44</v>
      </c>
      <c r="F1669" s="4">
        <v>41363</v>
      </c>
      <c r="G1669" s="4">
        <v>41522</v>
      </c>
      <c r="H1669" t="s">
        <v>45</v>
      </c>
      <c r="I1669" t="s">
        <v>47</v>
      </c>
      <c r="J1669" t="s">
        <v>13</v>
      </c>
      <c r="K1669">
        <v>2</v>
      </c>
    </row>
    <row r="1670" spans="1:11" x14ac:dyDescent="0.25">
      <c r="A1670" t="s">
        <v>18</v>
      </c>
      <c r="B1670" t="s">
        <v>20</v>
      </c>
      <c r="C1670">
        <v>39672384</v>
      </c>
      <c r="D1670" t="s">
        <v>48</v>
      </c>
      <c r="E1670" t="s">
        <v>44</v>
      </c>
      <c r="F1670" s="4">
        <v>41363</v>
      </c>
      <c r="G1670" s="4">
        <v>41522</v>
      </c>
      <c r="H1670" t="s">
        <v>45</v>
      </c>
      <c r="I1670" t="s">
        <v>47</v>
      </c>
      <c r="J1670" t="s">
        <v>14</v>
      </c>
      <c r="K1670">
        <v>3</v>
      </c>
    </row>
    <row r="1671" spans="1:11" x14ac:dyDescent="0.25">
      <c r="A1671" t="s">
        <v>18</v>
      </c>
      <c r="B1671" t="s">
        <v>20</v>
      </c>
      <c r="C1671">
        <v>39672384</v>
      </c>
      <c r="D1671" t="s">
        <v>48</v>
      </c>
      <c r="E1671" t="s">
        <v>44</v>
      </c>
      <c r="F1671" s="4">
        <v>41363</v>
      </c>
      <c r="G1671" s="4">
        <v>41522</v>
      </c>
      <c r="H1671" t="s">
        <v>45</v>
      </c>
      <c r="I1671" t="s">
        <v>47</v>
      </c>
      <c r="J1671" t="s">
        <v>15</v>
      </c>
      <c r="K1671">
        <v>1</v>
      </c>
    </row>
    <row r="1672" spans="1:11" x14ac:dyDescent="0.25">
      <c r="A1672" t="s">
        <v>18</v>
      </c>
      <c r="B1672" t="s">
        <v>21</v>
      </c>
      <c r="C1672">
        <v>40598771</v>
      </c>
      <c r="D1672" t="s">
        <v>48</v>
      </c>
      <c r="E1672" t="s">
        <v>44</v>
      </c>
      <c r="F1672" s="4">
        <v>41765</v>
      </c>
      <c r="G1672" s="4">
        <v>41806</v>
      </c>
      <c r="H1672" t="s">
        <v>49</v>
      </c>
      <c r="I1672" t="s">
        <v>46</v>
      </c>
      <c r="J1672" t="s">
        <v>6</v>
      </c>
      <c r="K1672">
        <v>1</v>
      </c>
    </row>
    <row r="1673" spans="1:11" x14ac:dyDescent="0.25">
      <c r="A1673" t="s">
        <v>18</v>
      </c>
      <c r="B1673" t="s">
        <v>21</v>
      </c>
      <c r="C1673">
        <v>40598771</v>
      </c>
      <c r="D1673" t="s">
        <v>48</v>
      </c>
      <c r="E1673" t="s">
        <v>44</v>
      </c>
      <c r="F1673" s="4">
        <v>41765</v>
      </c>
      <c r="G1673" s="4">
        <v>41806</v>
      </c>
      <c r="H1673" t="s">
        <v>49</v>
      </c>
      <c r="I1673" t="s">
        <v>46</v>
      </c>
      <c r="J1673" t="s">
        <v>7</v>
      </c>
      <c r="K1673">
        <v>1</v>
      </c>
    </row>
    <row r="1674" spans="1:11" x14ac:dyDescent="0.25">
      <c r="A1674" t="s">
        <v>18</v>
      </c>
      <c r="B1674" t="s">
        <v>21</v>
      </c>
      <c r="C1674">
        <v>40598771</v>
      </c>
      <c r="D1674" t="s">
        <v>48</v>
      </c>
      <c r="E1674" t="s">
        <v>44</v>
      </c>
      <c r="F1674" s="4">
        <v>41765</v>
      </c>
      <c r="G1674" s="4">
        <v>41806</v>
      </c>
      <c r="H1674" t="s">
        <v>49</v>
      </c>
      <c r="I1674" t="s">
        <v>46</v>
      </c>
      <c r="J1674" t="s">
        <v>8</v>
      </c>
      <c r="K1674">
        <v>2</v>
      </c>
    </row>
    <row r="1675" spans="1:11" x14ac:dyDescent="0.25">
      <c r="A1675" t="s">
        <v>18</v>
      </c>
      <c r="B1675" t="s">
        <v>21</v>
      </c>
      <c r="C1675">
        <v>40598771</v>
      </c>
      <c r="D1675" t="s">
        <v>48</v>
      </c>
      <c r="E1675" t="s">
        <v>44</v>
      </c>
      <c r="F1675" s="4">
        <v>41765</v>
      </c>
      <c r="G1675" s="4">
        <v>41806</v>
      </c>
      <c r="H1675" t="s">
        <v>49</v>
      </c>
      <c r="I1675" t="s">
        <v>46</v>
      </c>
      <c r="J1675" t="s">
        <v>9</v>
      </c>
      <c r="K1675">
        <v>0</v>
      </c>
    </row>
    <row r="1676" spans="1:11" x14ac:dyDescent="0.25">
      <c r="A1676" t="s">
        <v>18</v>
      </c>
      <c r="B1676" t="s">
        <v>21</v>
      </c>
      <c r="C1676">
        <v>40598771</v>
      </c>
      <c r="D1676" t="s">
        <v>48</v>
      </c>
      <c r="E1676" t="s">
        <v>44</v>
      </c>
      <c r="F1676" s="4">
        <v>41765</v>
      </c>
      <c r="G1676" s="4">
        <v>41806</v>
      </c>
      <c r="H1676" t="s">
        <v>49</v>
      </c>
      <c r="I1676" t="s">
        <v>46</v>
      </c>
      <c r="J1676" t="s">
        <v>10</v>
      </c>
      <c r="K1676">
        <v>0</v>
      </c>
    </row>
    <row r="1677" spans="1:11" x14ac:dyDescent="0.25">
      <c r="A1677" t="s">
        <v>18</v>
      </c>
      <c r="B1677" t="s">
        <v>21</v>
      </c>
      <c r="C1677">
        <v>40598771</v>
      </c>
      <c r="D1677" t="s">
        <v>48</v>
      </c>
      <c r="E1677" t="s">
        <v>44</v>
      </c>
      <c r="F1677" s="4">
        <v>41765</v>
      </c>
      <c r="G1677" s="4">
        <v>41806</v>
      </c>
      <c r="H1677" t="s">
        <v>49</v>
      </c>
      <c r="I1677" t="s">
        <v>46</v>
      </c>
      <c r="J1677" t="s">
        <v>11</v>
      </c>
      <c r="K1677">
        <v>1</v>
      </c>
    </row>
    <row r="1678" spans="1:11" x14ac:dyDescent="0.25">
      <c r="A1678" t="s">
        <v>18</v>
      </c>
      <c r="B1678" t="s">
        <v>21</v>
      </c>
      <c r="C1678">
        <v>40598771</v>
      </c>
      <c r="D1678" t="s">
        <v>48</v>
      </c>
      <c r="E1678" t="s">
        <v>44</v>
      </c>
      <c r="F1678" s="4">
        <v>41765</v>
      </c>
      <c r="G1678" s="4">
        <v>41806</v>
      </c>
      <c r="H1678" t="s">
        <v>49</v>
      </c>
      <c r="I1678" t="s">
        <v>46</v>
      </c>
      <c r="J1678" t="s">
        <v>12</v>
      </c>
      <c r="K1678">
        <v>1</v>
      </c>
    </row>
    <row r="1679" spans="1:11" x14ac:dyDescent="0.25">
      <c r="A1679" t="s">
        <v>18</v>
      </c>
      <c r="B1679" t="s">
        <v>21</v>
      </c>
      <c r="C1679">
        <v>40598771</v>
      </c>
      <c r="D1679" t="s">
        <v>48</v>
      </c>
      <c r="E1679" t="s">
        <v>44</v>
      </c>
      <c r="F1679" s="4">
        <v>41765</v>
      </c>
      <c r="G1679" s="4">
        <v>41806</v>
      </c>
      <c r="H1679" t="s">
        <v>49</v>
      </c>
      <c r="I1679" t="s">
        <v>46</v>
      </c>
      <c r="J1679" t="s">
        <v>13</v>
      </c>
      <c r="K1679">
        <v>1</v>
      </c>
    </row>
    <row r="1680" spans="1:11" x14ac:dyDescent="0.25">
      <c r="A1680" t="s">
        <v>18</v>
      </c>
      <c r="B1680" t="s">
        <v>21</v>
      </c>
      <c r="C1680">
        <v>40598771</v>
      </c>
      <c r="D1680" t="s">
        <v>48</v>
      </c>
      <c r="E1680" t="s">
        <v>44</v>
      </c>
      <c r="F1680" s="4">
        <v>41765</v>
      </c>
      <c r="G1680" s="4">
        <v>41806</v>
      </c>
      <c r="H1680" t="s">
        <v>49</v>
      </c>
      <c r="I1680" t="s">
        <v>46</v>
      </c>
      <c r="J1680" t="s">
        <v>14</v>
      </c>
      <c r="K1680">
        <v>2</v>
      </c>
    </row>
    <row r="1681" spans="1:11" x14ac:dyDescent="0.25">
      <c r="A1681" t="s">
        <v>18</v>
      </c>
      <c r="B1681" t="s">
        <v>21</v>
      </c>
      <c r="C1681">
        <v>40598771</v>
      </c>
      <c r="D1681" t="s">
        <v>48</v>
      </c>
      <c r="E1681" t="s">
        <v>44</v>
      </c>
      <c r="F1681" s="4">
        <v>41765</v>
      </c>
      <c r="G1681" s="4">
        <v>41806</v>
      </c>
      <c r="H1681" t="s">
        <v>49</v>
      </c>
      <c r="I1681" t="s">
        <v>46</v>
      </c>
      <c r="J1681" t="s">
        <v>15</v>
      </c>
      <c r="K1681">
        <v>0</v>
      </c>
    </row>
    <row r="1682" spans="1:11" x14ac:dyDescent="0.25">
      <c r="A1682" t="s">
        <v>18</v>
      </c>
      <c r="B1682" t="s">
        <v>22</v>
      </c>
      <c r="C1682">
        <v>40598771</v>
      </c>
      <c r="D1682" t="s">
        <v>48</v>
      </c>
      <c r="E1682" t="s">
        <v>44</v>
      </c>
      <c r="F1682" s="4">
        <v>41765</v>
      </c>
      <c r="G1682" s="4">
        <v>41922</v>
      </c>
      <c r="H1682" t="s">
        <v>49</v>
      </c>
      <c r="I1682" t="s">
        <v>47</v>
      </c>
      <c r="J1682" t="s">
        <v>6</v>
      </c>
      <c r="K1682">
        <v>1</v>
      </c>
    </row>
    <row r="1683" spans="1:11" x14ac:dyDescent="0.25">
      <c r="A1683" t="s">
        <v>18</v>
      </c>
      <c r="B1683" t="s">
        <v>22</v>
      </c>
      <c r="C1683">
        <v>40598771</v>
      </c>
      <c r="D1683" t="s">
        <v>48</v>
      </c>
      <c r="E1683" t="s">
        <v>44</v>
      </c>
      <c r="F1683" s="4">
        <v>41765</v>
      </c>
      <c r="G1683" s="4">
        <v>41922</v>
      </c>
      <c r="H1683" t="s">
        <v>49</v>
      </c>
      <c r="I1683" t="s">
        <v>47</v>
      </c>
      <c r="J1683" t="s">
        <v>7</v>
      </c>
      <c r="K1683">
        <v>2</v>
      </c>
    </row>
    <row r="1684" spans="1:11" x14ac:dyDescent="0.25">
      <c r="A1684" t="s">
        <v>18</v>
      </c>
      <c r="B1684" t="s">
        <v>22</v>
      </c>
      <c r="C1684">
        <v>40598771</v>
      </c>
      <c r="D1684" t="s">
        <v>48</v>
      </c>
      <c r="E1684" t="s">
        <v>44</v>
      </c>
      <c r="F1684" s="4">
        <v>41765</v>
      </c>
      <c r="G1684" s="4">
        <v>41922</v>
      </c>
      <c r="H1684" t="s">
        <v>49</v>
      </c>
      <c r="I1684" t="s">
        <v>47</v>
      </c>
      <c r="J1684" t="s">
        <v>8</v>
      </c>
      <c r="K1684">
        <v>2</v>
      </c>
    </row>
    <row r="1685" spans="1:11" x14ac:dyDescent="0.25">
      <c r="A1685" t="s">
        <v>18</v>
      </c>
      <c r="B1685" t="s">
        <v>22</v>
      </c>
      <c r="C1685">
        <v>40598771</v>
      </c>
      <c r="D1685" t="s">
        <v>48</v>
      </c>
      <c r="E1685" t="s">
        <v>44</v>
      </c>
      <c r="F1685" s="4">
        <v>41765</v>
      </c>
      <c r="G1685" s="4">
        <v>41922</v>
      </c>
      <c r="H1685" t="s">
        <v>49</v>
      </c>
      <c r="I1685" t="s">
        <v>47</v>
      </c>
      <c r="J1685" t="s">
        <v>9</v>
      </c>
      <c r="K1685">
        <v>0</v>
      </c>
    </row>
    <row r="1686" spans="1:11" x14ac:dyDescent="0.25">
      <c r="A1686" t="s">
        <v>18</v>
      </c>
      <c r="B1686" t="s">
        <v>22</v>
      </c>
      <c r="C1686">
        <v>40598771</v>
      </c>
      <c r="D1686" t="s">
        <v>48</v>
      </c>
      <c r="E1686" t="s">
        <v>44</v>
      </c>
      <c r="F1686" s="4">
        <v>41765</v>
      </c>
      <c r="G1686" s="4">
        <v>41922</v>
      </c>
      <c r="H1686" t="s">
        <v>49</v>
      </c>
      <c r="I1686" t="s">
        <v>47</v>
      </c>
      <c r="J1686" t="s">
        <v>10</v>
      </c>
      <c r="K1686">
        <v>1</v>
      </c>
    </row>
    <row r="1687" spans="1:11" x14ac:dyDescent="0.25">
      <c r="A1687" t="s">
        <v>18</v>
      </c>
      <c r="B1687" t="s">
        <v>22</v>
      </c>
      <c r="C1687">
        <v>40598771</v>
      </c>
      <c r="D1687" t="s">
        <v>48</v>
      </c>
      <c r="E1687" t="s">
        <v>44</v>
      </c>
      <c r="F1687" s="4">
        <v>41765</v>
      </c>
      <c r="G1687" s="4">
        <v>41922</v>
      </c>
      <c r="H1687" t="s">
        <v>49</v>
      </c>
      <c r="I1687" t="s">
        <v>47</v>
      </c>
      <c r="J1687" t="s">
        <v>11</v>
      </c>
      <c r="K1687">
        <v>1</v>
      </c>
    </row>
    <row r="1688" spans="1:11" x14ac:dyDescent="0.25">
      <c r="A1688" t="s">
        <v>18</v>
      </c>
      <c r="B1688" t="s">
        <v>22</v>
      </c>
      <c r="C1688">
        <v>40598771</v>
      </c>
      <c r="D1688" t="s">
        <v>48</v>
      </c>
      <c r="E1688" t="s">
        <v>44</v>
      </c>
      <c r="F1688" s="4">
        <v>41765</v>
      </c>
      <c r="G1688" s="4">
        <v>41922</v>
      </c>
      <c r="H1688" t="s">
        <v>49</v>
      </c>
      <c r="I1688" t="s">
        <v>47</v>
      </c>
      <c r="J1688" t="s">
        <v>12</v>
      </c>
      <c r="K1688">
        <v>1</v>
      </c>
    </row>
    <row r="1689" spans="1:11" x14ac:dyDescent="0.25">
      <c r="A1689" t="s">
        <v>18</v>
      </c>
      <c r="B1689" t="s">
        <v>22</v>
      </c>
      <c r="C1689">
        <v>40598771</v>
      </c>
      <c r="D1689" t="s">
        <v>48</v>
      </c>
      <c r="E1689" t="s">
        <v>44</v>
      </c>
      <c r="F1689" s="4">
        <v>41765</v>
      </c>
      <c r="G1689" s="4">
        <v>41922</v>
      </c>
      <c r="H1689" t="s">
        <v>49</v>
      </c>
      <c r="I1689" t="s">
        <v>47</v>
      </c>
      <c r="J1689" t="s">
        <v>13</v>
      </c>
      <c r="K1689">
        <v>2</v>
      </c>
    </row>
    <row r="1690" spans="1:11" x14ac:dyDescent="0.25">
      <c r="A1690" t="s">
        <v>18</v>
      </c>
      <c r="B1690" t="s">
        <v>22</v>
      </c>
      <c r="C1690">
        <v>40598771</v>
      </c>
      <c r="D1690" t="s">
        <v>48</v>
      </c>
      <c r="E1690" t="s">
        <v>44</v>
      </c>
      <c r="F1690" s="4">
        <v>41765</v>
      </c>
      <c r="G1690" s="4">
        <v>41922</v>
      </c>
      <c r="H1690" t="s">
        <v>49</v>
      </c>
      <c r="I1690" t="s">
        <v>47</v>
      </c>
      <c r="J1690" t="s">
        <v>14</v>
      </c>
      <c r="K1690">
        <v>3</v>
      </c>
    </row>
    <row r="1691" spans="1:11" x14ac:dyDescent="0.25">
      <c r="A1691" t="s">
        <v>18</v>
      </c>
      <c r="B1691" t="s">
        <v>22</v>
      </c>
      <c r="C1691">
        <v>40598771</v>
      </c>
      <c r="D1691" t="s">
        <v>48</v>
      </c>
      <c r="E1691" t="s">
        <v>44</v>
      </c>
      <c r="F1691" s="4">
        <v>41765</v>
      </c>
      <c r="G1691" s="4">
        <v>41922</v>
      </c>
      <c r="H1691" t="s">
        <v>49</v>
      </c>
      <c r="I1691" t="s">
        <v>47</v>
      </c>
      <c r="J1691" t="s">
        <v>15</v>
      </c>
      <c r="K1691">
        <v>2</v>
      </c>
    </row>
    <row r="1692" spans="1:11" x14ac:dyDescent="0.25">
      <c r="A1692" t="s">
        <v>18</v>
      </c>
      <c r="B1692" t="s">
        <v>20</v>
      </c>
      <c r="C1692">
        <v>40598771</v>
      </c>
      <c r="D1692" t="s">
        <v>48</v>
      </c>
      <c r="E1692" t="s">
        <v>44</v>
      </c>
      <c r="F1692" s="4">
        <v>41765</v>
      </c>
      <c r="G1692" s="4">
        <v>42036</v>
      </c>
      <c r="H1692" t="s">
        <v>49</v>
      </c>
      <c r="I1692" t="s">
        <v>47</v>
      </c>
      <c r="J1692" t="s">
        <v>6</v>
      </c>
      <c r="K1692">
        <v>0</v>
      </c>
    </row>
    <row r="1693" spans="1:11" x14ac:dyDescent="0.25">
      <c r="A1693" t="s">
        <v>18</v>
      </c>
      <c r="B1693" t="s">
        <v>20</v>
      </c>
      <c r="C1693">
        <v>40598771</v>
      </c>
      <c r="D1693" t="s">
        <v>48</v>
      </c>
      <c r="E1693" t="s">
        <v>44</v>
      </c>
      <c r="F1693" s="4">
        <v>41765</v>
      </c>
      <c r="G1693" s="4">
        <v>42036</v>
      </c>
      <c r="H1693" t="s">
        <v>49</v>
      </c>
      <c r="I1693" t="s">
        <v>47</v>
      </c>
      <c r="J1693" t="s">
        <v>7</v>
      </c>
      <c r="K1693">
        <v>0</v>
      </c>
    </row>
    <row r="1694" spans="1:11" x14ac:dyDescent="0.25">
      <c r="A1694" t="s">
        <v>18</v>
      </c>
      <c r="B1694" t="s">
        <v>20</v>
      </c>
      <c r="C1694">
        <v>40598771</v>
      </c>
      <c r="D1694" t="s">
        <v>48</v>
      </c>
      <c r="E1694" t="s">
        <v>44</v>
      </c>
      <c r="F1694" s="4">
        <v>41765</v>
      </c>
      <c r="G1694" s="4">
        <v>42036</v>
      </c>
      <c r="H1694" t="s">
        <v>49</v>
      </c>
      <c r="I1694" t="s">
        <v>47</v>
      </c>
      <c r="J1694" t="s">
        <v>8</v>
      </c>
      <c r="K1694">
        <v>3</v>
      </c>
    </row>
    <row r="1695" spans="1:11" x14ac:dyDescent="0.25">
      <c r="A1695" t="s">
        <v>18</v>
      </c>
      <c r="B1695" t="s">
        <v>20</v>
      </c>
      <c r="C1695">
        <v>40598771</v>
      </c>
      <c r="D1695" t="s">
        <v>48</v>
      </c>
      <c r="E1695" t="s">
        <v>44</v>
      </c>
      <c r="F1695" s="4">
        <v>41765</v>
      </c>
      <c r="G1695" s="4">
        <v>42036</v>
      </c>
      <c r="H1695" t="s">
        <v>49</v>
      </c>
      <c r="I1695" t="s">
        <v>47</v>
      </c>
      <c r="J1695" t="s">
        <v>9</v>
      </c>
      <c r="K1695">
        <v>3</v>
      </c>
    </row>
    <row r="1696" spans="1:11" x14ac:dyDescent="0.25">
      <c r="A1696" t="s">
        <v>18</v>
      </c>
      <c r="B1696" t="s">
        <v>20</v>
      </c>
      <c r="C1696">
        <v>40598771</v>
      </c>
      <c r="D1696" t="s">
        <v>48</v>
      </c>
      <c r="E1696" t="s">
        <v>44</v>
      </c>
      <c r="F1696" s="4">
        <v>41765</v>
      </c>
      <c r="G1696" s="4">
        <v>42036</v>
      </c>
      <c r="H1696" t="s">
        <v>49</v>
      </c>
      <c r="I1696" t="s">
        <v>47</v>
      </c>
      <c r="J1696" t="s">
        <v>10</v>
      </c>
      <c r="K1696">
        <v>2</v>
      </c>
    </row>
    <row r="1697" spans="1:11" x14ac:dyDescent="0.25">
      <c r="A1697" t="s">
        <v>18</v>
      </c>
      <c r="B1697" t="s">
        <v>20</v>
      </c>
      <c r="C1697">
        <v>40598771</v>
      </c>
      <c r="D1697" t="s">
        <v>48</v>
      </c>
      <c r="E1697" t="s">
        <v>44</v>
      </c>
      <c r="F1697" s="4">
        <v>41765</v>
      </c>
      <c r="G1697" s="4">
        <v>42036</v>
      </c>
      <c r="H1697" t="s">
        <v>49</v>
      </c>
      <c r="I1697" t="s">
        <v>47</v>
      </c>
      <c r="J1697" t="s">
        <v>11</v>
      </c>
      <c r="K1697">
        <v>0</v>
      </c>
    </row>
    <row r="1698" spans="1:11" x14ac:dyDescent="0.25">
      <c r="A1698" t="s">
        <v>18</v>
      </c>
      <c r="B1698" t="s">
        <v>20</v>
      </c>
      <c r="C1698">
        <v>40598771</v>
      </c>
      <c r="D1698" t="s">
        <v>48</v>
      </c>
      <c r="E1698" t="s">
        <v>44</v>
      </c>
      <c r="F1698" s="4">
        <v>41765</v>
      </c>
      <c r="G1698" s="4">
        <v>42036</v>
      </c>
      <c r="H1698" t="s">
        <v>49</v>
      </c>
      <c r="I1698" t="s">
        <v>47</v>
      </c>
      <c r="J1698" t="s">
        <v>12</v>
      </c>
      <c r="K1698">
        <v>1</v>
      </c>
    </row>
    <row r="1699" spans="1:11" x14ac:dyDescent="0.25">
      <c r="A1699" t="s">
        <v>18</v>
      </c>
      <c r="B1699" t="s">
        <v>20</v>
      </c>
      <c r="C1699">
        <v>40598771</v>
      </c>
      <c r="D1699" t="s">
        <v>48</v>
      </c>
      <c r="E1699" t="s">
        <v>44</v>
      </c>
      <c r="F1699" s="4">
        <v>41765</v>
      </c>
      <c r="G1699" s="4">
        <v>42036</v>
      </c>
      <c r="H1699" t="s">
        <v>49</v>
      </c>
      <c r="I1699" t="s">
        <v>47</v>
      </c>
      <c r="J1699" t="s">
        <v>13</v>
      </c>
      <c r="K1699">
        <v>2</v>
      </c>
    </row>
    <row r="1700" spans="1:11" x14ac:dyDescent="0.25">
      <c r="A1700" t="s">
        <v>18</v>
      </c>
      <c r="B1700" t="s">
        <v>20</v>
      </c>
      <c r="C1700">
        <v>40598771</v>
      </c>
      <c r="D1700" t="s">
        <v>48</v>
      </c>
      <c r="E1700" t="s">
        <v>44</v>
      </c>
      <c r="F1700" s="4">
        <v>41765</v>
      </c>
      <c r="G1700" s="4">
        <v>42036</v>
      </c>
      <c r="H1700" t="s">
        <v>49</v>
      </c>
      <c r="I1700" t="s">
        <v>47</v>
      </c>
      <c r="J1700" t="s">
        <v>14</v>
      </c>
      <c r="K1700">
        <v>0</v>
      </c>
    </row>
    <row r="1701" spans="1:11" x14ac:dyDescent="0.25">
      <c r="A1701" t="s">
        <v>18</v>
      </c>
      <c r="B1701" t="s">
        <v>20</v>
      </c>
      <c r="C1701">
        <v>40598771</v>
      </c>
      <c r="D1701" t="s">
        <v>48</v>
      </c>
      <c r="E1701" t="s">
        <v>44</v>
      </c>
      <c r="F1701" s="4">
        <v>41765</v>
      </c>
      <c r="G1701" s="4">
        <v>42036</v>
      </c>
      <c r="H1701" t="s">
        <v>49</v>
      </c>
      <c r="I1701" t="s">
        <v>47</v>
      </c>
      <c r="J1701" t="s">
        <v>15</v>
      </c>
      <c r="K1701">
        <v>2</v>
      </c>
    </row>
    <row r="1702" spans="1:11" x14ac:dyDescent="0.25">
      <c r="A1702" t="s">
        <v>18</v>
      </c>
      <c r="B1702" t="s">
        <v>21</v>
      </c>
      <c r="C1702">
        <v>40598771</v>
      </c>
      <c r="D1702" t="s">
        <v>48</v>
      </c>
      <c r="E1702" t="s">
        <v>44</v>
      </c>
      <c r="F1702" s="4">
        <v>41765</v>
      </c>
      <c r="G1702" s="4">
        <v>42086</v>
      </c>
      <c r="H1702" t="s">
        <v>49</v>
      </c>
      <c r="I1702" t="s">
        <v>47</v>
      </c>
      <c r="J1702" t="s">
        <v>6</v>
      </c>
      <c r="K1702">
        <v>2</v>
      </c>
    </row>
    <row r="1703" spans="1:11" x14ac:dyDescent="0.25">
      <c r="A1703" t="s">
        <v>18</v>
      </c>
      <c r="B1703" t="s">
        <v>21</v>
      </c>
      <c r="C1703">
        <v>40598771</v>
      </c>
      <c r="D1703" t="s">
        <v>48</v>
      </c>
      <c r="E1703" t="s">
        <v>44</v>
      </c>
      <c r="F1703" s="4">
        <v>41765</v>
      </c>
      <c r="G1703" s="4">
        <v>42086</v>
      </c>
      <c r="H1703" t="s">
        <v>49</v>
      </c>
      <c r="I1703" t="s">
        <v>47</v>
      </c>
      <c r="J1703" t="s">
        <v>7</v>
      </c>
      <c r="K1703">
        <v>1</v>
      </c>
    </row>
    <row r="1704" spans="1:11" x14ac:dyDescent="0.25">
      <c r="A1704" t="s">
        <v>18</v>
      </c>
      <c r="B1704" t="s">
        <v>21</v>
      </c>
      <c r="C1704">
        <v>40598771</v>
      </c>
      <c r="D1704" t="s">
        <v>48</v>
      </c>
      <c r="E1704" t="s">
        <v>44</v>
      </c>
      <c r="F1704" s="4">
        <v>41765</v>
      </c>
      <c r="G1704" s="4">
        <v>42086</v>
      </c>
      <c r="H1704" t="s">
        <v>49</v>
      </c>
      <c r="I1704" t="s">
        <v>47</v>
      </c>
      <c r="J1704" t="s">
        <v>8</v>
      </c>
      <c r="K1704">
        <v>1</v>
      </c>
    </row>
    <row r="1705" spans="1:11" x14ac:dyDescent="0.25">
      <c r="A1705" t="s">
        <v>18</v>
      </c>
      <c r="B1705" t="s">
        <v>21</v>
      </c>
      <c r="C1705">
        <v>40598771</v>
      </c>
      <c r="D1705" t="s">
        <v>48</v>
      </c>
      <c r="E1705" t="s">
        <v>44</v>
      </c>
      <c r="F1705" s="4">
        <v>41765</v>
      </c>
      <c r="G1705" s="4">
        <v>42086</v>
      </c>
      <c r="H1705" t="s">
        <v>49</v>
      </c>
      <c r="I1705" t="s">
        <v>47</v>
      </c>
      <c r="J1705" t="s">
        <v>9</v>
      </c>
      <c r="K1705">
        <v>1</v>
      </c>
    </row>
    <row r="1706" spans="1:11" x14ac:dyDescent="0.25">
      <c r="A1706" t="s">
        <v>18</v>
      </c>
      <c r="B1706" t="s">
        <v>21</v>
      </c>
      <c r="C1706">
        <v>40598771</v>
      </c>
      <c r="D1706" t="s">
        <v>48</v>
      </c>
      <c r="E1706" t="s">
        <v>44</v>
      </c>
      <c r="F1706" s="4">
        <v>41765</v>
      </c>
      <c r="G1706" s="4">
        <v>42086</v>
      </c>
      <c r="H1706" t="s">
        <v>49</v>
      </c>
      <c r="I1706" t="s">
        <v>47</v>
      </c>
      <c r="J1706" t="s">
        <v>10</v>
      </c>
      <c r="K1706">
        <v>0</v>
      </c>
    </row>
    <row r="1707" spans="1:11" x14ac:dyDescent="0.25">
      <c r="A1707" t="s">
        <v>18</v>
      </c>
      <c r="B1707" t="s">
        <v>21</v>
      </c>
      <c r="C1707">
        <v>40598771</v>
      </c>
      <c r="D1707" t="s">
        <v>48</v>
      </c>
      <c r="E1707" t="s">
        <v>44</v>
      </c>
      <c r="F1707" s="4">
        <v>41765</v>
      </c>
      <c r="G1707" s="4">
        <v>42086</v>
      </c>
      <c r="H1707" t="s">
        <v>49</v>
      </c>
      <c r="I1707" t="s">
        <v>47</v>
      </c>
      <c r="J1707" t="s">
        <v>11</v>
      </c>
      <c r="K1707">
        <v>0</v>
      </c>
    </row>
    <row r="1708" spans="1:11" x14ac:dyDescent="0.25">
      <c r="A1708" t="s">
        <v>18</v>
      </c>
      <c r="B1708" t="s">
        <v>21</v>
      </c>
      <c r="C1708">
        <v>40598771</v>
      </c>
      <c r="D1708" t="s">
        <v>48</v>
      </c>
      <c r="E1708" t="s">
        <v>44</v>
      </c>
      <c r="F1708" s="4">
        <v>41765</v>
      </c>
      <c r="G1708" s="4">
        <v>42086</v>
      </c>
      <c r="H1708" t="s">
        <v>49</v>
      </c>
      <c r="I1708" t="s">
        <v>47</v>
      </c>
      <c r="J1708" t="s">
        <v>12</v>
      </c>
      <c r="K1708">
        <v>0</v>
      </c>
    </row>
    <row r="1709" spans="1:11" x14ac:dyDescent="0.25">
      <c r="A1709" t="s">
        <v>18</v>
      </c>
      <c r="B1709" t="s">
        <v>21</v>
      </c>
      <c r="C1709">
        <v>40598771</v>
      </c>
      <c r="D1709" t="s">
        <v>48</v>
      </c>
      <c r="E1709" t="s">
        <v>44</v>
      </c>
      <c r="F1709" s="4">
        <v>41765</v>
      </c>
      <c r="G1709" s="4">
        <v>42086</v>
      </c>
      <c r="H1709" t="s">
        <v>49</v>
      </c>
      <c r="I1709" t="s">
        <v>47</v>
      </c>
      <c r="J1709" t="s">
        <v>13</v>
      </c>
      <c r="K1709">
        <v>1</v>
      </c>
    </row>
    <row r="1710" spans="1:11" x14ac:dyDescent="0.25">
      <c r="A1710" t="s">
        <v>18</v>
      </c>
      <c r="B1710" t="s">
        <v>21</v>
      </c>
      <c r="C1710">
        <v>40598771</v>
      </c>
      <c r="D1710" t="s">
        <v>48</v>
      </c>
      <c r="E1710" t="s">
        <v>44</v>
      </c>
      <c r="F1710" s="4">
        <v>41765</v>
      </c>
      <c r="G1710" s="4">
        <v>42086</v>
      </c>
      <c r="H1710" t="s">
        <v>49</v>
      </c>
      <c r="I1710" t="s">
        <v>47</v>
      </c>
      <c r="J1710" t="s">
        <v>14</v>
      </c>
      <c r="K1710">
        <v>0</v>
      </c>
    </row>
    <row r="1711" spans="1:11" x14ac:dyDescent="0.25">
      <c r="A1711" t="s">
        <v>18</v>
      </c>
      <c r="B1711" t="s">
        <v>21</v>
      </c>
      <c r="C1711">
        <v>40598771</v>
      </c>
      <c r="D1711" t="s">
        <v>48</v>
      </c>
      <c r="E1711" t="s">
        <v>44</v>
      </c>
      <c r="F1711" s="4">
        <v>41765</v>
      </c>
      <c r="G1711" s="4">
        <v>42086</v>
      </c>
      <c r="H1711" t="s">
        <v>49</v>
      </c>
      <c r="I1711" t="s">
        <v>47</v>
      </c>
      <c r="J1711" t="s">
        <v>15</v>
      </c>
      <c r="K1711">
        <v>1</v>
      </c>
    </row>
    <row r="1712" spans="1:11" x14ac:dyDescent="0.25">
      <c r="A1712" t="s">
        <v>18</v>
      </c>
      <c r="B1712" t="s">
        <v>22</v>
      </c>
      <c r="C1712">
        <v>77221938</v>
      </c>
      <c r="D1712" t="s">
        <v>48</v>
      </c>
      <c r="E1712" t="s">
        <v>51</v>
      </c>
      <c r="F1712" s="4">
        <v>41727</v>
      </c>
      <c r="G1712" s="4">
        <v>41771</v>
      </c>
      <c r="H1712" t="s">
        <v>45</v>
      </c>
      <c r="I1712" t="s">
        <v>46</v>
      </c>
      <c r="J1712" t="s">
        <v>6</v>
      </c>
      <c r="K1712">
        <v>1</v>
      </c>
    </row>
    <row r="1713" spans="1:11" x14ac:dyDescent="0.25">
      <c r="A1713" t="s">
        <v>18</v>
      </c>
      <c r="B1713" t="s">
        <v>22</v>
      </c>
      <c r="C1713">
        <v>77221938</v>
      </c>
      <c r="D1713" t="s">
        <v>48</v>
      </c>
      <c r="E1713" t="s">
        <v>51</v>
      </c>
      <c r="F1713" s="4">
        <v>41727</v>
      </c>
      <c r="G1713" s="4">
        <v>41771</v>
      </c>
      <c r="H1713" t="s">
        <v>45</v>
      </c>
      <c r="I1713" t="s">
        <v>46</v>
      </c>
      <c r="J1713" t="s">
        <v>7</v>
      </c>
      <c r="K1713">
        <v>2</v>
      </c>
    </row>
    <row r="1714" spans="1:11" x14ac:dyDescent="0.25">
      <c r="A1714" t="s">
        <v>18</v>
      </c>
      <c r="B1714" t="s">
        <v>22</v>
      </c>
      <c r="C1714">
        <v>77221938</v>
      </c>
      <c r="D1714" t="s">
        <v>48</v>
      </c>
      <c r="E1714" t="s">
        <v>51</v>
      </c>
      <c r="F1714" s="4">
        <v>41727</v>
      </c>
      <c r="G1714" s="4">
        <v>41771</v>
      </c>
      <c r="H1714" t="s">
        <v>45</v>
      </c>
      <c r="I1714" t="s">
        <v>46</v>
      </c>
      <c r="J1714" t="s">
        <v>8</v>
      </c>
      <c r="K1714">
        <v>3</v>
      </c>
    </row>
    <row r="1715" spans="1:11" x14ac:dyDescent="0.25">
      <c r="A1715" t="s">
        <v>18</v>
      </c>
      <c r="B1715" t="s">
        <v>22</v>
      </c>
      <c r="C1715">
        <v>77221938</v>
      </c>
      <c r="D1715" t="s">
        <v>48</v>
      </c>
      <c r="E1715" t="s">
        <v>51</v>
      </c>
      <c r="F1715" s="4">
        <v>41727</v>
      </c>
      <c r="G1715" s="4">
        <v>41771</v>
      </c>
      <c r="H1715" t="s">
        <v>45</v>
      </c>
      <c r="I1715" t="s">
        <v>46</v>
      </c>
      <c r="J1715" t="s">
        <v>9</v>
      </c>
      <c r="K1715">
        <v>1</v>
      </c>
    </row>
    <row r="1716" spans="1:11" x14ac:dyDescent="0.25">
      <c r="A1716" t="s">
        <v>18</v>
      </c>
      <c r="B1716" t="s">
        <v>22</v>
      </c>
      <c r="C1716">
        <v>77221938</v>
      </c>
      <c r="D1716" t="s">
        <v>48</v>
      </c>
      <c r="E1716" t="s">
        <v>51</v>
      </c>
      <c r="F1716" s="4">
        <v>41727</v>
      </c>
      <c r="G1716" s="4">
        <v>41771</v>
      </c>
      <c r="H1716" t="s">
        <v>45</v>
      </c>
      <c r="I1716" t="s">
        <v>46</v>
      </c>
      <c r="J1716" t="s">
        <v>10</v>
      </c>
      <c r="K1716">
        <v>1</v>
      </c>
    </row>
    <row r="1717" spans="1:11" x14ac:dyDescent="0.25">
      <c r="A1717" t="s">
        <v>18</v>
      </c>
      <c r="B1717" t="s">
        <v>22</v>
      </c>
      <c r="C1717">
        <v>77221938</v>
      </c>
      <c r="D1717" t="s">
        <v>48</v>
      </c>
      <c r="E1717" t="s">
        <v>51</v>
      </c>
      <c r="F1717" s="4">
        <v>41727</v>
      </c>
      <c r="G1717" s="4">
        <v>41771</v>
      </c>
      <c r="H1717" t="s">
        <v>45</v>
      </c>
      <c r="I1717" t="s">
        <v>46</v>
      </c>
      <c r="J1717" t="s">
        <v>11</v>
      </c>
      <c r="K1717">
        <v>1</v>
      </c>
    </row>
    <row r="1718" spans="1:11" x14ac:dyDescent="0.25">
      <c r="A1718" t="s">
        <v>18</v>
      </c>
      <c r="B1718" t="s">
        <v>22</v>
      </c>
      <c r="C1718">
        <v>77221938</v>
      </c>
      <c r="D1718" t="s">
        <v>48</v>
      </c>
      <c r="E1718" t="s">
        <v>51</v>
      </c>
      <c r="F1718" s="4">
        <v>41727</v>
      </c>
      <c r="G1718" s="4">
        <v>41771</v>
      </c>
      <c r="H1718" t="s">
        <v>45</v>
      </c>
      <c r="I1718" t="s">
        <v>46</v>
      </c>
      <c r="J1718" t="s">
        <v>12</v>
      </c>
      <c r="K1718">
        <v>1</v>
      </c>
    </row>
    <row r="1719" spans="1:11" x14ac:dyDescent="0.25">
      <c r="A1719" t="s">
        <v>18</v>
      </c>
      <c r="B1719" t="s">
        <v>22</v>
      </c>
      <c r="C1719">
        <v>77221938</v>
      </c>
      <c r="D1719" t="s">
        <v>48</v>
      </c>
      <c r="E1719" t="s">
        <v>51</v>
      </c>
      <c r="F1719" s="4">
        <v>41727</v>
      </c>
      <c r="G1719" s="4">
        <v>41771</v>
      </c>
      <c r="H1719" t="s">
        <v>45</v>
      </c>
      <c r="I1719" t="s">
        <v>46</v>
      </c>
      <c r="J1719" t="s">
        <v>13</v>
      </c>
      <c r="K1719">
        <v>1</v>
      </c>
    </row>
    <row r="1720" spans="1:11" x14ac:dyDescent="0.25">
      <c r="A1720" t="s">
        <v>18</v>
      </c>
      <c r="B1720" t="s">
        <v>22</v>
      </c>
      <c r="C1720">
        <v>77221938</v>
      </c>
      <c r="D1720" t="s">
        <v>48</v>
      </c>
      <c r="E1720" t="s">
        <v>51</v>
      </c>
      <c r="F1720" s="4">
        <v>41727</v>
      </c>
      <c r="G1720" s="4">
        <v>41771</v>
      </c>
      <c r="H1720" t="s">
        <v>45</v>
      </c>
      <c r="I1720" t="s">
        <v>46</v>
      </c>
      <c r="J1720" t="s">
        <v>14</v>
      </c>
      <c r="K1720">
        <v>1</v>
      </c>
    </row>
    <row r="1721" spans="1:11" x14ac:dyDescent="0.25">
      <c r="A1721" t="s">
        <v>18</v>
      </c>
      <c r="B1721" t="s">
        <v>22</v>
      </c>
      <c r="C1721">
        <v>77221938</v>
      </c>
      <c r="D1721" t="s">
        <v>48</v>
      </c>
      <c r="E1721" t="s">
        <v>51</v>
      </c>
      <c r="F1721" s="4">
        <v>41727</v>
      </c>
      <c r="G1721" s="4">
        <v>41771</v>
      </c>
      <c r="H1721" t="s">
        <v>45</v>
      </c>
      <c r="I1721" t="s">
        <v>46</v>
      </c>
      <c r="J1721" t="s">
        <v>15</v>
      </c>
      <c r="K1721">
        <v>1</v>
      </c>
    </row>
    <row r="1722" spans="1:11" x14ac:dyDescent="0.25">
      <c r="A1722" t="s">
        <v>18</v>
      </c>
      <c r="B1722" t="s">
        <v>20</v>
      </c>
      <c r="C1722">
        <v>51301359</v>
      </c>
      <c r="D1722" t="s">
        <v>48</v>
      </c>
      <c r="E1722" t="s">
        <v>44</v>
      </c>
      <c r="F1722" s="4">
        <v>41336</v>
      </c>
      <c r="G1722" s="4">
        <v>41374</v>
      </c>
      <c r="H1722" t="s">
        <v>45</v>
      </c>
      <c r="I1722" t="s">
        <v>46</v>
      </c>
      <c r="J1722" t="s">
        <v>6</v>
      </c>
      <c r="K1722">
        <v>3</v>
      </c>
    </row>
    <row r="1723" spans="1:11" x14ac:dyDescent="0.25">
      <c r="A1723" t="s">
        <v>18</v>
      </c>
      <c r="B1723" t="s">
        <v>20</v>
      </c>
      <c r="C1723">
        <v>51301359</v>
      </c>
      <c r="D1723" t="s">
        <v>48</v>
      </c>
      <c r="E1723" t="s">
        <v>44</v>
      </c>
      <c r="F1723" s="4">
        <v>41336</v>
      </c>
      <c r="G1723" s="4">
        <v>41374</v>
      </c>
      <c r="H1723" t="s">
        <v>45</v>
      </c>
      <c r="I1723" t="s">
        <v>46</v>
      </c>
      <c r="J1723" t="s">
        <v>7</v>
      </c>
      <c r="K1723">
        <v>0</v>
      </c>
    </row>
    <row r="1724" spans="1:11" x14ac:dyDescent="0.25">
      <c r="A1724" t="s">
        <v>18</v>
      </c>
      <c r="B1724" t="s">
        <v>20</v>
      </c>
      <c r="C1724">
        <v>51301359</v>
      </c>
      <c r="D1724" t="s">
        <v>48</v>
      </c>
      <c r="E1724" t="s">
        <v>44</v>
      </c>
      <c r="F1724" s="4">
        <v>41336</v>
      </c>
      <c r="G1724" s="4">
        <v>41374</v>
      </c>
      <c r="H1724" t="s">
        <v>45</v>
      </c>
      <c r="I1724" t="s">
        <v>46</v>
      </c>
      <c r="J1724" t="s">
        <v>8</v>
      </c>
      <c r="K1724">
        <v>3</v>
      </c>
    </row>
    <row r="1725" spans="1:11" x14ac:dyDescent="0.25">
      <c r="A1725" t="s">
        <v>18</v>
      </c>
      <c r="B1725" t="s">
        <v>20</v>
      </c>
      <c r="C1725">
        <v>51301359</v>
      </c>
      <c r="D1725" t="s">
        <v>48</v>
      </c>
      <c r="E1725" t="s">
        <v>44</v>
      </c>
      <c r="F1725" s="4">
        <v>41336</v>
      </c>
      <c r="G1725" s="4">
        <v>41374</v>
      </c>
      <c r="H1725" t="s">
        <v>45</v>
      </c>
      <c r="I1725" t="s">
        <v>46</v>
      </c>
      <c r="J1725" t="s">
        <v>9</v>
      </c>
      <c r="K1725">
        <v>3</v>
      </c>
    </row>
    <row r="1726" spans="1:11" x14ac:dyDescent="0.25">
      <c r="A1726" t="s">
        <v>18</v>
      </c>
      <c r="B1726" t="s">
        <v>20</v>
      </c>
      <c r="C1726">
        <v>51301359</v>
      </c>
      <c r="D1726" t="s">
        <v>48</v>
      </c>
      <c r="E1726" t="s">
        <v>44</v>
      </c>
      <c r="F1726" s="4">
        <v>41336</v>
      </c>
      <c r="G1726" s="4">
        <v>41374</v>
      </c>
      <c r="H1726" t="s">
        <v>45</v>
      </c>
      <c r="I1726" t="s">
        <v>46</v>
      </c>
      <c r="J1726" t="s">
        <v>10</v>
      </c>
      <c r="K1726">
        <v>3</v>
      </c>
    </row>
    <row r="1727" spans="1:11" x14ac:dyDescent="0.25">
      <c r="A1727" t="s">
        <v>18</v>
      </c>
      <c r="B1727" t="s">
        <v>20</v>
      </c>
      <c r="C1727">
        <v>51301359</v>
      </c>
      <c r="D1727" t="s">
        <v>48</v>
      </c>
      <c r="E1727" t="s">
        <v>44</v>
      </c>
      <c r="F1727" s="4">
        <v>41336</v>
      </c>
      <c r="G1727" s="4">
        <v>41374</v>
      </c>
      <c r="H1727" t="s">
        <v>45</v>
      </c>
      <c r="I1727" t="s">
        <v>46</v>
      </c>
      <c r="J1727" t="s">
        <v>11</v>
      </c>
      <c r="K1727">
        <v>1</v>
      </c>
    </row>
    <row r="1728" spans="1:11" x14ac:dyDescent="0.25">
      <c r="A1728" t="s">
        <v>18</v>
      </c>
      <c r="B1728" t="s">
        <v>20</v>
      </c>
      <c r="C1728">
        <v>51301359</v>
      </c>
      <c r="D1728" t="s">
        <v>48</v>
      </c>
      <c r="E1728" t="s">
        <v>44</v>
      </c>
      <c r="F1728" s="4">
        <v>41336</v>
      </c>
      <c r="G1728" s="4">
        <v>41374</v>
      </c>
      <c r="H1728" t="s">
        <v>45</v>
      </c>
      <c r="I1728" t="s">
        <v>46</v>
      </c>
      <c r="J1728" t="s">
        <v>12</v>
      </c>
      <c r="K1728">
        <v>3</v>
      </c>
    </row>
    <row r="1729" spans="1:11" x14ac:dyDescent="0.25">
      <c r="A1729" t="s">
        <v>18</v>
      </c>
      <c r="B1729" t="s">
        <v>20</v>
      </c>
      <c r="C1729">
        <v>51301359</v>
      </c>
      <c r="D1729" t="s">
        <v>48</v>
      </c>
      <c r="E1729" t="s">
        <v>44</v>
      </c>
      <c r="F1729" s="4">
        <v>41336</v>
      </c>
      <c r="G1729" s="4">
        <v>41374</v>
      </c>
      <c r="H1729" t="s">
        <v>45</v>
      </c>
      <c r="I1729" t="s">
        <v>46</v>
      </c>
      <c r="J1729" t="s">
        <v>13</v>
      </c>
      <c r="K1729">
        <v>0</v>
      </c>
    </row>
    <row r="1730" spans="1:11" x14ac:dyDescent="0.25">
      <c r="A1730" t="s">
        <v>18</v>
      </c>
      <c r="B1730" t="s">
        <v>20</v>
      </c>
      <c r="C1730">
        <v>51301359</v>
      </c>
      <c r="D1730" t="s">
        <v>48</v>
      </c>
      <c r="E1730" t="s">
        <v>44</v>
      </c>
      <c r="F1730" s="4">
        <v>41336</v>
      </c>
      <c r="G1730" s="4">
        <v>41374</v>
      </c>
      <c r="H1730" t="s">
        <v>45</v>
      </c>
      <c r="I1730" t="s">
        <v>46</v>
      </c>
      <c r="J1730" t="s">
        <v>14</v>
      </c>
      <c r="K1730">
        <v>3</v>
      </c>
    </row>
    <row r="1731" spans="1:11" x14ac:dyDescent="0.25">
      <c r="A1731" t="s">
        <v>18</v>
      </c>
      <c r="B1731" t="s">
        <v>20</v>
      </c>
      <c r="C1731">
        <v>51301359</v>
      </c>
      <c r="D1731" t="s">
        <v>48</v>
      </c>
      <c r="E1731" t="s">
        <v>44</v>
      </c>
      <c r="F1731" s="4">
        <v>41336</v>
      </c>
      <c r="G1731" s="4">
        <v>41374</v>
      </c>
      <c r="H1731" t="s">
        <v>45</v>
      </c>
      <c r="I1731" t="s">
        <v>46</v>
      </c>
      <c r="J1731" t="s">
        <v>15</v>
      </c>
      <c r="K1731">
        <v>0</v>
      </c>
    </row>
    <row r="1732" spans="1:11" x14ac:dyDescent="0.25">
      <c r="A1732" t="s">
        <v>18</v>
      </c>
      <c r="B1732" t="s">
        <v>21</v>
      </c>
      <c r="C1732">
        <v>5360932</v>
      </c>
      <c r="D1732" t="s">
        <v>48</v>
      </c>
      <c r="E1732" t="s">
        <v>44</v>
      </c>
      <c r="F1732" s="4">
        <v>41709</v>
      </c>
      <c r="G1732" s="4">
        <v>41758</v>
      </c>
      <c r="H1732" t="s">
        <v>45</v>
      </c>
      <c r="I1732" t="s">
        <v>46</v>
      </c>
      <c r="J1732" t="s">
        <v>6</v>
      </c>
      <c r="K1732">
        <v>2</v>
      </c>
    </row>
    <row r="1733" spans="1:11" x14ac:dyDescent="0.25">
      <c r="A1733" t="s">
        <v>18</v>
      </c>
      <c r="B1733" t="s">
        <v>21</v>
      </c>
      <c r="C1733">
        <v>5360932</v>
      </c>
      <c r="D1733" t="s">
        <v>48</v>
      </c>
      <c r="E1733" t="s">
        <v>44</v>
      </c>
      <c r="F1733" s="4">
        <v>41709</v>
      </c>
      <c r="G1733" s="4">
        <v>41758</v>
      </c>
      <c r="H1733" t="s">
        <v>45</v>
      </c>
      <c r="I1733" t="s">
        <v>46</v>
      </c>
      <c r="J1733" t="s">
        <v>7</v>
      </c>
      <c r="K1733">
        <v>0</v>
      </c>
    </row>
    <row r="1734" spans="1:11" x14ac:dyDescent="0.25">
      <c r="A1734" t="s">
        <v>18</v>
      </c>
      <c r="B1734" t="s">
        <v>21</v>
      </c>
      <c r="C1734">
        <v>5360932</v>
      </c>
      <c r="D1734" t="s">
        <v>48</v>
      </c>
      <c r="E1734" t="s">
        <v>44</v>
      </c>
      <c r="F1734" s="4">
        <v>41709</v>
      </c>
      <c r="G1734" s="4">
        <v>41758</v>
      </c>
      <c r="H1734" t="s">
        <v>45</v>
      </c>
      <c r="I1734" t="s">
        <v>46</v>
      </c>
      <c r="J1734" t="s">
        <v>8</v>
      </c>
      <c r="K1734">
        <v>2</v>
      </c>
    </row>
    <row r="1735" spans="1:11" x14ac:dyDescent="0.25">
      <c r="A1735" t="s">
        <v>18</v>
      </c>
      <c r="B1735" t="s">
        <v>21</v>
      </c>
      <c r="C1735">
        <v>5360932</v>
      </c>
      <c r="D1735" t="s">
        <v>48</v>
      </c>
      <c r="E1735" t="s">
        <v>44</v>
      </c>
      <c r="F1735" s="4">
        <v>41709</v>
      </c>
      <c r="G1735" s="4">
        <v>41758</v>
      </c>
      <c r="H1735" t="s">
        <v>45</v>
      </c>
      <c r="I1735" t="s">
        <v>46</v>
      </c>
      <c r="J1735" t="s">
        <v>9</v>
      </c>
      <c r="K1735">
        <v>3</v>
      </c>
    </row>
    <row r="1736" spans="1:11" x14ac:dyDescent="0.25">
      <c r="A1736" t="s">
        <v>18</v>
      </c>
      <c r="B1736" t="s">
        <v>21</v>
      </c>
      <c r="C1736">
        <v>5360932</v>
      </c>
      <c r="D1736" t="s">
        <v>48</v>
      </c>
      <c r="E1736" t="s">
        <v>44</v>
      </c>
      <c r="F1736" s="4">
        <v>41709</v>
      </c>
      <c r="G1736" s="4">
        <v>41758</v>
      </c>
      <c r="H1736" t="s">
        <v>45</v>
      </c>
      <c r="I1736" t="s">
        <v>46</v>
      </c>
      <c r="J1736" t="s">
        <v>10</v>
      </c>
      <c r="K1736">
        <v>2</v>
      </c>
    </row>
    <row r="1737" spans="1:11" x14ac:dyDescent="0.25">
      <c r="A1737" t="s">
        <v>18</v>
      </c>
      <c r="B1737" t="s">
        <v>21</v>
      </c>
      <c r="C1737">
        <v>5360932</v>
      </c>
      <c r="D1737" t="s">
        <v>48</v>
      </c>
      <c r="E1737" t="s">
        <v>44</v>
      </c>
      <c r="F1737" s="4">
        <v>41709</v>
      </c>
      <c r="G1737" s="4">
        <v>41758</v>
      </c>
      <c r="H1737" t="s">
        <v>45</v>
      </c>
      <c r="I1737" t="s">
        <v>46</v>
      </c>
      <c r="J1737" t="s">
        <v>11</v>
      </c>
      <c r="K1737">
        <v>2</v>
      </c>
    </row>
    <row r="1738" spans="1:11" x14ac:dyDescent="0.25">
      <c r="A1738" t="s">
        <v>18</v>
      </c>
      <c r="B1738" t="s">
        <v>21</v>
      </c>
      <c r="C1738">
        <v>5360932</v>
      </c>
      <c r="D1738" t="s">
        <v>48</v>
      </c>
      <c r="E1738" t="s">
        <v>44</v>
      </c>
      <c r="F1738" s="4">
        <v>41709</v>
      </c>
      <c r="G1738" s="4">
        <v>41758</v>
      </c>
      <c r="H1738" t="s">
        <v>45</v>
      </c>
      <c r="I1738" t="s">
        <v>46</v>
      </c>
      <c r="J1738" t="s">
        <v>12</v>
      </c>
      <c r="K1738">
        <v>1</v>
      </c>
    </row>
    <row r="1739" spans="1:11" x14ac:dyDescent="0.25">
      <c r="A1739" t="s">
        <v>18</v>
      </c>
      <c r="B1739" t="s">
        <v>21</v>
      </c>
      <c r="C1739">
        <v>5360932</v>
      </c>
      <c r="D1739" t="s">
        <v>48</v>
      </c>
      <c r="E1739" t="s">
        <v>44</v>
      </c>
      <c r="F1739" s="4">
        <v>41709</v>
      </c>
      <c r="G1739" s="4">
        <v>41758</v>
      </c>
      <c r="H1739" t="s">
        <v>45</v>
      </c>
      <c r="I1739" t="s">
        <v>46</v>
      </c>
      <c r="J1739" t="s">
        <v>13</v>
      </c>
      <c r="K1739">
        <v>0</v>
      </c>
    </row>
    <row r="1740" spans="1:11" x14ac:dyDescent="0.25">
      <c r="A1740" t="s">
        <v>18</v>
      </c>
      <c r="B1740" t="s">
        <v>21</v>
      </c>
      <c r="C1740">
        <v>5360932</v>
      </c>
      <c r="D1740" t="s">
        <v>48</v>
      </c>
      <c r="E1740" t="s">
        <v>44</v>
      </c>
      <c r="F1740" s="4">
        <v>41709</v>
      </c>
      <c r="G1740" s="4">
        <v>41758</v>
      </c>
      <c r="H1740" t="s">
        <v>45</v>
      </c>
      <c r="I1740" t="s">
        <v>46</v>
      </c>
      <c r="J1740" t="s">
        <v>14</v>
      </c>
      <c r="K1740">
        <v>1</v>
      </c>
    </row>
    <row r="1741" spans="1:11" x14ac:dyDescent="0.25">
      <c r="A1741" t="s">
        <v>18</v>
      </c>
      <c r="B1741" t="s">
        <v>21</v>
      </c>
      <c r="C1741">
        <v>5360932</v>
      </c>
      <c r="D1741" t="s">
        <v>48</v>
      </c>
      <c r="E1741" t="s">
        <v>44</v>
      </c>
      <c r="F1741" s="4">
        <v>41709</v>
      </c>
      <c r="G1741" s="4">
        <v>41758</v>
      </c>
      <c r="H1741" t="s">
        <v>45</v>
      </c>
      <c r="I1741" t="s">
        <v>46</v>
      </c>
      <c r="J1741" t="s">
        <v>15</v>
      </c>
      <c r="K1741">
        <v>1</v>
      </c>
    </row>
    <row r="1742" spans="1:11" x14ac:dyDescent="0.25">
      <c r="A1742" t="s">
        <v>18</v>
      </c>
      <c r="B1742" t="s">
        <v>22</v>
      </c>
      <c r="C1742">
        <v>5360932</v>
      </c>
      <c r="D1742" t="s">
        <v>48</v>
      </c>
      <c r="E1742" t="s">
        <v>44</v>
      </c>
      <c r="F1742" s="4">
        <v>41709</v>
      </c>
      <c r="G1742" s="4">
        <v>41854</v>
      </c>
      <c r="H1742" t="s">
        <v>45</v>
      </c>
      <c r="I1742" t="s">
        <v>47</v>
      </c>
      <c r="J1742" t="s">
        <v>6</v>
      </c>
      <c r="K1742">
        <v>0</v>
      </c>
    </row>
    <row r="1743" spans="1:11" x14ac:dyDescent="0.25">
      <c r="A1743" t="s">
        <v>18</v>
      </c>
      <c r="B1743" t="s">
        <v>22</v>
      </c>
      <c r="C1743">
        <v>5360932</v>
      </c>
      <c r="D1743" t="s">
        <v>48</v>
      </c>
      <c r="E1743" t="s">
        <v>44</v>
      </c>
      <c r="F1743" s="4">
        <v>41709</v>
      </c>
      <c r="G1743" s="4">
        <v>41854</v>
      </c>
      <c r="H1743" t="s">
        <v>45</v>
      </c>
      <c r="I1743" t="s">
        <v>47</v>
      </c>
      <c r="J1743" t="s">
        <v>7</v>
      </c>
      <c r="K1743">
        <v>1</v>
      </c>
    </row>
    <row r="1744" spans="1:11" x14ac:dyDescent="0.25">
      <c r="A1744" t="s">
        <v>18</v>
      </c>
      <c r="B1744" t="s">
        <v>22</v>
      </c>
      <c r="C1744">
        <v>5360932</v>
      </c>
      <c r="D1744" t="s">
        <v>48</v>
      </c>
      <c r="E1744" t="s">
        <v>44</v>
      </c>
      <c r="F1744" s="4">
        <v>41709</v>
      </c>
      <c r="G1744" s="4">
        <v>41854</v>
      </c>
      <c r="H1744" t="s">
        <v>45</v>
      </c>
      <c r="I1744" t="s">
        <v>47</v>
      </c>
      <c r="J1744" t="s">
        <v>8</v>
      </c>
      <c r="K1744">
        <v>1</v>
      </c>
    </row>
    <row r="1745" spans="1:11" x14ac:dyDescent="0.25">
      <c r="A1745" t="s">
        <v>18</v>
      </c>
      <c r="B1745" t="s">
        <v>22</v>
      </c>
      <c r="C1745">
        <v>5360932</v>
      </c>
      <c r="D1745" t="s">
        <v>48</v>
      </c>
      <c r="E1745" t="s">
        <v>44</v>
      </c>
      <c r="F1745" s="4">
        <v>41709</v>
      </c>
      <c r="G1745" s="4">
        <v>41854</v>
      </c>
      <c r="H1745" t="s">
        <v>45</v>
      </c>
      <c r="I1745" t="s">
        <v>47</v>
      </c>
      <c r="J1745" t="s">
        <v>9</v>
      </c>
      <c r="K1745">
        <v>0</v>
      </c>
    </row>
    <row r="1746" spans="1:11" x14ac:dyDescent="0.25">
      <c r="A1746" t="s">
        <v>18</v>
      </c>
      <c r="B1746" t="s">
        <v>22</v>
      </c>
      <c r="C1746">
        <v>5360932</v>
      </c>
      <c r="D1746" t="s">
        <v>48</v>
      </c>
      <c r="E1746" t="s">
        <v>44</v>
      </c>
      <c r="F1746" s="4">
        <v>41709</v>
      </c>
      <c r="G1746" s="4">
        <v>41854</v>
      </c>
      <c r="H1746" t="s">
        <v>45</v>
      </c>
      <c r="I1746" t="s">
        <v>47</v>
      </c>
      <c r="J1746" t="s">
        <v>10</v>
      </c>
      <c r="K1746">
        <v>2</v>
      </c>
    </row>
    <row r="1747" spans="1:11" x14ac:dyDescent="0.25">
      <c r="A1747" t="s">
        <v>18</v>
      </c>
      <c r="B1747" t="s">
        <v>22</v>
      </c>
      <c r="C1747">
        <v>5360932</v>
      </c>
      <c r="D1747" t="s">
        <v>48</v>
      </c>
      <c r="E1747" t="s">
        <v>44</v>
      </c>
      <c r="F1747" s="4">
        <v>41709</v>
      </c>
      <c r="G1747" s="4">
        <v>41854</v>
      </c>
      <c r="H1747" t="s">
        <v>45</v>
      </c>
      <c r="I1747" t="s">
        <v>47</v>
      </c>
      <c r="J1747" t="s">
        <v>11</v>
      </c>
      <c r="K1747">
        <v>1</v>
      </c>
    </row>
    <row r="1748" spans="1:11" x14ac:dyDescent="0.25">
      <c r="A1748" t="s">
        <v>18</v>
      </c>
      <c r="B1748" t="s">
        <v>22</v>
      </c>
      <c r="C1748">
        <v>5360932</v>
      </c>
      <c r="D1748" t="s">
        <v>48</v>
      </c>
      <c r="E1748" t="s">
        <v>44</v>
      </c>
      <c r="F1748" s="4">
        <v>41709</v>
      </c>
      <c r="G1748" s="4">
        <v>41854</v>
      </c>
      <c r="H1748" t="s">
        <v>45</v>
      </c>
      <c r="I1748" t="s">
        <v>47</v>
      </c>
      <c r="J1748" t="s">
        <v>12</v>
      </c>
      <c r="K1748">
        <v>0</v>
      </c>
    </row>
    <row r="1749" spans="1:11" x14ac:dyDescent="0.25">
      <c r="A1749" t="s">
        <v>18</v>
      </c>
      <c r="B1749" t="s">
        <v>22</v>
      </c>
      <c r="C1749">
        <v>5360932</v>
      </c>
      <c r="D1749" t="s">
        <v>48</v>
      </c>
      <c r="E1749" t="s">
        <v>44</v>
      </c>
      <c r="F1749" s="4">
        <v>41709</v>
      </c>
      <c r="G1749" s="4">
        <v>41854</v>
      </c>
      <c r="H1749" t="s">
        <v>45</v>
      </c>
      <c r="I1749" t="s">
        <v>47</v>
      </c>
      <c r="J1749" t="s">
        <v>13</v>
      </c>
      <c r="K1749">
        <v>2</v>
      </c>
    </row>
    <row r="1750" spans="1:11" x14ac:dyDescent="0.25">
      <c r="A1750" t="s">
        <v>18</v>
      </c>
      <c r="B1750" t="s">
        <v>22</v>
      </c>
      <c r="C1750">
        <v>5360932</v>
      </c>
      <c r="D1750" t="s">
        <v>48</v>
      </c>
      <c r="E1750" t="s">
        <v>44</v>
      </c>
      <c r="F1750" s="4">
        <v>41709</v>
      </c>
      <c r="G1750" s="4">
        <v>41854</v>
      </c>
      <c r="H1750" t="s">
        <v>45</v>
      </c>
      <c r="I1750" t="s">
        <v>47</v>
      </c>
      <c r="J1750" t="s">
        <v>14</v>
      </c>
      <c r="K1750">
        <v>2</v>
      </c>
    </row>
    <row r="1751" spans="1:11" x14ac:dyDescent="0.25">
      <c r="A1751" t="s">
        <v>18</v>
      </c>
      <c r="B1751" t="s">
        <v>22</v>
      </c>
      <c r="C1751">
        <v>5360932</v>
      </c>
      <c r="D1751" t="s">
        <v>48</v>
      </c>
      <c r="E1751" t="s">
        <v>44</v>
      </c>
      <c r="F1751" s="4">
        <v>41709</v>
      </c>
      <c r="G1751" s="4">
        <v>41854</v>
      </c>
      <c r="H1751" t="s">
        <v>45</v>
      </c>
      <c r="I1751" t="s">
        <v>47</v>
      </c>
      <c r="J1751" t="s">
        <v>15</v>
      </c>
      <c r="K1751">
        <v>1</v>
      </c>
    </row>
    <row r="1752" spans="1:11" x14ac:dyDescent="0.25">
      <c r="A1752" t="s">
        <v>18</v>
      </c>
      <c r="B1752" t="s">
        <v>20</v>
      </c>
      <c r="C1752">
        <v>66261715</v>
      </c>
      <c r="D1752" t="s">
        <v>43</v>
      </c>
      <c r="E1752" t="s">
        <v>44</v>
      </c>
      <c r="F1752" s="4">
        <v>41403</v>
      </c>
      <c r="G1752" s="4">
        <v>41437</v>
      </c>
      <c r="H1752" t="s">
        <v>45</v>
      </c>
      <c r="I1752" t="s">
        <v>46</v>
      </c>
      <c r="J1752" t="s">
        <v>6</v>
      </c>
      <c r="K1752">
        <v>0</v>
      </c>
    </row>
    <row r="1753" spans="1:11" x14ac:dyDescent="0.25">
      <c r="A1753" t="s">
        <v>18</v>
      </c>
      <c r="B1753" t="s">
        <v>20</v>
      </c>
      <c r="C1753">
        <v>66261715</v>
      </c>
      <c r="D1753" t="s">
        <v>43</v>
      </c>
      <c r="E1753" t="s">
        <v>44</v>
      </c>
      <c r="F1753" s="4">
        <v>41403</v>
      </c>
      <c r="G1753" s="4">
        <v>41437</v>
      </c>
      <c r="H1753" t="s">
        <v>45</v>
      </c>
      <c r="I1753" t="s">
        <v>46</v>
      </c>
      <c r="J1753" t="s">
        <v>7</v>
      </c>
      <c r="K1753">
        <v>2</v>
      </c>
    </row>
    <row r="1754" spans="1:11" x14ac:dyDescent="0.25">
      <c r="A1754" t="s">
        <v>18</v>
      </c>
      <c r="B1754" t="s">
        <v>20</v>
      </c>
      <c r="C1754">
        <v>66261715</v>
      </c>
      <c r="D1754" t="s">
        <v>43</v>
      </c>
      <c r="E1754" t="s">
        <v>44</v>
      </c>
      <c r="F1754" s="4">
        <v>41403</v>
      </c>
      <c r="G1754" s="4">
        <v>41437</v>
      </c>
      <c r="H1754" t="s">
        <v>45</v>
      </c>
      <c r="I1754" t="s">
        <v>46</v>
      </c>
      <c r="J1754" t="s">
        <v>8</v>
      </c>
      <c r="K1754">
        <v>1</v>
      </c>
    </row>
    <row r="1755" spans="1:11" x14ac:dyDescent="0.25">
      <c r="A1755" t="s">
        <v>18</v>
      </c>
      <c r="B1755" t="s">
        <v>20</v>
      </c>
      <c r="C1755">
        <v>66261715</v>
      </c>
      <c r="D1755" t="s">
        <v>43</v>
      </c>
      <c r="E1755" t="s">
        <v>44</v>
      </c>
      <c r="F1755" s="4">
        <v>41403</v>
      </c>
      <c r="G1755" s="4">
        <v>41437</v>
      </c>
      <c r="H1755" t="s">
        <v>45</v>
      </c>
      <c r="I1755" t="s">
        <v>46</v>
      </c>
      <c r="J1755" t="s">
        <v>9</v>
      </c>
      <c r="K1755">
        <v>0</v>
      </c>
    </row>
    <row r="1756" spans="1:11" x14ac:dyDescent="0.25">
      <c r="A1756" t="s">
        <v>18</v>
      </c>
      <c r="B1756" t="s">
        <v>20</v>
      </c>
      <c r="C1756">
        <v>66261715</v>
      </c>
      <c r="D1756" t="s">
        <v>43</v>
      </c>
      <c r="E1756" t="s">
        <v>44</v>
      </c>
      <c r="F1756" s="4">
        <v>41403</v>
      </c>
      <c r="G1756" s="4">
        <v>41437</v>
      </c>
      <c r="H1756" t="s">
        <v>45</v>
      </c>
      <c r="I1756" t="s">
        <v>46</v>
      </c>
      <c r="J1756" t="s">
        <v>10</v>
      </c>
      <c r="K1756">
        <v>1</v>
      </c>
    </row>
    <row r="1757" spans="1:11" x14ac:dyDescent="0.25">
      <c r="A1757" t="s">
        <v>18</v>
      </c>
      <c r="B1757" t="s">
        <v>20</v>
      </c>
      <c r="C1757">
        <v>66261715</v>
      </c>
      <c r="D1757" t="s">
        <v>43</v>
      </c>
      <c r="E1757" t="s">
        <v>44</v>
      </c>
      <c r="F1757" s="4">
        <v>41403</v>
      </c>
      <c r="G1757" s="4">
        <v>41437</v>
      </c>
      <c r="H1757" t="s">
        <v>45</v>
      </c>
      <c r="I1757" t="s">
        <v>46</v>
      </c>
      <c r="J1757" t="s">
        <v>11</v>
      </c>
      <c r="K1757">
        <v>0</v>
      </c>
    </row>
    <row r="1758" spans="1:11" x14ac:dyDescent="0.25">
      <c r="A1758" t="s">
        <v>18</v>
      </c>
      <c r="B1758" t="s">
        <v>20</v>
      </c>
      <c r="C1758">
        <v>66261715</v>
      </c>
      <c r="D1758" t="s">
        <v>43</v>
      </c>
      <c r="E1758" t="s">
        <v>44</v>
      </c>
      <c r="F1758" s="4">
        <v>41403</v>
      </c>
      <c r="G1758" s="4">
        <v>41437</v>
      </c>
      <c r="H1758" t="s">
        <v>45</v>
      </c>
      <c r="I1758" t="s">
        <v>46</v>
      </c>
      <c r="J1758" t="s">
        <v>12</v>
      </c>
      <c r="K1758">
        <v>1</v>
      </c>
    </row>
    <row r="1759" spans="1:11" x14ac:dyDescent="0.25">
      <c r="A1759" t="s">
        <v>18</v>
      </c>
      <c r="B1759" t="s">
        <v>20</v>
      </c>
      <c r="C1759">
        <v>66261715</v>
      </c>
      <c r="D1759" t="s">
        <v>43</v>
      </c>
      <c r="E1759" t="s">
        <v>44</v>
      </c>
      <c r="F1759" s="4">
        <v>41403</v>
      </c>
      <c r="G1759" s="4">
        <v>41437</v>
      </c>
      <c r="H1759" t="s">
        <v>45</v>
      </c>
      <c r="I1759" t="s">
        <v>46</v>
      </c>
      <c r="J1759" t="s">
        <v>13</v>
      </c>
      <c r="K1759">
        <v>0</v>
      </c>
    </row>
    <row r="1760" spans="1:11" x14ac:dyDescent="0.25">
      <c r="A1760" t="s">
        <v>18</v>
      </c>
      <c r="B1760" t="s">
        <v>20</v>
      </c>
      <c r="C1760">
        <v>66261715</v>
      </c>
      <c r="D1760" t="s">
        <v>43</v>
      </c>
      <c r="E1760" t="s">
        <v>44</v>
      </c>
      <c r="F1760" s="4">
        <v>41403</v>
      </c>
      <c r="G1760" s="4">
        <v>41437</v>
      </c>
      <c r="H1760" t="s">
        <v>45</v>
      </c>
      <c r="I1760" t="s">
        <v>46</v>
      </c>
      <c r="J1760" t="s">
        <v>14</v>
      </c>
      <c r="K1760">
        <v>2</v>
      </c>
    </row>
    <row r="1761" spans="1:11" x14ac:dyDescent="0.25">
      <c r="A1761" t="s">
        <v>18</v>
      </c>
      <c r="B1761" t="s">
        <v>20</v>
      </c>
      <c r="C1761">
        <v>66261715</v>
      </c>
      <c r="D1761" t="s">
        <v>43</v>
      </c>
      <c r="E1761" t="s">
        <v>44</v>
      </c>
      <c r="F1761" s="4">
        <v>41403</v>
      </c>
      <c r="G1761" s="4">
        <v>41437</v>
      </c>
      <c r="H1761" t="s">
        <v>45</v>
      </c>
      <c r="I1761" t="s">
        <v>46</v>
      </c>
      <c r="J1761" t="s">
        <v>15</v>
      </c>
      <c r="K1761">
        <v>0</v>
      </c>
    </row>
    <row r="1762" spans="1:11" x14ac:dyDescent="0.25">
      <c r="A1762" t="s">
        <v>18</v>
      </c>
      <c r="B1762" t="s">
        <v>21</v>
      </c>
      <c r="C1762">
        <v>66261715</v>
      </c>
      <c r="D1762" t="s">
        <v>43</v>
      </c>
      <c r="E1762" t="s">
        <v>44</v>
      </c>
      <c r="F1762" s="4">
        <v>41403</v>
      </c>
      <c r="G1762" s="4">
        <v>41446</v>
      </c>
      <c r="H1762" t="s">
        <v>45</v>
      </c>
      <c r="I1762" t="s">
        <v>47</v>
      </c>
      <c r="J1762" t="s">
        <v>6</v>
      </c>
      <c r="K1762">
        <v>1</v>
      </c>
    </row>
    <row r="1763" spans="1:11" x14ac:dyDescent="0.25">
      <c r="A1763" t="s">
        <v>18</v>
      </c>
      <c r="B1763" t="s">
        <v>21</v>
      </c>
      <c r="C1763">
        <v>66261715</v>
      </c>
      <c r="D1763" t="s">
        <v>43</v>
      </c>
      <c r="E1763" t="s">
        <v>44</v>
      </c>
      <c r="F1763" s="4">
        <v>41403</v>
      </c>
      <c r="G1763" s="4">
        <v>41446</v>
      </c>
      <c r="H1763" t="s">
        <v>45</v>
      </c>
      <c r="I1763" t="s">
        <v>47</v>
      </c>
      <c r="J1763" t="s">
        <v>7</v>
      </c>
      <c r="K1763">
        <v>1</v>
      </c>
    </row>
    <row r="1764" spans="1:11" x14ac:dyDescent="0.25">
      <c r="A1764" t="s">
        <v>18</v>
      </c>
      <c r="B1764" t="s">
        <v>21</v>
      </c>
      <c r="C1764">
        <v>66261715</v>
      </c>
      <c r="D1764" t="s">
        <v>43</v>
      </c>
      <c r="E1764" t="s">
        <v>44</v>
      </c>
      <c r="F1764" s="4">
        <v>41403</v>
      </c>
      <c r="G1764" s="4">
        <v>41446</v>
      </c>
      <c r="H1764" t="s">
        <v>45</v>
      </c>
      <c r="I1764" t="s">
        <v>47</v>
      </c>
      <c r="J1764" t="s">
        <v>8</v>
      </c>
      <c r="K1764">
        <v>2</v>
      </c>
    </row>
    <row r="1765" spans="1:11" x14ac:dyDescent="0.25">
      <c r="A1765" t="s">
        <v>18</v>
      </c>
      <c r="B1765" t="s">
        <v>21</v>
      </c>
      <c r="C1765">
        <v>66261715</v>
      </c>
      <c r="D1765" t="s">
        <v>43</v>
      </c>
      <c r="E1765" t="s">
        <v>44</v>
      </c>
      <c r="F1765" s="4">
        <v>41403</v>
      </c>
      <c r="G1765" s="4">
        <v>41446</v>
      </c>
      <c r="H1765" t="s">
        <v>45</v>
      </c>
      <c r="I1765" t="s">
        <v>47</v>
      </c>
      <c r="J1765" t="s">
        <v>9</v>
      </c>
      <c r="K1765">
        <v>0</v>
      </c>
    </row>
    <row r="1766" spans="1:11" x14ac:dyDescent="0.25">
      <c r="A1766" t="s">
        <v>18</v>
      </c>
      <c r="B1766" t="s">
        <v>21</v>
      </c>
      <c r="C1766">
        <v>66261715</v>
      </c>
      <c r="D1766" t="s">
        <v>43</v>
      </c>
      <c r="E1766" t="s">
        <v>44</v>
      </c>
      <c r="F1766" s="4">
        <v>41403</v>
      </c>
      <c r="G1766" s="4">
        <v>41446</v>
      </c>
      <c r="H1766" t="s">
        <v>45</v>
      </c>
      <c r="I1766" t="s">
        <v>47</v>
      </c>
      <c r="J1766" t="s">
        <v>10</v>
      </c>
      <c r="K1766">
        <v>3</v>
      </c>
    </row>
    <row r="1767" spans="1:11" x14ac:dyDescent="0.25">
      <c r="A1767" t="s">
        <v>18</v>
      </c>
      <c r="B1767" t="s">
        <v>21</v>
      </c>
      <c r="C1767">
        <v>66261715</v>
      </c>
      <c r="D1767" t="s">
        <v>43</v>
      </c>
      <c r="E1767" t="s">
        <v>44</v>
      </c>
      <c r="F1767" s="4">
        <v>41403</v>
      </c>
      <c r="G1767" s="4">
        <v>41446</v>
      </c>
      <c r="H1767" t="s">
        <v>45</v>
      </c>
      <c r="I1767" t="s">
        <v>47</v>
      </c>
      <c r="J1767" t="s">
        <v>11</v>
      </c>
      <c r="K1767">
        <v>0</v>
      </c>
    </row>
    <row r="1768" spans="1:11" x14ac:dyDescent="0.25">
      <c r="A1768" t="s">
        <v>18</v>
      </c>
      <c r="B1768" t="s">
        <v>21</v>
      </c>
      <c r="C1768">
        <v>66261715</v>
      </c>
      <c r="D1768" t="s">
        <v>43</v>
      </c>
      <c r="E1768" t="s">
        <v>44</v>
      </c>
      <c r="F1768" s="4">
        <v>41403</v>
      </c>
      <c r="G1768" s="4">
        <v>41446</v>
      </c>
      <c r="H1768" t="s">
        <v>45</v>
      </c>
      <c r="I1768" t="s">
        <v>47</v>
      </c>
      <c r="J1768" t="s">
        <v>12</v>
      </c>
      <c r="K1768">
        <v>2</v>
      </c>
    </row>
    <row r="1769" spans="1:11" x14ac:dyDescent="0.25">
      <c r="A1769" t="s">
        <v>18</v>
      </c>
      <c r="B1769" t="s">
        <v>21</v>
      </c>
      <c r="C1769">
        <v>66261715</v>
      </c>
      <c r="D1769" t="s">
        <v>43</v>
      </c>
      <c r="E1769" t="s">
        <v>44</v>
      </c>
      <c r="F1769" s="4">
        <v>41403</v>
      </c>
      <c r="G1769" s="4">
        <v>41446</v>
      </c>
      <c r="H1769" t="s">
        <v>45</v>
      </c>
      <c r="I1769" t="s">
        <v>47</v>
      </c>
      <c r="J1769" t="s">
        <v>13</v>
      </c>
      <c r="K1769">
        <v>1</v>
      </c>
    </row>
    <row r="1770" spans="1:11" x14ac:dyDescent="0.25">
      <c r="A1770" t="s">
        <v>18</v>
      </c>
      <c r="B1770" t="s">
        <v>21</v>
      </c>
      <c r="C1770">
        <v>66261715</v>
      </c>
      <c r="D1770" t="s">
        <v>43</v>
      </c>
      <c r="E1770" t="s">
        <v>44</v>
      </c>
      <c r="F1770" s="4">
        <v>41403</v>
      </c>
      <c r="G1770" s="4">
        <v>41446</v>
      </c>
      <c r="H1770" t="s">
        <v>45</v>
      </c>
      <c r="I1770" t="s">
        <v>47</v>
      </c>
      <c r="J1770" t="s">
        <v>14</v>
      </c>
      <c r="K1770">
        <v>1</v>
      </c>
    </row>
    <row r="1771" spans="1:11" x14ac:dyDescent="0.25">
      <c r="A1771" t="s">
        <v>18</v>
      </c>
      <c r="B1771" t="s">
        <v>21</v>
      </c>
      <c r="C1771">
        <v>66261715</v>
      </c>
      <c r="D1771" t="s">
        <v>43</v>
      </c>
      <c r="E1771" t="s">
        <v>44</v>
      </c>
      <c r="F1771" s="4">
        <v>41403</v>
      </c>
      <c r="G1771" s="4">
        <v>41446</v>
      </c>
      <c r="H1771" t="s">
        <v>45</v>
      </c>
      <c r="I1771" t="s">
        <v>47</v>
      </c>
      <c r="J1771" t="s">
        <v>15</v>
      </c>
      <c r="K1771">
        <v>1</v>
      </c>
    </row>
    <row r="1772" spans="1:11" x14ac:dyDescent="0.25">
      <c r="A1772" t="s">
        <v>18</v>
      </c>
      <c r="B1772" t="s">
        <v>22</v>
      </c>
      <c r="C1772">
        <v>66261715</v>
      </c>
      <c r="D1772" t="s">
        <v>43</v>
      </c>
      <c r="E1772" t="s">
        <v>44</v>
      </c>
      <c r="F1772" s="4">
        <v>41403</v>
      </c>
      <c r="G1772" s="4">
        <v>41551</v>
      </c>
      <c r="H1772" t="s">
        <v>45</v>
      </c>
      <c r="I1772" t="s">
        <v>47</v>
      </c>
      <c r="J1772" t="s">
        <v>6</v>
      </c>
      <c r="K1772">
        <v>1</v>
      </c>
    </row>
    <row r="1773" spans="1:11" x14ac:dyDescent="0.25">
      <c r="A1773" t="s">
        <v>18</v>
      </c>
      <c r="B1773" t="s">
        <v>22</v>
      </c>
      <c r="C1773">
        <v>66261715</v>
      </c>
      <c r="D1773" t="s">
        <v>43</v>
      </c>
      <c r="E1773" t="s">
        <v>44</v>
      </c>
      <c r="F1773" s="4">
        <v>41403</v>
      </c>
      <c r="G1773" s="4">
        <v>41551</v>
      </c>
      <c r="H1773" t="s">
        <v>45</v>
      </c>
      <c r="I1773" t="s">
        <v>47</v>
      </c>
      <c r="J1773" t="s">
        <v>7</v>
      </c>
      <c r="K1773">
        <v>2</v>
      </c>
    </row>
    <row r="1774" spans="1:11" x14ac:dyDescent="0.25">
      <c r="A1774" t="s">
        <v>18</v>
      </c>
      <c r="B1774" t="s">
        <v>22</v>
      </c>
      <c r="C1774">
        <v>66261715</v>
      </c>
      <c r="D1774" t="s">
        <v>43</v>
      </c>
      <c r="E1774" t="s">
        <v>44</v>
      </c>
      <c r="F1774" s="4">
        <v>41403</v>
      </c>
      <c r="G1774" s="4">
        <v>41551</v>
      </c>
      <c r="H1774" t="s">
        <v>45</v>
      </c>
      <c r="I1774" t="s">
        <v>47</v>
      </c>
      <c r="J1774" t="s">
        <v>8</v>
      </c>
      <c r="K1774">
        <v>3</v>
      </c>
    </row>
    <row r="1775" spans="1:11" x14ac:dyDescent="0.25">
      <c r="A1775" t="s">
        <v>18</v>
      </c>
      <c r="B1775" t="s">
        <v>22</v>
      </c>
      <c r="C1775">
        <v>66261715</v>
      </c>
      <c r="D1775" t="s">
        <v>43</v>
      </c>
      <c r="E1775" t="s">
        <v>44</v>
      </c>
      <c r="F1775" s="4">
        <v>41403</v>
      </c>
      <c r="G1775" s="4">
        <v>41551</v>
      </c>
      <c r="H1775" t="s">
        <v>45</v>
      </c>
      <c r="I1775" t="s">
        <v>47</v>
      </c>
      <c r="J1775" t="s">
        <v>9</v>
      </c>
      <c r="K1775">
        <v>3</v>
      </c>
    </row>
    <row r="1776" spans="1:11" x14ac:dyDescent="0.25">
      <c r="A1776" t="s">
        <v>18</v>
      </c>
      <c r="B1776" t="s">
        <v>22</v>
      </c>
      <c r="C1776">
        <v>66261715</v>
      </c>
      <c r="D1776" t="s">
        <v>43</v>
      </c>
      <c r="E1776" t="s">
        <v>44</v>
      </c>
      <c r="F1776" s="4">
        <v>41403</v>
      </c>
      <c r="G1776" s="4">
        <v>41551</v>
      </c>
      <c r="H1776" t="s">
        <v>45</v>
      </c>
      <c r="I1776" t="s">
        <v>47</v>
      </c>
      <c r="J1776" t="s">
        <v>10</v>
      </c>
      <c r="K1776">
        <v>2</v>
      </c>
    </row>
    <row r="1777" spans="1:11" x14ac:dyDescent="0.25">
      <c r="A1777" t="s">
        <v>18</v>
      </c>
      <c r="B1777" t="s">
        <v>22</v>
      </c>
      <c r="C1777">
        <v>66261715</v>
      </c>
      <c r="D1777" t="s">
        <v>43</v>
      </c>
      <c r="E1777" t="s">
        <v>44</v>
      </c>
      <c r="F1777" s="4">
        <v>41403</v>
      </c>
      <c r="G1777" s="4">
        <v>41551</v>
      </c>
      <c r="H1777" t="s">
        <v>45</v>
      </c>
      <c r="I1777" t="s">
        <v>47</v>
      </c>
      <c r="J1777" t="s">
        <v>11</v>
      </c>
      <c r="K1777">
        <v>1</v>
      </c>
    </row>
    <row r="1778" spans="1:11" x14ac:dyDescent="0.25">
      <c r="A1778" t="s">
        <v>18</v>
      </c>
      <c r="B1778" t="s">
        <v>22</v>
      </c>
      <c r="C1778">
        <v>66261715</v>
      </c>
      <c r="D1778" t="s">
        <v>43</v>
      </c>
      <c r="E1778" t="s">
        <v>44</v>
      </c>
      <c r="F1778" s="4">
        <v>41403</v>
      </c>
      <c r="G1778" s="4">
        <v>41551</v>
      </c>
      <c r="H1778" t="s">
        <v>45</v>
      </c>
      <c r="I1778" t="s">
        <v>47</v>
      </c>
      <c r="J1778" t="s">
        <v>12</v>
      </c>
      <c r="K1778">
        <v>1</v>
      </c>
    </row>
    <row r="1779" spans="1:11" x14ac:dyDescent="0.25">
      <c r="A1779" t="s">
        <v>18</v>
      </c>
      <c r="B1779" t="s">
        <v>22</v>
      </c>
      <c r="C1779">
        <v>66261715</v>
      </c>
      <c r="D1779" t="s">
        <v>43</v>
      </c>
      <c r="E1779" t="s">
        <v>44</v>
      </c>
      <c r="F1779" s="4">
        <v>41403</v>
      </c>
      <c r="G1779" s="4">
        <v>41551</v>
      </c>
      <c r="H1779" t="s">
        <v>45</v>
      </c>
      <c r="I1779" t="s">
        <v>47</v>
      </c>
      <c r="J1779" t="s">
        <v>13</v>
      </c>
      <c r="K1779">
        <v>2</v>
      </c>
    </row>
    <row r="1780" spans="1:11" x14ac:dyDescent="0.25">
      <c r="A1780" t="s">
        <v>18</v>
      </c>
      <c r="B1780" t="s">
        <v>22</v>
      </c>
      <c r="C1780">
        <v>66261715</v>
      </c>
      <c r="D1780" t="s">
        <v>43</v>
      </c>
      <c r="E1780" t="s">
        <v>44</v>
      </c>
      <c r="F1780" s="4">
        <v>41403</v>
      </c>
      <c r="G1780" s="4">
        <v>41551</v>
      </c>
      <c r="H1780" t="s">
        <v>45</v>
      </c>
      <c r="I1780" t="s">
        <v>47</v>
      </c>
      <c r="J1780" t="s">
        <v>14</v>
      </c>
      <c r="K1780">
        <v>1</v>
      </c>
    </row>
    <row r="1781" spans="1:11" x14ac:dyDescent="0.25">
      <c r="A1781" t="s">
        <v>18</v>
      </c>
      <c r="B1781" t="s">
        <v>22</v>
      </c>
      <c r="C1781">
        <v>66261715</v>
      </c>
      <c r="D1781" t="s">
        <v>43</v>
      </c>
      <c r="E1781" t="s">
        <v>44</v>
      </c>
      <c r="F1781" s="4">
        <v>41403</v>
      </c>
      <c r="G1781" s="4">
        <v>41551</v>
      </c>
      <c r="H1781" t="s">
        <v>45</v>
      </c>
      <c r="I1781" t="s">
        <v>47</v>
      </c>
      <c r="J1781" t="s">
        <v>15</v>
      </c>
      <c r="K1781">
        <v>1</v>
      </c>
    </row>
    <row r="1782" spans="1:11" x14ac:dyDescent="0.25">
      <c r="A1782" t="s">
        <v>18</v>
      </c>
      <c r="B1782" t="s">
        <v>20</v>
      </c>
      <c r="C1782">
        <v>66261715</v>
      </c>
      <c r="D1782" t="s">
        <v>43</v>
      </c>
      <c r="E1782" t="s">
        <v>44</v>
      </c>
      <c r="F1782" s="4">
        <v>41403</v>
      </c>
      <c r="G1782" s="4">
        <v>41690</v>
      </c>
      <c r="H1782" t="s">
        <v>45</v>
      </c>
      <c r="I1782" t="s">
        <v>47</v>
      </c>
      <c r="J1782" t="s">
        <v>6</v>
      </c>
      <c r="K1782">
        <v>2</v>
      </c>
    </row>
    <row r="1783" spans="1:11" x14ac:dyDescent="0.25">
      <c r="A1783" t="s">
        <v>18</v>
      </c>
      <c r="B1783" t="s">
        <v>20</v>
      </c>
      <c r="C1783">
        <v>66261715</v>
      </c>
      <c r="D1783" t="s">
        <v>43</v>
      </c>
      <c r="E1783" t="s">
        <v>44</v>
      </c>
      <c r="F1783" s="4">
        <v>41403</v>
      </c>
      <c r="G1783" s="4">
        <v>41690</v>
      </c>
      <c r="H1783" t="s">
        <v>45</v>
      </c>
      <c r="I1783" t="s">
        <v>47</v>
      </c>
      <c r="J1783" t="s">
        <v>7</v>
      </c>
      <c r="K1783">
        <v>0</v>
      </c>
    </row>
    <row r="1784" spans="1:11" x14ac:dyDescent="0.25">
      <c r="A1784" t="s">
        <v>18</v>
      </c>
      <c r="B1784" t="s">
        <v>20</v>
      </c>
      <c r="C1784">
        <v>66261715</v>
      </c>
      <c r="D1784" t="s">
        <v>43</v>
      </c>
      <c r="E1784" t="s">
        <v>44</v>
      </c>
      <c r="F1784" s="4">
        <v>41403</v>
      </c>
      <c r="G1784" s="4">
        <v>41690</v>
      </c>
      <c r="H1784" t="s">
        <v>45</v>
      </c>
      <c r="I1784" t="s">
        <v>47</v>
      </c>
      <c r="J1784" t="s">
        <v>8</v>
      </c>
      <c r="K1784">
        <v>3</v>
      </c>
    </row>
    <row r="1785" spans="1:11" x14ac:dyDescent="0.25">
      <c r="A1785" t="s">
        <v>18</v>
      </c>
      <c r="B1785" t="s">
        <v>20</v>
      </c>
      <c r="C1785">
        <v>66261715</v>
      </c>
      <c r="D1785" t="s">
        <v>43</v>
      </c>
      <c r="E1785" t="s">
        <v>44</v>
      </c>
      <c r="F1785" s="4">
        <v>41403</v>
      </c>
      <c r="G1785" s="4">
        <v>41690</v>
      </c>
      <c r="H1785" t="s">
        <v>45</v>
      </c>
      <c r="I1785" t="s">
        <v>47</v>
      </c>
      <c r="J1785" t="s">
        <v>9</v>
      </c>
      <c r="K1785">
        <v>3</v>
      </c>
    </row>
    <row r="1786" spans="1:11" x14ac:dyDescent="0.25">
      <c r="A1786" t="s">
        <v>18</v>
      </c>
      <c r="B1786" t="s">
        <v>20</v>
      </c>
      <c r="C1786">
        <v>66261715</v>
      </c>
      <c r="D1786" t="s">
        <v>43</v>
      </c>
      <c r="E1786" t="s">
        <v>44</v>
      </c>
      <c r="F1786" s="4">
        <v>41403</v>
      </c>
      <c r="G1786" s="4">
        <v>41690</v>
      </c>
      <c r="H1786" t="s">
        <v>45</v>
      </c>
      <c r="I1786" t="s">
        <v>47</v>
      </c>
      <c r="J1786" t="s">
        <v>10</v>
      </c>
      <c r="K1786">
        <v>1</v>
      </c>
    </row>
    <row r="1787" spans="1:11" x14ac:dyDescent="0.25">
      <c r="A1787" t="s">
        <v>18</v>
      </c>
      <c r="B1787" t="s">
        <v>20</v>
      </c>
      <c r="C1787">
        <v>66261715</v>
      </c>
      <c r="D1787" t="s">
        <v>43</v>
      </c>
      <c r="E1787" t="s">
        <v>44</v>
      </c>
      <c r="F1787" s="4">
        <v>41403</v>
      </c>
      <c r="G1787" s="4">
        <v>41690</v>
      </c>
      <c r="H1787" t="s">
        <v>45</v>
      </c>
      <c r="I1787" t="s">
        <v>47</v>
      </c>
      <c r="J1787" t="s">
        <v>11</v>
      </c>
      <c r="K1787">
        <v>1</v>
      </c>
    </row>
    <row r="1788" spans="1:11" x14ac:dyDescent="0.25">
      <c r="A1788" t="s">
        <v>18</v>
      </c>
      <c r="B1788" t="s">
        <v>20</v>
      </c>
      <c r="C1788">
        <v>66261715</v>
      </c>
      <c r="D1788" t="s">
        <v>43</v>
      </c>
      <c r="E1788" t="s">
        <v>44</v>
      </c>
      <c r="F1788" s="4">
        <v>41403</v>
      </c>
      <c r="G1788" s="4">
        <v>41690</v>
      </c>
      <c r="H1788" t="s">
        <v>45</v>
      </c>
      <c r="I1788" t="s">
        <v>47</v>
      </c>
      <c r="J1788" t="s">
        <v>12</v>
      </c>
      <c r="K1788">
        <v>2</v>
      </c>
    </row>
    <row r="1789" spans="1:11" x14ac:dyDescent="0.25">
      <c r="A1789" t="s">
        <v>18</v>
      </c>
      <c r="B1789" t="s">
        <v>20</v>
      </c>
      <c r="C1789">
        <v>66261715</v>
      </c>
      <c r="D1789" t="s">
        <v>43</v>
      </c>
      <c r="E1789" t="s">
        <v>44</v>
      </c>
      <c r="F1789" s="4">
        <v>41403</v>
      </c>
      <c r="G1789" s="4">
        <v>41690</v>
      </c>
      <c r="H1789" t="s">
        <v>45</v>
      </c>
      <c r="I1789" t="s">
        <v>47</v>
      </c>
      <c r="J1789" t="s">
        <v>13</v>
      </c>
      <c r="K1789">
        <v>0</v>
      </c>
    </row>
    <row r="1790" spans="1:11" x14ac:dyDescent="0.25">
      <c r="A1790" t="s">
        <v>18</v>
      </c>
      <c r="B1790" t="s">
        <v>20</v>
      </c>
      <c r="C1790">
        <v>66261715</v>
      </c>
      <c r="D1790" t="s">
        <v>43</v>
      </c>
      <c r="E1790" t="s">
        <v>44</v>
      </c>
      <c r="F1790" s="4">
        <v>41403</v>
      </c>
      <c r="G1790" s="4">
        <v>41690</v>
      </c>
      <c r="H1790" t="s">
        <v>45</v>
      </c>
      <c r="I1790" t="s">
        <v>47</v>
      </c>
      <c r="J1790" t="s">
        <v>14</v>
      </c>
      <c r="K1790">
        <v>0</v>
      </c>
    </row>
    <row r="1791" spans="1:11" x14ac:dyDescent="0.25">
      <c r="A1791" t="s">
        <v>18</v>
      </c>
      <c r="B1791" t="s">
        <v>20</v>
      </c>
      <c r="C1791">
        <v>66261715</v>
      </c>
      <c r="D1791" t="s">
        <v>43</v>
      </c>
      <c r="E1791" t="s">
        <v>44</v>
      </c>
      <c r="F1791" s="4">
        <v>41403</v>
      </c>
      <c r="G1791" s="4">
        <v>41690</v>
      </c>
      <c r="H1791" t="s">
        <v>45</v>
      </c>
      <c r="I1791" t="s">
        <v>47</v>
      </c>
      <c r="J1791" t="s">
        <v>15</v>
      </c>
      <c r="K1791">
        <v>1</v>
      </c>
    </row>
    <row r="1792" spans="1:11" x14ac:dyDescent="0.25">
      <c r="A1792" t="s">
        <v>18</v>
      </c>
      <c r="B1792" t="s">
        <v>21</v>
      </c>
      <c r="C1792">
        <v>66261715</v>
      </c>
      <c r="D1792" t="s">
        <v>43</v>
      </c>
      <c r="E1792" t="s">
        <v>44</v>
      </c>
      <c r="F1792" s="4">
        <v>41403</v>
      </c>
      <c r="G1792" s="4">
        <v>41815</v>
      </c>
      <c r="H1792" t="s">
        <v>45</v>
      </c>
      <c r="I1792" t="s">
        <v>47</v>
      </c>
      <c r="J1792" t="s">
        <v>6</v>
      </c>
      <c r="K1792">
        <v>0</v>
      </c>
    </row>
    <row r="1793" spans="1:11" x14ac:dyDescent="0.25">
      <c r="A1793" t="s">
        <v>18</v>
      </c>
      <c r="B1793" t="s">
        <v>21</v>
      </c>
      <c r="C1793">
        <v>66261715</v>
      </c>
      <c r="D1793" t="s">
        <v>43</v>
      </c>
      <c r="E1793" t="s">
        <v>44</v>
      </c>
      <c r="F1793" s="4">
        <v>41403</v>
      </c>
      <c r="G1793" s="4">
        <v>41815</v>
      </c>
      <c r="H1793" t="s">
        <v>45</v>
      </c>
      <c r="I1793" t="s">
        <v>47</v>
      </c>
      <c r="J1793" t="s">
        <v>7</v>
      </c>
      <c r="K1793">
        <v>1</v>
      </c>
    </row>
    <row r="1794" spans="1:11" x14ac:dyDescent="0.25">
      <c r="A1794" t="s">
        <v>18</v>
      </c>
      <c r="B1794" t="s">
        <v>21</v>
      </c>
      <c r="C1794">
        <v>66261715</v>
      </c>
      <c r="D1794" t="s">
        <v>43</v>
      </c>
      <c r="E1794" t="s">
        <v>44</v>
      </c>
      <c r="F1794" s="4">
        <v>41403</v>
      </c>
      <c r="G1794" s="4">
        <v>41815</v>
      </c>
      <c r="H1794" t="s">
        <v>45</v>
      </c>
      <c r="I1794" t="s">
        <v>47</v>
      </c>
      <c r="J1794" t="s">
        <v>8</v>
      </c>
      <c r="K1794">
        <v>2</v>
      </c>
    </row>
    <row r="1795" spans="1:11" x14ac:dyDescent="0.25">
      <c r="A1795" t="s">
        <v>18</v>
      </c>
      <c r="B1795" t="s">
        <v>21</v>
      </c>
      <c r="C1795">
        <v>66261715</v>
      </c>
      <c r="D1795" t="s">
        <v>43</v>
      </c>
      <c r="E1795" t="s">
        <v>44</v>
      </c>
      <c r="F1795" s="4">
        <v>41403</v>
      </c>
      <c r="G1795" s="4">
        <v>41815</v>
      </c>
      <c r="H1795" t="s">
        <v>45</v>
      </c>
      <c r="I1795" t="s">
        <v>47</v>
      </c>
      <c r="J1795" t="s">
        <v>9</v>
      </c>
      <c r="K1795">
        <v>0</v>
      </c>
    </row>
    <row r="1796" spans="1:11" x14ac:dyDescent="0.25">
      <c r="A1796" t="s">
        <v>18</v>
      </c>
      <c r="B1796" t="s">
        <v>21</v>
      </c>
      <c r="C1796">
        <v>66261715</v>
      </c>
      <c r="D1796" t="s">
        <v>43</v>
      </c>
      <c r="E1796" t="s">
        <v>44</v>
      </c>
      <c r="F1796" s="4">
        <v>41403</v>
      </c>
      <c r="G1796" s="4">
        <v>41815</v>
      </c>
      <c r="H1796" t="s">
        <v>45</v>
      </c>
      <c r="I1796" t="s">
        <v>47</v>
      </c>
      <c r="J1796" t="s">
        <v>10</v>
      </c>
      <c r="K1796">
        <v>2</v>
      </c>
    </row>
    <row r="1797" spans="1:11" x14ac:dyDescent="0.25">
      <c r="A1797" t="s">
        <v>18</v>
      </c>
      <c r="B1797" t="s">
        <v>21</v>
      </c>
      <c r="C1797">
        <v>66261715</v>
      </c>
      <c r="D1797" t="s">
        <v>43</v>
      </c>
      <c r="E1797" t="s">
        <v>44</v>
      </c>
      <c r="F1797" s="4">
        <v>41403</v>
      </c>
      <c r="G1797" s="4">
        <v>41815</v>
      </c>
      <c r="H1797" t="s">
        <v>45</v>
      </c>
      <c r="I1797" t="s">
        <v>47</v>
      </c>
      <c r="J1797" t="s">
        <v>11</v>
      </c>
      <c r="K1797">
        <v>1</v>
      </c>
    </row>
    <row r="1798" spans="1:11" x14ac:dyDescent="0.25">
      <c r="A1798" t="s">
        <v>18</v>
      </c>
      <c r="B1798" t="s">
        <v>21</v>
      </c>
      <c r="C1798">
        <v>66261715</v>
      </c>
      <c r="D1798" t="s">
        <v>43</v>
      </c>
      <c r="E1798" t="s">
        <v>44</v>
      </c>
      <c r="F1798" s="4">
        <v>41403</v>
      </c>
      <c r="G1798" s="4">
        <v>41815</v>
      </c>
      <c r="H1798" t="s">
        <v>45</v>
      </c>
      <c r="I1798" t="s">
        <v>47</v>
      </c>
      <c r="J1798" t="s">
        <v>12</v>
      </c>
      <c r="K1798">
        <v>3</v>
      </c>
    </row>
    <row r="1799" spans="1:11" x14ac:dyDescent="0.25">
      <c r="A1799" t="s">
        <v>18</v>
      </c>
      <c r="B1799" t="s">
        <v>21</v>
      </c>
      <c r="C1799">
        <v>66261715</v>
      </c>
      <c r="D1799" t="s">
        <v>43</v>
      </c>
      <c r="E1799" t="s">
        <v>44</v>
      </c>
      <c r="F1799" s="4">
        <v>41403</v>
      </c>
      <c r="G1799" s="4">
        <v>41815</v>
      </c>
      <c r="H1799" t="s">
        <v>45</v>
      </c>
      <c r="I1799" t="s">
        <v>47</v>
      </c>
      <c r="J1799" t="s">
        <v>13</v>
      </c>
      <c r="K1799">
        <v>0</v>
      </c>
    </row>
    <row r="1800" spans="1:11" x14ac:dyDescent="0.25">
      <c r="A1800" t="s">
        <v>18</v>
      </c>
      <c r="B1800" t="s">
        <v>21</v>
      </c>
      <c r="C1800">
        <v>66261715</v>
      </c>
      <c r="D1800" t="s">
        <v>43</v>
      </c>
      <c r="E1800" t="s">
        <v>44</v>
      </c>
      <c r="F1800" s="4">
        <v>41403</v>
      </c>
      <c r="G1800" s="4">
        <v>41815</v>
      </c>
      <c r="H1800" t="s">
        <v>45</v>
      </c>
      <c r="I1800" t="s">
        <v>47</v>
      </c>
      <c r="J1800" t="s">
        <v>14</v>
      </c>
      <c r="K1800">
        <v>1</v>
      </c>
    </row>
    <row r="1801" spans="1:11" x14ac:dyDescent="0.25">
      <c r="A1801" t="s">
        <v>18</v>
      </c>
      <c r="B1801" t="s">
        <v>21</v>
      </c>
      <c r="C1801">
        <v>66261715</v>
      </c>
      <c r="D1801" t="s">
        <v>43</v>
      </c>
      <c r="E1801" t="s">
        <v>44</v>
      </c>
      <c r="F1801" s="4">
        <v>41403</v>
      </c>
      <c r="G1801" s="4">
        <v>41815</v>
      </c>
      <c r="H1801" t="s">
        <v>45</v>
      </c>
      <c r="I1801" t="s">
        <v>47</v>
      </c>
      <c r="J1801" t="s">
        <v>15</v>
      </c>
      <c r="K1801">
        <v>1</v>
      </c>
    </row>
    <row r="1802" spans="1:11" x14ac:dyDescent="0.25">
      <c r="A1802" t="s">
        <v>18</v>
      </c>
      <c r="B1802" t="s">
        <v>22</v>
      </c>
      <c r="C1802">
        <v>66261715</v>
      </c>
      <c r="D1802" t="s">
        <v>43</v>
      </c>
      <c r="E1802" t="s">
        <v>44</v>
      </c>
      <c r="F1802" s="4">
        <v>41403</v>
      </c>
      <c r="G1802" s="4">
        <v>41859</v>
      </c>
      <c r="H1802" t="s">
        <v>45</v>
      </c>
      <c r="I1802" t="s">
        <v>47</v>
      </c>
      <c r="J1802" t="s">
        <v>6</v>
      </c>
      <c r="K1802">
        <v>0</v>
      </c>
    </row>
    <row r="1803" spans="1:11" x14ac:dyDescent="0.25">
      <c r="A1803" t="s">
        <v>18</v>
      </c>
      <c r="B1803" t="s">
        <v>22</v>
      </c>
      <c r="C1803">
        <v>66261715</v>
      </c>
      <c r="D1803" t="s">
        <v>43</v>
      </c>
      <c r="E1803" t="s">
        <v>44</v>
      </c>
      <c r="F1803" s="4">
        <v>41403</v>
      </c>
      <c r="G1803" s="4">
        <v>41859</v>
      </c>
      <c r="H1803" t="s">
        <v>45</v>
      </c>
      <c r="I1803" t="s">
        <v>47</v>
      </c>
      <c r="J1803" t="s">
        <v>7</v>
      </c>
      <c r="K1803">
        <v>2</v>
      </c>
    </row>
    <row r="1804" spans="1:11" x14ac:dyDescent="0.25">
      <c r="A1804" t="s">
        <v>18</v>
      </c>
      <c r="B1804" t="s">
        <v>22</v>
      </c>
      <c r="C1804">
        <v>66261715</v>
      </c>
      <c r="D1804" t="s">
        <v>43</v>
      </c>
      <c r="E1804" t="s">
        <v>44</v>
      </c>
      <c r="F1804" s="4">
        <v>41403</v>
      </c>
      <c r="G1804" s="4">
        <v>41859</v>
      </c>
      <c r="H1804" t="s">
        <v>45</v>
      </c>
      <c r="I1804" t="s">
        <v>47</v>
      </c>
      <c r="J1804" t="s">
        <v>8</v>
      </c>
      <c r="K1804">
        <v>0</v>
      </c>
    </row>
    <row r="1805" spans="1:11" x14ac:dyDescent="0.25">
      <c r="A1805" t="s">
        <v>18</v>
      </c>
      <c r="B1805" t="s">
        <v>22</v>
      </c>
      <c r="C1805">
        <v>66261715</v>
      </c>
      <c r="D1805" t="s">
        <v>43</v>
      </c>
      <c r="E1805" t="s">
        <v>44</v>
      </c>
      <c r="F1805" s="4">
        <v>41403</v>
      </c>
      <c r="G1805" s="4">
        <v>41859</v>
      </c>
      <c r="H1805" t="s">
        <v>45</v>
      </c>
      <c r="I1805" t="s">
        <v>47</v>
      </c>
      <c r="J1805" t="s">
        <v>9</v>
      </c>
      <c r="K1805">
        <v>1</v>
      </c>
    </row>
    <row r="1806" spans="1:11" x14ac:dyDescent="0.25">
      <c r="A1806" t="s">
        <v>18</v>
      </c>
      <c r="B1806" t="s">
        <v>22</v>
      </c>
      <c r="C1806">
        <v>66261715</v>
      </c>
      <c r="D1806" t="s">
        <v>43</v>
      </c>
      <c r="E1806" t="s">
        <v>44</v>
      </c>
      <c r="F1806" s="4">
        <v>41403</v>
      </c>
      <c r="G1806" s="4">
        <v>41859</v>
      </c>
      <c r="H1806" t="s">
        <v>45</v>
      </c>
      <c r="I1806" t="s">
        <v>47</v>
      </c>
      <c r="J1806" t="s">
        <v>10</v>
      </c>
      <c r="K1806">
        <v>1</v>
      </c>
    </row>
    <row r="1807" spans="1:11" x14ac:dyDescent="0.25">
      <c r="A1807" t="s">
        <v>18</v>
      </c>
      <c r="B1807" t="s">
        <v>22</v>
      </c>
      <c r="C1807">
        <v>66261715</v>
      </c>
      <c r="D1807" t="s">
        <v>43</v>
      </c>
      <c r="E1807" t="s">
        <v>44</v>
      </c>
      <c r="F1807" s="4">
        <v>41403</v>
      </c>
      <c r="G1807" s="4">
        <v>41859</v>
      </c>
      <c r="H1807" t="s">
        <v>45</v>
      </c>
      <c r="I1807" t="s">
        <v>47</v>
      </c>
      <c r="J1807" t="s">
        <v>11</v>
      </c>
      <c r="K1807">
        <v>1</v>
      </c>
    </row>
    <row r="1808" spans="1:11" x14ac:dyDescent="0.25">
      <c r="A1808" t="s">
        <v>18</v>
      </c>
      <c r="B1808" t="s">
        <v>22</v>
      </c>
      <c r="C1808">
        <v>66261715</v>
      </c>
      <c r="D1808" t="s">
        <v>43</v>
      </c>
      <c r="E1808" t="s">
        <v>44</v>
      </c>
      <c r="F1808" s="4">
        <v>41403</v>
      </c>
      <c r="G1808" s="4">
        <v>41859</v>
      </c>
      <c r="H1808" t="s">
        <v>45</v>
      </c>
      <c r="I1808" t="s">
        <v>47</v>
      </c>
      <c r="J1808" t="s">
        <v>12</v>
      </c>
      <c r="K1808">
        <v>2</v>
      </c>
    </row>
    <row r="1809" spans="1:11" x14ac:dyDescent="0.25">
      <c r="A1809" t="s">
        <v>18</v>
      </c>
      <c r="B1809" t="s">
        <v>22</v>
      </c>
      <c r="C1809">
        <v>66261715</v>
      </c>
      <c r="D1809" t="s">
        <v>43</v>
      </c>
      <c r="E1809" t="s">
        <v>44</v>
      </c>
      <c r="F1809" s="4">
        <v>41403</v>
      </c>
      <c r="G1809" s="4">
        <v>41859</v>
      </c>
      <c r="H1809" t="s">
        <v>45</v>
      </c>
      <c r="I1809" t="s">
        <v>47</v>
      </c>
      <c r="J1809" t="s">
        <v>13</v>
      </c>
      <c r="K1809">
        <v>1</v>
      </c>
    </row>
    <row r="1810" spans="1:11" x14ac:dyDescent="0.25">
      <c r="A1810" t="s">
        <v>18</v>
      </c>
      <c r="B1810" t="s">
        <v>22</v>
      </c>
      <c r="C1810">
        <v>66261715</v>
      </c>
      <c r="D1810" t="s">
        <v>43</v>
      </c>
      <c r="E1810" t="s">
        <v>44</v>
      </c>
      <c r="F1810" s="4">
        <v>41403</v>
      </c>
      <c r="G1810" s="4">
        <v>41859</v>
      </c>
      <c r="H1810" t="s">
        <v>45</v>
      </c>
      <c r="I1810" t="s">
        <v>47</v>
      </c>
      <c r="J1810" t="s">
        <v>14</v>
      </c>
      <c r="K1810">
        <v>1</v>
      </c>
    </row>
    <row r="1811" spans="1:11" x14ac:dyDescent="0.25">
      <c r="A1811" t="s">
        <v>18</v>
      </c>
      <c r="B1811" t="s">
        <v>22</v>
      </c>
      <c r="C1811">
        <v>66261715</v>
      </c>
      <c r="D1811" t="s">
        <v>43</v>
      </c>
      <c r="E1811" t="s">
        <v>44</v>
      </c>
      <c r="F1811" s="4">
        <v>41403</v>
      </c>
      <c r="G1811" s="4">
        <v>41859</v>
      </c>
      <c r="H1811" t="s">
        <v>45</v>
      </c>
      <c r="I1811" t="s">
        <v>47</v>
      </c>
      <c r="J1811" t="s">
        <v>15</v>
      </c>
      <c r="K1811">
        <v>0</v>
      </c>
    </row>
    <row r="1812" spans="1:11" x14ac:dyDescent="0.25">
      <c r="A1812" t="s">
        <v>18</v>
      </c>
      <c r="B1812" t="s">
        <v>20</v>
      </c>
      <c r="C1812">
        <v>2026363</v>
      </c>
      <c r="D1812" t="s">
        <v>48</v>
      </c>
      <c r="E1812" t="s">
        <v>44</v>
      </c>
      <c r="F1812" s="4">
        <v>41562</v>
      </c>
      <c r="G1812" s="4">
        <v>41617</v>
      </c>
      <c r="H1812" t="s">
        <v>45</v>
      </c>
      <c r="I1812" t="s">
        <v>46</v>
      </c>
      <c r="J1812" t="s">
        <v>6</v>
      </c>
      <c r="K1812">
        <v>0</v>
      </c>
    </row>
    <row r="1813" spans="1:11" x14ac:dyDescent="0.25">
      <c r="A1813" t="s">
        <v>18</v>
      </c>
      <c r="B1813" t="s">
        <v>20</v>
      </c>
      <c r="C1813">
        <v>2026363</v>
      </c>
      <c r="D1813" t="s">
        <v>48</v>
      </c>
      <c r="E1813" t="s">
        <v>44</v>
      </c>
      <c r="F1813" s="4">
        <v>41562</v>
      </c>
      <c r="G1813" s="4">
        <v>41617</v>
      </c>
      <c r="H1813" t="s">
        <v>45</v>
      </c>
      <c r="I1813" t="s">
        <v>46</v>
      </c>
      <c r="J1813" t="s">
        <v>7</v>
      </c>
      <c r="K1813">
        <v>1</v>
      </c>
    </row>
    <row r="1814" spans="1:11" x14ac:dyDescent="0.25">
      <c r="A1814" t="s">
        <v>18</v>
      </c>
      <c r="B1814" t="s">
        <v>20</v>
      </c>
      <c r="C1814">
        <v>2026363</v>
      </c>
      <c r="D1814" t="s">
        <v>48</v>
      </c>
      <c r="E1814" t="s">
        <v>44</v>
      </c>
      <c r="F1814" s="4">
        <v>41562</v>
      </c>
      <c r="G1814" s="4">
        <v>41617</v>
      </c>
      <c r="H1814" t="s">
        <v>45</v>
      </c>
      <c r="I1814" t="s">
        <v>46</v>
      </c>
      <c r="J1814" t="s">
        <v>8</v>
      </c>
      <c r="K1814">
        <v>1</v>
      </c>
    </row>
    <row r="1815" spans="1:11" x14ac:dyDescent="0.25">
      <c r="A1815" t="s">
        <v>18</v>
      </c>
      <c r="B1815" t="s">
        <v>20</v>
      </c>
      <c r="C1815">
        <v>2026363</v>
      </c>
      <c r="D1815" t="s">
        <v>48</v>
      </c>
      <c r="E1815" t="s">
        <v>44</v>
      </c>
      <c r="F1815" s="4">
        <v>41562</v>
      </c>
      <c r="G1815" s="4">
        <v>41617</v>
      </c>
      <c r="H1815" t="s">
        <v>45</v>
      </c>
      <c r="I1815" t="s">
        <v>46</v>
      </c>
      <c r="J1815" t="s">
        <v>9</v>
      </c>
      <c r="K1815">
        <v>3</v>
      </c>
    </row>
    <row r="1816" spans="1:11" x14ac:dyDescent="0.25">
      <c r="A1816" t="s">
        <v>18</v>
      </c>
      <c r="B1816" t="s">
        <v>20</v>
      </c>
      <c r="C1816">
        <v>2026363</v>
      </c>
      <c r="D1816" t="s">
        <v>48</v>
      </c>
      <c r="E1816" t="s">
        <v>44</v>
      </c>
      <c r="F1816" s="4">
        <v>41562</v>
      </c>
      <c r="G1816" s="4">
        <v>41617</v>
      </c>
      <c r="H1816" t="s">
        <v>45</v>
      </c>
      <c r="I1816" t="s">
        <v>46</v>
      </c>
      <c r="J1816" t="s">
        <v>10</v>
      </c>
      <c r="K1816">
        <v>2</v>
      </c>
    </row>
    <row r="1817" spans="1:11" x14ac:dyDescent="0.25">
      <c r="A1817" t="s">
        <v>18</v>
      </c>
      <c r="B1817" t="s">
        <v>20</v>
      </c>
      <c r="C1817">
        <v>2026363</v>
      </c>
      <c r="D1817" t="s">
        <v>48</v>
      </c>
      <c r="E1817" t="s">
        <v>44</v>
      </c>
      <c r="F1817" s="4">
        <v>41562</v>
      </c>
      <c r="G1817" s="4">
        <v>41617</v>
      </c>
      <c r="H1817" t="s">
        <v>45</v>
      </c>
      <c r="I1817" t="s">
        <v>46</v>
      </c>
      <c r="J1817" t="s">
        <v>11</v>
      </c>
      <c r="K1817">
        <v>2</v>
      </c>
    </row>
    <row r="1818" spans="1:11" x14ac:dyDescent="0.25">
      <c r="A1818" t="s">
        <v>18</v>
      </c>
      <c r="B1818" t="s">
        <v>20</v>
      </c>
      <c r="C1818">
        <v>2026363</v>
      </c>
      <c r="D1818" t="s">
        <v>48</v>
      </c>
      <c r="E1818" t="s">
        <v>44</v>
      </c>
      <c r="F1818" s="4">
        <v>41562</v>
      </c>
      <c r="G1818" s="4">
        <v>41617</v>
      </c>
      <c r="H1818" t="s">
        <v>45</v>
      </c>
      <c r="I1818" t="s">
        <v>46</v>
      </c>
      <c r="J1818" t="s">
        <v>12</v>
      </c>
      <c r="K1818">
        <v>2</v>
      </c>
    </row>
    <row r="1819" spans="1:11" x14ac:dyDescent="0.25">
      <c r="A1819" t="s">
        <v>18</v>
      </c>
      <c r="B1819" t="s">
        <v>20</v>
      </c>
      <c r="C1819">
        <v>2026363</v>
      </c>
      <c r="D1819" t="s">
        <v>48</v>
      </c>
      <c r="E1819" t="s">
        <v>44</v>
      </c>
      <c r="F1819" s="4">
        <v>41562</v>
      </c>
      <c r="G1819" s="4">
        <v>41617</v>
      </c>
      <c r="H1819" t="s">
        <v>45</v>
      </c>
      <c r="I1819" t="s">
        <v>46</v>
      </c>
      <c r="J1819" t="s">
        <v>13</v>
      </c>
      <c r="K1819">
        <v>2</v>
      </c>
    </row>
    <row r="1820" spans="1:11" x14ac:dyDescent="0.25">
      <c r="A1820" t="s">
        <v>18</v>
      </c>
      <c r="B1820" t="s">
        <v>20</v>
      </c>
      <c r="C1820">
        <v>2026363</v>
      </c>
      <c r="D1820" t="s">
        <v>48</v>
      </c>
      <c r="E1820" t="s">
        <v>44</v>
      </c>
      <c r="F1820" s="4">
        <v>41562</v>
      </c>
      <c r="G1820" s="4">
        <v>41617</v>
      </c>
      <c r="H1820" t="s">
        <v>45</v>
      </c>
      <c r="I1820" t="s">
        <v>46</v>
      </c>
      <c r="J1820" t="s">
        <v>14</v>
      </c>
      <c r="K1820">
        <v>0</v>
      </c>
    </row>
    <row r="1821" spans="1:11" x14ac:dyDescent="0.25">
      <c r="A1821" t="s">
        <v>18</v>
      </c>
      <c r="B1821" t="s">
        <v>20</v>
      </c>
      <c r="C1821">
        <v>2026363</v>
      </c>
      <c r="D1821" t="s">
        <v>48</v>
      </c>
      <c r="E1821" t="s">
        <v>44</v>
      </c>
      <c r="F1821" s="4">
        <v>41562</v>
      </c>
      <c r="G1821" s="4">
        <v>41617</v>
      </c>
      <c r="H1821" t="s">
        <v>45</v>
      </c>
      <c r="I1821" t="s">
        <v>46</v>
      </c>
      <c r="J1821" t="s">
        <v>15</v>
      </c>
      <c r="K1821">
        <v>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To dos</vt:lpstr>
      <vt:lpstr>Data generator</vt:lpstr>
      <vt:lpstr>Sample Data</vt:lpstr>
      <vt:lpstr>Sample Data - Reshaped</vt:lpstr>
      <vt:lpstr>AssessDays</vt:lpstr>
      <vt:lpstr>AssessPd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Mader</dc:creator>
  <cp:lastModifiedBy>Nick Mader</cp:lastModifiedBy>
  <dcterms:created xsi:type="dcterms:W3CDTF">2017-06-22T00:10:48Z</dcterms:created>
  <dcterms:modified xsi:type="dcterms:W3CDTF">2017-08-30T03:21:56Z</dcterms:modified>
</cp:coreProperties>
</file>